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42b611d07f46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判断サマリー" sheetId="1" r:id="R061b4fd8eaaa4c98"/>
    <x:sheet xmlns:r="http://schemas.openxmlformats.org/officeDocument/2006/relationships" name="設定と出典" sheetId="2" r:id="R35217e688fad476f"/>
    <x:sheet xmlns:r="http://schemas.openxmlformats.org/officeDocument/2006/relationships" name="収益試算" sheetId="3" r:id="R576429ae03364fa2"/>
    <x:sheet xmlns:r="http://schemas.openxmlformats.org/officeDocument/2006/relationships" name="実績取得状況" sheetId="4" r:id="R961255a2efdd44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;(#,##0);&quot;-&quot;"/>
    <x:numFmt numFmtId="201" formatCode="0.0%;(0.0%);&quot;-&quot;"/>
    <x:numFmt numFmtId="202" formatCode="#,##0.0;(#,##0.0);&quot;-&quot;"/>
  </x:numFmts>
  <x:fonts count="5">
    <x:font>
      <x:sz val="11"/>
      <x:name val="Carlito"/>
    </x:font>
    <x:font>
      <x:sz val="10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b/>
      <x:sz val="15"/>
      <x:color rgb="FF1F3556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3556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4" fillId="0" borderId="0" xfId="0" applyNumberFormat="1" applyFont="1" applyFill="1" applyBorder="1"/>
  </x:cellXfs>
  <x:cellStyles count="1">
    <x:cellStyle name="Normal" xfId="0"/>
  </x:cellStyles>
  <x:dxfs count="2">
    <x:dxf>
      <x:font>
        <x:color rgb="FFB71C1C"/>
      </x:font>
      <x:fill>
        <x:patternFill patternType="solid">
          <x:bgColor rgb="FFFDE9E7"/>
        </x:patternFill>
      </x:fill>
    </x:dxf>
    <x:dxf>
      <x:font>
        <x:color rgb="FFB7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11cb82a7a7455d" /><Relationship Type="http://schemas.openxmlformats.org/officeDocument/2006/relationships/theme" Target="/xl/theme/theme1.xml" Id="R3be6139e95204d99" /><Relationship Type="http://schemas.openxmlformats.org/officeDocument/2006/relationships/sharedStrings" Target="/xl/sharedStrings.xml" Id="Rc5122f17d897416b" /><Relationship Type="http://schemas.openxmlformats.org/officeDocument/2006/relationships/worksheet" Target="/xl/worksheets/sheet1.xml" Id="R061b4fd8eaaa4c98" /><Relationship Type="http://schemas.openxmlformats.org/officeDocument/2006/relationships/worksheet" Target="/xl/worksheets/sheet2.xml" Id="R35217e688fad476f" /><Relationship Type="http://schemas.openxmlformats.org/officeDocument/2006/relationships/worksheet" Target="/xl/worksheets/sheet3.xml" Id="R576429ae03364fa2" /><Relationship Type="http://schemas.openxmlformats.org/officeDocument/2006/relationships/worksheet" Target="/xl/worksheets/sheet4.xml" Id="R961255a2efdd444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10" hidden="0" customWidth="1"/>
    <x:col min="4" max="4" width="21" hidden="0" customWidth="1"/>
    <x:col min="5" max="5" width="21" hidden="0" customWidth="1"/>
    <x:col min="6" max="6" width="21" hidden="0" customWidth="1"/>
    <x:col min="7" max="7" width="21" hidden="0" customWidth="1"/>
    <x:col min="8" max="8" width="21" hidden="0" customWidth="1"/>
    <x:col min="9" max="9" width="21" hidden="0" customWidth="1"/>
    <x:col min="10" max="10" width="21" hidden="0" customWidth="1"/>
    <x:col min="11" max="11" width="21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</x:row>
    <x:row r="2" ht="22" customHeight="1">
      <x:c r="A2" s="10" t="str">
        <x:v>Secure Send 料金採算比較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</x:row>
    <x:row r="3" ht="22" customHeight="1">
      <x:c r="A3" s="1" t="str">
        <x:v>実測未取得。以下は仮定による条件付き試算。正式価格・配分率の決定ではない。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</x:row>
    <x:row r="5" ht="34" customHeight="1">
      <x:c r="A5" s="4" t="str">
        <x:v>企業数</x:v>
      </x:c>
      <x:c r="B5" s="4" t="str">
        <x:v>プラン</x:v>
      </x:c>
      <x:c r="C5" s="4" t="str">
        <x:v>利用</x:v>
      </x:c>
      <x:c r="D5" s="4" t="str">
        <x:v>月額売上</x:v>
      </x:c>
      <x:c r="E5" s="4" t="str">
        <x:v>インフラ/月</x:v>
      </x:c>
      <x:c r="F5" s="4" t="str">
        <x:v>サポート等/月</x:v>
      </x:c>
      <x:c r="G5" s="4" t="str">
        <x:v>配分前差引/月</x:v>
      </x:c>
      <x:c r="H5" s="4" t="str">
        <x:v>売上50%後/月</x:v>
      </x:c>
      <x:c r="I5" s="4" t="str">
        <x:v>基本料50%後/月</x:v>
      </x:c>
      <x:c r="J5" s="4" t="str">
        <x:v>赤字回避配分上限</x:v>
      </x:c>
      <x:c r="K5" s="4" t="str">
        <x:v>目標20%確保上限</x:v>
      </x:c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</x:row>
    <x:row r="6" ht="22" customHeight="1">
      <x:c r="A6" s="1" t="n">
        <x:f>'収益試算'!A6</x:f>
        <x:v>10</x:v>
      </x:c>
      <x:c r="B6" s="1" t="str">
        <x:f>'収益試算'!B6</x:f>
        <x:v>Starter</x:v>
      </x:c>
      <x:c r="C6" s="1" t="str">
        <x:f>'収益試算'!C6</x:f>
        <x:v>低位</x:v>
      </x:c>
      <x:c r="D6" s="7" t="n">
        <x:f>'収益試算'!T6</x:f>
        <x:v>30000</x:v>
      </x:c>
      <x:c r="E6" s="7" t="n">
        <x:f>'収益試算'!AF6</x:f>
        <x:v>14665.436998596193</x:v>
      </x:c>
      <x:c r="F6" s="7" t="n">
        <x:f>SUM('収益試算'!AH6:AI6)</x:f>
        <x:v>10333.333333333334</x:v>
      </x:c>
      <x:c r="G6" s="7" t="n">
        <x:f>'収益試算'!AJ6</x:f>
        <x:v>3921.229668070475</x:v>
      </x:c>
      <x:c r="H6" s="7" t="n">
        <x:f>'収益試算'!AK6</x:f>
        <x:v>-11078.770331929525</x:v>
      </x:c>
      <x:c r="I6" s="7" t="n">
        <x:f>'収益試算'!AL6</x:f>
        <x:v>-1078.7703319295251</x:v>
      </x:c>
      <x:c r="J6" s="8" t="n">
        <x:f>'収益試算'!AO6</x:f>
        <x:v>0.13070765560234915</x:v>
      </x:c>
      <x:c r="K6" s="8" t="n">
        <x:f>'収益試算'!AP6</x:f>
        <x:v>-0.06929234439765086</x:v>
      </x:c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</x:row>
    <x:row r="7" ht="22" customHeight="1">
      <x:c r="A7" s="1" t="n">
        <x:f>'収益試算'!A7</x:f>
        <x:v>10</x:v>
      </x:c>
      <x:c r="B7" s="1" t="str">
        <x:f>'収益試算'!B7</x:f>
        <x:v>Starter</x:v>
      </x:c>
      <x:c r="C7" s="1" t="str">
        <x:f>'収益試算'!C7</x:f>
        <x:v>標準</x:v>
      </x:c>
      <x:c r="D7" s="7" t="n">
        <x:f>'収益試算'!T7</x:f>
        <x:v>30000</x:v>
      </x:c>
      <x:c r="E7" s="7" t="n">
        <x:f>'収益試算'!AF7</x:f>
        <x:v>15514.548431884767</x:v>
      </x:c>
      <x:c r="F7" s="7" t="n">
        <x:f>SUM('収益試算'!AH7:AI7)</x:f>
        <x:v>13666.666666666668</x:v>
      </x:c>
      <x:c r="G7" s="7" t="n">
        <x:f>'収益試算'!AJ7</x:f>
        <x:v>-261.2150985514345</x:v>
      </x:c>
      <x:c r="H7" s="7" t="n">
        <x:f>'収益試算'!AK7</x:f>
        <x:v>-15261.215098551434</x:v>
      </x:c>
      <x:c r="I7" s="7" t="n">
        <x:f>'収益試算'!AL7</x:f>
        <x:v>-5261.2150985514345</x:v>
      </x:c>
      <x:c r="J7" s="8" t="n">
        <x:f>'収益試算'!AO7</x:f>
        <x:v>-0.008707169951714484</x:v>
      </x:c>
      <x:c r="K7" s="8" t="n">
        <x:f>'収益試算'!AP7</x:f>
        <x:v>-0.20870716995171448</x:v>
      </x:c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</x:row>
    <x:row r="8" ht="22" customHeight="1">
      <x:c r="A8" s="1" t="n">
        <x:f>'収益試算'!A8</x:f>
        <x:v>10</x:v>
      </x:c>
      <x:c r="B8" s="1" t="str">
        <x:f>'収益試算'!B8</x:f>
        <x:v>Starter</x:v>
      </x:c>
      <x:c r="C8" s="1" t="str">
        <x:f>'収益試算'!C8</x:f>
        <x:v>高位</x:v>
      </x:c>
      <x:c r="D8" s="7" t="n">
        <x:f>'収益試算'!T8</x:f>
        <x:v>30000</x:v>
      </x:c>
      <x:c r="E8" s="7" t="n">
        <x:f>'収益試算'!AF8</x:f>
        <x:v>39678.590477539066</x:v>
      </x:c>
      <x:c r="F8" s="7" t="n">
        <x:f>SUM('収益試算'!AH8:AI8)</x:f>
        <x:v>21666.666666666664</x:v>
      </x:c>
      <x:c r="G8" s="7" t="n">
        <x:f>'収益試算'!AJ8</x:f>
        <x:v>-32425.25714420573</x:v>
      </x:c>
      <x:c r="H8" s="7" t="n">
        <x:f>'収益試算'!AK8</x:f>
        <x:v>-47425.25714420573</x:v>
      </x:c>
      <x:c r="I8" s="7" t="n">
        <x:f>'収益試算'!AL8</x:f>
        <x:v>-37425.25714420573</x:v>
      </x:c>
      <x:c r="J8" s="8" t="n">
        <x:f>'収益試算'!AO8</x:f>
        <x:v>-1.0808419048068576</x:v>
      </x:c>
      <x:c r="K8" s="8" t="n">
        <x:f>'収益試算'!AP8</x:f>
        <x:v>-1.2808419048068576</x:v>
      </x:c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</x:row>
    <x:row r="9" ht="22" customHeight="1">
      <x:c r="A9" s="1" t="n">
        <x:f>'収益試算'!A9</x:f>
        <x:v>10</x:v>
      </x:c>
      <x:c r="B9" s="1" t="str">
        <x:f>'収益試算'!B9</x:f>
        <x:v>Business</x:v>
      </x:c>
      <x:c r="C9" s="1" t="str">
        <x:f>'収益試算'!C9</x:f>
        <x:v>低位</x:v>
      </x:c>
      <x:c r="D9" s="7" t="n">
        <x:f>'収益試算'!T9</x:f>
        <x:v>50000</x:v>
      </x:c>
      <x:c r="E9" s="7" t="n">
        <x:f>'収益試算'!AF9</x:f>
        <x:v>15164.147994384766</x:v>
      </x:c>
      <x:c r="F9" s="7" t="n">
        <x:f>SUM('収益試算'!AH9:AI9)</x:f>
        <x:v>11333.333333333334</x:v>
      </x:c>
      <x:c r="G9" s="7" t="n">
        <x:f>'収益試算'!AJ9</x:f>
        <x:v>21702.5186722819</x:v>
      </x:c>
      <x:c r="H9" s="7" t="n">
        <x:f>'収益試算'!AK9</x:f>
        <x:v>-3297.4813277180983</x:v>
      </x:c>
      <x:c r="I9" s="7" t="n">
        <x:f>'収益試算'!AL9</x:f>
        <x:v>16702.5186722819</x:v>
      </x:c>
      <x:c r="J9" s="8" t="n">
        <x:f>'収益試算'!AO9</x:f>
        <x:v>0.434050373445638</x:v>
      </x:c>
      <x:c r="K9" s="8" t="n">
        <x:f>'収益試算'!AP9</x:f>
        <x:v>0.234050373445638</x:v>
      </x:c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</x:row>
    <x:row r="10" ht="22" customHeight="1">
      <x:c r="A10" s="1" t="n">
        <x:f>'収益試算'!A10</x:f>
        <x:v>10</x:v>
      </x:c>
      <x:c r="B10" s="1" t="str">
        <x:f>'収益試算'!B10</x:f>
        <x:v>Business</x:v>
      </x:c>
      <x:c r="C10" s="1" t="str">
        <x:f>'収益試算'!C10</x:f>
        <x:v>標準</x:v>
      </x:c>
      <x:c r="D10" s="7" t="n">
        <x:f>'収益試算'!T10</x:f>
        <x:v>50000</x:v>
      </x:c>
      <x:c r="E10" s="7" t="n">
        <x:f>'収益試算'!AF10</x:f>
        <x:v>18560.593727539064</x:v>
      </x:c>
      <x:c r="F10" s="7" t="n">
        <x:f>SUM('収益試算'!AH10:AI10)</x:f>
        <x:v>14666.666666666668</x:v>
      </x:c>
      <x:c r="G10" s="7" t="n">
        <x:f>'収益試算'!AJ10</x:f>
        <x:v>14972.739605794268</x:v>
      </x:c>
      <x:c r="H10" s="7" t="n">
        <x:f>'収益試算'!AK10</x:f>
        <x:v>-10027.260394205732</x:v>
      </x:c>
      <x:c r="I10" s="7" t="n">
        <x:f>'収益試算'!AL10</x:f>
        <x:v>9972.739605794268</x:v>
      </x:c>
      <x:c r="J10" s="8" t="n">
        <x:f>'収益試算'!AO10</x:f>
        <x:v>0.2994547921158854</x:v>
      </x:c>
      <x:c r="K10" s="8" t="n">
        <x:f>'収益試算'!AP10</x:f>
        <x:v>0.09945479211588537</x:v>
      </x:c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</x:row>
    <x:row r="11" ht="22" customHeight="1">
      <x:c r="A11" s="1" t="n">
        <x:f>'収益試算'!A11</x:f>
        <x:v>10</x:v>
      </x:c>
      <x:c r="B11" s="1" t="str">
        <x:f>'収益試算'!B11</x:f>
        <x:v>Business</x:v>
      </x:c>
      <x:c r="C11" s="1" t="str">
        <x:f>'収益試算'!C11</x:f>
        <x:v>高位</x:v>
      </x:c>
      <x:c r="D11" s="7" t="n">
        <x:f>'収益試算'!T11</x:f>
        <x:v>50000</x:v>
      </x:c>
      <x:c r="E11" s="7" t="n">
        <x:f>'収益試算'!AF11</x:f>
        <x:v>115216.76191015624</x:v>
      </x:c>
      <x:c r="F11" s="7" t="n">
        <x:f>SUM('収益試算'!AH11:AI11)</x:f>
        <x:v>22666.666666666664</x:v>
      </x:c>
      <x:c r="G11" s="7" t="n">
        <x:f>'収益試算'!AJ11</x:f>
        <x:v>-89683.42857682292</x:v>
      </x:c>
      <x:c r="H11" s="7" t="n">
        <x:f>'収益試算'!AK11</x:f>
        <x:v>-114683.42857682292</x:v>
      </x:c>
      <x:c r="I11" s="7" t="n">
        <x:f>'収益試算'!AL11</x:f>
        <x:v>-94683.42857682292</x:v>
      </x:c>
      <x:c r="J11" s="8" t="n">
        <x:f>'収益試算'!AO11</x:f>
        <x:v>-1.7936685715364584</x:v>
      </x:c>
      <x:c r="K11" s="8" t="n">
        <x:f>'収益試算'!AP11</x:f>
        <x:v>-1.9936685715364584</x:v>
      </x:c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</x:row>
    <x:row r="12" ht="22" customHeight="1">
      <x:c r="A12" s="1" t="n">
        <x:f>'収益試算'!A12</x:f>
        <x:v>10</x:v>
      </x:c>
      <x:c r="B12" s="1" t="str">
        <x:f>'収益試算'!B12</x:f>
        <x:v>Business Plus</x:v>
      </x:c>
      <x:c r="C12" s="1" t="str">
        <x:f>'収益試算'!C12</x:f>
        <x:v>低位</x:v>
      </x:c>
      <x:c r="D12" s="7" t="n">
        <x:f>'収益試算'!T12</x:f>
        <x:v>80000</x:v>
      </x:c>
      <x:c r="E12" s="7" t="n">
        <x:f>'収益試算'!AF12</x:f>
        <x:v>16161.569985961914</x:v>
      </x:c>
      <x:c r="F12" s="7" t="n">
        <x:f>SUM('収益試算'!AH12:AI12)</x:f>
        <x:v>13333.333333333332</x:v>
      </x:c>
      <x:c r="G12" s="7" t="n">
        <x:f>'収益試算'!AJ12</x:f>
        <x:v>47625.09668070475</x:v>
      </x:c>
      <x:c r="H12" s="7" t="n">
        <x:f>'収益試算'!AK12</x:f>
        <x:v>7625.096680704752</x:v>
      </x:c>
      <x:c r="I12" s="7" t="n">
        <x:f>'収益試算'!AL12</x:f>
        <x:v>42625.09668070475</x:v>
      </x:c>
      <x:c r="J12" s="8" t="n">
        <x:f>'収益試算'!AO12</x:f>
        <x:v>0.5953137085088094</x:v>
      </x:c>
      <x:c r="K12" s="8" t="n">
        <x:f>'収益試算'!AP12</x:f>
        <x:v>0.39531370850880937</x:v>
      </x:c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</x:row>
    <x:row r="13" ht="22" customHeight="1">
      <x:c r="A13" s="1" t="n">
        <x:f>'収益試算'!A13</x:f>
        <x:v>10</x:v>
      </x:c>
      <x:c r="B13" s="1" t="str">
        <x:f>'収益試算'!B13</x:f>
        <x:v>Business Plus</x:v>
      </x:c>
      <x:c r="C13" s="1" t="str">
        <x:f>'収益試算'!C13</x:f>
        <x:v>標準</x:v>
      </x:c>
      <x:c r="D13" s="7" t="n">
        <x:f>'収益試算'!T13</x:f>
        <x:v>80000</x:v>
      </x:c>
      <x:c r="E13" s="7" t="n">
        <x:f>'収益試算'!AF13</x:f>
        <x:v>24652.684318847656</x:v>
      </x:c>
      <x:c r="F13" s="7" t="n">
        <x:f>SUM('収益試算'!AH13:AI13)</x:f>
        <x:v>16666.666666666664</x:v>
      </x:c>
      <x:c r="G13" s="7" t="n">
        <x:f>'収益試算'!AJ13</x:f>
        <x:v>35800.64901448568</x:v>
      </x:c>
      <x:c r="H13" s="7" t="n">
        <x:f>'収益試算'!AK13</x:f>
        <x:v>-4199.35098551432</x:v>
      </x:c>
      <x:c r="I13" s="7" t="n">
        <x:f>'収益試算'!AL13</x:f>
        <x:v>30800.64901448568</x:v>
      </x:c>
      <x:c r="J13" s="8" t="n">
        <x:f>'収益試算'!AO13</x:f>
        <x:v>0.447508112681071</x:v>
      </x:c>
      <x:c r="K13" s="8" t="n">
        <x:f>'収益試算'!AP13</x:f>
        <x:v>0.24750811268107098</x:v>
      </x:c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</x:row>
    <x:row r="14" ht="22" customHeight="1">
      <x:c r="A14" s="1" t="n">
        <x:f>'収益試算'!A14</x:f>
        <x:v>10</x:v>
      </x:c>
      <x:c r="B14" s="1" t="str">
        <x:f>'収益試算'!B14</x:f>
        <x:v>Business Plus</x:v>
      </x:c>
      <x:c r="C14" s="1" t="str">
        <x:f>'収益試算'!C14</x:f>
        <x:v>高位</x:v>
      </x:c>
      <x:c r="D14" s="7" t="n">
        <x:f>'収益試算'!T14</x:f>
        <x:v>80000</x:v>
      </x:c>
      <x:c r="E14" s="7" t="n">
        <x:f>'収益試算'!AF14</x:f>
        <x:v>266293.10477539065</x:v>
      </x:c>
      <x:c r="F14" s="7" t="n">
        <x:f>SUM('収益試算'!AH14:AI14)</x:f>
        <x:v>24666.666666666668</x:v>
      </x:c>
      <x:c r="G14" s="7" t="n">
        <x:f>'収益試算'!AJ14</x:f>
        <x:v>-213839.77144205733</x:v>
      </x:c>
      <x:c r="H14" s="7" t="n">
        <x:f>'収益試算'!AK14</x:f>
        <x:v>-253839.77144205733</x:v>
      </x:c>
      <x:c r="I14" s="7" t="n">
        <x:f>'収益試算'!AL14</x:f>
        <x:v>-218839.77144205733</x:v>
      </x:c>
      <x:c r="J14" s="8" t="n">
        <x:f>'収益試算'!AO14</x:f>
        <x:v>-2.6729971430257167</x:v>
      </x:c>
      <x:c r="K14" s="8" t="n">
        <x:f>'収益試算'!AP14</x:f>
        <x:v>-2.872997143025717</x:v>
      </x:c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</x:row>
    <x:row r="15" ht="22" customHeight="1">
      <x:c r="A15" s="1" t="n">
        <x:f>'収益試算'!A15</x:f>
        <x:v>100</x:v>
      </x:c>
      <x:c r="B15" s="1" t="str">
        <x:f>'収益試算'!B15</x:f>
        <x:v>Starter</x:v>
      </x:c>
      <x:c r="C15" s="1" t="str">
        <x:f>'収益試算'!C15</x:f>
        <x:v>低位</x:v>
      </x:c>
      <x:c r="D15" s="7" t="n">
        <x:f>'収益試算'!T15</x:f>
        <x:v>300000</x:v>
      </x:c>
      <x:c r="E15" s="7" t="n">
        <x:f>'収益試算'!AF15</x:f>
        <x:v>20661.569985961913</x:v>
      </x:c>
      <x:c r="F15" s="7" t="n">
        <x:f>SUM('収益試算'!AH15:AI15)</x:f>
        <x:v>31333.333333333332</x:v>
      </x:c>
      <x:c r="G15" s="7" t="n">
        <x:f>'収益試算'!AJ15</x:f>
        <x:v>237205.09668070474</x:v>
      </x:c>
      <x:c r="H15" s="7" t="n">
        <x:f>'収益試算'!AK15</x:f>
        <x:v>87205.09668070474</x:v>
      </x:c>
      <x:c r="I15" s="7" t="n">
        <x:f>'収益試算'!AL15</x:f>
        <x:v>187205.09668070474</x:v>
      </x:c>
      <x:c r="J15" s="8" t="n">
        <x:f>'収益試算'!AO15</x:f>
        <x:v>0.7906836556023491</x:v>
      </x:c>
      <x:c r="K15" s="8" t="n">
        <x:f>'収益試算'!AP15</x:f>
        <x:v>0.5906836556023491</x:v>
      </x:c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</x:row>
    <x:row r="16" ht="22" customHeight="1">
      <x:c r="A16" s="1" t="n">
        <x:f>'収益試算'!A16</x:f>
        <x:v>100</x:v>
      </x:c>
      <x:c r="B16" s="1" t="str">
        <x:f>'収益試算'!B16</x:f>
        <x:v>Starter</x:v>
      </x:c>
      <x:c r="C16" s="1" t="str">
        <x:f>'収益試算'!C16</x:f>
        <x:v>標準</x:v>
      </x:c>
      <x:c r="D16" s="7" t="n">
        <x:f>'収益試算'!T16</x:f>
        <x:v>300000</x:v>
      </x:c>
      <x:c r="E16" s="7" t="n">
        <x:f>'収益試算'!AF16</x:f>
        <x:v>29152.684318847656</x:v>
      </x:c>
      <x:c r="F16" s="7" t="n">
        <x:f>SUM('収益試算'!AH16:AI16)</x:f>
        <x:v>64666.666666666664</x:v>
      </x:c>
      <x:c r="G16" s="7" t="n">
        <x:f>'収益試算'!AJ16</x:f>
        <x:v>195380.64901448568</x:v>
      </x:c>
      <x:c r="H16" s="7" t="n">
        <x:f>'収益試算'!AK16</x:f>
        <x:v>45380.64901448568</x:v>
      </x:c>
      <x:c r="I16" s="7" t="n">
        <x:f>'収益試算'!AL16</x:f>
        <x:v>145380.64901448568</x:v>
      </x:c>
      <x:c r="J16" s="8" t="n">
        <x:f>'収益試算'!AO16</x:f>
        <x:v>0.6512688300482856</x:v>
      </x:c>
      <x:c r="K16" s="8" t="n">
        <x:f>'収益試算'!AP16</x:f>
        <x:v>0.4512688300482856</x:v>
      </x:c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</x:row>
    <x:row r="17" ht="22" customHeight="1">
      <x:c r="A17" s="1" t="n">
        <x:f>'収益試算'!A17</x:f>
        <x:v>100</x:v>
      </x:c>
      <x:c r="B17" s="1" t="str">
        <x:f>'収益試算'!B17</x:f>
        <x:v>Starter</x:v>
      </x:c>
      <x:c r="C17" s="1" t="str">
        <x:f>'収益試算'!C17</x:f>
        <x:v>高位</x:v>
      </x:c>
      <x:c r="D17" s="7" t="n">
        <x:f>'収益試算'!T17</x:f>
        <x:v>300000</x:v>
      </x:c>
      <x:c r="E17" s="7" t="n">
        <x:f>'収益試算'!AF17</x:f>
        <x:v>270793.10477539065</x:v>
      </x:c>
      <x:c r="F17" s="7" t="n">
        <x:f>SUM('収益試算'!AH17:AI17)</x:f>
        <x:v>144666.66666666666</x:v>
      </x:c>
      <x:c r="G17" s="7" t="n">
        <x:f>'収益試算'!AJ17</x:f>
        <x:v>-126259.77144205733</x:v>
      </x:c>
      <x:c r="H17" s="7" t="n">
        <x:f>'収益試算'!AK17</x:f>
        <x:v>-276259.77144205733</x:v>
      </x:c>
      <x:c r="I17" s="7" t="n">
        <x:f>'収益試算'!AL17</x:f>
        <x:v>-176259.77144205733</x:v>
      </x:c>
      <x:c r="J17" s="8" t="n">
        <x:f>'収益試算'!AO17</x:f>
        <x:v>-0.42086590480685776</x:v>
      </x:c>
      <x:c r="K17" s="8" t="n">
        <x:f>'収益試算'!AP17</x:f>
        <x:v>-0.6208659048068578</x:v>
      </x:c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</x:row>
    <x:row r="18" ht="22" customHeight="1">
      <x:c r="A18" s="1" t="n">
        <x:f>'収益試算'!A18</x:f>
        <x:v>100</x:v>
      </x:c>
      <x:c r="B18" s="1" t="str">
        <x:f>'収益試算'!B18</x:f>
        <x:v>Business</x:v>
      </x:c>
      <x:c r="C18" s="1" t="str">
        <x:f>'収益試算'!C18</x:f>
        <x:v>低位</x:v>
      </x:c>
      <x:c r="D18" s="7" t="n">
        <x:f>'収益試算'!T18</x:f>
        <x:v>500000</x:v>
      </x:c>
      <x:c r="E18" s="7" t="n">
        <x:f>'収益試算'!AF18</x:f>
        <x:v>25648.679943847656</x:v>
      </x:c>
      <x:c r="F18" s="7" t="n">
        <x:f>SUM('収益試算'!AH18:AI18)</x:f>
        <x:v>41333.333333333336</x:v>
      </x:c>
      <x:c r="G18" s="7" t="n">
        <x:f>'収益試算'!AJ18</x:f>
        <x:v>415017.98672281904</x:v>
      </x:c>
      <x:c r="H18" s="7" t="n">
        <x:f>'収益試算'!AK18</x:f>
        <x:v>165017.98672281904</x:v>
      </x:c>
      <x:c r="I18" s="7" t="n">
        <x:f>'収益試算'!AL18</x:f>
        <x:v>365017.98672281904</x:v>
      </x:c>
      <x:c r="J18" s="8" t="n">
        <x:f>'収益試算'!AO18</x:f>
        <x:v>0.8300359734456381</x:v>
      </x:c>
      <x:c r="K18" s="8" t="n">
        <x:f>'収益試算'!AP18</x:f>
        <x:v>0.630035973445638</x:v>
      </x:c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</x:row>
    <x:row r="19" ht="22" customHeight="1">
      <x:c r="A19" s="1" t="n">
        <x:f>'収益試算'!A19</x:f>
        <x:v>100</x:v>
      </x:c>
      <x:c r="B19" s="1" t="str">
        <x:f>'収益試算'!B19</x:f>
        <x:v>Business</x:v>
      </x:c>
      <x:c r="C19" s="1" t="str">
        <x:f>'収益試算'!C19</x:f>
        <x:v>標準</x:v>
      </x:c>
      <x:c r="D19" s="7" t="n">
        <x:f>'収益試算'!T19</x:f>
        <x:v>500000</x:v>
      </x:c>
      <x:c r="E19" s="7" t="n">
        <x:f>'収益試算'!AF19</x:f>
        <x:v>59613.13727539062</x:v>
      </x:c>
      <x:c r="F19" s="7" t="n">
        <x:f>SUM('収益試算'!AH19:AI19)</x:f>
        <x:v>74666.66666666667</x:v>
      </x:c>
      <x:c r="G19" s="7" t="n">
        <x:f>'収益試算'!AJ19</x:f>
        <x:v>347720.1960579427</x:v>
      </x:c>
      <x:c r="H19" s="7" t="n">
        <x:f>'収益試算'!AK19</x:f>
        <x:v>97720.1960579427</x:v>
      </x:c>
      <x:c r="I19" s="7" t="n">
        <x:f>'収益試算'!AL19</x:f>
        <x:v>297720.1960579427</x:v>
      </x:c>
      <x:c r="J19" s="8" t="n">
        <x:f>'収益試算'!AO19</x:f>
        <x:v>0.6954403921158854</x:v>
      </x:c>
      <x:c r="K19" s="8" t="n">
        <x:f>'収益試算'!AP19</x:f>
        <x:v>0.49544039211588536</x:v>
      </x:c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</x:row>
    <x:row r="20" ht="22" customHeight="1">
      <x:c r="A20" s="1" t="n">
        <x:f>'収益試算'!A20</x:f>
        <x:v>100</x:v>
      </x:c>
      <x:c r="B20" s="1" t="str">
        <x:f>'収益試算'!B20</x:f>
        <x:v>Business</x:v>
      </x:c>
      <x:c r="C20" s="1" t="str">
        <x:f>'収益試算'!C20</x:f>
        <x:v>高位</x:v>
      </x:c>
      <x:c r="D20" s="7" t="n">
        <x:f>'収益試算'!T20</x:f>
        <x:v>500000</x:v>
      </x:c>
      <x:c r="E20" s="7" t="n">
        <x:f>'収益試算'!AF20</x:f>
        <x:v>1026174.8191015625</x:v>
      </x:c>
      <x:c r="F20" s="7" t="n">
        <x:f>SUM('収益試算'!AH20:AI20)</x:f>
        <x:v>154666.66666666666</x:v>
      </x:c>
      <x:c r="G20" s="7" t="n">
        <x:f>'収益試算'!AJ20</x:f>
        <x:v>-698841.4857682292</x:v>
      </x:c>
      <x:c r="H20" s="7" t="n">
        <x:f>'収益試算'!AK20</x:f>
        <x:v>-948841.4857682292</x:v>
      </x:c>
      <x:c r="I20" s="7" t="n">
        <x:f>'収益試算'!AL20</x:f>
        <x:v>-748841.4857682292</x:v>
      </x:c>
      <x:c r="J20" s="8" t="n">
        <x:f>'収益試算'!AO20</x:f>
        <x:v>-1.3976829715364585</x:v>
      </x:c>
      <x:c r="K20" s="8" t="n">
        <x:f>'収益試算'!AP20</x:f>
        <x:v>-1.5976829715364584</x:v>
      </x:c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</x:row>
    <x:row r="21" ht="22" customHeight="1">
      <x:c r="A21" s="1" t="n">
        <x:f>'収益試算'!A21</x:f>
        <x:v>100</x:v>
      </x:c>
      <x:c r="B21" s="1" t="str">
        <x:f>'収益試算'!B21</x:f>
        <x:v>Business Plus</x:v>
      </x:c>
      <x:c r="C21" s="1" t="str">
        <x:f>'収益試算'!C21</x:f>
        <x:v>低位</x:v>
      </x:c>
      <x:c r="D21" s="7" t="n">
        <x:f>'収益試算'!T21</x:f>
        <x:v>800000</x:v>
      </x:c>
      <x:c r="E21" s="7" t="n">
        <x:f>'収益試算'!AF21</x:f>
        <x:v>35622.89985961914</x:v>
      </x:c>
      <x:c r="F21" s="7" t="n">
        <x:f>SUM('収益試算'!AH21:AI21)</x:f>
        <x:v>61333.333333333336</x:v>
      </x:c>
      <x:c r="G21" s="7" t="n">
        <x:f>'収益試算'!AJ21</x:f>
        <x:v>674243.7668070475</x:v>
      </x:c>
      <x:c r="H21" s="7" t="n">
        <x:f>'収益試算'!AK21</x:f>
        <x:v>274243.76680704753</x:v>
      </x:c>
      <x:c r="I21" s="7" t="n">
        <x:f>'収益試算'!AL21</x:f>
        <x:v>624243.7668070475</x:v>
      </x:c>
      <x:c r="J21" s="8" t="n">
        <x:f>'収益試算'!AO21</x:f>
        <x:v>0.8428047085088094</x:v>
      </x:c>
      <x:c r="K21" s="8" t="n">
        <x:f>'収益試算'!AP21</x:f>
        <x:v>0.6428047085088093</x:v>
      </x:c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</x:row>
    <x:row r="22" ht="22" customHeight="1">
      <x:c r="A22" s="1" t="n">
        <x:f>'収益試算'!A22</x:f>
        <x:v>100</x:v>
      </x:c>
      <x:c r="B22" s="1" t="str">
        <x:f>'収益試算'!B22</x:f>
        <x:v>Business Plus</x:v>
      </x:c>
      <x:c r="C22" s="1" t="str">
        <x:f>'収益試算'!C22</x:f>
        <x:v>標準</x:v>
      </x:c>
      <x:c r="D22" s="7" t="n">
        <x:f>'収益試算'!T22</x:f>
        <x:v>800000</x:v>
      </x:c>
      <x:c r="E22" s="7" t="n">
        <x:f>'収益試算'!AF22</x:f>
        <x:v>120534.04318847656</x:v>
      </x:c>
      <x:c r="F22" s="7" t="n">
        <x:f>SUM('収益試算'!AH22:AI22)</x:f>
        <x:v>94666.66666666667</x:v>
      </x:c>
      <x:c r="G22" s="7" t="n">
        <x:f>'収益試算'!AJ22</x:f>
        <x:v>555999.2901448568</x:v>
      </x:c>
      <x:c r="H22" s="7" t="n">
        <x:f>'収益試算'!AK22</x:f>
        <x:v>155999.2901448568</x:v>
      </x:c>
      <x:c r="I22" s="7" t="n">
        <x:f>'収益試算'!AL22</x:f>
        <x:v>505999.2901448568</x:v>
      </x:c>
      <x:c r="J22" s="8" t="n">
        <x:f>'収益試算'!AO22</x:f>
        <x:v>0.694999112681071</x:v>
      </x:c>
      <x:c r="K22" s="8" t="n">
        <x:f>'収益試算'!AP22</x:f>
        <x:v>0.49499911268107094</x:v>
      </x:c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</x:row>
    <x:row r="23" ht="22" customHeight="1">
      <x:c r="A23" s="1" t="n">
        <x:f>'収益試算'!A23</x:f>
        <x:v>100</x:v>
      </x:c>
      <x:c r="B23" s="1" t="str">
        <x:f>'収益試算'!B23</x:f>
        <x:v>Business Plus</x:v>
      </x:c>
      <x:c r="C23" s="1" t="str">
        <x:f>'収益試算'!C23</x:f>
        <x:v>高位</x:v>
      </x:c>
      <x:c r="D23" s="7" t="n">
        <x:f>'収益試算'!T23</x:f>
        <x:v>800000</x:v>
      </x:c>
      <x:c r="E23" s="7" t="n">
        <x:f>'収益試算'!AF23</x:f>
        <x:v>2541539.0477539063</x:v>
      </x:c>
      <x:c r="F23" s="7" t="n">
        <x:f>SUM('収益試算'!AH23:AI23)</x:f>
        <x:v>174666.66666666666</x:v>
      </x:c>
      <x:c r="G23" s="7" t="n">
        <x:f>'収益試算'!AJ23</x:f>
        <x:v>-1945005.7144205729</x:v>
      </x:c>
      <x:c r="H23" s="7" t="n">
        <x:f>'収益試算'!AK23</x:f>
        <x:v>-2345005.714420573</x:v>
      </x:c>
      <x:c r="I23" s="7" t="n">
        <x:f>'収益試算'!AL23</x:f>
        <x:v>-1995005.7144205729</x:v>
      </x:c>
      <x:c r="J23" s="8" t="n">
        <x:f>'収益試算'!AO23</x:f>
        <x:v>-2.431257143025716</x:v>
      </x:c>
      <x:c r="K23" s="8" t="n">
        <x:f>'収益試算'!AP23</x:f>
        <x:v>-2.6312571430257163</x:v>
      </x:c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</x:row>
    <x:row r="24" ht="22" customHeight="1">
      <x:c r="A24" s="1" t="n">
        <x:f>'収益試算'!A24</x:f>
        <x:v>500</x:v>
      </x:c>
      <x:c r="B24" s="1" t="str">
        <x:f>'収益試算'!B24</x:f>
        <x:v>Starter</x:v>
      </x:c>
      <x:c r="C24" s="1" t="str">
        <x:f>'収益試算'!C24</x:f>
        <x:v>低位</x:v>
      </x:c>
      <x:c r="D24" s="7" t="n">
        <x:f>'収益試算'!T24</x:f>
        <x:v>1500000</x:v>
      </x:c>
      <x:c r="E24" s="7" t="n">
        <x:f>'収益試算'!AF24</x:f>
        <x:v>47311.04992980957</x:v>
      </x:c>
      <x:c r="F24" s="7" t="n">
        <x:f>SUM('収益試算'!AH24:AI24)</x:f>
        <x:v>124666.66666666667</x:v>
      </x:c>
      <x:c r="G24" s="7" t="n">
        <x:f>'収益試算'!AJ24</x:f>
        <x:v>1274022.2834035237</x:v>
      </x:c>
      <x:c r="H24" s="7" t="n">
        <x:f>'収益試算'!AK24</x:f>
        <x:v>524022.28340352373</x:v>
      </x:c>
      <x:c r="I24" s="7" t="n">
        <x:f>'収益試算'!AL24</x:f>
        <x:v>1024022.2834035237</x:v>
      </x:c>
      <x:c r="J24" s="8" t="n">
        <x:f>'収益試算'!AO24</x:f>
        <x:v>0.8493481889356825</x:v>
      </x:c>
      <x:c r="K24" s="8" t="n">
        <x:f>'収益試算'!AP24</x:f>
        <x:v>0.6493481889356825</x:v>
      </x:c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</x:row>
    <x:row r="25" ht="22" customHeight="1">
      <x:c r="A25" s="1" t="n">
        <x:f>'収益試算'!A25</x:f>
        <x:v>500</x:v>
      </x:c>
      <x:c r="B25" s="1" t="str">
        <x:f>'収益試算'!B25</x:f>
        <x:v>Starter</x:v>
      </x:c>
      <x:c r="C25" s="1" t="str">
        <x:f>'収益試算'!C25</x:f>
        <x:v>標準</x:v>
      </x:c>
      <x:c r="D25" s="7" t="n">
        <x:f>'収益試算'!T25</x:f>
        <x:v>1500000</x:v>
      </x:c>
      <x:c r="E25" s="7" t="n">
        <x:f>'収益試算'!AF25</x:f>
        <x:v>89766.62159423828</x:v>
      </x:c>
      <x:c r="F25" s="7" t="n">
        <x:f>SUM('収益試算'!AH25:AI25)</x:f>
        <x:v>291333.3333333333</x:v>
      </x:c>
      <x:c r="G25" s="7" t="n">
        <x:f>'収益試算'!AJ25</x:f>
        <x:v>1064900.0450724284</x:v>
      </x:c>
      <x:c r="H25" s="7" t="n">
        <x:f>'収益試算'!AK25</x:f>
        <x:v>314900.0450724284</x:v>
      </x:c>
      <x:c r="I25" s="7" t="n">
        <x:f>'収益試算'!AL25</x:f>
        <x:v>814900.0450724284</x:v>
      </x:c>
      <x:c r="J25" s="8" t="n">
        <x:f>'収益試算'!AO25</x:f>
        <x:v>0.7099333633816189</x:v>
      </x:c>
      <x:c r="K25" s="8" t="n">
        <x:f>'収益試算'!AP25</x:f>
        <x:v>0.509933363381619</x:v>
      </x:c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</x:row>
    <x:row r="26" ht="22" customHeight="1">
      <x:c r="A26" s="1" t="n">
        <x:f>'収益試算'!A26</x:f>
        <x:v>500</x:v>
      </x:c>
      <x:c r="B26" s="1" t="str">
        <x:f>'収益試算'!B26</x:f>
        <x:v>Starter</x:v>
      </x:c>
      <x:c r="C26" s="1" t="str">
        <x:f>'収益試算'!C26</x:f>
        <x:v>高位</x:v>
      </x:c>
      <x:c r="D26" s="7" t="n">
        <x:f>'収益試算'!T26</x:f>
        <x:v>1500000</x:v>
      </x:c>
      <x:c r="E26" s="7" t="n">
        <x:f>'収益試算'!AF26</x:f>
        <x:v>1298519.5238769532</x:v>
      </x:c>
      <x:c r="F26" s="7" t="n">
        <x:f>SUM('収益試算'!AH26:AI26)</x:f>
        <x:v>691333.3333333334</x:v>
      </x:c>
      <x:c r="G26" s="7" t="n">
        <x:f>'収益試算'!AJ26</x:f>
        <x:v>-543852.8572102864</x:v>
      </x:c>
      <x:c r="H26" s="7" t="n">
        <x:f>'収益試算'!AK26</x:f>
        <x:v>-1293852.8572102864</x:v>
      </x:c>
      <x:c r="I26" s="7" t="n">
        <x:f>'収益試算'!AL26</x:f>
        <x:v>-793852.8572102864</x:v>
      </x:c>
      <x:c r="J26" s="8" t="n">
        <x:f>'収益試算'!AO26</x:f>
        <x:v>-0.3625685714735243</x:v>
      </x:c>
      <x:c r="K26" s="8" t="n">
        <x:f>'収益試算'!AP26</x:f>
        <x:v>-0.5625685714735242</x:v>
      </x:c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</x:row>
    <x:row r="27" ht="22" customHeight="1">
      <x:c r="A27" s="1" t="n">
        <x:f>'収益試算'!A27</x:f>
        <x:v>500</x:v>
      </x:c>
      <x:c r="B27" s="1" t="str">
        <x:f>'収益試算'!B27</x:f>
        <x:v>Business</x:v>
      </x:c>
      <x:c r="C27" s="1" t="str">
        <x:f>'収益試算'!C27</x:f>
        <x:v>低位</x:v>
      </x:c>
      <x:c r="D27" s="7" t="n">
        <x:f>'収益試算'!T27</x:f>
        <x:v>2500000</x:v>
      </x:c>
      <x:c r="E27" s="7" t="n">
        <x:f>'収益試算'!AF27</x:f>
        <x:v>72246.59971923828</x:v>
      </x:c>
      <x:c r="F27" s="7" t="n">
        <x:f>SUM('収益試算'!AH27:AI27)</x:f>
        <x:v>174666.66666666666</x:v>
      </x:c>
      <x:c r="G27" s="7" t="n">
        <x:f>'収益試算'!AJ27</x:f>
        <x:v>2163086.733614095</x:v>
      </x:c>
      <x:c r="H27" s="7" t="n">
        <x:f>'収益試算'!AK27</x:f>
        <x:v>913086.733614095</x:v>
      </x:c>
      <x:c r="I27" s="7" t="n">
        <x:f>'収益試算'!AL27</x:f>
        <x:v>1913086.733614095</x:v>
      </x:c>
      <x:c r="J27" s="8" t="n">
        <x:f>'収益試算'!AO27</x:f>
        <x:v>0.865234693445638</x:v>
      </x:c>
      <x:c r="K27" s="8" t="n">
        <x:f>'収益試算'!AP27</x:f>
        <x:v>0.6652346934456379</x:v>
      </x:c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</x:row>
    <x:row r="28" ht="22" customHeight="1">
      <x:c r="A28" s="1" t="n">
        <x:f>'収益試算'!A28</x:f>
        <x:v>500</x:v>
      </x:c>
      <x:c r="B28" s="1" t="str">
        <x:f>'収益試算'!B28</x:f>
        <x:v>Business</x:v>
      </x:c>
      <x:c r="C28" s="1" t="str">
        <x:f>'収益試算'!C28</x:f>
        <x:v>標準</x:v>
      </x:c>
      <x:c r="D28" s="7" t="n">
        <x:f>'収益試算'!T28</x:f>
        <x:v>2500000</x:v>
      </x:c>
      <x:c r="E28" s="7" t="n">
        <x:f>'収益試算'!AF28</x:f>
        <x:v>242068.88637695313</x:v>
      </x:c>
      <x:c r="F28" s="7" t="n">
        <x:f>SUM('収益試算'!AH28:AI28)</x:f>
        <x:v>341333.3333333333</x:v>
      </x:c>
      <x:c r="G28" s="7" t="n">
        <x:f>'収益試算'!AJ28</x:f>
        <x:v>1826597.7802897135</x:v>
      </x:c>
      <x:c r="H28" s="7" t="n">
        <x:f>'収益試算'!AK28</x:f>
        <x:v>576597.7802897135</x:v>
      </x:c>
      <x:c r="I28" s="7" t="n">
        <x:f>'収益試算'!AL28</x:f>
        <x:v>1576597.7802897135</x:v>
      </x:c>
      <x:c r="J28" s="8" t="n">
        <x:f>'収益試算'!AO28</x:f>
        <x:v>0.7306391121158854</x:v>
      </x:c>
      <x:c r="K28" s="8" t="n">
        <x:f>'収益試算'!AP28</x:f>
        <x:v>0.5306391121158853</x:v>
      </x:c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</x:row>
    <x:row r="29" ht="22" customHeight="1">
      <x:c r="A29" s="1" t="n">
        <x:f>'収益試算'!A29</x:f>
        <x:v>500</x:v>
      </x:c>
      <x:c r="B29" s="1" t="str">
        <x:f>'収益試算'!B29</x:f>
        <x:v>Business</x:v>
      </x:c>
      <x:c r="C29" s="1" t="str">
        <x:f>'収益試算'!C29</x:f>
        <x:v>高位</x:v>
      </x:c>
      <x:c r="D29" s="7" t="n">
        <x:f>'収益試算'!T29</x:f>
        <x:v>2500000</x:v>
      </x:c>
      <x:c r="E29" s="7" t="n">
        <x:f>'収益試算'!AF29</x:f>
        <x:v>5087578.095507813</x:v>
      </x:c>
      <x:c r="F29" s="7" t="n">
        <x:f>SUM('収益試算'!AH29:AI29)</x:f>
        <x:v>741333.3333333334</x:v>
      </x:c>
      <x:c r="G29" s="7" t="n">
        <x:f>'収益試算'!AJ29</x:f>
        <x:v>-3418911.4288411457</x:v>
      </x:c>
      <x:c r="H29" s="7" t="n">
        <x:f>'収益試算'!AK29</x:f>
        <x:v>-4668911.428841146</x:v>
      </x:c>
      <x:c r="I29" s="7" t="n">
        <x:f>'収益試算'!AL29</x:f>
        <x:v>-3668911.4288411457</x:v>
      </x:c>
      <x:c r="J29" s="8" t="n">
        <x:f>'収益試算'!AO29</x:f>
        <x:v>-1.3675645715364584</x:v>
      </x:c>
      <x:c r="K29" s="8" t="n">
        <x:f>'収益試算'!AP29</x:f>
        <x:v>-1.5675645715364583</x:v>
      </x:c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</x:row>
    <x:row r="30" ht="22" customHeight="1">
      <x:c r="A30" s="1" t="n">
        <x:f>'収益試算'!A30</x:f>
        <x:v>500</x:v>
      </x:c>
      <x:c r="B30" s="1" t="str">
        <x:f>'収益試算'!B30</x:f>
        <x:v>Business Plus</x:v>
      </x:c>
      <x:c r="C30" s="1" t="str">
        <x:f>'収益試算'!C30</x:f>
        <x:v>低位</x:v>
      </x:c>
      <x:c r="D30" s="7" t="n">
        <x:f>'収益試算'!T30</x:f>
        <x:v>4000000</x:v>
      </x:c>
      <x:c r="E30" s="7" t="n">
        <x:f>'収益試算'!AF30</x:f>
        <x:v>122117.6992980957</x:v>
      </x:c>
      <x:c r="F30" s="7" t="n">
        <x:f>SUM('収益試算'!AH30:AI30)</x:f>
        <x:v>274666.6666666667</x:v>
      </x:c>
      <x:c r="G30" s="7" t="n">
        <x:f>'収益試算'!AJ30</x:f>
        <x:v>3459215.6340352376</x:v>
      </x:c>
      <x:c r="H30" s="7" t="n">
        <x:f>'収益試算'!AK30</x:f>
        <x:v>1459215.6340352376</x:v>
      </x:c>
      <x:c r="I30" s="7" t="n">
        <x:f>'収益試算'!AL30</x:f>
        <x:v>3209215.6340352376</x:v>
      </x:c>
      <x:c r="J30" s="8" t="n">
        <x:f>'収益試算'!AO30</x:f>
        <x:v>0.8648039085088094</x:v>
      </x:c>
      <x:c r="K30" s="8" t="n">
        <x:f>'収益試算'!AP30</x:f>
        <x:v>0.6648039085088093</x:v>
      </x:c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</x:row>
    <x:row r="31" ht="22" customHeight="1">
      <x:c r="A31" s="1" t="n">
        <x:f>'収益試算'!A31</x:f>
        <x:v>500</x:v>
      </x:c>
      <x:c r="B31" s="1" t="str">
        <x:f>'収益試算'!B31</x:f>
        <x:v>Business Plus</x:v>
      </x:c>
      <x:c r="C31" s="1" t="str">
        <x:f>'収益試算'!C31</x:f>
        <x:v>標準</x:v>
      </x:c>
      <x:c r="D31" s="7" t="n">
        <x:f>'収益試算'!T31</x:f>
        <x:v>4000000</x:v>
      </x:c>
      <x:c r="E31" s="7" t="n">
        <x:f>'収益試算'!AF31</x:f>
        <x:v>546673.4159423828</x:v>
      </x:c>
      <x:c r="F31" s="7" t="n">
        <x:f>SUM('収益試算'!AH31:AI31)</x:f>
        <x:v>441333.3333333333</x:v>
      </x:c>
      <x:c r="G31" s="7" t="n">
        <x:f>'収益試算'!AJ31</x:f>
        <x:v>2867993.250724284</x:v>
      </x:c>
      <x:c r="H31" s="7" t="n">
        <x:f>'収益試算'!AK31</x:f>
        <x:v>867993.250724284</x:v>
      </x:c>
      <x:c r="I31" s="7" t="n">
        <x:f>'収益試算'!AL31</x:f>
        <x:v>2617993.250724284</x:v>
      </x:c>
      <x:c r="J31" s="8" t="n">
        <x:f>'収益試算'!AO31</x:f>
        <x:v>0.716998312681071</x:v>
      </x:c>
      <x:c r="K31" s="8" t="n">
        <x:f>'収益試算'!AP31</x:f>
        <x:v>0.5169983126810709</x:v>
      </x:c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</x:row>
    <x:row r="32" ht="22" customHeight="1">
      <x:c r="A32" s="1" t="n">
        <x:f>'収益試算'!A32</x:f>
        <x:v>500</x:v>
      </x:c>
      <x:c r="B32" s="1" t="str">
        <x:f>'収益試算'!B32</x:f>
        <x:v>Business Plus</x:v>
      </x:c>
      <x:c r="C32" s="1" t="str">
        <x:f>'収益試算'!C32</x:f>
        <x:v>高位</x:v>
      </x:c>
      <x:c r="D32" s="7" t="n">
        <x:f>'収益試算'!T32</x:f>
        <x:v>4000000</x:v>
      </x:c>
      <x:c r="E32" s="7" t="n">
        <x:f>'収益試算'!AF32</x:f>
        <x:v>12665695.238769531</x:v>
      </x:c>
      <x:c r="F32" s="7" t="n">
        <x:f>SUM('収益試算'!AH32:AI32)</x:f>
        <x:v>841333.3333333334</x:v>
      </x:c>
      <x:c r="G32" s="7" t="n">
        <x:f>'収益試算'!AJ32</x:f>
        <x:v>-9651028.572102865</x:v>
      </x:c>
      <x:c r="H32" s="7" t="n">
        <x:f>'収益試算'!AK32</x:f>
        <x:v>-11651028.572102865</x:v>
      </x:c>
      <x:c r="I32" s="7" t="n">
        <x:f>'収益試算'!AL32</x:f>
        <x:v>-9901028.572102865</x:v>
      </x:c>
      <x:c r="J32" s="8" t="n">
        <x:f>'収益試算'!AO32</x:f>
        <x:v>-2.412757143025716</x:v>
      </x:c>
      <x:c r="K32" s="8" t="n">
        <x:f>'収益試算'!AP32</x:f>
        <x:v>-2.6127571430257164</x:v>
      </x:c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</x:row>
    <x:row r="33" ht="22" customHeight="1">
      <x:c r="A33" s="1" t="n">
        <x:f>'収益試算'!A33</x:f>
        <x:v>1000</x:v>
      </x:c>
      <x:c r="B33" s="1" t="str">
        <x:f>'収益試算'!B33</x:f>
        <x:v>Starter</x:v>
      </x:c>
      <x:c r="C33" s="1" t="str">
        <x:f>'収益試算'!C33</x:f>
        <x:v>低位</x:v>
      </x:c>
      <x:c r="D33" s="7" t="n">
        <x:f>'収益試算'!T33</x:f>
        <x:v>3000000</x:v>
      </x:c>
      <x:c r="E33" s="7" t="n">
        <x:f>'収益試算'!AF33</x:f>
        <x:v>80622.89985961914</x:v>
      </x:c>
      <x:c r="F33" s="7" t="n">
        <x:f>SUM('収益試算'!AH33:AI33)</x:f>
        <x:v>241333.33333333334</x:v>
      </x:c>
      <x:c r="G33" s="7" t="n">
        <x:f>'収益試算'!AJ33</x:f>
        <x:v>2570043.7668070477</x:v>
      </x:c>
      <x:c r="H33" s="7" t="n">
        <x:f>'収益試算'!AK33</x:f>
        <x:v>1070043.7668070477</x:v>
      </x:c>
      <x:c r="I33" s="7" t="n">
        <x:f>'収益試算'!AL33</x:f>
        <x:v>2070043.7668070477</x:v>
      </x:c>
      <x:c r="J33" s="8" t="n">
        <x:f>'収益試算'!AO33</x:f>
        <x:v>0.8566812556023492</x:v>
      </x:c>
      <x:c r="K33" s="8" t="n">
        <x:f>'収益試算'!AP33</x:f>
        <x:v>0.6566812556023491</x:v>
      </x:c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</x:row>
    <x:row r="34" ht="22" customHeight="1">
      <x:c r="A34" s="1" t="n">
        <x:f>'収益試算'!A34</x:f>
        <x:v>1000</x:v>
      </x:c>
      <x:c r="B34" s="1" t="str">
        <x:f>'収益試算'!B34</x:f>
        <x:v>Starter</x:v>
      </x:c>
      <x:c r="C34" s="1" t="str">
        <x:f>'収益試算'!C34</x:f>
        <x:v>標準</x:v>
      </x:c>
      <x:c r="D34" s="7" t="n">
        <x:f>'収益試算'!T34</x:f>
        <x:v>3000000</x:v>
      </x:c>
      <x:c r="E34" s="7" t="n">
        <x:f>'収益試算'!AF34</x:f>
        <x:v>165534.0431884766</x:v>
      </x:c>
      <x:c r="F34" s="7" t="n">
        <x:f>SUM('収益試算'!AH34:AI34)</x:f>
        <x:v>574666.6666666666</x:v>
      </x:c>
      <x:c r="G34" s="7" t="n">
        <x:f>'収益試算'!AJ34</x:f>
        <x:v>2151799.290144857</x:v>
      </x:c>
      <x:c r="H34" s="7" t="n">
        <x:f>'収益試算'!AK34</x:f>
        <x:v>651799.290144857</x:v>
      </x:c>
      <x:c r="I34" s="7" t="n">
        <x:f>'収益試算'!AL34</x:f>
        <x:v>1651799.290144857</x:v>
      </x:c>
      <x:c r="J34" s="8" t="n">
        <x:f>'収益試算'!AO34</x:f>
        <x:v>0.7172664300482857</x:v>
      </x:c>
      <x:c r="K34" s="8" t="n">
        <x:f>'収益試算'!AP34</x:f>
        <x:v>0.5172664300482857</x:v>
      </x:c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</x:row>
    <x:row r="35" ht="22" customHeight="1">
      <x:c r="A35" s="1" t="n">
        <x:f>'収益試算'!A35</x:f>
        <x:v>1000</x:v>
      </x:c>
      <x:c r="B35" s="1" t="str">
        <x:f>'収益試算'!B35</x:f>
        <x:v>Starter</x:v>
      </x:c>
      <x:c r="C35" s="1" t="str">
        <x:f>'収益試算'!C35</x:f>
        <x:v>高位</x:v>
      </x:c>
      <x:c r="D35" s="7" t="n">
        <x:f>'収益試算'!T35</x:f>
        <x:v>3000000</x:v>
      </x:c>
      <x:c r="E35" s="7" t="n">
        <x:f>'収益試算'!AF35</x:f>
        <x:v>2586539.0477539063</x:v>
      </x:c>
      <x:c r="F35" s="7" t="n">
        <x:f>SUM('収益試算'!AH35:AI35)</x:f>
        <x:v>1374666.6666666667</x:v>
      </x:c>
      <x:c r="G35" s="7" t="n">
        <x:f>'収益試算'!AJ35</x:f>
        <x:v>-1069205.7144205729</x:v>
      </x:c>
      <x:c r="H35" s="7" t="n">
        <x:f>'収益試算'!AK35</x:f>
        <x:v>-2569205.714420573</x:v>
      </x:c>
      <x:c r="I35" s="7" t="n">
        <x:f>'収益試算'!AL35</x:f>
        <x:v>-1569205.7144205729</x:v>
      </x:c>
      <x:c r="J35" s="8" t="n">
        <x:f>'収益試算'!AO35</x:f>
        <x:v>-0.35640190480685763</x:v>
      </x:c>
      <x:c r="K35" s="8" t="n">
        <x:f>'収益試算'!AP35</x:f>
        <x:v>-0.5564019048068576</x:v>
      </x:c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</x:row>
    <x:row r="36" ht="22" customHeight="1">
      <x:c r="A36" s="1" t="n">
        <x:f>'収益試算'!A36</x:f>
        <x:v>1000</x:v>
      </x:c>
      <x:c r="B36" s="1" t="str">
        <x:f>'収益試算'!B36</x:f>
        <x:v>Business</x:v>
      </x:c>
      <x:c r="C36" s="1" t="str">
        <x:f>'収益試算'!C36</x:f>
        <x:v>低位</x:v>
      </x:c>
      <x:c r="D36" s="7" t="n">
        <x:f>'収益試算'!T36</x:f>
        <x:v>5000000</x:v>
      </x:c>
      <x:c r="E36" s="7" t="n">
        <x:f>'収益試算'!AF36</x:f>
        <x:v>130493.99943847656</x:v>
      </x:c>
      <x:c r="F36" s="7" t="n">
        <x:f>SUM('収益試算'!AH36:AI36)</x:f>
        <x:v>341333.3333333333</x:v>
      </x:c>
      <x:c r="G36" s="7" t="n">
        <x:f>'収益試算'!AJ36</x:f>
        <x:v>4348172.66722819</x:v>
      </x:c>
      <x:c r="H36" s="7" t="n">
        <x:f>'収益試算'!AK36</x:f>
        <x:v>1848172.6672281902</x:v>
      </x:c>
      <x:c r="I36" s="7" t="n">
        <x:f>'収益試算'!AL36</x:f>
        <x:v>3848172.66722819</x:v>
      </x:c>
      <x:c r="J36" s="8" t="n">
        <x:f>'収益試算'!AO36</x:f>
        <x:v>0.869634533445638</x:v>
      </x:c>
      <x:c r="K36" s="8" t="n">
        <x:f>'収益試算'!AP36</x:f>
        <x:v>0.669634533445638</x:v>
      </x:c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</x:row>
    <x:row r="37" ht="22" customHeight="1">
      <x:c r="A37" s="1" t="n">
        <x:f>'収益試算'!A37</x:f>
        <x:v>1000</x:v>
      </x:c>
      <x:c r="B37" s="1" t="str">
        <x:f>'収益試算'!B37</x:f>
        <x:v>Business</x:v>
      </x:c>
      <x:c r="C37" s="1" t="str">
        <x:f>'収益試算'!C37</x:f>
        <x:v>標準</x:v>
      </x:c>
      <x:c r="D37" s="7" t="n">
        <x:f>'収益試算'!T37</x:f>
        <x:v>5000000</x:v>
      </x:c>
      <x:c r="E37" s="7" t="n">
        <x:f>'収益試算'!AF37</x:f>
        <x:v>470138.57275390625</x:v>
      </x:c>
      <x:c r="F37" s="7" t="n">
        <x:f>SUM('収益試算'!AH37:AI37)</x:f>
        <x:v>674666.6666666666</x:v>
      </x:c>
      <x:c r="G37" s="7" t="n">
        <x:f>'収益試算'!AJ37</x:f>
        <x:v>3675194.7605794272</x:v>
      </x:c>
      <x:c r="H37" s="7" t="n">
        <x:f>'収益試算'!AK37</x:f>
        <x:v>1175194.7605794272</x:v>
      </x:c>
      <x:c r="I37" s="7" t="n">
        <x:f>'収益試算'!AL37</x:f>
        <x:v>3175194.7605794272</x:v>
      </x:c>
      <x:c r="J37" s="8" t="n">
        <x:f>'収益試算'!AO37</x:f>
        <x:v>0.7350389521158854</x:v>
      </x:c>
      <x:c r="K37" s="8" t="n">
        <x:f>'収益試算'!AP37</x:f>
        <x:v>0.5350389521158854</x:v>
      </x:c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</x:row>
    <x:row r="38" ht="22" customHeight="1">
      <x:c r="A38" s="1" t="n">
        <x:f>'収益試算'!A38</x:f>
        <x:v>1000</x:v>
      </x:c>
      <x:c r="B38" s="1" t="str">
        <x:f>'収益試算'!B38</x:f>
        <x:v>Business</x:v>
      </x:c>
      <x:c r="C38" s="1" t="str">
        <x:f>'収益試算'!C38</x:f>
        <x:v>高位</x:v>
      </x:c>
      <x:c r="D38" s="7" t="n">
        <x:f>'収益試算'!T38</x:f>
        <x:v>5000000</x:v>
      </x:c>
      <x:c r="E38" s="7" t="n">
        <x:f>'収益試算'!AF38</x:f>
        <x:v>10164656.191015624</x:v>
      </x:c>
      <x:c r="F38" s="7" t="n">
        <x:f>SUM('収益試算'!AH38:AI38)</x:f>
        <x:v>1474666.6666666667</x:v>
      </x:c>
      <x:c r="G38" s="7" t="n">
        <x:f>'収益試算'!AJ38</x:f>
        <x:v>-6819322.85768229</x:v>
      </x:c>
      <x:c r="H38" s="7" t="n">
        <x:f>'収益試算'!AK38</x:f>
        <x:v>-9319322.85768229</x:v>
      </x:c>
      <x:c r="I38" s="7" t="n">
        <x:f>'収益試算'!AL38</x:f>
        <x:v>-7319322.85768229</x:v>
      </x:c>
      <x:c r="J38" s="8" t="n">
        <x:f>'収益試算'!AO38</x:f>
        <x:v>-1.363864571536458</x:v>
      </x:c>
      <x:c r="K38" s="8" t="n">
        <x:f>'収益試算'!AP38</x:f>
        <x:v>-1.5638645715364579</x:v>
      </x:c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</x:row>
    <x:row r="39" ht="22" customHeight="1">
      <x:c r="A39" s="1" t="n">
        <x:f>'収益試算'!A39</x:f>
        <x:v>1000</x:v>
      </x:c>
      <x:c r="B39" s="1" t="str">
        <x:f>'収益試算'!B39</x:f>
        <x:v>Business Plus</x:v>
      </x:c>
      <x:c r="C39" s="1" t="str">
        <x:f>'収益試算'!C39</x:f>
        <x:v>低位</x:v>
      </x:c>
      <x:c r="D39" s="7" t="n">
        <x:f>'収益試算'!T39</x:f>
        <x:v>8000000</x:v>
      </x:c>
      <x:c r="E39" s="7" t="n">
        <x:f>'収益試算'!AF39</x:f>
        <x:v>230236.19859619142</x:v>
      </x:c>
      <x:c r="F39" s="7" t="n">
        <x:f>SUM('収益試算'!AH39:AI39)</x:f>
        <x:v>541333.3333333334</x:v>
      </x:c>
      <x:c r="G39" s="7" t="n">
        <x:f>'収益試算'!AJ39</x:f>
        <x:v>6940430.468070475</x:v>
      </x:c>
      <x:c r="H39" s="7" t="n">
        <x:f>'収益試算'!AK39</x:f>
        <x:v>2940430.4680704754</x:v>
      </x:c>
      <x:c r="I39" s="7" t="n">
        <x:f>'収益試算'!AL39</x:f>
        <x:v>6440430.468070475</x:v>
      </x:c>
      <x:c r="J39" s="8" t="n">
        <x:f>'収益試算'!AO39</x:f>
        <x:v>0.8675538085088095</x:v>
      </x:c>
      <x:c r="K39" s="8" t="n">
        <x:f>'収益試算'!AP39</x:f>
        <x:v>0.6675538085088095</x:v>
      </x:c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</x:row>
    <x:row r="40" ht="22" customHeight="1">
      <x:c r="A40" s="1" t="n">
        <x:f>'収益試算'!A40</x:f>
        <x:v>1000</x:v>
      </x:c>
      <x:c r="B40" s="1" t="str">
        <x:f>'収益試算'!B40</x:f>
        <x:v>Business Plus</x:v>
      </x:c>
      <x:c r="C40" s="1" t="str">
        <x:f>'収益試算'!C40</x:f>
        <x:v>標準</x:v>
      </x:c>
      <x:c r="D40" s="7" t="n">
        <x:f>'収益試算'!T40</x:f>
        <x:v>8000000</x:v>
      </x:c>
      <x:c r="E40" s="7" t="n">
        <x:f>'収益試算'!AF40</x:f>
        <x:v>1081248.4318847656</x:v>
      </x:c>
      <x:c r="F40" s="7" t="n">
        <x:f>SUM('収益試算'!AH40:AI40)</x:f>
        <x:v>874666.6666666666</x:v>
      </x:c>
      <x:c r="G40" s="7" t="n">
        <x:f>'収益試算'!AJ40</x:f>
        <x:v>5756084.901448568</x:v>
      </x:c>
      <x:c r="H40" s="7" t="n">
        <x:f>'収益試算'!AK40</x:f>
        <x:v>1756084.9014485683</x:v>
      </x:c>
      <x:c r="I40" s="7" t="n">
        <x:f>'収益試算'!AL40</x:f>
        <x:v>5256084.901448568</x:v>
      </x:c>
      <x:c r="J40" s="8" t="n">
        <x:f>'収益試算'!AO40</x:f>
        <x:v>0.7195106126810711</x:v>
      </x:c>
      <x:c r="K40" s="8" t="n">
        <x:f>'収益試算'!AP40</x:f>
        <x:v>0.5195106126810711</x:v>
      </x:c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</x:row>
    <x:row r="41" ht="22" customHeight="1">
      <x:c r="A41" s="1" t="n">
        <x:f>'収益試算'!A41</x:f>
        <x:v>1000</x:v>
      </x:c>
      <x:c r="B41" s="1" t="str">
        <x:f>'収益試算'!B41</x:f>
        <x:v>Business Plus</x:v>
      </x:c>
      <x:c r="C41" s="1" t="str">
        <x:f>'収益試算'!C41</x:f>
        <x:v>高位</x:v>
      </x:c>
      <x:c r="D41" s="7" t="n">
        <x:f>'収益試算'!T41</x:f>
        <x:v>8000000</x:v>
      </x:c>
      <x:c r="E41" s="7" t="n">
        <x:f>'収益試算'!AF41</x:f>
        <x:v>25320890.477539062</x:v>
      </x:c>
      <x:c r="F41" s="7" t="n">
        <x:f>SUM('収益試算'!AH41:AI41)</x:f>
        <x:v>1674666.6666666667</x:v>
      </x:c>
      <x:c r="G41" s="7" t="n">
        <x:f>'収益試算'!AJ41</x:f>
        <x:v>-19283557.14420573</x:v>
      </x:c>
      <x:c r="H41" s="7" t="n">
        <x:f>'収益試算'!AK41</x:f>
        <x:v>-23283557.14420573</x:v>
      </x:c>
      <x:c r="I41" s="7" t="n">
        <x:f>'収益試算'!AL41</x:f>
        <x:v>-19783557.14420573</x:v>
      </x:c>
      <x:c r="J41" s="8" t="n">
        <x:f>'収益試算'!AO41</x:f>
        <x:v>-2.4104446430257163</x:v>
      </x:c>
      <x:c r="K41" s="8" t="n">
        <x:f>'収益試算'!AP41</x:f>
        <x:v>-2.6104446430257164</x:v>
      </x:c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</x:row>
    <x:row r="44" ht="22" customHeight="1">
      <x:c r="A44" s="1" t="str">
        <x:v>配分上限が負なら配分なしでも不足。目標20%は未決定の比較基準。基本料は仮に全プラン1,000円/社。</x:v>
      </x:c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</x:row>
    <x:row r="45" ht="22" customHeight="1">
      <x:c r="A45" s="1" t="str">
        <x:v>差引額は営業利益ではない。開発費・営業費・初期導入・税金・事故対応・24時間対応・貸倒れを含まない。</x:v>
      </x:c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</x:row>
    <x:row r="66" ht="22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</x:row>
    <x:row r="67" ht="22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</x:row>
    <x:row r="68" ht="22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</x:row>
    <x:row r="69" ht="22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</x:row>
    <x:row r="70" ht="22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</x:row>
    <x:row r="71" ht="22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</x:row>
    <x:row r="72" ht="22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</x:row>
    <x:row r="73" ht="22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</x:row>
    <x:row r="74" ht="22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</x:row>
    <x:row r="75" ht="22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</x:row>
    <x:row r="76" ht="22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</x:row>
    <x:row r="77" ht="22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</x:row>
    <x:row r="78" ht="22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</x:row>
    <x:row r="79" ht="22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</x:row>
    <x:row r="80" ht="22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</x:row>
    <x:row r="86" ht="22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</x:row>
    <x:row r="87" ht="22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</x:row>
    <x:row r="88" ht="22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</x:row>
    <x:row r="89" ht="22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</x:row>
    <x:row r="90" ht="22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</x:row>
    <x:row r="91" ht="22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</x:row>
    <x:row r="92" ht="22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</x:row>
    <x:row r="93" ht="22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</x:row>
    <x:row r="94" ht="22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</x:row>
    <x:row r="95" ht="22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</x:row>
    <x:row r="96" ht="22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</x:row>
    <x:row r="97" ht="22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</x:row>
    <x:row r="98" ht="22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</x:row>
    <x:row r="99" ht="22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</x:row>
    <x:row r="100" ht="22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</x:row>
  </x:sheetData>
  <x:conditionalFormatting sqref="G6:K41">
    <x:cfRule type="cellIs" dxfId="1" priority="1" operator="less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6" hidden="0" customWidth="1"/>
    <x:col min="3" max="3" width="18" hidden="0" customWidth="1"/>
    <x:col min="4" max="4" width="18" hidden="0" customWidth="1"/>
    <x:col min="5" max="5" width="115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</x:row>
    <x:row r="2" ht="22" customHeight="1">
      <x:c r="A2" s="10" t="str">
        <x:v>Secure Send 原価・料金の入力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</x:row>
    <x:row r="3" ht="22" customHeight="1">
      <x:c r="A3" s="1" t="str">
        <x:v>青字・淡黄色は変更可能。実測費用は未取得。公式参考単価と仮定を区別。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</x:row>
    <x:row r="5" ht="34" customHeight="1">
      <x:c r="A5" s="4" t="str">
        <x:v>入力項目</x:v>
      </x:c>
      <x:c r="B5" s="4" t="str">
        <x:v>値</x:v>
      </x:c>
      <x:c r="C5" s="4" t="str">
        <x:v>単位</x:v>
      </x:c>
      <x:c r="D5" s="4" t="str">
        <x:v>区分</x:v>
      </x:c>
      <x:c r="E5" s="4" t="str">
        <x:v>根拠・出典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</x:row>
    <x:row r="6" ht="22" customHeight="1">
      <x:c r="A6" s="1" t="str">
        <x:v>為替</x:v>
      </x:c>
      <x:c r="B6" s="6" t="n">
        <x:v>150</x:v>
      </x:c>
      <x:c r="C6" s="1" t="str">
        <x:v>円/USD</x:v>
      </x:c>
      <x:c r="D6" s="1" t="str">
        <x:v>仮定</x:v>
      </x:c>
      <x:c r="E6" s="1" t="str">
        <x:v>請求為替ではない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</x:row>
    <x:row r="7" ht="22" customHeight="1">
      <x:c r="A7" s="1" t="str">
        <x:v>月の日数</x:v>
      </x:c>
      <x:c r="B7" s="6" t="n">
        <x:v>30</x:v>
      </x:c>
      <x:c r="C7" s="1" t="str">
        <x:v>日</x:v>
      </x:c>
      <x:c r="D7" s="1" t="str">
        <x:v>仮定</x:v>
      </x:c>
      <x:c r="E7" s="1" t="str">
        <x:v>定常月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</x:row>
    <x:row r="8" ht="22" customHeight="1">
      <x:c r="A8" s="1" t="str">
        <x:v>Cloud Run active CPU</x:v>
      </x:c>
      <x:c r="B8" s="6" t="n">
        <x:v>0.000024</x:v>
      </x:c>
      <x:c r="C8" s="1" t="str">
        <x:v>USD/vCPU秒</x:v>
      </x:c>
      <x:c r="D8" s="1" t="str">
        <x:v>公式参考</x:v>
      </x:c>
      <x:c r="E8" s="1" t="str">
        <x:v>https://cloud.google.com/run/pricing （取得表はIowa。東京SKU未照合）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</x:row>
    <x:row r="9" ht="22" customHeight="1">
      <x:c r="A9" s="1" t="str">
        <x:v>Cloud Run active memory</x:v>
      </x:c>
      <x:c r="B9" s="6" t="n">
        <x:v>0.0000025</x:v>
      </x:c>
      <x:c r="C9" s="1" t="str">
        <x:v>USD/GiB秒</x:v>
      </x:c>
      <x:c r="D9" s="1" t="str">
        <x:v>公式参考</x:v>
      </x:c>
      <x:c r="E9" s="1" t="str">
        <x:v>https://cloud.google.com/run/pricing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</x:row>
    <x:row r="10" ht="22" customHeight="1">
      <x:c r="A10" s="1" t="str">
        <x:v>Cloud Run idle CPU</x:v>
      </x:c>
      <x:c r="B10" s="6" t="n">
        <x:v>0.0000025</x:v>
      </x:c>
      <x:c r="C10" s="1" t="str">
        <x:v>USD/vCPU秒</x:v>
      </x:c>
      <x:c r="D10" s="1" t="str">
        <x:v>公式参考</x:v>
      </x:c>
      <x:c r="E10" s="1" t="str">
        <x:v>https://cloud.google.com/run/pricing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</x:row>
    <x:row r="11" ht="22" customHeight="1">
      <x:c r="A11" s="1" t="str">
        <x:v>Cloud Run idle memory</x:v>
      </x:c>
      <x:c r="B11" s="6" t="n">
        <x:v>0.0000025</x:v>
      </x:c>
      <x:c r="C11" s="1" t="str">
        <x:v>USD/GiB秒</x:v>
      </x:c>
      <x:c r="D11" s="1" t="str">
        <x:v>公式参考</x:v>
      </x:c>
      <x:c r="E11" s="1" t="str">
        <x:v>https://cloud.google.com/run/pricing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</x:row>
    <x:row r="12" ht="22" customHeight="1">
      <x:c r="A12" s="1" t="str">
        <x:v>Run地域補正係数</x:v>
      </x:c>
      <x:c r="B12" s="6" t="n">
        <x:v>1.2</x:v>
      </x:c>
      <x:c r="C12" s="1" t="str">
        <x:v>倍</x:v>
      </x:c>
      <x:c r="D12" s="1" t="str">
        <x:v>仮定</x:v>
      </x:c>
      <x:c r="E12" s="1" t="str">
        <x:v>東京単価ではない。SKU照合後に単価と係数を更新</x:v>
      </x:c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</x:row>
    <x:row r="13" ht="22" customHeight="1">
      <x:c r="A13" s="1" t="str">
        <x:v>scan vCPU</x:v>
      </x:c>
      <x:c r="B13" s="6" t="n">
        <x:v>1</x:v>
      </x:c>
      <x:c r="C13" s="1" t="str">
        <x:v>vCPU</x:v>
      </x:c>
      <x:c r="D13" s="1" t="str">
        <x:v>仮定</x:v>
      </x:c>
      <x:c r="E13" s="1" t="str">
        <x:v>現在値未取得</x:v>
      </x:c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</x:row>
    <x:row r="14" ht="22" customHeight="1">
      <x:c r="A14" s="1" t="str">
        <x:v>scan memory</x:v>
      </x:c>
      <x:c r="B14" s="6" t="n">
        <x:v>2</x:v>
      </x:c>
      <x:c r="C14" s="1" t="str">
        <x:v>GiB</x:v>
      </x:c>
      <x:c r="D14" s="1" t="str">
        <x:v>既存記録</x:v>
      </x:c>
      <x:c r="E14" s="1" t="str">
        <x:v>d2fdd5b Fit/Gap、今回fresh未確認</x:v>
      </x:c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</x:row>
    <x:row r="15" ht="22" customHeight="1">
      <x:c r="A15" s="1" t="str">
        <x:v>scan最小インスタンス</x:v>
      </x:c>
      <x:c r="B15" s="6" t="n">
        <x:v>1</x:v>
      </x:c>
      <x:c r="C15" s="1" t="str">
        <x:v>台</x:v>
      </x:c>
      <x:c r="D15" s="1" t="str">
        <x:v>既存記録</x:v>
      </x:c>
      <x:c r="E15" s="1" t="str">
        <x:v>d2fdd5b Fit/Gap、課金方式は未確認</x:v>
      </x:c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</x:row>
    <x:row r="16" ht="22" customHeight="1">
      <x:c r="A16" s="1" t="str">
        <x:v>保存単価</x:v>
      </x:c>
      <x:c r="B16" s="6" t="n">
        <x:v>0.025</x:v>
      </x:c>
      <x:c r="C16" s="1" t="str">
        <x:v>USD/GiB月</x:v>
      </x:c>
      <x:c r="D16" s="1" t="str">
        <x:v>仮定</x:v>
      </x:c>
      <x:c r="E16" s="1" t="str">
        <x:v>https://cloud.google.com/storage/pricing 東京SKU未照合の仮置き</x:v>
      </x:c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</x:row>
    <x:row r="17" ht="22" customHeight="1">
      <x:c r="A17" s="1" t="str">
        <x:v>GCS外向き通信</x:v>
      </x:c>
      <x:c r="B17" s="6" t="n">
        <x:v>0.12</x:v>
      </x:c>
      <x:c r="C17" s="1" t="str">
        <x:v>USD/GiB</x:v>
      </x:c>
      <x:c r="D17" s="1" t="str">
        <x:v>公式参考</x:v>
      </x:c>
      <x:c r="E17" s="1" t="str">
        <x:v>https://cloud.google.com/storage/pricing アジア宛10TiB未満。大規模も単一単価で保守試算</x:v>
      </x:c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</x:row>
    <x:row r="18" ht="22" customHeight="1">
      <x:c r="A18" s="1" t="str">
        <x:v>GCS Class A</x:v>
      </x:c>
      <x:c r="B18" s="6" t="n">
        <x:v>0.005</x:v>
      </x:c>
      <x:c r="C18" s="1" t="str">
        <x:v>USD/千回</x:v>
      </x:c>
      <x:c r="D18" s="1" t="str">
        <x:v>公式参考</x:v>
      </x:c>
      <x:c r="E18" s="1" t="str">
        <x:v>https://cloud.google.com/storage/pricing Standard単一region/flat</x:v>
      </x:c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</x:row>
    <x:row r="19" ht="22" customHeight="1">
      <x:c r="A19" s="1" t="str">
        <x:v>GCS Class B</x:v>
      </x:c>
      <x:c r="B19" s="6" t="n">
        <x:v>0.0004</x:v>
      </x:c>
      <x:c r="C19" s="1" t="str">
        <x:v>USD/千回</x:v>
      </x:c>
      <x:c r="D19" s="1" t="str">
        <x:v>公式参考</x:v>
      </x:c>
      <x:c r="E19" s="1" t="str">
        <x:v>https://cloud.google.com/storage/pricing Standard単一region/flat</x:v>
      </x:c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</x:row>
    <x:row r="20" ht="22" customHeight="1">
      <x:c r="A20" s="1" t="str">
        <x:v>Logging</x:v>
      </x:c>
      <x:c r="B20" s="6" t="n">
        <x:v>0.5</x:v>
      </x:c>
      <x:c r="C20" s="1" t="str">
        <x:v>USD/GiB</x:v>
      </x:c>
      <x:c r="D20" s="1" t="str">
        <x:v>公式参考</x:v>
      </x:c>
      <x:c r="E20" s="1" t="str">
        <x:v>https://cloud.google.com/products/observability/pricing 無料枠は控除しない</x:v>
      </x:c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</x:row>
    <x:row r="21" ht="22" customHeight="1">
      <x:c r="A21" s="1" t="str">
        <x:v>送信メール従量予備費</x:v>
      </x:c>
      <x:c r="B21" s="6" t="n">
        <x:v>0.1</x:v>
      </x:c>
      <x:c r="C21" s="1" t="str">
        <x:v>円/通</x:v>
      </x:c>
      <x:c r="D21" s="1" t="str">
        <x:v>仮定</x:v>
      </x:c>
      <x:c r="E21" s="1" t="str">
        <x:v>Gmail実測・商用配送単価ではない。配送サービス移行時更新</x:v>
      </x:c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</x:row>
    <x:row r="22" ht="22" customHeight="1">
      <x:c r="A22" s="1" t="str">
        <x:v>DB固定予算</x:v>
      </x:c>
      <x:c r="B22" s="6" t="n">
        <x:v>6000</x:v>
      </x:c>
      <x:c r="C22" s="1" t="str">
        <x:v>円/月</x:v>
      </x:c>
      <x:c r="D22" s="1" t="str">
        <x:v>仮定</x:v>
      </x:c>
      <x:c r="E22" s="1" t="str">
        <x:v>共有Cloud SQLの実配賦ではない。独立採算用予算</x:v>
      </x:c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</x:row>
    <x:row r="23" ht="22" customHeight="1">
      <x:c r="A23" s="1" t="str">
        <x:v>LB固定配賦予算</x:v>
      </x:c>
      <x:c r="B23" s="6" t="n">
        <x:v>1500</x:v>
      </x:c>
      <x:c r="C23" s="1" t="str">
        <x:v>円/月</x:v>
      </x:c>
      <x:c r="D23" s="1" t="str">
        <x:v>仮定</x:v>
      </x:c>
      <x:c r="E23" s="1" t="str">
        <x:v>既存共有LB。実配賦未確認</x:v>
      </x:c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</x:row>
    <x:row r="24" ht="22" customHeight="1">
      <x:c r="A24" s="1" t="str">
        <x:v>メール固定予算</x:v>
      </x:c>
      <x:c r="B24" s="6" t="n">
        <x:v>2000</x:v>
      </x:c>
      <x:c r="C24" s="1" t="str">
        <x:v>円/月</x:v>
      </x:c>
      <x:c r="D24" s="1" t="str">
        <x:v>仮定</x:v>
      </x:c>
      <x:c r="E24" s="1" t="str">
        <x:v>Workspace既存契約の人数課金を送信者人数へ配賦しない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</x:row>
    <x:row r="25" ht="22" customHeight="1">
      <x:c r="A25" s="1" t="str">
        <x:v>その他固定予算</x:v>
      </x:c>
      <x:c r="B25" s="6" t="n">
        <x:v>1000</x:v>
      </x:c>
      <x:c r="C25" s="1" t="str">
        <x:v>円/月</x:v>
      </x:c>
      <x:c r="D25" s="1" t="str">
        <x:v>仮定</x:v>
      </x:c>
      <x:c r="E25" s="1" t="str">
        <x:v>Secret/監視/Registry/Build/DNS等の予備費。実測ではない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</x:row>
    <x:row r="26" ht="22" customHeight="1">
      <x:c r="A26" s="1" t="str">
        <x:v>企業別追加インフラ</x:v>
      </x:c>
      <x:c r="B26" s="6" t="n">
        <x:v>50</x:v>
      </x:c>
      <x:c r="C26" s="1" t="str">
        <x:v>円/社月</x:v>
      </x:c>
      <x:c r="D26" s="1" t="str">
        <x:v>仮定</x:v>
      </x:c>
      <x:c r="E26" s="1" t="str">
        <x:v>DB・ログ等の拡張予備費</x:v>
      </x:c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</x:row>
    <x:row r="27" ht="22" customHeight="1">
      <x:c r="A27" s="1" t="str">
        <x:v>送信者別追加インフラ</x:v>
      </x:c>
      <x:c r="B27" s="6" t="n">
        <x:v>2</x:v>
      </x:c>
      <x:c r="C27" s="1" t="str">
        <x:v>円/人月</x:v>
      </x:c>
      <x:c r="D27" s="1" t="str">
        <x:v>仮定</x:v>
      </x:c>
      <x:c r="E27" s="1" t="str">
        <x:v>SSO等の拡張予備費。Googleの送信者ライセンス費ではない</x:v>
      </x:c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</x:row>
    <x:row r="28" ht="22" customHeight="1">
      <x:c r="A28" s="1" t="str">
        <x:v>決済手数料</x:v>
      </x:c>
      <x:c r="B28" s="6" t="n">
        <x:v>0.036</x:v>
      </x:c>
      <x:c r="C28" s="1" t="str">
        <x:v>売上比</x:v>
      </x:c>
      <x:c r="D28" s="1" t="str">
        <x:v>仮定</x:v>
      </x:c>
      <x:c r="E28" s="1" t="str">
        <x:v>税別売上基準。実契約・税込課金の手数料は要更新</x:v>
      </x:c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</x:row>
    <x:row r="29" ht="22" customHeight="1">
      <x:c r="A29" s="1" t="str">
        <x:v>運用時給</x:v>
      </x:c>
      <x:c r="B29" s="6" t="n">
        <x:v>4000</x:v>
      </x:c>
      <x:c r="C29" s="1" t="str">
        <x:v>円/時間</x:v>
      </x:c>
      <x:c r="D29" s="1" t="str">
        <x:v>仮定</x:v>
      </x:c>
      <x:c r="E29" s="1" t="str">
        <x:v>社内原価</x:v>
      </x:c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</x:row>
    <x:row r="30" ht="22" customHeight="1">
      <x:c r="A30" s="1" t="str">
        <x:v>固定運用工数</x:v>
      </x:c>
      <x:c r="B30" s="6" t="n">
        <x:v>2</x:v>
      </x:c>
      <x:c r="C30" s="1" t="str">
        <x:v>時間/月</x:v>
      </x:c>
      <x:c r="D30" s="1" t="str">
        <x:v>仮定</x:v>
      </x:c>
      <x:c r="E30" s="1" t="str">
        <x:v>監視確認・定期保守。開発・初期導入・24h対応を含まない</x:v>
      </x:c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</x:row>
    <x:row r="31" ht="22" customHeight="1">
      <x:c r="A31" s="1" t="str">
        <x:v>送信者別サポート</x:v>
      </x:c>
      <x:c r="B31" s="6" t="n">
        <x:v>0.1</x:v>
      </x:c>
      <x:c r="C31" s="1" t="str">
        <x:v>分/人月</x:v>
      </x:c>
      <x:c r="D31" s="1" t="str">
        <x:v>仮定</x:v>
      </x:c>
      <x:c r="E31" s="1" t="str">
        <x:v>企業別サポートに加算</x:v>
      </x:c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</x:row>
    <x:row r="32" ht="22" customHeight="1">
      <x:c r="A32" s="1" t="str">
        <x:v>レベニューシェア率</x:v>
      </x:c>
      <x:c r="B32" s="6" t="n">
        <x:v>0.5</x:v>
      </x:c>
      <x:c r="C32" s="1" t="str">
        <x:v>比率</x:v>
      </x:c>
      <x:c r="D32" s="1" t="str">
        <x:v>比較仮定</x:v>
      </x:c>
      <x:c r="E32" s="1" t="str">
        <x:v>正式決定ではない</x:v>
      </x:c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</x:row>
    <x:row r="33" ht="22" customHeight="1">
      <x:c r="A33" s="1" t="str">
        <x:v>目標差引率</x:v>
      </x:c>
      <x:c r="B33" s="6" t="n">
        <x:v>0.2</x:v>
      </x:c>
      <x:c r="C33" s="1" t="str">
        <x:v>売上比</x:v>
      </x:c>
      <x:c r="D33" s="1" t="str">
        <x:v>比較仮定</x:v>
      </x:c>
      <x:c r="E33" s="1" t="str">
        <x:v>営業利益ではない。開発・営業・税・事故対応は除外</x:v>
      </x:c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</x:row>
    <x:row r="34" ht="22" customHeight="1">
      <x:c r="A34" s="1" t="str">
        <x:v>物理保存日数</x:v>
      </x:c>
      <x:c r="B34" s="6" t="n">
        <x:v>21</x:v>
      </x:c>
      <x:c r="C34" s="1" t="str">
        <x:v>日</x:v>
      </x:c>
      <x:c r="D34" s="1" t="str">
        <x:v>既存記録</x:v>
      </x:c>
      <x:c r="E34" s="1" t="str">
        <x:v>GCS lifecycle記録。リンク期限7/14日とは異なる</x:v>
      </x:c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</x:row>
    <x:row r="35" ht="22" customHeight="1">
      <x:c r="A35" s="1" t="str">
        <x:v>削除後課金日数</x:v>
      </x:c>
      <x:c r="B35" s="6" t="n">
        <x:v>7</x:v>
      </x:c>
      <x:c r="C35" s="1" t="str">
        <x:v>日</x:v>
      </x:c>
      <x:c r="D35" s="1" t="str">
        <x:v>仮定</x:v>
      </x:c>
      <x:c r="E35" s="1" t="str">
        <x:v>soft delete設定未確認。実設定が無効なら0へ</x:v>
      </x:c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</x:row>
    <x:row r="36" ht="22" customHeight="1">
      <x:c r="A36" s="1" t="str">
        <x:v>API通常処理秒</x:v>
      </x:c>
      <x:c r="B36" s="6" t="n">
        <x:v>0.3</x:v>
      </x:c>
      <x:c r="C36" s="1" t="str">
        <x:v>秒/送信</x:v>
      </x:c>
      <x:c r="D36" s="1" t="str">
        <x:v>仮定</x:v>
      </x:c>
      <x:c r="E36" s="1" t="str">
        <x:v>upload 1vCPU/0.5GiB。同期scan待ちを別加算</x:v>
      </x:c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</x:row>
    <x:row r="37" ht="22" customHeight="1">
      <x:c r="A37" s="1" t="str">
        <x:v>download API秒</x:v>
      </x:c>
      <x:c r="B37" s="6" t="n">
        <x:v>0.2</x:v>
      </x:c>
      <x:c r="C37" s="1" t="str">
        <x:v>秒/認可</x:v>
      </x:c>
      <x:c r="D37" s="1" t="str">
        <x:v>仮定</x:v>
      </x:c>
      <x:c r="E37" s="1" t="str">
        <x:v>download 1vCPU/0.5GiB。ファイル本体はGCS直接</x:v>
      </x:c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</x:row>
    <x:row r="38" ht="22" customHeight="1">
      <x:c r="A38" s="1" t="str">
        <x:v>Runリクエスト</x:v>
      </x:c>
      <x:c r="B38" s="6" t="n">
        <x:v>0.4</x:v>
      </x:c>
      <x:c r="C38" s="1" t="str">
        <x:v>USD/百万回</x:v>
      </x:c>
      <x:c r="D38" s="1" t="str">
        <x:v>公式参考</x:v>
      </x:c>
      <x:c r="E38" s="1" t="str">
        <x:v>https://cloud.google.com/run/pricing</x:v>
      </x:c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</x:row>
    <x:row r="39" ht="22" customHeight="1">
      <x:c r="A39" s="1" t="str">
        <x:v>API回数</x:v>
      </x:c>
      <x:c r="B39" s="6" t="n">
        <x:v>8</x:v>
      </x:c>
      <x:c r="C39" s="1" t="str">
        <x:v>回/送信</x:v>
      </x:c>
      <x:c r="D39" s="1" t="str">
        <x:v>仮定</x:v>
      </x:c>
      <x:c r="E39" s="1" t="str">
        <x:v>OTP等を含む平均。多宛先・再試行で増加</x:v>
      </x:c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</x:row>
    <x:row r="40" ht="22" customHeight="1">
      <x:c r="A40" s="1" t="str">
        <x:v>ログ量</x:v>
      </x:c>
      <x:c r="B40" s="6" t="n">
        <x:v>12</x:v>
      </x:c>
      <x:c r="C40" s="1" t="str">
        <x:v>KiB/送信</x:v>
      </x:c>
      <x:c r="D40" s="1" t="str">
        <x:v>仮定</x:v>
      </x:c>
      <x:c r="E40" s="1" t="str">
        <x:v>アクセスログ・監査ログの実測ではない</x:v>
      </x:c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</x:row>
    <x:row r="41" ht="22" customHeight="1">
      <x:c r="A41" s="1" t="str">
        <x:v>GCS Class A回数</x:v>
      </x:c>
      <x:c r="B41" s="6" t="n">
        <x:v>1</x:v>
      </x:c>
      <x:c r="C41" s="1" t="str">
        <x:v>回/ファイル</x:v>
      </x:c>
      <x:c r="D41" s="1" t="str">
        <x:v>仮定</x:v>
      </x:c>
      <x:c r="E41" s="1" t="str">
        <x:v>PUT</x:v>
      </x:c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</x:row>
    <x:row r="42" ht="22" customHeight="1">
      <x:c r="A42" s="1" t="str">
        <x:v>GCS Class B基礎回数</x:v>
      </x:c>
      <x:c r="B42" s="6" t="n">
        <x:v>2</x:v>
      </x:c>
      <x:c r="C42" s="1" t="str">
        <x:v>回/ファイル</x:v>
      </x:c>
      <x:c r="D42" s="1" t="str">
        <x:v>仮定</x:v>
      </x:c>
      <x:c r="E42" s="1" t="str">
        <x:v>metadata/scan read。DL分は別加算</x:v>
      </x:c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</x:row>
    <x:row r="43" ht="22" customHeight="1">
      <x:c r="A43" s="1" t="str">
        <x:v>upload vCPU</x:v>
      </x:c>
      <x:c r="B43" s="6" t="n">
        <x:v>1</x:v>
      </x:c>
      <x:c r="C43" s="1" t="str">
        <x:v>vCPU</x:v>
      </x:c>
      <x:c r="D43" s="1" t="str">
        <x:v>仮定</x:v>
      </x:c>
      <x:c r="E43" s="1" t="str">
        <x:v>fresh未確認</x:v>
      </x:c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</x:row>
    <x:row r="44" ht="22" customHeight="1">
      <x:c r="A44" s="1" t="str">
        <x:v>upload memory</x:v>
      </x:c>
      <x:c r="B44" s="6" t="n">
        <x:v>0.5</x:v>
      </x:c>
      <x:c r="C44" s="1" t="str">
        <x:v>GiB</x:v>
      </x:c>
      <x:c r="D44" s="1" t="str">
        <x:v>既存記録</x:v>
      </x:c>
      <x:c r="E44" s="1" t="str">
        <x:v>d2fdd5b Fit/Gap</x:v>
      </x:c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</x:row>
    <x:row r="45" ht="22" customHeight="1">
      <x:c r="A45" s="1" t="str">
        <x:v>download vCPU</x:v>
      </x:c>
      <x:c r="B45" s="6" t="n">
        <x:v>1</x:v>
      </x:c>
      <x:c r="C45" s="1" t="str">
        <x:v>vCPU</x:v>
      </x:c>
      <x:c r="D45" s="1" t="str">
        <x:v>仮定</x:v>
      </x:c>
      <x:c r="E45" s="1" t="str">
        <x:v>fresh未確認</x:v>
      </x:c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</x:row>
    <x:row r="46" ht="22" customHeight="1">
      <x:c r="A46" s="1" t="str">
        <x:v>download memory</x:v>
      </x:c>
      <x:c r="B46" s="6" t="n">
        <x:v>0.5</x:v>
      </x:c>
      <x:c r="C46" s="1" t="str">
        <x:v>GiB</x:v>
      </x:c>
      <x:c r="D46" s="1" t="str">
        <x:v>既存記録</x:v>
      </x:c>
      <x:c r="E46" s="1" t="str">
        <x:v>d2fdd5b Fit/Gap</x:v>
      </x:c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</x:row>
    <x:row r="50" ht="34" customHeight="1">
      <x:c r="A50" s="4" t="str">
        <x:v>プラン</x:v>
      </x:c>
      <x:c r="B50" s="4" t="str">
        <x:v>送信者上限</x:v>
      </x:c>
      <x:c r="C50" s="4" t="str">
        <x:v>月額税別</x:v>
      </x:c>
      <x:c r="D50" s="4" t="str">
        <x:v>配分対象基本料</x:v>
      </x:c>
      <x:c r="E50" s="4" t="str">
        <x:v>区分</x:v>
      </x:c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</x:row>
    <x:row r="51" ht="22" customHeight="1">
      <x:c r="A51" s="1" t="str">
        <x:v>Starter</x:v>
      </x:c>
      <x:c r="B51" s="6" t="n">
        <x:v>5</x:v>
      </x:c>
      <x:c r="C51" s="6" t="n">
        <x:v>3000</x:v>
      </x:c>
      <x:c r="D51" s="6" t="n">
        <x:v>1000</x:v>
      </x:c>
      <x:c r="E51" s="1" t="str">
        <x:v>仮プラン／基本料部分は比較仮定</x:v>
      </x:c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</x:row>
    <x:row r="52" ht="22" customHeight="1">
      <x:c r="A52" s="1" t="str">
        <x:v>Business</x:v>
      </x:c>
      <x:c r="B52" s="6" t="n">
        <x:v>20</x:v>
      </x:c>
      <x:c r="C52" s="6" t="n">
        <x:v>5000</x:v>
      </x:c>
      <x:c r="D52" s="6" t="n">
        <x:v>1000</x:v>
      </x:c>
      <x:c r="E52" s="1" t="str">
        <x:v>仮プラン／基本料部分は比較仮定</x:v>
      </x:c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</x:row>
    <x:row r="53" ht="22" customHeight="1">
      <x:c r="A53" s="1" t="str">
        <x:v>Business Plus</x:v>
      </x:c>
      <x:c r="B53" s="6" t="n">
        <x:v>50</x:v>
      </x:c>
      <x:c r="C53" s="6" t="n">
        <x:v>8000</x:v>
      </x:c>
      <x:c r="D53" s="6" t="n">
        <x:v>1000</x:v>
      </x:c>
      <x:c r="E53" s="1" t="str">
        <x:v>仮プラン／基本料部分は比較仮定</x:v>
      </x:c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</x:row>
    <x:row r="56" ht="34" customHeight="1">
      <x:c r="A56" s="4" t="str">
        <x:v>利用ケース</x:v>
      </x:c>
      <x:c r="B56" s="4" t="str">
        <x:v>送信/人月</x:v>
      </x:c>
      <x:c r="C56" s="4" t="str">
        <x:v>ファイル/送信</x:v>
      </x:c>
      <x:c r="D56" s="4" t="str">
        <x:v>平均MiB/ファイル</x:v>
      </x:c>
      <x:c r="E56" s="4" t="str">
        <x:v>DL倍率</x:v>
      </x:c>
      <x:c r="F56" s="4" t="str">
        <x:v>OTP通/送信</x:v>
      </x:c>
      <x:c r="G56" s="4" t="str">
        <x:v>scan秒/ファイル</x:v>
      </x:c>
      <x:c r="H56" s="4" t="str">
        <x:v>サポート分/社月</x:v>
      </x:c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</x:row>
    <x:row r="57" ht="22" customHeight="1">
      <x:c r="A57" s="1" t="str">
        <x:v>低位</x:v>
      </x:c>
      <x:c r="B57" s="6" t="n">
        <x:v>5</x:v>
      </x:c>
      <x:c r="C57" s="6" t="n">
        <x:v>1</x:v>
      </x:c>
      <x:c r="D57" s="6" t="n">
        <x:v>2</x:v>
      </x:c>
      <x:c r="E57" s="6" t="n">
        <x:v>1</x:v>
      </x:c>
      <x:c r="F57" s="6" t="n">
        <x:v>1.1</x:v>
      </x:c>
      <x:c r="G57" s="6" t="n">
        <x:v>1</x:v>
      </x:c>
      <x:c r="H57" s="6" t="n">
        <x:v>3</x:v>
      </x:c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</x:row>
    <x:row r="58" ht="22" customHeight="1">
      <x:c r="A58" s="1" t="str">
        <x:v>標準</x:v>
      </x:c>
      <x:c r="B58" s="6" t="n">
        <x:v>20</x:v>
      </x:c>
      <x:c r="C58" s="6" t="n">
        <x:v>2</x:v>
      </x:c>
      <x:c r="D58" s="6" t="n">
        <x:v>10</x:v>
      </x:c>
      <x:c r="E58" s="6" t="n">
        <x:v>1.5</x:v>
      </x:c>
      <x:c r="F58" s="6" t="n">
        <x:v>1.8</x:v>
      </x:c>
      <x:c r="G58" s="6" t="n">
        <x:v>2</x:v>
      </x:c>
      <x:c r="H58" s="6" t="n">
        <x:v>8</x:v>
      </x:c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</x:row>
    <x:row r="59" ht="22" customHeight="1">
      <x:c r="A59" s="1" t="str">
        <x:v>高位</x:v>
      </x:c>
      <x:c r="B59" s="6" t="n">
        <x:v>80</x:v>
      </x:c>
      <x:c r="C59" s="6" t="n">
        <x:v>3</x:v>
      </x:c>
      <x:c r="D59" s="6" t="n">
        <x:v>50</x:v>
      </x:c>
      <x:c r="E59" s="6" t="n">
        <x:v>2</x:v>
      </x:c>
      <x:c r="F59" s="6" t="n">
        <x:v>2.5</x:v>
      </x:c>
      <x:c r="G59" s="6" t="n">
        <x:v>5</x:v>
      </x:c>
      <x:c r="H59" s="6" t="n">
        <x:v>20</x:v>
      </x:c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</x:row>
    <x:row r="61" ht="22" customHeight="1">
      <x:c r="A61" s="1" t="str">
        <x:v>全ケースは仮定。各社が各パック上限まで送信者を利用。DL倍率は実GET容量倍率で認可回数とは厳密一致しない。</x:v>
      </x:c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</x:row>
    <x:row r="62" ht="22" customHeight="1">
      <x:c r="A62" s="1" t="str">
        <x:v>scan待機基準額 円/月</x:v>
      </x:c>
      <x:c r="B62" s="1" t="n">
        <x:f>'設定と出典'!$B$7*86400*'設定と出典'!$B$15*('設定と出典'!$B$13*'設定と出典'!$B$10+'設定と出典'!$B$14*'設定と出典'!$B$11)*'設定と出典'!$B$12*'設定と出典'!$B$6</x:f>
        <x:v>3499.2</x:v>
      </x:c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</x:row>
    <x:row r="63" ht="22" customHeight="1">
      <x:c r="A63" s="1" t="str">
        <x:v>固定インフラ基準額 円/月</x:v>
      </x:c>
      <x:c r="B63" s="1" t="n">
        <x:f>SUM(B62,'設定と出典'!$B$22,'設定と出典'!$B$23,'設定と出典'!$B$24,'設定と出典'!$B$25)</x:f>
        <x:v>13999.2</x:v>
      </x:c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</x:row>
    <x:row r="66" ht="22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</x:row>
    <x:row r="67" ht="22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</x:row>
    <x:row r="68" ht="22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</x:row>
    <x:row r="69" ht="22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</x:row>
    <x:row r="70" ht="22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</x:row>
    <x:row r="71" ht="22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</x:row>
    <x:row r="72" ht="22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</x:row>
    <x:row r="73" ht="22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</x:row>
    <x:row r="74" ht="22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</x:row>
    <x:row r="75" ht="22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</x:row>
    <x:row r="76" ht="22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</x:row>
    <x:row r="77" ht="22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</x:row>
    <x:row r="78" ht="22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</x:row>
    <x:row r="79" ht="22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</x:row>
    <x:row r="80" ht="22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</x:row>
    <x:row r="86" ht="22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</x:row>
    <x:row r="87" ht="22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</x:row>
    <x:row r="88" ht="22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</x:row>
    <x:row r="89" ht="22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</x:row>
    <x:row r="90" ht="22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</x:row>
    <x:row r="91" ht="22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</x:row>
    <x:row r="92" ht="22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</x:row>
    <x:row r="93" ht="22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</x:row>
    <x:row r="94" ht="22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</x:row>
    <x:row r="95" ht="22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</x:row>
    <x:row r="96" ht="22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</x:row>
    <x:row r="97" ht="22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</x:row>
    <x:row r="98" ht="22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</x:row>
    <x:row r="99" ht="22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</x:row>
    <x:row r="100" ht="22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</x:row>
    <x:row r="2" ht="22" customHeight="1">
      <x:c r="A2" s="10" t="str">
        <x:v>36通りの月額試算（全額税別・定常月・仮定）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</x:row>
    <x:row r="3" ht="22" customHeight="1">
      <x:c r="A3" s="1" t="str">
        <x:v>各行は独立した単一プラン構成。異なる行を合算すると固定費が重複する。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</x:row>
    <x:row r="5" ht="34" customHeight="1">
      <x:c r="A5" s="4" t="str">
        <x:v>企業数</x:v>
      </x:c>
      <x:c r="B5" s="4" t="str">
        <x:v>プラン</x:v>
      </x:c>
      <x:c r="C5" s="4" t="str">
        <x:v>ケース</x:v>
      </x:c>
      <x:c r="D5" s="4" t="str">
        <x:v>送信者/社</x:v>
      </x:c>
      <x:c r="E5" s="4" t="str">
        <x:v>月額/社</x:v>
      </x:c>
      <x:c r="F5" s="4" t="str">
        <x:v>送信/人月</x:v>
      </x:c>
      <x:c r="G5" s="4" t="str">
        <x:v>ファイル/送信</x:v>
      </x:c>
      <x:c r="H5" s="4" t="str">
        <x:v>平均MiB</x:v>
      </x:c>
      <x:c r="I5" s="4" t="str">
        <x:v>DL倍率</x:v>
      </x:c>
      <x:c r="J5" s="4" t="str">
        <x:v>OTP通/送信</x:v>
      </x:c>
      <x:c r="K5" s="4" t="str">
        <x:v>scan秒/ファイル</x:v>
      </x:c>
      <x:c r="L5" s="4" t="str">
        <x:v>サポート分/社</x:v>
      </x:c>
      <x:c r="M5" s="4" t="str">
        <x:v>総送信者</x:v>
      </x:c>
      <x:c r="N5" s="4" t="str">
        <x:v>送信件数</x:v>
      </x:c>
      <x:c r="O5" s="4" t="str">
        <x:v>ファイル数</x:v>
      </x:c>
      <x:c r="P5" s="4" t="str">
        <x:v>UL GiB</x:v>
      </x:c>
      <x:c r="Q5" s="4" t="str">
        <x:v>DL GiB</x:v>
      </x:c>
      <x:c r="R5" s="4" t="str">
        <x:v>平均保存GiB</x:v>
      </x:c>
      <x:c r="S5" s="4" t="str">
        <x:v>scan稼働秒</x:v>
      </x:c>
      <x:c r="T5" s="4" t="str">
        <x:v>売上</x:v>
      </x:c>
      <x:c r="U5" s="4" t="str">
        <x:v>企業比例費</x:v>
      </x:c>
      <x:c r="V5" s="4" t="str">
        <x:v>送信者比例費</x:v>
      </x:c>
      <x:c r="W5" s="4" t="str">
        <x:v>upload処理費</x:v>
      </x:c>
      <x:c r="X5" s="4" t="str">
        <x:v>download処理費</x:v>
      </x:c>
      <x:c r="Y5" s="4" t="str">
        <x:v>scan追加費</x:v>
      </x:c>
      <x:c r="Z5" s="4" t="str">
        <x:v>GCS操作費</x:v>
      </x:c>
      <x:c r="AA5" s="4" t="str">
        <x:v>メール従量費</x:v>
      </x:c>
      <x:c r="AB5" s="4" t="str">
        <x:v>Logging/API回数費</x:v>
      </x:c>
      <x:c r="AC5" s="4" t="str">
        <x:v>保存費</x:v>
      </x:c>
      <x:c r="AD5" s="4" t="str">
        <x:v>DL通信費</x:v>
      </x:c>
      <x:c r="AE5" s="4" t="str">
        <x:v>固定インフラ</x:v>
      </x:c>
      <x:c r="AF5" s="4" t="str">
        <x:v>インフラ合計</x:v>
      </x:c>
      <x:c r="AG5" s="4" t="str">
        <x:v>決済費</x:v>
      </x:c>
      <x:c r="AH5" s="4" t="str">
        <x:v>サポート費</x:v>
      </x:c>
      <x:c r="AI5" s="4" t="str">
        <x:v>固定運用費</x:v>
      </x:c>
      <x:c r="AJ5" s="4" t="str">
        <x:v>配分前差引</x:v>
      </x:c>
      <x:c r="AK5" s="4" t="str">
        <x:v>全売上50%差引</x:v>
      </x:c>
      <x:c r="AL5" s="4" t="str">
        <x:v>基本料配分差引</x:v>
      </x:c>
      <x:c r="AM5" s="4" t="str">
        <x:v>配分前率</x:v>
      </x:c>
      <x:c r="AN5" s="4" t="str">
        <x:v>全売上配分後率</x:v>
      </x:c>
      <x:c r="AO5" s="4" t="str">
        <x:v>赤字回避最大配分率</x:v>
      </x:c>
      <x:c r="AP5" s="4" t="str">
        <x:v>目標率確保最大配分率</x:v>
      </x:c>
      <x:c r="AQ5" s="4" t="str">
        <x:v>送信従量原価/件</x:v>
      </x:c>
      <x:c r="AR5" s="4" t="str">
        <x:v>50%時分岐送信/社 概算</x:v>
      </x:c>
      <x:c r="AS5" s="4" t="str">
        <x:v>配分なし分岐送信/社 概算</x:v>
      </x:c>
      <x:c r="AT5" s="4" t="str">
        <x:v>基本料50%時分岐送信/社 概算</x:v>
      </x:c>
      <x:c r="AU5" s="4" t="str">
        <x:v>50%時分岐企業数 概算</x:v>
      </x:c>
      <x:c r="AV5" s="4" t="str">
        <x:v>配分対象基本料/社</x:v>
      </x:c>
      <x:c r="AW5" s="4" t="str">
        <x:v>目標確保割引上限/社</x:v>
      </x:c>
      <x:c r="AX5" s="1"/>
      <x:c r="AY5" s="1"/>
      <x:c r="AZ5" s="1"/>
      <x:c r="BA5" s="1"/>
    </x:row>
    <x:row r="6" ht="22" customHeight="1">
      <x:c r="A6" s="1" t="n">
        <x:v>10</x:v>
      </x:c>
      <x:c r="B6" s="1" t="str">
        <x:f>'設定と出典'!A51</x:f>
        <x:v>Starter</x:v>
      </x:c>
      <x:c r="C6" s="1" t="str">
        <x:f>'設定と出典'!A57</x:f>
        <x:v>低位</x:v>
      </x:c>
      <x:c r="D6" s="1" t="n">
        <x:f>'設定と出典'!B51</x:f>
        <x:v>5</x:v>
      </x:c>
      <x:c r="E6" s="1" t="n">
        <x:f>'設定と出典'!C51</x:f>
        <x:v>3000</x:v>
      </x:c>
      <x:c r="F6" s="1" t="n">
        <x:f>'設定と出典'!B57</x:f>
        <x:v>5</x:v>
      </x:c>
      <x:c r="G6" s="1" t="n">
        <x:f>'設定と出典'!C57</x:f>
        <x:v>1</x:v>
      </x:c>
      <x:c r="H6" s="1" t="n">
        <x:f>'設定と出典'!D57</x:f>
        <x:v>2</x:v>
      </x:c>
      <x:c r="I6" s="1" t="n">
        <x:f>'設定と出典'!E57</x:f>
        <x:v>1</x:v>
      </x:c>
      <x:c r="J6" s="1" t="n">
        <x:f>'設定と出典'!F57</x:f>
        <x:v>1.1</x:v>
      </x:c>
      <x:c r="K6" s="1" t="n">
        <x:f>'設定と出典'!G57</x:f>
        <x:v>1</x:v>
      </x:c>
      <x:c r="L6" s="1" t="n">
        <x:f>'設定と出典'!H57</x:f>
        <x:v>3</x:v>
      </x:c>
      <x:c r="M6" s="1" t="n">
        <x:f>A6*D6</x:f>
        <x:v>50</x:v>
      </x:c>
      <x:c r="N6" s="1" t="n">
        <x:f>M6*F6</x:f>
        <x:v>250</x:v>
      </x:c>
      <x:c r="O6" s="1" t="n">
        <x:f>N6*G6</x:f>
        <x:v>250</x:v>
      </x:c>
      <x:c r="P6" s="1" t="n">
        <x:f>O6*H6/1024</x:f>
        <x:v>0.48828125</x:v>
      </x:c>
      <x:c r="Q6" s="1" t="n">
        <x:f>P6*I6</x:f>
        <x:v>0.48828125</x:v>
      </x:c>
      <x:c r="R6" s="1" t="n">
        <x:f>P6*('設定と出典'!$B$34+'設定と出典'!$B$35)/'設定と出典'!$B$7</x:f>
        <x:v>0.4557291666666667</x:v>
      </x:c>
      <x:c r="S6" s="1" t="n">
        <x:f>O6*K6</x:f>
        <x:v>250</x:v>
      </x:c>
      <x:c r="T6" s="7" t="n">
        <x:f>A6*E6</x:f>
        <x:v>30000</x:v>
      </x:c>
      <x:c r="U6" s="7" t="n">
        <x:f>A6*'設定と出典'!$B$26</x:f>
        <x:v>500</x:v>
      </x:c>
      <x:c r="V6" s="7" t="n">
        <x:f>M6*'設定と出典'!$B$27</x:f>
        <x:v>100</x:v>
      </x:c>
      <x:c r="W6" s="7" t="n">
        <x:f>(N6*'設定と出典'!$B$36+S6)*('設定と出典'!$B$43*'設定と出典'!$B$8+'設定と出典'!$B$44*'設定と出典'!$B$9)*'設定と出典'!$B$12*'設定と出典'!$B$6</x:f>
        <x:v>1.477125</x:v>
      </x:c>
      <x:c r="X6" s="7" t="n">
        <x:f>N6*I6*'設定と出典'!$B$37*('設定と出典'!$B$45*'設定と出典'!$B$8+'設定と出典'!$B$46*'設定と出典'!$B$9)*'設定と出典'!$B$12*'設定と出典'!$B$6</x:f>
        <x:v>0.22724999999999998</x:v>
      </x:c>
      <x:c r="Y6" s="7" t="n">
        <x:f>MAX(0,S6*('設定と出典'!$B$13*'設定と出典'!$B$8+'設定と出典'!$B$14*'設定と出典'!$B$9)-MIN(S6,'設定と出典'!$B$7*86400*'設定と出典'!$B$15)*('設定と出典'!$B$13*'設定と出典'!$B$10+'設定と出典'!$B$14*'設定と出典'!$B$11))*'設定と出典'!$B$12*'設定と出典'!$B$6</x:f>
        <x:v>0.9674999999999999</x:v>
      </x:c>
      <x:c r="Z6" s="7" t="n">
        <x:f>O6*('設定と出典'!$B$41*'設定と出典'!$B$18+('設定と出典'!$B$42+I6)*'設定と出典'!$B$19)/1000*'設定と出典'!$B$6</x:f>
        <x:v>0.2325</x:v>
      </x:c>
      <x:c r="AA6" s="7" t="n">
        <x:f>N6*(1+J6)*'設定と出典'!$B$21</x:f>
        <x:v>52.5</x:v>
      </x:c>
      <x:c r="AB6" s="7" t="n">
        <x:f>N6*'設定と出典'!$B$40/1048576*'設定と出典'!$B$20*'設定と出典'!$B$6+N6*'設定と出典'!$B$39/1000000*'設定と出典'!$B$38*'設定と出典'!$B$6</x:f>
        <x:v>0.33457672119140625</x:v>
      </x:c>
      <x:c r="AC6" s="7" t="n">
        <x:f>R6*'設定と出典'!$B$16*'設定と出典'!$B$6</x:f>
        <x:v>1.7089843750000002</x:v>
      </x:c>
      <x:c r="AD6" s="7" t="n">
        <x:f>Q6*'設定と出典'!$B$17*'設定と出典'!$B$6</x:f>
        <x:v>8.7890625</x:v>
      </x:c>
      <x:c r="AE6" s="7" t="n">
        <x:f>'設定と出典'!B63</x:f>
        <x:v>13999.2</x:v>
      </x:c>
      <x:c r="AF6" s="7" t="n">
        <x:f>SUM(U6:AE6)</x:f>
        <x:v>14665.436998596193</x:v>
      </x:c>
      <x:c r="AG6" s="7" t="n">
        <x:f>T6*'設定と出典'!$B$28</x:f>
        <x:v>1080</x:v>
      </x:c>
      <x:c r="AH6" s="7" t="n">
        <x:f>(A6*L6+M6*'設定と出典'!$B$31)/60*'設定と出典'!$B$29</x:f>
        <x:v>2333.3333333333335</x:v>
      </x:c>
      <x:c r="AI6" s="7" t="n">
        <x:f>'設定と出典'!$B$30*'設定と出典'!$B$29</x:f>
        <x:v>8000</x:v>
      </x:c>
      <x:c r="AJ6" s="7" t="n">
        <x:f>T6-SUM(AF6:AI6)</x:f>
        <x:v>3921.229668070475</x:v>
      </x:c>
      <x:c r="AK6" s="7" t="n">
        <x:f>AJ6-T6*'設定と出典'!$B$32</x:f>
        <x:v>-11078.770331929525</x:v>
      </x:c>
      <x:c r="AL6" s="7" t="n">
        <x:f>AJ6-A6*MIN(E6,AV6)*'設定と出典'!$B$32</x:f>
        <x:v>-1078.7703319295251</x:v>
      </x:c>
      <x:c r="AM6" s="8" t="n">
        <x:f>AJ6/T6</x:f>
        <x:v>0.13070765560234915</x:v>
      </x:c>
      <x:c r="AN6" s="8" t="n">
        <x:f>AK6/T6</x:f>
        <x:v>-0.36929234439765085</x:v>
      </x:c>
      <x:c r="AO6" s="8" t="n">
        <x:f>AJ6/T6</x:f>
        <x:v>0.13070765560234915</x:v>
      </x:c>
      <x:c r="AP6" s="8" t="n">
        <x:f>AO6-'設定と出典'!$B$33</x:f>
        <x:v>-0.06929234439765086</x:v>
      </x:c>
      <x:c r="AQ6" s="9" t="n">
        <x:f>SUM(W6:AD6)/N6</x:f>
        <x:v>0.2649479943847656</x:v>
      </x:c>
      <x:c r="AR6" s="9" t="n">
        <x:f>MAX(0,(E6*(1-'設定と出典'!$B$28-'設定と出典'!$B$32)-(U6+V6+AH6+AI6+AE6)/A6)/AQ6)</x:f>
        <x:v>0</x:v>
      </x:c>
      <x:c r="AS6" s="9" t="n">
        <x:f>MAX(0,(E6*(1-'設定と出典'!$B$28 )-(U6+V6+AH6+AI6+AE6)/A6)/AQ6)</x:f>
        <x:v>1504.9997551126762</x:v>
      </x:c>
      <x:c r="AT6" s="9" t="n">
        <x:f>MAX(0,(E6*(1-'設定と出典'!$B$28)-MIN(E6,AV6)*'設定と出典'!$B$32-(U6+V6+AH6+AI6+AE6)/A6)/AQ6)</x:f>
        <x:v>0</x:v>
      </x:c>
      <x:c r="AU6" s="9" t="n">
        <x:f>IF((T6*(1-'設定と出典'!$B$28-'設定と出典'!$B$32)-(AF6-AE6)-AH6)&lt;=0,"成立せず",(AE6+AI6)/((T6*(1-'設定と出典'!$B$28-'設定と出典'!$B$32)-(AF6-AE6)-AH6)/A6))</x:f>
        <x:v>20.14499490283063</x:v>
      </x:c>
      <x:c r="AV6" s="9" t="n">
        <x:f>'設定と出典'!D51</x:f>
        <x:v>1000</x:v>
      </x:c>
      <x:c r="AW6" s="9" t="n">
        <x:f>IF(1-'設定と出典'!$B$28-'設定と出典'!$B$32-'設定と出典'!$B$33&lt;=0,0,MAX(0,MIN(E6,(AK6/A6-E6*'設定と出典'!$B$33)/(1-'設定と出典'!$B$28-'設定と出典'!$B$32-'設定と出典'!$B$33))))</x:f>
        <x:v>0</x:v>
      </x:c>
      <x:c r="AX6" s="1"/>
      <x:c r="AY6" s="1"/>
      <x:c r="AZ6" s="1"/>
      <x:c r="BA6" s="1"/>
    </x:row>
    <x:row r="7" ht="22" customHeight="1">
      <x:c r="A7" s="1" t="n">
        <x:v>10</x:v>
      </x:c>
      <x:c r="B7" s="1" t="str">
        <x:f>'設定と出典'!A51</x:f>
        <x:v>Starter</x:v>
      </x:c>
      <x:c r="C7" s="1" t="str">
        <x:f>'設定と出典'!A58</x:f>
        <x:v>標準</x:v>
      </x:c>
      <x:c r="D7" s="1" t="n">
        <x:f>'設定と出典'!B51</x:f>
        <x:v>5</x:v>
      </x:c>
      <x:c r="E7" s="1" t="n">
        <x:f>'設定と出典'!C51</x:f>
        <x:v>3000</x:v>
      </x:c>
      <x:c r="F7" s="1" t="n">
        <x:f>'設定と出典'!B58</x:f>
        <x:v>20</x:v>
      </x:c>
      <x:c r="G7" s="1" t="n">
        <x:f>'設定と出典'!C58</x:f>
        <x:v>2</x:v>
      </x:c>
      <x:c r="H7" s="1" t="n">
        <x:f>'設定と出典'!D58</x:f>
        <x:v>10</x:v>
      </x:c>
      <x:c r="I7" s="1" t="n">
        <x:f>'設定と出典'!E58</x:f>
        <x:v>1.5</x:v>
      </x:c>
      <x:c r="J7" s="1" t="n">
        <x:f>'設定と出典'!F58</x:f>
        <x:v>1.8</x:v>
      </x:c>
      <x:c r="K7" s="1" t="n">
        <x:f>'設定と出典'!G58</x:f>
        <x:v>2</x:v>
      </x:c>
      <x:c r="L7" s="1" t="n">
        <x:f>'設定と出典'!H58</x:f>
        <x:v>8</x:v>
      </x:c>
      <x:c r="M7" s="1" t="n">
        <x:f>A7*D7</x:f>
        <x:v>50</x:v>
      </x:c>
      <x:c r="N7" s="1" t="n">
        <x:f>M7*F7</x:f>
        <x:v>1000</x:v>
      </x:c>
      <x:c r="O7" s="1" t="n">
        <x:f>N7*G7</x:f>
        <x:v>2000</x:v>
      </x:c>
      <x:c r="P7" s="1" t="n">
        <x:f>O7*H7/1024</x:f>
        <x:v>19.53125</x:v>
      </x:c>
      <x:c r="Q7" s="1" t="n">
        <x:f>P7*I7</x:f>
        <x:v>29.296875</x:v>
      </x:c>
      <x:c r="R7" s="1" t="n">
        <x:f>P7*('設定と出典'!$B$34+'設定と出典'!$B$35)/'設定と出典'!$B$7</x:f>
        <x:v>18.229166666666668</x:v>
      </x:c>
      <x:c r="S7" s="1" t="n">
        <x:f>O7*K7</x:f>
        <x:v>4000</x:v>
      </x:c>
      <x:c r="T7" s="7" t="n">
        <x:f>A7*E7</x:f>
        <x:v>30000</x:v>
      </x:c>
      <x:c r="U7" s="7" t="n">
        <x:f>A7*'設定と出典'!$B$26</x:f>
        <x:v>500</x:v>
      </x:c>
      <x:c r="V7" s="7" t="n">
        <x:f>M7*'設定と出典'!$B$27</x:f>
        <x:v>100</x:v>
      </x:c>
      <x:c r="W7" s="7" t="n">
        <x:f>(N7*'設定と出典'!$B$36+S7)*('設定と出典'!$B$43*'設定と出典'!$B$8+'設定と出典'!$B$44*'設定と出典'!$B$9)*'設定と出典'!$B$12*'設定と出典'!$B$6</x:f>
        <x:v>19.543499999999998</x:v>
      </x:c>
      <x:c r="X7" s="7" t="n">
        <x:f>N7*I7*'設定と出典'!$B$37*('設定と出典'!$B$45*'設定と出典'!$B$8+'設定と出典'!$B$46*'設定と出典'!$B$9)*'設定と出典'!$B$12*'設定と出典'!$B$6</x:f>
        <x:v>1.3635</x:v>
      </x:c>
      <x:c r="Y7" s="7" t="n">
        <x:f>MAX(0,S7*('設定と出典'!$B$13*'設定と出典'!$B$8+'設定と出典'!$B$14*'設定と出典'!$B$9)-MIN(S7,'設定と出典'!$B$7*86400*'設定と出典'!$B$15)*('設定と出典'!$B$13*'設定と出典'!$B$10+'設定と出典'!$B$14*'設定と出典'!$B$11))*'設定と出典'!$B$12*'設定と出典'!$B$6</x:f>
        <x:v>15.479999999999999</x:v>
      </x:c>
      <x:c r="Z7" s="7" t="n">
        <x:f>O7*('設定と出典'!$B$41*'設定と出典'!$B$18+('設定と出典'!$B$42+I7)*'設定と出典'!$B$19)/1000*'設定と出典'!$B$6</x:f>
        <x:v>1.9200000000000002</x:v>
      </x:c>
      <x:c r="AA7" s="7" t="n">
        <x:f>N7*(1+J7)*'設定と出典'!$B$21</x:f>
        <x:v>280</x:v>
      </x:c>
      <x:c r="AB7" s="7" t="n">
        <x:f>N7*'設定と出典'!$B$40/1048576*'設定と出典'!$B$20*'設定と出典'!$B$6+N7*'設定と出典'!$B$39/1000000*'設定と出典'!$B$38*'設定と出典'!$B$6</x:f>
        <x:v>1.338306884765625</x:v>
      </x:c>
      <x:c r="AC7" s="7" t="n">
        <x:f>R7*'設定と出典'!$B$16*'設定と出典'!$B$6</x:f>
        <x:v>68.35937500000001</x:v>
      </x:c>
      <x:c r="AD7" s="7" t="n">
        <x:f>Q7*'設定と出典'!$B$17*'設定と出典'!$B$6</x:f>
        <x:v>527.34375</x:v>
      </x:c>
      <x:c r="AE7" s="7" t="n">
        <x:f>'設定と出典'!B63</x:f>
        <x:v>13999.2</x:v>
      </x:c>
      <x:c r="AF7" s="7" t="n">
        <x:f>SUM(U7:AE7)</x:f>
        <x:v>15514.548431884767</x:v>
      </x:c>
      <x:c r="AG7" s="7" t="n">
        <x:f>T7*'設定と出典'!$B$28</x:f>
        <x:v>1080</x:v>
      </x:c>
      <x:c r="AH7" s="7" t="n">
        <x:f>(A7*L7+M7*'設定と出典'!$B$31)/60*'設定と出典'!$B$29</x:f>
        <x:v>5666.666666666667</x:v>
      </x:c>
      <x:c r="AI7" s="7" t="n">
        <x:f>'設定と出典'!$B$30*'設定と出典'!$B$29</x:f>
        <x:v>8000</x:v>
      </x:c>
      <x:c r="AJ7" s="7" t="n">
        <x:f>T7-SUM(AF7:AI7)</x:f>
        <x:v>-261.2150985514345</x:v>
      </x:c>
      <x:c r="AK7" s="7" t="n">
        <x:f>AJ7-T7*'設定と出典'!$B$32</x:f>
        <x:v>-15261.215098551434</x:v>
      </x:c>
      <x:c r="AL7" s="7" t="n">
        <x:f>AJ7-A7*MIN(E7,AV7)*'設定と出典'!$B$32</x:f>
        <x:v>-5261.2150985514345</x:v>
      </x:c>
      <x:c r="AM7" s="8" t="n">
        <x:f>AJ7/T7</x:f>
        <x:v>-0.008707169951714484</x:v>
      </x:c>
      <x:c r="AN7" s="8" t="n">
        <x:f>AK7/T7</x:f>
        <x:v>-0.5087071699517145</x:v>
      </x:c>
      <x:c r="AO7" s="8" t="n">
        <x:f>AJ7/T7</x:f>
        <x:v>-0.008707169951714484</x:v>
      </x:c>
      <x:c r="AP7" s="8" t="n">
        <x:f>AO7-'設定と出典'!$B$33</x:f>
        <x:v>-0.20870716995171448</x:v>
      </x:c>
      <x:c r="AQ7" s="9" t="n">
        <x:f>SUM(W7:AD7)/N7</x:f>
        <x:v>0.9153484318847657</x:v>
      </x:c>
      <x:c r="AR7" s="9" t="n">
        <x:f>MAX(0,(E7*(1-'設定と出典'!$B$28-'設定と出典'!$B$32)-(U7+V7+AH7+AI7+AE7)/A7)/AQ7)</x:f>
        <x:v>0</x:v>
      </x:c>
      <x:c r="AS7" s="9" t="n">
        <x:f>MAX(0,(E7*(1-'設定と出典'!$B$28 )-(U7+V7+AH7+AI7+AE7)/A7)/AQ7)</x:f>
        <x:v>71.46276877171503</x:v>
      </x:c>
      <x:c r="AT7" s="9" t="n">
        <x:f>MAX(0,(E7*(1-'設定と出典'!$B$28)-MIN(E7,AV7)*'設定と出典'!$B$32-(U7+V7+AH7+AI7+AE7)/A7)/AQ7)</x:f>
        <x:v>0</x:v>
      </x:c>
      <x:c r="AU7" s="9" t="n">
        <x:f>IF((T7*(1-'設定と出典'!$B$28-'設定と出典'!$B$32)-(AF7-AE7)-AH7)&lt;=0,"成立せず",(AE7+AI7)/((T7*(1-'設定と出典'!$B$28-'設定と出典'!$B$32)-(AF7-AE7)-AH7)/A7))</x:f>
        <x:v>32.64952403688305</x:v>
      </x:c>
      <x:c r="AV7" s="9" t="n">
        <x:f>'設定と出典'!D51</x:f>
        <x:v>1000</x:v>
      </x:c>
      <x:c r="AW7" s="9" t="n">
        <x:f>IF(1-'設定と出典'!$B$28-'設定と出典'!$B$32-'設定と出典'!$B$33&lt;=0,0,MAX(0,MIN(E7,(AK7/A7-E7*'設定と出典'!$B$33)/(1-'設定と出典'!$B$28-'設定と出典'!$B$32-'設定と出典'!$B$33))))</x:f>
        <x:v>0</x:v>
      </x:c>
      <x:c r="AX7" s="1"/>
      <x:c r="AY7" s="1"/>
      <x:c r="AZ7" s="1"/>
      <x:c r="BA7" s="1"/>
    </x:row>
    <x:row r="8" ht="22" customHeight="1">
      <x:c r="A8" s="1" t="n">
        <x:v>10</x:v>
      </x:c>
      <x:c r="B8" s="1" t="str">
        <x:f>'設定と出典'!A51</x:f>
        <x:v>Starter</x:v>
      </x:c>
      <x:c r="C8" s="1" t="str">
        <x:f>'設定と出典'!A59</x:f>
        <x:v>高位</x:v>
      </x:c>
      <x:c r="D8" s="1" t="n">
        <x:f>'設定と出典'!B51</x:f>
        <x:v>5</x:v>
      </x:c>
      <x:c r="E8" s="1" t="n">
        <x:f>'設定と出典'!C51</x:f>
        <x:v>3000</x:v>
      </x:c>
      <x:c r="F8" s="1" t="n">
        <x:f>'設定と出典'!B59</x:f>
        <x:v>80</x:v>
      </x:c>
      <x:c r="G8" s="1" t="n">
        <x:f>'設定と出典'!C59</x:f>
        <x:v>3</x:v>
      </x:c>
      <x:c r="H8" s="1" t="n">
        <x:f>'設定と出典'!D59</x:f>
        <x:v>50</x:v>
      </x:c>
      <x:c r="I8" s="1" t="n">
        <x:f>'設定と出典'!E59</x:f>
        <x:v>2</x:v>
      </x:c>
      <x:c r="J8" s="1" t="n">
        <x:f>'設定と出典'!F59</x:f>
        <x:v>2.5</x:v>
      </x:c>
      <x:c r="K8" s="1" t="n">
        <x:f>'設定と出典'!G59</x:f>
        <x:v>5</x:v>
      </x:c>
      <x:c r="L8" s="1" t="n">
        <x:f>'設定と出典'!H59</x:f>
        <x:v>20</x:v>
      </x:c>
      <x:c r="M8" s="1" t="n">
        <x:f>A8*D8</x:f>
        <x:v>50</x:v>
      </x:c>
      <x:c r="N8" s="1" t="n">
        <x:f>M8*F8</x:f>
        <x:v>4000</x:v>
      </x:c>
      <x:c r="O8" s="1" t="n">
        <x:f>N8*G8</x:f>
        <x:v>12000</x:v>
      </x:c>
      <x:c r="P8" s="1" t="n">
        <x:f>O8*H8/1024</x:f>
        <x:v>585.9375</x:v>
      </x:c>
      <x:c r="Q8" s="1" t="n">
        <x:f>P8*I8</x:f>
        <x:v>1171.875</x:v>
      </x:c>
      <x:c r="R8" s="1" t="n">
        <x:f>P8*('設定と出典'!$B$34+'設定と出典'!$B$35)/'設定と出典'!$B$7</x:f>
        <x:v>546.875</x:v>
      </x:c>
      <x:c r="S8" s="1" t="n">
        <x:f>O8*K8</x:f>
        <x:v>60000</x:v>
      </x:c>
      <x:c r="T8" s="7" t="n">
        <x:f>A8*E8</x:f>
        <x:v>30000</x:v>
      </x:c>
      <x:c r="U8" s="7" t="n">
        <x:f>A8*'設定と出典'!$B$26</x:f>
        <x:v>500</x:v>
      </x:c>
      <x:c r="V8" s="7" t="n">
        <x:f>M8*'設定と出典'!$B$27</x:f>
        <x:v>100</x:v>
      </x:c>
      <x:c r="W8" s="7" t="n">
        <x:f>(N8*'設定と出典'!$B$36+S8)*('設定と出典'!$B$43*'設定と出典'!$B$8+'設定と出典'!$B$44*'設定と出典'!$B$9)*'設定と出典'!$B$12*'設定と出典'!$B$6</x:f>
        <x:v>278.154</x:v>
      </x:c>
      <x:c r="X8" s="7" t="n">
        <x:f>N8*I8*'設定と出典'!$B$37*('設定と出典'!$B$45*'設定と出典'!$B$8+'設定と出典'!$B$46*'設定と出典'!$B$9)*'設定と出典'!$B$12*'設定と出典'!$B$6</x:f>
        <x:v>7.271999999999999</x:v>
      </x:c>
      <x:c r="Y8" s="7" t="n">
        <x:f>MAX(0,S8*('設定と出典'!$B$13*'設定と出典'!$B$8+'設定と出典'!$B$14*'設定と出典'!$B$9)-MIN(S8,'設定と出典'!$B$7*86400*'設定と出典'!$B$15)*('設定と出典'!$B$13*'設定と出典'!$B$10+'設定と出典'!$B$14*'設定と出典'!$B$11))*'設定と出典'!$B$12*'設定と出典'!$B$6</x:f>
        <x:v>232.20000000000002</x:v>
      </x:c>
      <x:c r="Z8" s="7" t="n">
        <x:f>O8*('設定と出典'!$B$41*'設定と出典'!$B$18+('設定と出典'!$B$42+I8)*'設定と出典'!$B$19)/1000*'設定と出典'!$B$6</x:f>
        <x:v>11.88</x:v>
      </x:c>
      <x:c r="AA8" s="7" t="n">
        <x:f>N8*(1+J8)*'設定と出典'!$B$21</x:f>
        <x:v>1400</x:v>
      </x:c>
      <x:c r="AB8" s="7" t="n">
        <x:f>N8*'設定と出典'!$B$40/1048576*'設定と出典'!$B$20*'設定と出典'!$B$6+N8*'設定と出典'!$B$39/1000000*'設定と出典'!$B$38*'設定と出典'!$B$6</x:f>
        <x:v>5.3532275390625</x:v>
      </x:c>
      <x:c r="AC8" s="7" t="n">
        <x:f>R8*'設定と出典'!$B$16*'設定と出典'!$B$6</x:f>
        <x:v>2050.78125</x:v>
      </x:c>
      <x:c r="AD8" s="7" t="n">
        <x:f>Q8*'設定と出典'!$B$17*'設定と出典'!$B$6</x:f>
        <x:v>21093.75</x:v>
      </x:c>
      <x:c r="AE8" s="7" t="n">
        <x:f>'設定と出典'!B63</x:f>
        <x:v>13999.2</x:v>
      </x:c>
      <x:c r="AF8" s="7" t="n">
        <x:f>SUM(U8:AE8)</x:f>
        <x:v>39678.590477539066</x:v>
      </x:c>
      <x:c r="AG8" s="7" t="n">
        <x:f>T8*'設定と出典'!$B$28</x:f>
        <x:v>1080</x:v>
      </x:c>
      <x:c r="AH8" s="7" t="n">
        <x:f>(A8*L8+M8*'設定と出典'!$B$31)/60*'設定と出典'!$B$29</x:f>
        <x:v>13666.666666666666</x:v>
      </x:c>
      <x:c r="AI8" s="7" t="n">
        <x:f>'設定と出典'!$B$30*'設定と出典'!$B$29</x:f>
        <x:v>8000</x:v>
      </x:c>
      <x:c r="AJ8" s="7" t="n">
        <x:f>T8-SUM(AF8:AI8)</x:f>
        <x:v>-32425.25714420573</x:v>
      </x:c>
      <x:c r="AK8" s="7" t="n">
        <x:f>AJ8-T8*'設定と出典'!$B$32</x:f>
        <x:v>-47425.25714420573</x:v>
      </x:c>
      <x:c r="AL8" s="7" t="n">
        <x:f>AJ8-A8*MIN(E8,AV8)*'設定と出典'!$B$32</x:f>
        <x:v>-37425.25714420573</x:v>
      </x:c>
      <x:c r="AM8" s="8" t="n">
        <x:f>AJ8/T8</x:f>
        <x:v>-1.0808419048068576</x:v>
      </x:c>
      <x:c r="AN8" s="8" t="n">
        <x:f>AK8/T8</x:f>
        <x:v>-1.5808419048068576</x:v>
      </x:c>
      <x:c r="AO8" s="8" t="n">
        <x:f>AJ8/T8</x:f>
        <x:v>-1.0808419048068576</x:v>
      </x:c>
      <x:c r="AP8" s="8" t="n">
        <x:f>AO8-'設定と出典'!$B$33</x:f>
        <x:v>-1.2808419048068576</x:v>
      </x:c>
      <x:c r="AQ8" s="9" t="n">
        <x:f>SUM(W8:AD8)/N8</x:f>
        <x:v>6.269847619384765</x:v>
      </x:c>
      <x:c r="AR8" s="9" t="n">
        <x:f>MAX(0,(E8*(1-'設定と出典'!$B$28-'設定と出典'!$B$32)-(U8+V8+AH8+AI8+AE8)/A8)/AQ8)</x:f>
        <x:v>0</x:v>
      </x:c>
      <x:c r="AS8" s="9" t="n">
        <x:f>MAX(0,(E8*(1-'設定と出典'!$B$28 )-(U8+V8+AH8+AI8+AE8)/A8)/AQ8)</x:f>
        <x:v>0</x:v>
      </x:c>
      <x:c r="AT8" s="9" t="n">
        <x:f>MAX(0,(E8*(1-'設定と出典'!$B$28)-MIN(E8,AV8)*'設定と出典'!$B$32-(U8+V8+AH8+AI8+AE8)/A8)/AQ8)</x:f>
        <x:v>0</x:v>
      </x:c>
      <x:c r="AU8" s="9" t="str">
        <x:f>IF((T8*(1-'設定と出典'!$B$28-'設定と出典'!$B$32)-(AF8-AE8)-AH8)&lt;=0,"成立せず",(AE8+AI8)/((T8*(1-'設定と出典'!$B$28-'設定と出典'!$B$32)-(AF8-AE8)-AH8)/A8))</x:f>
        <x:v>成立せず</x:v>
      </x:c>
      <x:c r="AV8" s="9" t="n">
        <x:f>'設定と出典'!D51</x:f>
        <x:v>1000</x:v>
      </x:c>
      <x:c r="AW8" s="9" t="n">
        <x:f>IF(1-'設定と出典'!$B$28-'設定と出典'!$B$32-'設定と出典'!$B$33&lt;=0,0,MAX(0,MIN(E8,(AK8/A8-E8*'設定と出典'!$B$33)/(1-'設定と出典'!$B$28-'設定と出典'!$B$32-'設定と出典'!$B$33))))</x:f>
        <x:v>0</x:v>
      </x:c>
      <x:c r="AX8" s="1"/>
      <x:c r="AY8" s="1"/>
      <x:c r="AZ8" s="1"/>
      <x:c r="BA8" s="1"/>
    </x:row>
    <x:row r="9" ht="22" customHeight="1">
      <x:c r="A9" s="1" t="n">
        <x:v>10</x:v>
      </x:c>
      <x:c r="B9" s="1" t="str">
        <x:f>'設定と出典'!A52</x:f>
        <x:v>Business</x:v>
      </x:c>
      <x:c r="C9" s="1" t="str">
        <x:f>'設定と出典'!A57</x:f>
        <x:v>低位</x:v>
      </x:c>
      <x:c r="D9" s="1" t="n">
        <x:f>'設定と出典'!B52</x:f>
        <x:v>20</x:v>
      </x:c>
      <x:c r="E9" s="1" t="n">
        <x:f>'設定と出典'!C52</x:f>
        <x:v>5000</x:v>
      </x:c>
      <x:c r="F9" s="1" t="n">
        <x:f>'設定と出典'!B57</x:f>
        <x:v>5</x:v>
      </x:c>
      <x:c r="G9" s="1" t="n">
        <x:f>'設定と出典'!C57</x:f>
        <x:v>1</x:v>
      </x:c>
      <x:c r="H9" s="1" t="n">
        <x:f>'設定と出典'!D57</x:f>
        <x:v>2</x:v>
      </x:c>
      <x:c r="I9" s="1" t="n">
        <x:f>'設定と出典'!E57</x:f>
        <x:v>1</x:v>
      </x:c>
      <x:c r="J9" s="1" t="n">
        <x:f>'設定と出典'!F57</x:f>
        <x:v>1.1</x:v>
      </x:c>
      <x:c r="K9" s="1" t="n">
        <x:f>'設定と出典'!G57</x:f>
        <x:v>1</x:v>
      </x:c>
      <x:c r="L9" s="1" t="n">
        <x:f>'設定と出典'!H57</x:f>
        <x:v>3</x:v>
      </x:c>
      <x:c r="M9" s="1" t="n">
        <x:f>A9*D9</x:f>
        <x:v>200</x:v>
      </x:c>
      <x:c r="N9" s="1" t="n">
        <x:f>M9*F9</x:f>
        <x:v>1000</x:v>
      </x:c>
      <x:c r="O9" s="1" t="n">
        <x:f>N9*G9</x:f>
        <x:v>1000</x:v>
      </x:c>
      <x:c r="P9" s="1" t="n">
        <x:f>O9*H9/1024</x:f>
        <x:v>1.953125</x:v>
      </x:c>
      <x:c r="Q9" s="1" t="n">
        <x:f>P9*I9</x:f>
        <x:v>1.953125</x:v>
      </x:c>
      <x:c r="R9" s="1" t="n">
        <x:f>P9*('設定と出典'!$B$34+'設定と出典'!$B$35)/'設定と出典'!$B$7</x:f>
        <x:v>1.8229166666666667</x:v>
      </x:c>
      <x:c r="S9" s="1" t="n">
        <x:f>O9*K9</x:f>
        <x:v>1000</x:v>
      </x:c>
      <x:c r="T9" s="7" t="n">
        <x:f>A9*E9</x:f>
        <x:v>50000</x:v>
      </x:c>
      <x:c r="U9" s="7" t="n">
        <x:f>A9*'設定と出典'!$B$26</x:f>
        <x:v>500</x:v>
      </x:c>
      <x:c r="V9" s="7" t="n">
        <x:f>M9*'設定と出典'!$B$27</x:f>
        <x:v>400</x:v>
      </x:c>
      <x:c r="W9" s="7" t="n">
        <x:f>(N9*'設定と出典'!$B$36+S9)*('設定と出典'!$B$43*'設定と出典'!$B$8+'設定と出典'!$B$44*'設定と出典'!$B$9)*'設定と出典'!$B$12*'設定と出典'!$B$6</x:f>
        <x:v>5.9085</x:v>
      </x:c>
      <x:c r="X9" s="7" t="n">
        <x:f>N9*I9*'設定と出典'!$B$37*('設定と出典'!$B$45*'設定と出典'!$B$8+'設定と出典'!$B$46*'設定と出典'!$B$9)*'設定と出典'!$B$12*'設定と出典'!$B$6</x:f>
        <x:v>0.9089999999999999</x:v>
      </x:c>
      <x:c r="Y9" s="7" t="n">
        <x:f>MAX(0,S9*('設定と出典'!$B$13*'設定と出典'!$B$8+'設定と出典'!$B$14*'設定と出典'!$B$9)-MIN(S9,'設定と出典'!$B$7*86400*'設定と出典'!$B$15)*('設定と出典'!$B$13*'設定と出典'!$B$10+'設定と出典'!$B$14*'設定と出典'!$B$11))*'設定と出典'!$B$12*'設定と出典'!$B$6</x:f>
        <x:v>3.8699999999999997</x:v>
      </x:c>
      <x:c r="Z9" s="7" t="n">
        <x:f>O9*('設定と出典'!$B$41*'設定と出典'!$B$18+('設定と出典'!$B$42+I9)*'設定と出典'!$B$19)/1000*'設定と出典'!$B$6</x:f>
        <x:v>0.93</x:v>
      </x:c>
      <x:c r="AA9" s="7" t="n">
        <x:f>N9*(1+J9)*'設定と出典'!$B$21</x:f>
        <x:v>210</x:v>
      </x:c>
      <x:c r="AB9" s="7" t="n">
        <x:f>N9*'設定と出典'!$B$40/1048576*'設定と出典'!$B$20*'設定と出典'!$B$6+N9*'設定と出典'!$B$39/1000000*'設定と出典'!$B$38*'設定と出典'!$B$6</x:f>
        <x:v>1.338306884765625</x:v>
      </x:c>
      <x:c r="AC9" s="7" t="n">
        <x:f>R9*'設定と出典'!$B$16*'設定と出典'!$B$6</x:f>
        <x:v>6.835937500000001</x:v>
      </x:c>
      <x:c r="AD9" s="7" t="n">
        <x:f>Q9*'設定と出典'!$B$17*'設定と出典'!$B$6</x:f>
        <x:v>35.15625</x:v>
      </x:c>
      <x:c r="AE9" s="7" t="n">
        <x:f>'設定と出典'!B63</x:f>
        <x:v>13999.2</x:v>
      </x:c>
      <x:c r="AF9" s="7" t="n">
        <x:f>SUM(U9:AE9)</x:f>
        <x:v>15164.147994384766</x:v>
      </x:c>
      <x:c r="AG9" s="7" t="n">
        <x:f>T9*'設定と出典'!$B$28</x:f>
        <x:v>1799.9999999999998</x:v>
      </x:c>
      <x:c r="AH9" s="7" t="n">
        <x:f>(A9*L9+M9*'設定と出典'!$B$31)/60*'設定と出典'!$B$29</x:f>
        <x:v>3333.3333333333335</x:v>
      </x:c>
      <x:c r="AI9" s="7" t="n">
        <x:f>'設定と出典'!$B$30*'設定と出典'!$B$29</x:f>
        <x:v>8000</x:v>
      </x:c>
      <x:c r="AJ9" s="7" t="n">
        <x:f>T9-SUM(AF9:AI9)</x:f>
        <x:v>21702.5186722819</x:v>
      </x:c>
      <x:c r="AK9" s="7" t="n">
        <x:f>AJ9-T9*'設定と出典'!$B$32</x:f>
        <x:v>-3297.4813277180983</x:v>
      </x:c>
      <x:c r="AL9" s="7" t="n">
        <x:f>AJ9-A9*MIN(E9,AV9)*'設定と出典'!$B$32</x:f>
        <x:v>16702.5186722819</x:v>
      </x:c>
      <x:c r="AM9" s="8" t="n">
        <x:f>AJ9/T9</x:f>
        <x:v>0.434050373445638</x:v>
      </x:c>
      <x:c r="AN9" s="8" t="n">
        <x:f>AK9/T9</x:f>
        <x:v>-0.06594962655436197</x:v>
      </x:c>
      <x:c r="AO9" s="8" t="n">
        <x:f>AJ9/T9</x:f>
        <x:v>0.434050373445638</x:v>
      </x:c>
      <x:c r="AP9" s="8" t="n">
        <x:f>AO9-'設定と出典'!$B$33</x:f>
        <x:v>0.234050373445638</x:v>
      </x:c>
      <x:c r="AQ9" s="9" t="n">
        <x:f>SUM(W9:AD9)/N9</x:f>
        <x:v>0.2649479943847656</x:v>
      </x:c>
      <x:c r="AR9" s="9" t="n">
        <x:f>MAX(0,(E9*(1-'設定と出典'!$B$28-'設定と出典'!$B$32)-(U9+V9+AH9+AI9+AE9)/A9)/AQ9)</x:f>
        <x:v>0</x:v>
      </x:c>
      <x:c r="AS9" s="9" t="n">
        <x:f>MAX(0,(E9*(1-'設定と出典'!$B$28 )-(U9+V9+AH9+AI9+AE9)/A9)/AQ9)</x:f>
        <x:v>8291.237198332909</x:v>
      </x:c>
      <x:c r="AT9" s="9" t="n">
        <x:f>MAX(0,(E9*(1-'設定と出典'!$B$28)-MIN(E9,AV9)*'設定と出典'!$B$32-(U9+V9+AH9+AI9+AE9)/A9)/AQ9)</x:f>
        <x:v>6404.074394322833</x:v>
      </x:c>
      <x:c r="AU9" s="9" t="n">
        <x:f>IF((T9*(1-'設定と出典'!$B$28-'設定と出典'!$B$32)-(AF9-AE9)-AH9)&lt;=0,"成立せず",(AE9+AI9)/((T9*(1-'設定と出典'!$B$28-'設定と出典'!$B$32)-(AF9-AE9)-AH9)/A9))</x:f>
        <x:v>11.763196947564689</x:v>
      </x:c>
      <x:c r="AV9" s="9" t="n">
        <x:f>'設定と出典'!D52</x:f>
        <x:v>1000</x:v>
      </x:c>
      <x:c r="AW9" s="9" t="n">
        <x:f>IF(1-'設定と出典'!$B$28-'設定と出典'!$B$32-'設定と出典'!$B$33&lt;=0,0,MAX(0,MIN(E9,(AK9/A9-E9*'設定と出典'!$B$33)/(1-'設定と出典'!$B$28-'設定と出典'!$B$32-'設定と出典'!$B$33))))</x:f>
        <x:v>0</x:v>
      </x:c>
      <x:c r="AX9" s="1"/>
      <x:c r="AY9" s="1"/>
      <x:c r="AZ9" s="1"/>
      <x:c r="BA9" s="1"/>
    </x:row>
    <x:row r="10" ht="22" customHeight="1">
      <x:c r="A10" s="1" t="n">
        <x:v>10</x:v>
      </x:c>
      <x:c r="B10" s="1" t="str">
        <x:f>'設定と出典'!A52</x:f>
        <x:v>Business</x:v>
      </x:c>
      <x:c r="C10" s="1" t="str">
        <x:f>'設定と出典'!A58</x:f>
        <x:v>標準</x:v>
      </x:c>
      <x:c r="D10" s="1" t="n">
        <x:f>'設定と出典'!B52</x:f>
        <x:v>20</x:v>
      </x:c>
      <x:c r="E10" s="1" t="n">
        <x:f>'設定と出典'!C52</x:f>
        <x:v>5000</x:v>
      </x:c>
      <x:c r="F10" s="1" t="n">
        <x:f>'設定と出典'!B58</x:f>
        <x:v>20</x:v>
      </x:c>
      <x:c r="G10" s="1" t="n">
        <x:f>'設定と出典'!C58</x:f>
        <x:v>2</x:v>
      </x:c>
      <x:c r="H10" s="1" t="n">
        <x:f>'設定と出典'!D58</x:f>
        <x:v>10</x:v>
      </x:c>
      <x:c r="I10" s="1" t="n">
        <x:f>'設定と出典'!E58</x:f>
        <x:v>1.5</x:v>
      </x:c>
      <x:c r="J10" s="1" t="n">
        <x:f>'設定と出典'!F58</x:f>
        <x:v>1.8</x:v>
      </x:c>
      <x:c r="K10" s="1" t="n">
        <x:f>'設定と出典'!G58</x:f>
        <x:v>2</x:v>
      </x:c>
      <x:c r="L10" s="1" t="n">
        <x:f>'設定と出典'!H58</x:f>
        <x:v>8</x:v>
      </x:c>
      <x:c r="M10" s="1" t="n">
        <x:f>A10*D10</x:f>
        <x:v>200</x:v>
      </x:c>
      <x:c r="N10" s="1" t="n">
        <x:f>M10*F10</x:f>
        <x:v>4000</x:v>
      </x:c>
      <x:c r="O10" s="1" t="n">
        <x:f>N10*G10</x:f>
        <x:v>8000</x:v>
      </x:c>
      <x:c r="P10" s="1" t="n">
        <x:f>O10*H10/1024</x:f>
        <x:v>78.125</x:v>
      </x:c>
      <x:c r="Q10" s="1" t="n">
        <x:f>P10*I10</x:f>
        <x:v>117.1875</x:v>
      </x:c>
      <x:c r="R10" s="1" t="n">
        <x:f>P10*('設定と出典'!$B$34+'設定と出典'!$B$35)/'設定と出典'!$B$7</x:f>
        <x:v>72.91666666666667</x:v>
      </x:c>
      <x:c r="S10" s="1" t="n">
        <x:f>O10*K10</x:f>
        <x:v>16000</x:v>
      </x:c>
      <x:c r="T10" s="7" t="n">
        <x:f>A10*E10</x:f>
        <x:v>50000</x:v>
      </x:c>
      <x:c r="U10" s="7" t="n">
        <x:f>A10*'設定と出典'!$B$26</x:f>
        <x:v>500</x:v>
      </x:c>
      <x:c r="V10" s="7" t="n">
        <x:f>M10*'設定と出典'!$B$27</x:f>
        <x:v>400</x:v>
      </x:c>
      <x:c r="W10" s="7" t="n">
        <x:f>(N10*'設定と出典'!$B$36+S10)*('設定と出典'!$B$43*'設定と出典'!$B$8+'設定と出典'!$B$44*'設定と出典'!$B$9)*'設定と出典'!$B$12*'設定と出典'!$B$6</x:f>
        <x:v>78.17399999999999</x:v>
      </x:c>
      <x:c r="X10" s="7" t="n">
        <x:f>N10*I10*'設定と出典'!$B$37*('設定と出典'!$B$45*'設定と出典'!$B$8+'設定と出典'!$B$46*'設定と出典'!$B$9)*'設定と出典'!$B$12*'設定と出典'!$B$6</x:f>
        <x:v>5.454</x:v>
      </x:c>
      <x:c r="Y10" s="7" t="n">
        <x:f>MAX(0,S10*('設定と出典'!$B$13*'設定と出典'!$B$8+'設定と出典'!$B$14*'設定と出典'!$B$9)-MIN(S10,'設定と出典'!$B$7*86400*'設定と出典'!$B$15)*('設定と出典'!$B$13*'設定と出典'!$B$10+'設定と出典'!$B$14*'設定と出典'!$B$11))*'設定と出典'!$B$12*'設定と出典'!$B$6</x:f>
        <x:v>61.919999999999995</x:v>
      </x:c>
      <x:c r="Z10" s="7" t="n">
        <x:f>O10*('設定と出典'!$B$41*'設定と出典'!$B$18+('設定と出典'!$B$42+I10)*'設定と出典'!$B$19)/1000*'設定と出典'!$B$6</x:f>
        <x:v>7.680000000000001</x:v>
      </x:c>
      <x:c r="AA10" s="7" t="n">
        <x:f>N10*(1+J10)*'設定と出典'!$B$21</x:f>
        <x:v>1120</x:v>
      </x:c>
      <x:c r="AB10" s="7" t="n">
        <x:f>N10*'設定と出典'!$B$40/1048576*'設定と出典'!$B$20*'設定と出典'!$B$6+N10*'設定と出典'!$B$39/1000000*'設定と出典'!$B$38*'設定と出典'!$B$6</x:f>
        <x:v>5.3532275390625</x:v>
      </x:c>
      <x:c r="AC10" s="7" t="n">
        <x:f>R10*'設定と出典'!$B$16*'設定と出典'!$B$6</x:f>
        <x:v>273.43750000000006</x:v>
      </x:c>
      <x:c r="AD10" s="7" t="n">
        <x:f>Q10*'設定と出典'!$B$17*'設定と出典'!$B$6</x:f>
        <x:v>2109.375</x:v>
      </x:c>
      <x:c r="AE10" s="7" t="n">
        <x:f>'設定と出典'!B63</x:f>
        <x:v>13999.2</x:v>
      </x:c>
      <x:c r="AF10" s="7" t="n">
        <x:f>SUM(U10:AE10)</x:f>
        <x:v>18560.593727539064</x:v>
      </x:c>
      <x:c r="AG10" s="7" t="n">
        <x:f>T10*'設定と出典'!$B$28</x:f>
        <x:v>1799.9999999999998</x:v>
      </x:c>
      <x:c r="AH10" s="7" t="n">
        <x:f>(A10*L10+M10*'設定と出典'!$B$31)/60*'設定と出典'!$B$29</x:f>
        <x:v>6666.666666666667</x:v>
      </x:c>
      <x:c r="AI10" s="7" t="n">
        <x:f>'設定と出典'!$B$30*'設定と出典'!$B$29</x:f>
        <x:v>8000</x:v>
      </x:c>
      <x:c r="AJ10" s="7" t="n">
        <x:f>T10-SUM(AF10:AI10)</x:f>
        <x:v>14972.739605794268</x:v>
      </x:c>
      <x:c r="AK10" s="7" t="n">
        <x:f>AJ10-T10*'設定と出典'!$B$32</x:f>
        <x:v>-10027.260394205732</x:v>
      </x:c>
      <x:c r="AL10" s="7" t="n">
        <x:f>AJ10-A10*MIN(E10,AV10)*'設定と出典'!$B$32</x:f>
        <x:v>9972.739605794268</x:v>
      </x:c>
      <x:c r="AM10" s="8" t="n">
        <x:f>AJ10/T10</x:f>
        <x:v>0.2994547921158854</x:v>
      </x:c>
      <x:c r="AN10" s="8" t="n">
        <x:f>AK10/T10</x:f>
        <x:v>-0.20054520788411465</x:v>
      </x:c>
      <x:c r="AO10" s="8" t="n">
        <x:f>AJ10/T10</x:f>
        <x:v>0.2994547921158854</x:v>
      </x:c>
      <x:c r="AP10" s="8" t="n">
        <x:f>AO10-'設定と出典'!$B$33</x:f>
        <x:v>0.09945479211588537</x:v>
      </x:c>
      <x:c r="AQ10" s="9" t="n">
        <x:f>SUM(W10:AD10)/N10</x:f>
        <x:v>0.9153484318847657</x:v>
      </x:c>
      <x:c r="AR10" s="9" t="n">
        <x:f>MAX(0,(E10*(1-'設定と出典'!$B$28-'設定と出典'!$B$32)-(U10+V10+AH10+AI10+AE10)/A10)/AQ10)</x:f>
        <x:v>0</x:v>
      </x:c>
      <x:c r="AS10" s="9" t="n">
        <x:f>MAX(0,(E10*(1-'設定と出典'!$B$28 )-(U10+V10+AH10+AI10+AE10)/A10)/AQ10)</x:f>
        <x:v>2035.742093856474</x:v>
      </x:c>
      <x:c r="AT10" s="9" t="n">
        <x:f>MAX(0,(E10*(1-'設定と出典'!$B$28)-MIN(E10,AV10)*'設定と出典'!$B$32-(U10+V10+AH10+AI10+AE10)/A10)/AQ10)</x:f>
        <x:v>1489.5020145781762</x:v>
      </x:c>
      <x:c r="AU10" s="9" t="n">
        <x:f>IF((T10*(1-'設定と出典'!$B$28-'設定と出典'!$B$32)-(AF10-AE10)-AH10)&lt;=0,"成立せず",(AE10+AI10)/((T10*(1-'設定と出典'!$B$28-'設定と出典'!$B$32)-(AF10-AE10)-AH10)/A10))</x:f>
        <x:v>18.37563563163371</x:v>
      </x:c>
      <x:c r="AV10" s="9" t="n">
        <x:f>'設定と出典'!D52</x:f>
        <x:v>1000</x:v>
      </x:c>
      <x:c r="AW10" s="9" t="n">
        <x:f>IF(1-'設定と出典'!$B$28-'設定と出典'!$B$32-'設定と出典'!$B$33&lt;=0,0,MAX(0,MIN(E10,(AK10/A10-E10*'設定と出典'!$B$33)/(1-'設定と出典'!$B$28-'設定と出典'!$B$32-'設定と出典'!$B$33))))</x:f>
        <x:v>0</x:v>
      </x:c>
      <x:c r="AX10" s="1"/>
      <x:c r="AY10" s="1"/>
      <x:c r="AZ10" s="1"/>
      <x:c r="BA10" s="1"/>
    </x:row>
    <x:row r="11" ht="22" customHeight="1">
      <x:c r="A11" s="1" t="n">
        <x:v>10</x:v>
      </x:c>
      <x:c r="B11" s="1" t="str">
        <x:f>'設定と出典'!A52</x:f>
        <x:v>Business</x:v>
      </x:c>
      <x:c r="C11" s="1" t="str">
        <x:f>'設定と出典'!A59</x:f>
        <x:v>高位</x:v>
      </x:c>
      <x:c r="D11" s="1" t="n">
        <x:f>'設定と出典'!B52</x:f>
        <x:v>20</x:v>
      </x:c>
      <x:c r="E11" s="1" t="n">
        <x:f>'設定と出典'!C52</x:f>
        <x:v>5000</x:v>
      </x:c>
      <x:c r="F11" s="1" t="n">
        <x:f>'設定と出典'!B59</x:f>
        <x:v>80</x:v>
      </x:c>
      <x:c r="G11" s="1" t="n">
        <x:f>'設定と出典'!C59</x:f>
        <x:v>3</x:v>
      </x:c>
      <x:c r="H11" s="1" t="n">
        <x:f>'設定と出典'!D59</x:f>
        <x:v>50</x:v>
      </x:c>
      <x:c r="I11" s="1" t="n">
        <x:f>'設定と出典'!E59</x:f>
        <x:v>2</x:v>
      </x:c>
      <x:c r="J11" s="1" t="n">
        <x:f>'設定と出典'!F59</x:f>
        <x:v>2.5</x:v>
      </x:c>
      <x:c r="K11" s="1" t="n">
        <x:f>'設定と出典'!G59</x:f>
        <x:v>5</x:v>
      </x:c>
      <x:c r="L11" s="1" t="n">
        <x:f>'設定と出典'!H59</x:f>
        <x:v>20</x:v>
      </x:c>
      <x:c r="M11" s="1" t="n">
        <x:f>A11*D11</x:f>
        <x:v>200</x:v>
      </x:c>
      <x:c r="N11" s="1" t="n">
        <x:f>M11*F11</x:f>
        <x:v>16000</x:v>
      </x:c>
      <x:c r="O11" s="1" t="n">
        <x:f>N11*G11</x:f>
        <x:v>48000</x:v>
      </x:c>
      <x:c r="P11" s="1" t="n">
        <x:f>O11*H11/1024</x:f>
        <x:v>2343.75</x:v>
      </x:c>
      <x:c r="Q11" s="1" t="n">
        <x:f>P11*I11</x:f>
        <x:v>4687.5</x:v>
      </x:c>
      <x:c r="R11" s="1" t="n">
        <x:f>P11*('設定と出典'!$B$34+'設定と出典'!$B$35)/'設定と出典'!$B$7</x:f>
        <x:v>2187.5</x:v>
      </x:c>
      <x:c r="S11" s="1" t="n">
        <x:f>O11*K11</x:f>
        <x:v>240000</x:v>
      </x:c>
      <x:c r="T11" s="7" t="n">
        <x:f>A11*E11</x:f>
        <x:v>50000</x:v>
      </x:c>
      <x:c r="U11" s="7" t="n">
        <x:f>A11*'設定と出典'!$B$26</x:f>
        <x:v>500</x:v>
      </x:c>
      <x:c r="V11" s="7" t="n">
        <x:f>M11*'設定と出典'!$B$27</x:f>
        <x:v>400</x:v>
      </x:c>
      <x:c r="W11" s="7" t="n">
        <x:f>(N11*'設定と出典'!$B$36+S11)*('設定と出典'!$B$43*'設定と出典'!$B$8+'設定と出典'!$B$44*'設定と出典'!$B$9)*'設定と出典'!$B$12*'設定と出典'!$B$6</x:f>
        <x:v>1112.616</x:v>
      </x:c>
      <x:c r="X11" s="7" t="n">
        <x:f>N11*I11*'設定と出典'!$B$37*('設定と出典'!$B$45*'設定と出典'!$B$8+'設定と出典'!$B$46*'設定と出典'!$B$9)*'設定と出典'!$B$12*'設定と出典'!$B$6</x:f>
        <x:v>29.087999999999997</x:v>
      </x:c>
      <x:c r="Y11" s="7" t="n">
        <x:f>MAX(0,S11*('設定と出典'!$B$13*'設定と出典'!$B$8+'設定と出典'!$B$14*'設定と出典'!$B$9)-MIN(S11,'設定と出典'!$B$7*86400*'設定と出典'!$B$15)*('設定と出典'!$B$13*'設定と出典'!$B$10+'設定と出典'!$B$14*'設定と出典'!$B$11))*'設定と出典'!$B$12*'設定と出典'!$B$6</x:f>
        <x:v>928.8000000000001</x:v>
      </x:c>
      <x:c r="Z11" s="7" t="n">
        <x:f>O11*('設定と出典'!$B$41*'設定と出典'!$B$18+('設定と出典'!$B$42+I11)*'設定と出典'!$B$19)/1000*'設定と出典'!$B$6</x:f>
        <x:v>47.52</x:v>
      </x:c>
      <x:c r="AA11" s="7" t="n">
        <x:f>N11*(1+J11)*'設定と出典'!$B$21</x:f>
        <x:v>5600</x:v>
      </x:c>
      <x:c r="AB11" s="7" t="n">
        <x:f>N11*'設定と出典'!$B$40/1048576*'設定と出典'!$B$20*'設定と出典'!$B$6+N11*'設定と出典'!$B$39/1000000*'設定と出典'!$B$38*'設定と出典'!$B$6</x:f>
        <x:v>21.41291015625</x:v>
      </x:c>
      <x:c r="AC11" s="7" t="n">
        <x:f>R11*'設定と出典'!$B$16*'設定と出典'!$B$6</x:f>
        <x:v>8203.125</x:v>
      </x:c>
      <x:c r="AD11" s="7" t="n">
        <x:f>Q11*'設定と出典'!$B$17*'設定と出典'!$B$6</x:f>
        <x:v>84375</x:v>
      </x:c>
      <x:c r="AE11" s="7" t="n">
        <x:f>'設定と出典'!B63</x:f>
        <x:v>13999.2</x:v>
      </x:c>
      <x:c r="AF11" s="7" t="n">
        <x:f>SUM(U11:AE11)</x:f>
        <x:v>115216.76191015624</x:v>
      </x:c>
      <x:c r="AG11" s="7" t="n">
        <x:f>T11*'設定と出典'!$B$28</x:f>
        <x:v>1799.9999999999998</x:v>
      </x:c>
      <x:c r="AH11" s="7" t="n">
        <x:f>(A11*L11+M11*'設定と出典'!$B$31)/60*'設定と出典'!$B$29</x:f>
        <x:v>14666.666666666666</x:v>
      </x:c>
      <x:c r="AI11" s="7" t="n">
        <x:f>'設定と出典'!$B$30*'設定と出典'!$B$29</x:f>
        <x:v>8000</x:v>
      </x:c>
      <x:c r="AJ11" s="7" t="n">
        <x:f>T11-SUM(AF11:AI11)</x:f>
        <x:v>-89683.42857682292</x:v>
      </x:c>
      <x:c r="AK11" s="7" t="n">
        <x:f>AJ11-T11*'設定と出典'!$B$32</x:f>
        <x:v>-114683.42857682292</x:v>
      </x:c>
      <x:c r="AL11" s="7" t="n">
        <x:f>AJ11-A11*MIN(E11,AV11)*'設定と出典'!$B$32</x:f>
        <x:v>-94683.42857682292</x:v>
      </x:c>
      <x:c r="AM11" s="8" t="n">
        <x:f>AJ11/T11</x:f>
        <x:v>-1.7936685715364584</x:v>
      </x:c>
      <x:c r="AN11" s="8" t="n">
        <x:f>AK11/T11</x:f>
        <x:v>-2.2936685715364584</x:v>
      </x:c>
      <x:c r="AO11" s="8" t="n">
        <x:f>AJ11/T11</x:f>
        <x:v>-1.7936685715364584</x:v>
      </x:c>
      <x:c r="AP11" s="8" t="n">
        <x:f>AO11-'設定と出典'!$B$33</x:f>
        <x:v>-1.9936685715364584</x:v>
      </x:c>
      <x:c r="AQ11" s="9" t="n">
        <x:f>SUM(W11:AD11)/N11</x:f>
        <x:v>6.269847619384765</x:v>
      </x:c>
      <x:c r="AR11" s="9" t="n">
        <x:f>MAX(0,(E11*(1-'設定と出典'!$B$28-'設定と出典'!$B$32)-(U11+V11+AH11+AI11+AE11)/A11)/AQ11)</x:f>
        <x:v>0</x:v>
      </x:c>
      <x:c r="AS11" s="9" t="n">
        <x:f>MAX(0,(E11*(1-'設定と出典'!$B$28 )-(U11+V11+AH11+AI11+AE11)/A11)/AQ11)</x:f>
        <x:v>169.6075244389562</x:v>
      </x:c>
      <x:c r="AT11" s="9" t="n">
        <x:f>MAX(0,(E11*(1-'設定と出典'!$B$28)-MIN(E11,AV11)*'設定と出典'!$B$32-(U11+V11+AH11+AI11+AE11)/A11)/AQ11)</x:f>
        <x:v>89.8607697564137</x:v>
      </x:c>
      <x:c r="AU11" s="9" t="str">
        <x:f>IF((T11*(1-'設定と出典'!$B$28-'設定と出典'!$B$32)-(AF11-AE11)-AH11)&lt;=0,"成立せず",(AE11+AI11)/((T11*(1-'設定と出典'!$B$28-'設定と出典'!$B$32)-(AF11-AE11)-AH11)/A11))</x:f>
        <x:v>成立せず</x:v>
      </x:c>
      <x:c r="AV11" s="9" t="n">
        <x:f>'設定と出典'!D52</x:f>
        <x:v>1000</x:v>
      </x:c>
      <x:c r="AW11" s="9" t="n">
        <x:f>IF(1-'設定と出典'!$B$28-'設定と出典'!$B$32-'設定と出典'!$B$33&lt;=0,0,MAX(0,MIN(E11,(AK11/A11-E11*'設定と出典'!$B$33)/(1-'設定と出典'!$B$28-'設定と出典'!$B$32-'設定と出典'!$B$33))))</x:f>
        <x:v>0</x:v>
      </x:c>
      <x:c r="AX11" s="1"/>
      <x:c r="AY11" s="1"/>
      <x:c r="AZ11" s="1"/>
      <x:c r="BA11" s="1"/>
    </x:row>
    <x:row r="12" ht="22" customHeight="1">
      <x:c r="A12" s="1" t="n">
        <x:v>10</x:v>
      </x:c>
      <x:c r="B12" s="1" t="str">
        <x:f>'設定と出典'!A53</x:f>
        <x:v>Business Plus</x:v>
      </x:c>
      <x:c r="C12" s="1" t="str">
        <x:f>'設定と出典'!A57</x:f>
        <x:v>低位</x:v>
      </x:c>
      <x:c r="D12" s="1" t="n">
        <x:f>'設定と出典'!B53</x:f>
        <x:v>50</x:v>
      </x:c>
      <x:c r="E12" s="1" t="n">
        <x:f>'設定と出典'!C53</x:f>
        <x:v>8000</x:v>
      </x:c>
      <x:c r="F12" s="1" t="n">
        <x:f>'設定と出典'!B57</x:f>
        <x:v>5</x:v>
      </x:c>
      <x:c r="G12" s="1" t="n">
        <x:f>'設定と出典'!C57</x:f>
        <x:v>1</x:v>
      </x:c>
      <x:c r="H12" s="1" t="n">
        <x:f>'設定と出典'!D57</x:f>
        <x:v>2</x:v>
      </x:c>
      <x:c r="I12" s="1" t="n">
        <x:f>'設定と出典'!E57</x:f>
        <x:v>1</x:v>
      </x:c>
      <x:c r="J12" s="1" t="n">
        <x:f>'設定と出典'!F57</x:f>
        <x:v>1.1</x:v>
      </x:c>
      <x:c r="K12" s="1" t="n">
        <x:f>'設定と出典'!G57</x:f>
        <x:v>1</x:v>
      </x:c>
      <x:c r="L12" s="1" t="n">
        <x:f>'設定と出典'!H57</x:f>
        <x:v>3</x:v>
      </x:c>
      <x:c r="M12" s="1" t="n">
        <x:f>A12*D12</x:f>
        <x:v>500</x:v>
      </x:c>
      <x:c r="N12" s="1" t="n">
        <x:f>M12*F12</x:f>
        <x:v>2500</x:v>
      </x:c>
      <x:c r="O12" s="1" t="n">
        <x:f>N12*G12</x:f>
        <x:v>2500</x:v>
      </x:c>
      <x:c r="P12" s="1" t="n">
        <x:f>O12*H12/1024</x:f>
        <x:v>4.8828125</x:v>
      </x:c>
      <x:c r="Q12" s="1" t="n">
        <x:f>P12*I12</x:f>
        <x:v>4.8828125</x:v>
      </x:c>
      <x:c r="R12" s="1" t="n">
        <x:f>P12*('設定と出典'!$B$34+'設定と出典'!$B$35)/'設定と出典'!$B$7</x:f>
        <x:v>4.557291666666667</x:v>
      </x:c>
      <x:c r="S12" s="1" t="n">
        <x:f>O12*K12</x:f>
        <x:v>2500</x:v>
      </x:c>
      <x:c r="T12" s="7" t="n">
        <x:f>A12*E12</x:f>
        <x:v>80000</x:v>
      </x:c>
      <x:c r="U12" s="7" t="n">
        <x:f>A12*'設定と出典'!$B$26</x:f>
        <x:v>500</x:v>
      </x:c>
      <x:c r="V12" s="7" t="n">
        <x:f>M12*'設定と出典'!$B$27</x:f>
        <x:v>1000</x:v>
      </x:c>
      <x:c r="W12" s="7" t="n">
        <x:f>(N12*'設定と出典'!$B$36+S12)*('設定と出典'!$B$43*'設定と出典'!$B$8+'設定と出典'!$B$44*'設定と出典'!$B$9)*'設定と出典'!$B$12*'設定と出典'!$B$6</x:f>
        <x:v>14.771249999999998</x:v>
      </x:c>
      <x:c r="X12" s="7" t="n">
        <x:f>N12*I12*'設定と出典'!$B$37*('設定と出典'!$B$45*'設定と出典'!$B$8+'設定と出典'!$B$46*'設定と出典'!$B$9)*'設定と出典'!$B$12*'設定と出典'!$B$6</x:f>
        <x:v>2.2725</x:v>
      </x:c>
      <x:c r="Y12" s="7" t="n">
        <x:f>MAX(0,S12*('設定と出典'!$B$13*'設定と出典'!$B$8+'設定と出典'!$B$14*'設定と出典'!$B$9)-MIN(S12,'設定と出典'!$B$7*86400*'設定と出典'!$B$15)*('設定と出典'!$B$13*'設定と出典'!$B$10+'設定と出典'!$B$14*'設定と出典'!$B$11))*'設定と出典'!$B$12*'設定と出典'!$B$6</x:f>
        <x:v>9.674999999999999</x:v>
      </x:c>
      <x:c r="Z12" s="7" t="n">
        <x:f>O12*('設定と出典'!$B$41*'設定と出典'!$B$18+('設定と出典'!$B$42+I12)*'設定と出典'!$B$19)/1000*'設定と出典'!$B$6</x:f>
        <x:v>2.325</x:v>
      </x:c>
      <x:c r="AA12" s="7" t="n">
        <x:f>N12*(1+J12)*'設定と出典'!$B$21</x:f>
        <x:v>525</x:v>
      </x:c>
      <x:c r="AB12" s="7" t="n">
        <x:f>N12*'設定と出典'!$B$40/1048576*'設定と出典'!$B$20*'設定と出典'!$B$6+N12*'設定と出典'!$B$39/1000000*'設定と出典'!$B$38*'設定と出典'!$B$6</x:f>
        <x:v>3.3457672119140627</x:v>
      </x:c>
      <x:c r="AC12" s="7" t="n">
        <x:f>R12*'設定と出典'!$B$16*'設定と出典'!$B$6</x:f>
        <x:v>17.089843750000004</x:v>
      </x:c>
      <x:c r="AD12" s="7" t="n">
        <x:f>Q12*'設定と出典'!$B$17*'設定と出典'!$B$6</x:f>
        <x:v>87.890625</x:v>
      </x:c>
      <x:c r="AE12" s="7" t="n">
        <x:f>'設定と出典'!B63</x:f>
        <x:v>13999.2</x:v>
      </x:c>
      <x:c r="AF12" s="7" t="n">
        <x:f>SUM(U12:AE12)</x:f>
        <x:v>16161.569985961914</x:v>
      </x:c>
      <x:c r="AG12" s="7" t="n">
        <x:f>T12*'設定と出典'!$B$28</x:f>
        <x:v>2880</x:v>
      </x:c>
      <x:c r="AH12" s="7" t="n">
        <x:f>(A12*L12+M12*'設定と出典'!$B$31)/60*'設定と出典'!$B$29</x:f>
        <x:v>5333.333333333333</x:v>
      </x:c>
      <x:c r="AI12" s="7" t="n">
        <x:f>'設定と出典'!$B$30*'設定と出典'!$B$29</x:f>
        <x:v>8000</x:v>
      </x:c>
      <x:c r="AJ12" s="7" t="n">
        <x:f>T12-SUM(AF12:AI12)</x:f>
        <x:v>47625.09668070475</x:v>
      </x:c>
      <x:c r="AK12" s="7" t="n">
        <x:f>AJ12-T12*'設定と出典'!$B$32</x:f>
        <x:v>7625.096680704752</x:v>
      </x:c>
      <x:c r="AL12" s="7" t="n">
        <x:f>AJ12-A12*MIN(E12,AV12)*'設定と出典'!$B$32</x:f>
        <x:v>42625.09668070475</x:v>
      </x:c>
      <x:c r="AM12" s="8" t="n">
        <x:f>AJ12/T12</x:f>
        <x:v>0.5953137085088094</x:v>
      </x:c>
      <x:c r="AN12" s="8" t="n">
        <x:f>AK12/T12</x:f>
        <x:v>0.0953137085088094</x:v>
      </x:c>
      <x:c r="AO12" s="8" t="n">
        <x:f>AJ12/T12</x:f>
        <x:v>0.5953137085088094</x:v>
      </x:c>
      <x:c r="AP12" s="8" t="n">
        <x:f>AO12-'設定と出典'!$B$33</x:f>
        <x:v>0.39531370850880937</x:v>
      </x:c>
      <x:c r="AQ12" s="9" t="n">
        <x:f>SUM(W12:AD12)/N12</x:f>
        <x:v>0.2649479943847657</x:v>
      </x:c>
      <x:c r="AR12" s="9" t="n">
        <x:f>MAX(0,(E12*(1-'設定と出典'!$B$28-'設定と出典'!$B$32)-(U12+V12+AH12+AI12+AE12)/A12)/AQ12)</x:f>
        <x:v>3127.9597665613383</x:v>
      </x:c>
      <x:c r="AS12" s="9" t="n">
        <x:f>MAX(0,(E12*(1-'設定と出典'!$B$28 )-(U12+V12+AH12+AI12+AE12)/A12)/AQ12)</x:f>
        <x:v>18225.26219864194</x:v>
      </x:c>
      <x:c r="AT12" s="9" t="n">
        <x:f>MAX(0,(E12*(1-'設定と出典'!$B$28)-MIN(E12,AV12)*'設定と出典'!$B$32-(U12+V12+AH12+AI12+AE12)/A12)/AQ12)</x:f>
        <x:v>16338.099394631865</x:v>
      </x:c>
      <x:c r="AU12" s="9" t="n">
        <x:f>IF((T12*(1-'設定と出典'!$B$28-'設定と出典'!$B$32)-(AF12-AE12)-AH12)&lt;=0,"成立せず",(AE12+AI12)/((T12*(1-'設定と出典'!$B$28-'設定と出典'!$B$32)-(AF12-AE12)-AH12)/A12))</x:f>
        <x:v>7.426066595643022</x:v>
      </x:c>
      <x:c r="AV12" s="9" t="n">
        <x:f>'設定と出典'!D53</x:f>
        <x:v>1000</x:v>
      </x:c>
      <x:c r="AW12" s="9" t="n">
        <x:f>IF(1-'設定と出典'!$B$28-'設定と出典'!$B$32-'設定と出典'!$B$33&lt;=0,0,MAX(0,MIN(E12,(AK12/A12-E12*'設定と出典'!$B$33)/(1-'設定と出典'!$B$28-'設定と出典'!$B$32-'設定と出典'!$B$33))))</x:f>
        <x:v>0</x:v>
      </x:c>
      <x:c r="AX12" s="1"/>
      <x:c r="AY12" s="1"/>
      <x:c r="AZ12" s="1"/>
      <x:c r="BA12" s="1"/>
    </x:row>
    <x:row r="13" ht="22" customHeight="1">
      <x:c r="A13" s="1" t="n">
        <x:v>10</x:v>
      </x:c>
      <x:c r="B13" s="1" t="str">
        <x:f>'設定と出典'!A53</x:f>
        <x:v>Business Plus</x:v>
      </x:c>
      <x:c r="C13" s="1" t="str">
        <x:f>'設定と出典'!A58</x:f>
        <x:v>標準</x:v>
      </x:c>
      <x:c r="D13" s="1" t="n">
        <x:f>'設定と出典'!B53</x:f>
        <x:v>50</x:v>
      </x:c>
      <x:c r="E13" s="1" t="n">
        <x:f>'設定と出典'!C53</x:f>
        <x:v>8000</x:v>
      </x:c>
      <x:c r="F13" s="1" t="n">
        <x:f>'設定と出典'!B58</x:f>
        <x:v>20</x:v>
      </x:c>
      <x:c r="G13" s="1" t="n">
        <x:f>'設定と出典'!C58</x:f>
        <x:v>2</x:v>
      </x:c>
      <x:c r="H13" s="1" t="n">
        <x:f>'設定と出典'!D58</x:f>
        <x:v>10</x:v>
      </x:c>
      <x:c r="I13" s="1" t="n">
        <x:f>'設定と出典'!E58</x:f>
        <x:v>1.5</x:v>
      </x:c>
      <x:c r="J13" s="1" t="n">
        <x:f>'設定と出典'!F58</x:f>
        <x:v>1.8</x:v>
      </x:c>
      <x:c r="K13" s="1" t="n">
        <x:f>'設定と出典'!G58</x:f>
        <x:v>2</x:v>
      </x:c>
      <x:c r="L13" s="1" t="n">
        <x:f>'設定と出典'!H58</x:f>
        <x:v>8</x:v>
      </x:c>
      <x:c r="M13" s="1" t="n">
        <x:f>A13*D13</x:f>
        <x:v>500</x:v>
      </x:c>
      <x:c r="N13" s="1" t="n">
        <x:f>M13*F13</x:f>
        <x:v>10000</x:v>
      </x:c>
      <x:c r="O13" s="1" t="n">
        <x:f>N13*G13</x:f>
        <x:v>20000</x:v>
      </x:c>
      <x:c r="P13" s="1" t="n">
        <x:f>O13*H13/1024</x:f>
        <x:v>195.3125</x:v>
      </x:c>
      <x:c r="Q13" s="1" t="n">
        <x:f>P13*I13</x:f>
        <x:v>292.96875</x:v>
      </x:c>
      <x:c r="R13" s="1" t="n">
        <x:f>P13*('設定と出典'!$B$34+'設定と出典'!$B$35)/'設定と出典'!$B$7</x:f>
        <x:v>182.29166666666666</x:v>
      </x:c>
      <x:c r="S13" s="1" t="n">
        <x:f>O13*K13</x:f>
        <x:v>40000</x:v>
      </x:c>
      <x:c r="T13" s="7" t="n">
        <x:f>A13*E13</x:f>
        <x:v>80000</x:v>
      </x:c>
      <x:c r="U13" s="7" t="n">
        <x:f>A13*'設定と出典'!$B$26</x:f>
        <x:v>500</x:v>
      </x:c>
      <x:c r="V13" s="7" t="n">
        <x:f>M13*'設定と出典'!$B$27</x:f>
        <x:v>1000</x:v>
      </x:c>
      <x:c r="W13" s="7" t="n">
        <x:f>(N13*'設定と出典'!$B$36+S13)*('設定と出典'!$B$43*'設定と出典'!$B$8+'設定と出典'!$B$44*'設定と出典'!$B$9)*'設定と出典'!$B$12*'設定と出典'!$B$6</x:f>
        <x:v>195.435</x:v>
      </x:c>
      <x:c r="X13" s="7" t="n">
        <x:f>N13*I13*'設定と出典'!$B$37*('設定と出典'!$B$45*'設定と出典'!$B$8+'設定と出典'!$B$46*'設定と出典'!$B$9)*'設定と出典'!$B$12*'設定と出典'!$B$6</x:f>
        <x:v>13.635</x:v>
      </x:c>
      <x:c r="Y13" s="7" t="n">
        <x:f>MAX(0,S13*('設定と出典'!$B$13*'設定と出典'!$B$8+'設定と出典'!$B$14*'設定と出典'!$B$9)-MIN(S13,'設定と出典'!$B$7*86400*'設定と出典'!$B$15)*('設定と出典'!$B$13*'設定と出典'!$B$10+'設定と出典'!$B$14*'設定と出典'!$B$11))*'設定と出典'!$B$12*'設定と出典'!$B$6</x:f>
        <x:v>154.79999999999998</x:v>
      </x:c>
      <x:c r="Z13" s="7" t="n">
        <x:f>O13*('設定と出典'!$B$41*'設定と出典'!$B$18+('設定と出典'!$B$42+I13)*'設定と出典'!$B$19)/1000*'設定と出典'!$B$6</x:f>
        <x:v>19.2</x:v>
      </x:c>
      <x:c r="AA13" s="7" t="n">
        <x:f>N13*(1+J13)*'設定と出典'!$B$21</x:f>
        <x:v>2800</x:v>
      </x:c>
      <x:c r="AB13" s="7" t="n">
        <x:f>N13*'設定と出典'!$B$40/1048576*'設定と出典'!$B$20*'設定と出典'!$B$6+N13*'設定と出典'!$B$39/1000000*'設定と出典'!$B$38*'設定と出典'!$B$6</x:f>
        <x:v>13.38306884765625</x:v>
      </x:c>
      <x:c r="AC13" s="7" t="n">
        <x:f>R13*'設定と出典'!$B$16*'設定と出典'!$B$6</x:f>
        <x:v>683.59375</x:v>
      </x:c>
      <x:c r="AD13" s="7" t="n">
        <x:f>Q13*'設定と出典'!$B$17*'設定と出典'!$B$6</x:f>
        <x:v>5273.4375</x:v>
      </x:c>
      <x:c r="AE13" s="7" t="n">
        <x:f>'設定と出典'!B63</x:f>
        <x:v>13999.2</x:v>
      </x:c>
      <x:c r="AF13" s="7" t="n">
        <x:f>SUM(U13:AE13)</x:f>
        <x:v>24652.684318847656</x:v>
      </x:c>
      <x:c r="AG13" s="7" t="n">
        <x:f>T13*'設定と出典'!$B$28</x:f>
        <x:v>2880</x:v>
      </x:c>
      <x:c r="AH13" s="7" t="n">
        <x:f>(A13*L13+M13*'設定と出典'!$B$31)/60*'設定と出典'!$B$29</x:f>
        <x:v>8666.666666666666</x:v>
      </x:c>
      <x:c r="AI13" s="7" t="n">
        <x:f>'設定と出典'!$B$30*'設定と出典'!$B$29</x:f>
        <x:v>8000</x:v>
      </x:c>
      <x:c r="AJ13" s="7" t="n">
        <x:f>T13-SUM(AF13:AI13)</x:f>
        <x:v>35800.64901448568</x:v>
      </x:c>
      <x:c r="AK13" s="7" t="n">
        <x:f>AJ13-T13*'設定と出典'!$B$32</x:f>
        <x:v>-4199.35098551432</x:v>
      </x:c>
      <x:c r="AL13" s="7" t="n">
        <x:f>AJ13-A13*MIN(E13,AV13)*'設定と出典'!$B$32</x:f>
        <x:v>30800.64901448568</x:v>
      </x:c>
      <x:c r="AM13" s="8" t="n">
        <x:f>AJ13/T13</x:f>
        <x:v>0.447508112681071</x:v>
      </x:c>
      <x:c r="AN13" s="8" t="n">
        <x:f>AK13/T13</x:f>
        <x:v>-0.052491887318929</x:v>
      </x:c>
      <x:c r="AO13" s="8" t="n">
        <x:f>AJ13/T13</x:f>
        <x:v>0.447508112681071</x:v>
      </x:c>
      <x:c r="AP13" s="8" t="n">
        <x:f>AO13-'設定と出典'!$B$33</x:f>
        <x:v>0.24750811268107098</x:v>
      </x:c>
      <x:c r="AQ13" s="9" t="n">
        <x:f>SUM(W13:AD13)/N13</x:f>
        <x:v>0.9153484318847657</x:v>
      </x:c>
      <x:c r="AR13" s="9" t="n">
        <x:f>MAX(0,(E13*(1-'設定と出典'!$B$28-'設定と出典'!$B$32)-(U13+V13+AH13+AI13+AE13)/A13)/AQ13)</x:f>
        <x:v>541.2292369510511</x:v>
      </x:c>
      <x:c r="AS13" s="9" t="n">
        <x:f>MAX(0,(E13*(1-'設定と出典'!$B$28 )-(U13+V13+AH13+AI13+AE13)/A13)/AQ13)</x:f>
        <x:v>4911.149871177435</x:v>
      </x:c>
      <x:c r="AT13" s="9" t="n">
        <x:f>MAX(0,(E13*(1-'設定と出典'!$B$28)-MIN(E13,AV13)*'設定と出典'!$B$32-(U13+V13+AH13+AI13+AE13)/A13)/AQ13)</x:f>
        <x:v>4364.9097918991365</x:v>
      </x:c>
      <x:c r="AU13" s="9" t="n">
        <x:f>IF((T13*(1-'設定と出典'!$B$28-'設定と出典'!$B$32)-(AF13-AE13)-AH13)&lt;=0,"成立せず",(AE13+AI13)/((T13*(1-'設定と出典'!$B$28-'設定と出典'!$B$32)-(AF13-AE13)-AH13)/A13))</x:f>
        <x:v>12.359205958486982</x:v>
      </x:c>
      <x:c r="AV13" s="9" t="n">
        <x:f>'設定と出典'!D53</x:f>
        <x:v>1000</x:v>
      </x:c>
      <x:c r="AW13" s="9" t="n">
        <x:f>IF(1-'設定と出典'!$B$28-'設定と出典'!$B$32-'設定と出典'!$B$33&lt;=0,0,MAX(0,MIN(E13,(AK13/A13-E13*'設定と出典'!$B$33)/(1-'設定と出典'!$B$28-'設定と出典'!$B$32-'設定と出典'!$B$33))))</x:f>
        <x:v>0</x:v>
      </x:c>
      <x:c r="AX13" s="1"/>
      <x:c r="AY13" s="1"/>
      <x:c r="AZ13" s="1"/>
      <x:c r="BA13" s="1"/>
    </x:row>
    <x:row r="14" ht="22" customHeight="1">
      <x:c r="A14" s="1" t="n">
        <x:v>10</x:v>
      </x:c>
      <x:c r="B14" s="1" t="str">
        <x:f>'設定と出典'!A53</x:f>
        <x:v>Business Plus</x:v>
      </x:c>
      <x:c r="C14" s="1" t="str">
        <x:f>'設定と出典'!A59</x:f>
        <x:v>高位</x:v>
      </x:c>
      <x:c r="D14" s="1" t="n">
        <x:f>'設定と出典'!B53</x:f>
        <x:v>50</x:v>
      </x:c>
      <x:c r="E14" s="1" t="n">
        <x:f>'設定と出典'!C53</x:f>
        <x:v>8000</x:v>
      </x:c>
      <x:c r="F14" s="1" t="n">
        <x:f>'設定と出典'!B59</x:f>
        <x:v>80</x:v>
      </x:c>
      <x:c r="G14" s="1" t="n">
        <x:f>'設定と出典'!C59</x:f>
        <x:v>3</x:v>
      </x:c>
      <x:c r="H14" s="1" t="n">
        <x:f>'設定と出典'!D59</x:f>
        <x:v>50</x:v>
      </x:c>
      <x:c r="I14" s="1" t="n">
        <x:f>'設定と出典'!E59</x:f>
        <x:v>2</x:v>
      </x:c>
      <x:c r="J14" s="1" t="n">
        <x:f>'設定と出典'!F59</x:f>
        <x:v>2.5</x:v>
      </x:c>
      <x:c r="K14" s="1" t="n">
        <x:f>'設定と出典'!G59</x:f>
        <x:v>5</x:v>
      </x:c>
      <x:c r="L14" s="1" t="n">
        <x:f>'設定と出典'!H59</x:f>
        <x:v>20</x:v>
      </x:c>
      <x:c r="M14" s="1" t="n">
        <x:f>A14*D14</x:f>
        <x:v>500</x:v>
      </x:c>
      <x:c r="N14" s="1" t="n">
        <x:f>M14*F14</x:f>
        <x:v>40000</x:v>
      </x:c>
      <x:c r="O14" s="1" t="n">
        <x:f>N14*G14</x:f>
        <x:v>120000</x:v>
      </x:c>
      <x:c r="P14" s="1" t="n">
        <x:f>O14*H14/1024</x:f>
        <x:v>5859.375</x:v>
      </x:c>
      <x:c r="Q14" s="1" t="n">
        <x:f>P14*I14</x:f>
        <x:v>11718.75</x:v>
      </x:c>
      <x:c r="R14" s="1" t="n">
        <x:f>P14*('設定と出典'!$B$34+'設定と出典'!$B$35)/'設定と出典'!$B$7</x:f>
        <x:v>5468.75</x:v>
      </x:c>
      <x:c r="S14" s="1" t="n">
        <x:f>O14*K14</x:f>
        <x:v>600000</x:v>
      </x:c>
      <x:c r="T14" s="7" t="n">
        <x:f>A14*E14</x:f>
        <x:v>80000</x:v>
      </x:c>
      <x:c r="U14" s="7" t="n">
        <x:f>A14*'設定と出典'!$B$26</x:f>
        <x:v>500</x:v>
      </x:c>
      <x:c r="V14" s="7" t="n">
        <x:f>M14*'設定と出典'!$B$27</x:f>
        <x:v>1000</x:v>
      </x:c>
      <x:c r="W14" s="7" t="n">
        <x:f>(N14*'設定と出典'!$B$36+S14)*('設定と出典'!$B$43*'設定と出典'!$B$8+'設定と出典'!$B$44*'設定と出典'!$B$9)*'設定と出典'!$B$12*'設定と出典'!$B$6</x:f>
        <x:v>2781.5400000000004</x:v>
      </x:c>
      <x:c r="X14" s="7" t="n">
        <x:f>N14*I14*'設定と出典'!$B$37*('設定と出典'!$B$45*'設定と出典'!$B$8+'設定と出典'!$B$46*'設定と出典'!$B$9)*'設定と出典'!$B$12*'設定と出典'!$B$6</x:f>
        <x:v>72.72</x:v>
      </x:c>
      <x:c r="Y14" s="7" t="n">
        <x:f>MAX(0,S14*('設定と出典'!$B$13*'設定と出典'!$B$8+'設定と出典'!$B$14*'設定と出典'!$B$9)-MIN(S14,'設定と出典'!$B$7*86400*'設定と出典'!$B$15)*('設定と出典'!$B$13*'設定と出典'!$B$10+'設定と出典'!$B$14*'設定と出典'!$B$11))*'設定と出典'!$B$12*'設定と出典'!$B$6</x:f>
        <x:v>2321.9999999999995</x:v>
      </x:c>
      <x:c r="Z14" s="7" t="n">
        <x:f>O14*('設定と出典'!$B$41*'設定と出典'!$B$18+('設定と出典'!$B$42+I14)*'設定と出典'!$B$19)/1000*'設定と出典'!$B$6</x:f>
        <x:v>118.80000000000001</x:v>
      </x:c>
      <x:c r="AA14" s="7" t="n">
        <x:f>N14*(1+J14)*'設定と出典'!$B$21</x:f>
        <x:v>14000</x:v>
      </x:c>
      <x:c r="AB14" s="7" t="n">
        <x:f>N14*'設定と出典'!$B$40/1048576*'設定と出典'!$B$20*'設定と出典'!$B$6+N14*'設定と出典'!$B$39/1000000*'設定と出典'!$B$38*'設定と出典'!$B$6</x:f>
        <x:v>53.532275390625</x:v>
      </x:c>
      <x:c r="AC14" s="7" t="n">
        <x:f>R14*'設定と出典'!$B$16*'設定と出典'!$B$6</x:f>
        <x:v>20507.8125</x:v>
      </x:c>
      <x:c r="AD14" s="7" t="n">
        <x:f>Q14*'設定と出典'!$B$17*'設定と出典'!$B$6</x:f>
        <x:v>210937.5</x:v>
      </x:c>
      <x:c r="AE14" s="7" t="n">
        <x:f>'設定と出典'!B63</x:f>
        <x:v>13999.2</x:v>
      </x:c>
      <x:c r="AF14" s="7" t="n">
        <x:f>SUM(U14:AE14)</x:f>
        <x:v>266293.10477539065</x:v>
      </x:c>
      <x:c r="AG14" s="7" t="n">
        <x:f>T14*'設定と出典'!$B$28</x:f>
        <x:v>2880</x:v>
      </x:c>
      <x:c r="AH14" s="7" t="n">
        <x:f>(A14*L14+M14*'設定と出典'!$B$31)/60*'設定と出典'!$B$29</x:f>
        <x:v>16666.666666666668</x:v>
      </x:c>
      <x:c r="AI14" s="7" t="n">
        <x:f>'設定と出典'!$B$30*'設定と出典'!$B$29</x:f>
        <x:v>8000</x:v>
      </x:c>
      <x:c r="AJ14" s="7" t="n">
        <x:f>T14-SUM(AF14:AI14)</x:f>
        <x:v>-213839.77144205733</x:v>
      </x:c>
      <x:c r="AK14" s="7" t="n">
        <x:f>AJ14-T14*'設定と出典'!$B$32</x:f>
        <x:v>-253839.77144205733</x:v>
      </x:c>
      <x:c r="AL14" s="7" t="n">
        <x:f>AJ14-A14*MIN(E14,AV14)*'設定と出典'!$B$32</x:f>
        <x:v>-218839.77144205733</x:v>
      </x:c>
      <x:c r="AM14" s="8" t="n">
        <x:f>AJ14/T14</x:f>
        <x:v>-2.6729971430257167</x:v>
      </x:c>
      <x:c r="AN14" s="8" t="n">
        <x:f>AK14/T14</x:f>
        <x:v>-3.1729971430257167</x:v>
      </x:c>
      <x:c r="AO14" s="8" t="n">
        <x:f>AJ14/T14</x:f>
        <x:v>-2.6729971430257167</x:v>
      </x:c>
      <x:c r="AP14" s="8" t="n">
        <x:f>AO14-'設定と出典'!$B$33</x:f>
        <x:v>-2.872997143025717</x:v>
      </x:c>
      <x:c r="AQ14" s="9" t="n">
        <x:f>SUM(W14:AD14)/N14</x:f>
        <x:v>6.269847619384766</x:v>
      </x:c>
      <x:c r="AR14" s="9" t="n">
        <x:f>MAX(0,(E14*(1-'設定と出典'!$B$28-'設定と出典'!$B$32)-(U14+V14+AH14+AI14+AE14)/A14)/AQ14)</x:f>
        <x:v>0</x:v>
      </x:c>
      <x:c r="AS14" s="9" t="n">
        <x:f>MAX(0,(E14*(1-'設定と出典'!$B$28 )-(U14+V14+AH14+AI14+AE14)/A14)/AQ14)</x:f>
        <x:v>589.3944410878598</x:v>
      </x:c>
      <x:c r="AT14" s="9" t="n">
        <x:f>MAX(0,(E14*(1-'設定と出典'!$B$28)-MIN(E14,AV14)*'設定と出典'!$B$32-(U14+V14+AH14+AI14+AE14)/A14)/AQ14)</x:f>
        <x:v>509.64768640531736</x:v>
      </x:c>
      <x:c r="AU14" s="9" t="str">
        <x:f>IF((T14*(1-'設定と出典'!$B$28-'設定と出典'!$B$32)-(AF14-AE14)-AH14)&lt;=0,"成立せず",(AE14+AI14)/((T14*(1-'設定と出典'!$B$28-'設定と出典'!$B$32)-(AF14-AE14)-AH14)/A14))</x:f>
        <x:v>成立せず</x:v>
      </x:c>
      <x:c r="AV14" s="9" t="n">
        <x:f>'設定と出典'!D53</x:f>
        <x:v>1000</x:v>
      </x:c>
      <x:c r="AW14" s="9" t="n">
        <x:f>IF(1-'設定と出典'!$B$28-'設定と出典'!$B$32-'設定と出典'!$B$33&lt;=0,0,MAX(0,MIN(E14,(AK14/A14-E14*'設定と出典'!$B$33)/(1-'設定と出典'!$B$28-'設定と出典'!$B$32-'設定と出典'!$B$33))))</x:f>
        <x:v>0</x:v>
      </x:c>
      <x:c r="AX14" s="1"/>
      <x:c r="AY14" s="1"/>
      <x:c r="AZ14" s="1"/>
      <x:c r="BA14" s="1"/>
    </x:row>
    <x:row r="15" ht="22" customHeight="1">
      <x:c r="A15" s="1" t="n">
        <x:v>100</x:v>
      </x:c>
      <x:c r="B15" s="1" t="str">
        <x:f>'設定と出典'!A51</x:f>
        <x:v>Starter</x:v>
      </x:c>
      <x:c r="C15" s="1" t="str">
        <x:f>'設定と出典'!A57</x:f>
        <x:v>低位</x:v>
      </x:c>
      <x:c r="D15" s="1" t="n">
        <x:f>'設定と出典'!B51</x:f>
        <x:v>5</x:v>
      </x:c>
      <x:c r="E15" s="1" t="n">
        <x:f>'設定と出典'!C51</x:f>
        <x:v>3000</x:v>
      </x:c>
      <x:c r="F15" s="1" t="n">
        <x:f>'設定と出典'!B57</x:f>
        <x:v>5</x:v>
      </x:c>
      <x:c r="G15" s="1" t="n">
        <x:f>'設定と出典'!C57</x:f>
        <x:v>1</x:v>
      </x:c>
      <x:c r="H15" s="1" t="n">
        <x:f>'設定と出典'!D57</x:f>
        <x:v>2</x:v>
      </x:c>
      <x:c r="I15" s="1" t="n">
        <x:f>'設定と出典'!E57</x:f>
        <x:v>1</x:v>
      </x:c>
      <x:c r="J15" s="1" t="n">
        <x:f>'設定と出典'!F57</x:f>
        <x:v>1.1</x:v>
      </x:c>
      <x:c r="K15" s="1" t="n">
        <x:f>'設定と出典'!G57</x:f>
        <x:v>1</x:v>
      </x:c>
      <x:c r="L15" s="1" t="n">
        <x:f>'設定と出典'!H57</x:f>
        <x:v>3</x:v>
      </x:c>
      <x:c r="M15" s="1" t="n">
        <x:f>A15*D15</x:f>
        <x:v>500</x:v>
      </x:c>
      <x:c r="N15" s="1" t="n">
        <x:f>M15*F15</x:f>
        <x:v>2500</x:v>
      </x:c>
      <x:c r="O15" s="1" t="n">
        <x:f>N15*G15</x:f>
        <x:v>2500</x:v>
      </x:c>
      <x:c r="P15" s="1" t="n">
        <x:f>O15*H15/1024</x:f>
        <x:v>4.8828125</x:v>
      </x:c>
      <x:c r="Q15" s="1" t="n">
        <x:f>P15*I15</x:f>
        <x:v>4.8828125</x:v>
      </x:c>
      <x:c r="R15" s="1" t="n">
        <x:f>P15*('設定と出典'!$B$34+'設定と出典'!$B$35)/'設定と出典'!$B$7</x:f>
        <x:v>4.557291666666667</x:v>
      </x:c>
      <x:c r="S15" s="1" t="n">
        <x:f>O15*K15</x:f>
        <x:v>2500</x:v>
      </x:c>
      <x:c r="T15" s="7" t="n">
        <x:f>A15*E15</x:f>
        <x:v>300000</x:v>
      </x:c>
      <x:c r="U15" s="7" t="n">
        <x:f>A15*'設定と出典'!$B$26</x:f>
        <x:v>5000</x:v>
      </x:c>
      <x:c r="V15" s="7" t="n">
        <x:f>M15*'設定と出典'!$B$27</x:f>
        <x:v>1000</x:v>
      </x:c>
      <x:c r="W15" s="7" t="n">
        <x:f>(N15*'設定と出典'!$B$36+S15)*('設定と出典'!$B$43*'設定と出典'!$B$8+'設定と出典'!$B$44*'設定と出典'!$B$9)*'設定と出典'!$B$12*'設定と出典'!$B$6</x:f>
        <x:v>14.771249999999998</x:v>
      </x:c>
      <x:c r="X15" s="7" t="n">
        <x:f>N15*I15*'設定と出典'!$B$37*('設定と出典'!$B$45*'設定と出典'!$B$8+'設定と出典'!$B$46*'設定と出典'!$B$9)*'設定と出典'!$B$12*'設定と出典'!$B$6</x:f>
        <x:v>2.2725</x:v>
      </x:c>
      <x:c r="Y15" s="7" t="n">
        <x:f>MAX(0,S15*('設定と出典'!$B$13*'設定と出典'!$B$8+'設定と出典'!$B$14*'設定と出典'!$B$9)-MIN(S15,'設定と出典'!$B$7*86400*'設定と出典'!$B$15)*('設定と出典'!$B$13*'設定と出典'!$B$10+'設定と出典'!$B$14*'設定と出典'!$B$11))*'設定と出典'!$B$12*'設定と出典'!$B$6</x:f>
        <x:v>9.674999999999999</x:v>
      </x:c>
      <x:c r="Z15" s="7" t="n">
        <x:f>O15*('設定と出典'!$B$41*'設定と出典'!$B$18+('設定と出典'!$B$42+I15)*'設定と出典'!$B$19)/1000*'設定と出典'!$B$6</x:f>
        <x:v>2.325</x:v>
      </x:c>
      <x:c r="AA15" s="7" t="n">
        <x:f>N15*(1+J15)*'設定と出典'!$B$21</x:f>
        <x:v>525</x:v>
      </x:c>
      <x:c r="AB15" s="7" t="n">
        <x:f>N15*'設定と出典'!$B$40/1048576*'設定と出典'!$B$20*'設定と出典'!$B$6+N15*'設定と出典'!$B$39/1000000*'設定と出典'!$B$38*'設定と出典'!$B$6</x:f>
        <x:v>3.3457672119140627</x:v>
      </x:c>
      <x:c r="AC15" s="7" t="n">
        <x:f>R15*'設定と出典'!$B$16*'設定と出典'!$B$6</x:f>
        <x:v>17.089843750000004</x:v>
      </x:c>
      <x:c r="AD15" s="7" t="n">
        <x:f>Q15*'設定と出典'!$B$17*'設定と出典'!$B$6</x:f>
        <x:v>87.890625</x:v>
      </x:c>
      <x:c r="AE15" s="7" t="n">
        <x:f>'設定と出典'!B63</x:f>
        <x:v>13999.2</x:v>
      </x:c>
      <x:c r="AF15" s="7" t="n">
        <x:f>SUM(U15:AE15)</x:f>
        <x:v>20661.569985961913</x:v>
      </x:c>
      <x:c r="AG15" s="7" t="n">
        <x:f>T15*'設定と出典'!$B$28</x:f>
        <x:v>10800</x:v>
      </x:c>
      <x:c r="AH15" s="7" t="n">
        <x:f>(A15*L15+M15*'設定と出典'!$B$31)/60*'設定と出典'!$B$29</x:f>
        <x:v>23333.333333333332</x:v>
      </x:c>
      <x:c r="AI15" s="7" t="n">
        <x:f>'設定と出典'!$B$30*'設定と出典'!$B$29</x:f>
        <x:v>8000</x:v>
      </x:c>
      <x:c r="AJ15" s="7" t="n">
        <x:f>T15-SUM(AF15:AI15)</x:f>
        <x:v>237205.09668070474</x:v>
      </x:c>
      <x:c r="AK15" s="7" t="n">
        <x:f>AJ15-T15*'設定と出典'!$B$32</x:f>
        <x:v>87205.09668070474</x:v>
      </x:c>
      <x:c r="AL15" s="7" t="n">
        <x:f>AJ15-A15*MIN(E15,AV15)*'設定と出典'!$B$32</x:f>
        <x:v>187205.09668070474</x:v>
      </x:c>
      <x:c r="AM15" s="8" t="n">
        <x:f>AJ15/T15</x:f>
        <x:v>0.7906836556023491</x:v>
      </x:c>
      <x:c r="AN15" s="8" t="n">
        <x:f>AK15/T15</x:f>
        <x:v>0.2906836556023491</x:v>
      </x:c>
      <x:c r="AO15" s="8" t="n">
        <x:f>AJ15/T15</x:f>
        <x:v>0.7906836556023491</x:v>
      </x:c>
      <x:c r="AP15" s="8" t="n">
        <x:f>AO15-'設定と出典'!$B$33</x:f>
        <x:v>0.5906836556023491</x:v>
      </x:c>
      <x:c r="AQ15" s="9" t="n">
        <x:f>SUM(W15:AD15)/N15</x:f>
        <x:v>0.2649479943847657</x:v>
      </x:c>
      <x:c r="AR15" s="9" t="n">
        <x:f>MAX(0,(E15*(1-'設定と出典'!$B$28-'設定と出典'!$B$32)-(U15+V15+AH15+AI15+AE15)/A15)/AQ15)</x:f>
        <x:v>3316.4042955185696</x:v>
      </x:c>
      <x:c r="AS15" s="9" t="n">
        <x:f>MAX(0,(E15*(1-'設定と出典'!$B$28 )-(U15+V15+AH15+AI15+AE15)/A15)/AQ15)</x:f>
        <x:v>8977.892707548794</x:v>
      </x:c>
      <x:c r="AT15" s="9" t="n">
        <x:f>MAX(0,(E15*(1-'設定と出典'!$B$28)-MIN(E15,AV15)*'設定と出典'!$B$32-(U15+V15+AH15+AI15+AE15)/A15)/AQ15)</x:f>
        <x:v>7090.72990353872</x:v>
      </x:c>
      <x:c r="AU15" s="9" t="n">
        <x:f>IF((T15*(1-'設定と出典'!$B$28-'設定と出典'!$B$32)-(AF15-AE15)-AH15)&lt;=0,"成立せず",(AE15+AI15)/((T15*(1-'設定と出典'!$B$28-'設定と出典'!$B$32)-(AF15-AE15)-AH15)/A15))</x:f>
        <x:v>20.144994902830618</x:v>
      </x:c>
      <x:c r="AV15" s="9" t="n">
        <x:f>'設定と出典'!D51</x:f>
        <x:v>1000</x:v>
      </x:c>
      <x:c r="AW15" s="9" t="n">
        <x:f>IF(1-'設定と出典'!$B$28-'設定と出典'!$B$32-'設定と出典'!$B$33&lt;=0,0,MAX(0,MIN(E15,(AK15/A15-E15*'設定と出典'!$B$33)/(1-'設定と出典'!$B$28-'設定と出典'!$B$32-'設定と出典'!$B$33))))</x:f>
        <x:v>1030.4960863903314</x:v>
      </x:c>
      <x:c r="AX15" s="1"/>
      <x:c r="AY15" s="1"/>
      <x:c r="AZ15" s="1"/>
      <x:c r="BA15" s="1"/>
    </x:row>
    <x:row r="16" ht="22" customHeight="1">
      <x:c r="A16" s="1" t="n">
        <x:v>100</x:v>
      </x:c>
      <x:c r="B16" s="1" t="str">
        <x:f>'設定と出典'!A51</x:f>
        <x:v>Starter</x:v>
      </x:c>
      <x:c r="C16" s="1" t="str">
        <x:f>'設定と出典'!A58</x:f>
        <x:v>標準</x:v>
      </x:c>
      <x:c r="D16" s="1" t="n">
        <x:f>'設定と出典'!B51</x:f>
        <x:v>5</x:v>
      </x:c>
      <x:c r="E16" s="1" t="n">
        <x:f>'設定と出典'!C51</x:f>
        <x:v>3000</x:v>
      </x:c>
      <x:c r="F16" s="1" t="n">
        <x:f>'設定と出典'!B58</x:f>
        <x:v>20</x:v>
      </x:c>
      <x:c r="G16" s="1" t="n">
        <x:f>'設定と出典'!C58</x:f>
        <x:v>2</x:v>
      </x:c>
      <x:c r="H16" s="1" t="n">
        <x:f>'設定と出典'!D58</x:f>
        <x:v>10</x:v>
      </x:c>
      <x:c r="I16" s="1" t="n">
        <x:f>'設定と出典'!E58</x:f>
        <x:v>1.5</x:v>
      </x:c>
      <x:c r="J16" s="1" t="n">
        <x:f>'設定と出典'!F58</x:f>
        <x:v>1.8</x:v>
      </x:c>
      <x:c r="K16" s="1" t="n">
        <x:f>'設定と出典'!G58</x:f>
        <x:v>2</x:v>
      </x:c>
      <x:c r="L16" s="1" t="n">
        <x:f>'設定と出典'!H58</x:f>
        <x:v>8</x:v>
      </x:c>
      <x:c r="M16" s="1" t="n">
        <x:f>A16*D16</x:f>
        <x:v>500</x:v>
      </x:c>
      <x:c r="N16" s="1" t="n">
        <x:f>M16*F16</x:f>
        <x:v>10000</x:v>
      </x:c>
      <x:c r="O16" s="1" t="n">
        <x:f>N16*G16</x:f>
        <x:v>20000</x:v>
      </x:c>
      <x:c r="P16" s="1" t="n">
        <x:f>O16*H16/1024</x:f>
        <x:v>195.3125</x:v>
      </x:c>
      <x:c r="Q16" s="1" t="n">
        <x:f>P16*I16</x:f>
        <x:v>292.96875</x:v>
      </x:c>
      <x:c r="R16" s="1" t="n">
        <x:f>P16*('設定と出典'!$B$34+'設定と出典'!$B$35)/'設定と出典'!$B$7</x:f>
        <x:v>182.29166666666666</x:v>
      </x:c>
      <x:c r="S16" s="1" t="n">
        <x:f>O16*K16</x:f>
        <x:v>40000</x:v>
      </x:c>
      <x:c r="T16" s="7" t="n">
        <x:f>A16*E16</x:f>
        <x:v>300000</x:v>
      </x:c>
      <x:c r="U16" s="7" t="n">
        <x:f>A16*'設定と出典'!$B$26</x:f>
        <x:v>5000</x:v>
      </x:c>
      <x:c r="V16" s="7" t="n">
        <x:f>M16*'設定と出典'!$B$27</x:f>
        <x:v>1000</x:v>
      </x:c>
      <x:c r="W16" s="7" t="n">
        <x:f>(N16*'設定と出典'!$B$36+S16)*('設定と出典'!$B$43*'設定と出典'!$B$8+'設定と出典'!$B$44*'設定と出典'!$B$9)*'設定と出典'!$B$12*'設定と出典'!$B$6</x:f>
        <x:v>195.435</x:v>
      </x:c>
      <x:c r="X16" s="7" t="n">
        <x:f>N16*I16*'設定と出典'!$B$37*('設定と出典'!$B$45*'設定と出典'!$B$8+'設定と出典'!$B$46*'設定と出典'!$B$9)*'設定と出典'!$B$12*'設定と出典'!$B$6</x:f>
        <x:v>13.635</x:v>
      </x:c>
      <x:c r="Y16" s="7" t="n">
        <x:f>MAX(0,S16*('設定と出典'!$B$13*'設定と出典'!$B$8+'設定と出典'!$B$14*'設定と出典'!$B$9)-MIN(S16,'設定と出典'!$B$7*86400*'設定と出典'!$B$15)*('設定と出典'!$B$13*'設定と出典'!$B$10+'設定と出典'!$B$14*'設定と出典'!$B$11))*'設定と出典'!$B$12*'設定と出典'!$B$6</x:f>
        <x:v>154.79999999999998</x:v>
      </x:c>
      <x:c r="Z16" s="7" t="n">
        <x:f>O16*('設定と出典'!$B$41*'設定と出典'!$B$18+('設定と出典'!$B$42+I16)*'設定と出典'!$B$19)/1000*'設定と出典'!$B$6</x:f>
        <x:v>19.2</x:v>
      </x:c>
      <x:c r="AA16" s="7" t="n">
        <x:f>N16*(1+J16)*'設定と出典'!$B$21</x:f>
        <x:v>2800</x:v>
      </x:c>
      <x:c r="AB16" s="7" t="n">
        <x:f>N16*'設定と出典'!$B$40/1048576*'設定と出典'!$B$20*'設定と出典'!$B$6+N16*'設定と出典'!$B$39/1000000*'設定と出典'!$B$38*'設定と出典'!$B$6</x:f>
        <x:v>13.38306884765625</x:v>
      </x:c>
      <x:c r="AC16" s="7" t="n">
        <x:f>R16*'設定と出典'!$B$16*'設定と出典'!$B$6</x:f>
        <x:v>683.59375</x:v>
      </x:c>
      <x:c r="AD16" s="7" t="n">
        <x:f>Q16*'設定と出典'!$B$17*'設定と出典'!$B$6</x:f>
        <x:v>5273.4375</x:v>
      </x:c>
      <x:c r="AE16" s="7" t="n">
        <x:f>'設定と出典'!B63</x:f>
        <x:v>13999.2</x:v>
      </x:c>
      <x:c r="AF16" s="7" t="n">
        <x:f>SUM(U16:AE16)</x:f>
        <x:v>29152.684318847656</x:v>
      </x:c>
      <x:c r="AG16" s="7" t="n">
        <x:f>T16*'設定と出典'!$B$28</x:f>
        <x:v>10800</x:v>
      </x:c>
      <x:c r="AH16" s="7" t="n">
        <x:f>(A16*L16+M16*'設定と出典'!$B$31)/60*'設定と出典'!$B$29</x:f>
        <x:v>56666.666666666664</x:v>
      </x:c>
      <x:c r="AI16" s="7" t="n">
        <x:f>'設定と出典'!$B$30*'設定と出典'!$B$29</x:f>
        <x:v>8000</x:v>
      </x:c>
      <x:c r="AJ16" s="7" t="n">
        <x:f>T16-SUM(AF16:AI16)</x:f>
        <x:v>195380.64901448568</x:v>
      </x:c>
      <x:c r="AK16" s="7" t="n">
        <x:f>AJ16-T16*'設定と出典'!$B$32</x:f>
        <x:v>45380.64901448568</x:v>
      </x:c>
      <x:c r="AL16" s="7" t="n">
        <x:f>AJ16-A16*MIN(E16,AV16)*'設定と出典'!$B$32</x:f>
        <x:v>145380.64901448568</x:v>
      </x:c>
      <x:c r="AM16" s="8" t="n">
        <x:f>AJ16/T16</x:f>
        <x:v>0.6512688300482856</x:v>
      </x:c>
      <x:c r="AN16" s="8" t="n">
        <x:f>AK16/T16</x:f>
        <x:v>0.1512688300482856</x:v>
      </x:c>
      <x:c r="AO16" s="8" t="n">
        <x:f>AJ16/T16</x:f>
        <x:v>0.6512688300482856</x:v>
      </x:c>
      <x:c r="AP16" s="8" t="n">
        <x:f>AO16-'設定と出典'!$B$33</x:f>
        <x:v>0.4512688300482856</x:v>
      </x:c>
      <x:c r="AQ16" s="9" t="n">
        <x:f>SUM(W16:AD16)/N16</x:f>
        <x:v>0.9153484318847657</x:v>
      </x:c>
      <x:c r="AR16" s="9" t="n">
        <x:f>MAX(0,(E16*(1-'設定と出典'!$B$28-'設定と出典'!$B$32)-(U16+V16+AH16+AI16+AE16)/A16)/AQ16)</x:f>
        <x:v>595.7745863074654</x:v>
      </x:c>
      <x:c r="AS16" s="9" t="n">
        <x:f>MAX(0,(E16*(1-'設定と出典'!$B$28 )-(U16+V16+AH16+AI16+AE16)/A16)/AQ16)</x:f>
        <x:v>2234.4948241423585</x:v>
      </x:c>
      <x:c r="AT16" s="9" t="n">
        <x:f>MAX(0,(E16*(1-'設定と出典'!$B$28)-MIN(E16,AV16)*'設定と出典'!$B$32-(U16+V16+AH16+AI16+AE16)/A16)/AQ16)</x:f>
        <x:v>1688.254744864061</x:v>
      </x:c>
      <x:c r="AU16" s="9" t="n">
        <x:f>IF((T16*(1-'設定と出典'!$B$28-'設定と出典'!$B$32)-(AF16-AE16)-AH16)&lt;=0,"成立せず",(AE16+AI16)/((T16*(1-'設定と出典'!$B$28-'設定と出典'!$B$32)-(AF16-AE16)-AH16)/A16))</x:f>
        <x:v>32.64952403688303</x:v>
      </x:c>
      <x:c r="AV16" s="9" t="n">
        <x:f>'設定と出典'!D51</x:f>
        <x:v>1000</x:v>
      </x:c>
      <x:c r="AW16" s="9" t="n">
        <x:f>IF(1-'設定と出典'!$B$28-'設定と出典'!$B$32-'設定と出典'!$B$33&lt;=0,0,MAX(0,MIN(E16,(AK16/A16-E16*'設定と出典'!$B$33)/(1-'設定と出典'!$B$28-'設定と出典'!$B$32-'設定と出典'!$B$33))))</x:f>
        <x:v>0</x:v>
      </x:c>
      <x:c r="AX16" s="1"/>
      <x:c r="AY16" s="1"/>
      <x:c r="AZ16" s="1"/>
      <x:c r="BA16" s="1"/>
    </x:row>
    <x:row r="17" ht="22" customHeight="1">
      <x:c r="A17" s="1" t="n">
        <x:v>100</x:v>
      </x:c>
      <x:c r="B17" s="1" t="str">
        <x:f>'設定と出典'!A51</x:f>
        <x:v>Starter</x:v>
      </x:c>
      <x:c r="C17" s="1" t="str">
        <x:f>'設定と出典'!A59</x:f>
        <x:v>高位</x:v>
      </x:c>
      <x:c r="D17" s="1" t="n">
        <x:f>'設定と出典'!B51</x:f>
        <x:v>5</x:v>
      </x:c>
      <x:c r="E17" s="1" t="n">
        <x:f>'設定と出典'!C51</x:f>
        <x:v>3000</x:v>
      </x:c>
      <x:c r="F17" s="1" t="n">
        <x:f>'設定と出典'!B59</x:f>
        <x:v>80</x:v>
      </x:c>
      <x:c r="G17" s="1" t="n">
        <x:f>'設定と出典'!C59</x:f>
        <x:v>3</x:v>
      </x:c>
      <x:c r="H17" s="1" t="n">
        <x:f>'設定と出典'!D59</x:f>
        <x:v>50</x:v>
      </x:c>
      <x:c r="I17" s="1" t="n">
        <x:f>'設定と出典'!E59</x:f>
        <x:v>2</x:v>
      </x:c>
      <x:c r="J17" s="1" t="n">
        <x:f>'設定と出典'!F59</x:f>
        <x:v>2.5</x:v>
      </x:c>
      <x:c r="K17" s="1" t="n">
        <x:f>'設定と出典'!G59</x:f>
        <x:v>5</x:v>
      </x:c>
      <x:c r="L17" s="1" t="n">
        <x:f>'設定と出典'!H59</x:f>
        <x:v>20</x:v>
      </x:c>
      <x:c r="M17" s="1" t="n">
        <x:f>A17*D17</x:f>
        <x:v>500</x:v>
      </x:c>
      <x:c r="N17" s="1" t="n">
        <x:f>M17*F17</x:f>
        <x:v>40000</x:v>
      </x:c>
      <x:c r="O17" s="1" t="n">
        <x:f>N17*G17</x:f>
        <x:v>120000</x:v>
      </x:c>
      <x:c r="P17" s="1" t="n">
        <x:f>O17*H17/1024</x:f>
        <x:v>5859.375</x:v>
      </x:c>
      <x:c r="Q17" s="1" t="n">
        <x:f>P17*I17</x:f>
        <x:v>11718.75</x:v>
      </x:c>
      <x:c r="R17" s="1" t="n">
        <x:f>P17*('設定と出典'!$B$34+'設定と出典'!$B$35)/'設定と出典'!$B$7</x:f>
        <x:v>5468.75</x:v>
      </x:c>
      <x:c r="S17" s="1" t="n">
        <x:f>O17*K17</x:f>
        <x:v>600000</x:v>
      </x:c>
      <x:c r="T17" s="7" t="n">
        <x:f>A17*E17</x:f>
        <x:v>300000</x:v>
      </x:c>
      <x:c r="U17" s="7" t="n">
        <x:f>A17*'設定と出典'!$B$26</x:f>
        <x:v>5000</x:v>
      </x:c>
      <x:c r="V17" s="7" t="n">
        <x:f>M17*'設定と出典'!$B$27</x:f>
        <x:v>1000</x:v>
      </x:c>
      <x:c r="W17" s="7" t="n">
        <x:f>(N17*'設定と出典'!$B$36+S17)*('設定と出典'!$B$43*'設定と出典'!$B$8+'設定と出典'!$B$44*'設定と出典'!$B$9)*'設定と出典'!$B$12*'設定と出典'!$B$6</x:f>
        <x:v>2781.5400000000004</x:v>
      </x:c>
      <x:c r="X17" s="7" t="n">
        <x:f>N17*I17*'設定と出典'!$B$37*('設定と出典'!$B$45*'設定と出典'!$B$8+'設定と出典'!$B$46*'設定と出典'!$B$9)*'設定と出典'!$B$12*'設定と出典'!$B$6</x:f>
        <x:v>72.72</x:v>
      </x:c>
      <x:c r="Y17" s="7" t="n">
        <x:f>MAX(0,S17*('設定と出典'!$B$13*'設定と出典'!$B$8+'設定と出典'!$B$14*'設定と出典'!$B$9)-MIN(S17,'設定と出典'!$B$7*86400*'設定と出典'!$B$15)*('設定と出典'!$B$13*'設定と出典'!$B$10+'設定と出典'!$B$14*'設定と出典'!$B$11))*'設定と出典'!$B$12*'設定と出典'!$B$6</x:f>
        <x:v>2321.9999999999995</x:v>
      </x:c>
      <x:c r="Z17" s="7" t="n">
        <x:f>O17*('設定と出典'!$B$41*'設定と出典'!$B$18+('設定と出典'!$B$42+I17)*'設定と出典'!$B$19)/1000*'設定と出典'!$B$6</x:f>
        <x:v>118.80000000000001</x:v>
      </x:c>
      <x:c r="AA17" s="7" t="n">
        <x:f>N17*(1+J17)*'設定と出典'!$B$21</x:f>
        <x:v>14000</x:v>
      </x:c>
      <x:c r="AB17" s="7" t="n">
        <x:f>N17*'設定と出典'!$B$40/1048576*'設定と出典'!$B$20*'設定と出典'!$B$6+N17*'設定と出典'!$B$39/1000000*'設定と出典'!$B$38*'設定と出典'!$B$6</x:f>
        <x:v>53.532275390625</x:v>
      </x:c>
      <x:c r="AC17" s="7" t="n">
        <x:f>R17*'設定と出典'!$B$16*'設定と出典'!$B$6</x:f>
        <x:v>20507.8125</x:v>
      </x:c>
      <x:c r="AD17" s="7" t="n">
        <x:f>Q17*'設定と出典'!$B$17*'設定と出典'!$B$6</x:f>
        <x:v>210937.5</x:v>
      </x:c>
      <x:c r="AE17" s="7" t="n">
        <x:f>'設定と出典'!B63</x:f>
        <x:v>13999.2</x:v>
      </x:c>
      <x:c r="AF17" s="7" t="n">
        <x:f>SUM(U17:AE17)</x:f>
        <x:v>270793.10477539065</x:v>
      </x:c>
      <x:c r="AG17" s="7" t="n">
        <x:f>T17*'設定と出典'!$B$28</x:f>
        <x:v>10800</x:v>
      </x:c>
      <x:c r="AH17" s="7" t="n">
        <x:f>(A17*L17+M17*'設定と出典'!$B$31)/60*'設定と出典'!$B$29</x:f>
        <x:v>136666.66666666666</x:v>
      </x:c>
      <x:c r="AI17" s="7" t="n">
        <x:f>'設定と出典'!$B$30*'設定と出典'!$B$29</x:f>
        <x:v>8000</x:v>
      </x:c>
      <x:c r="AJ17" s="7" t="n">
        <x:f>T17-SUM(AF17:AI17)</x:f>
        <x:v>-126259.77144205733</x:v>
      </x:c>
      <x:c r="AK17" s="7" t="n">
        <x:f>AJ17-T17*'設定と出典'!$B$32</x:f>
        <x:v>-276259.77144205733</x:v>
      </x:c>
      <x:c r="AL17" s="7" t="n">
        <x:f>AJ17-A17*MIN(E17,AV17)*'設定と出典'!$B$32</x:f>
        <x:v>-176259.77144205733</x:v>
      </x:c>
      <x:c r="AM17" s="8" t="n">
        <x:f>AJ17/T17</x:f>
        <x:v>-0.42086590480685776</x:v>
      </x:c>
      <x:c r="AN17" s="8" t="n">
        <x:f>AK17/T17</x:f>
        <x:v>-0.9208659048068578</x:v>
      </x:c>
      <x:c r="AO17" s="8" t="n">
        <x:f>AJ17/T17</x:f>
        <x:v>-0.42086590480685776</x:v>
      </x:c>
      <x:c r="AP17" s="8" t="n">
        <x:f>AO17-'設定と出典'!$B$33</x:f>
        <x:v>-0.6208659048068578</x:v>
      </x:c>
      <x:c r="AQ17" s="9" t="n">
        <x:f>SUM(W17:AD17)/N17</x:f>
        <x:v>6.269847619384766</x:v>
      </x:c>
      <x:c r="AR17" s="9" t="n">
        <x:f>MAX(0,(E17*(1-'設定と出典'!$B$28-'設定と出典'!$B$32)-(U17+V17+AH17+AI17+AE17)/A17)/AQ17)</x:f>
        <x:v>0</x:v>
      </x:c>
      <x:c r="AS17" s="9" t="n">
        <x:f>MAX(0,(E17*(1-'設定と出典'!$B$28 )-(U17+V17+AH17+AI17+AE17)/A17)/AQ17)</x:f>
        <x:v>198.6238596107274</x:v>
      </x:c>
      <x:c r="AT17" s="9" t="n">
        <x:f>MAX(0,(E17*(1-'設定と出典'!$B$28)-MIN(E17,AV17)*'設定と出典'!$B$32-(U17+V17+AH17+AI17+AE17)/A17)/AQ17)</x:f>
        <x:v>118.87710492818492</x:v>
      </x:c>
      <x:c r="AU17" s="9" t="str">
        <x:f>IF((T17*(1-'設定と出典'!$B$28-'設定と出典'!$B$32)-(AF17-AE17)-AH17)&lt;=0,"成立せず",(AE17+AI17)/((T17*(1-'設定と出典'!$B$28-'設定と出典'!$B$32)-(AF17-AE17)-AH17)/A17))</x:f>
        <x:v>成立せず</x:v>
      </x:c>
      <x:c r="AV17" s="9" t="n">
        <x:f>'設定と出典'!D51</x:f>
        <x:v>1000</x:v>
      </x:c>
      <x:c r="AW17" s="9" t="n">
        <x:f>IF(1-'設定と出典'!$B$28-'設定と出典'!$B$32-'設定と出典'!$B$33&lt;=0,0,MAX(0,MIN(E17,(AK17/A17-E17*'設定と出典'!$B$33)/(1-'設定と出典'!$B$28-'設定と出典'!$B$32-'設定と出典'!$B$33))))</x:f>
        <x:v>0</x:v>
      </x:c>
      <x:c r="AX17" s="1"/>
      <x:c r="AY17" s="1"/>
      <x:c r="AZ17" s="1"/>
      <x:c r="BA17" s="1"/>
    </x:row>
    <x:row r="18" ht="22" customHeight="1">
      <x:c r="A18" s="1" t="n">
        <x:v>100</x:v>
      </x:c>
      <x:c r="B18" s="1" t="str">
        <x:f>'設定と出典'!A52</x:f>
        <x:v>Business</x:v>
      </x:c>
      <x:c r="C18" s="1" t="str">
        <x:f>'設定と出典'!A57</x:f>
        <x:v>低位</x:v>
      </x:c>
      <x:c r="D18" s="1" t="n">
        <x:f>'設定と出典'!B52</x:f>
        <x:v>20</x:v>
      </x:c>
      <x:c r="E18" s="1" t="n">
        <x:f>'設定と出典'!C52</x:f>
        <x:v>5000</x:v>
      </x:c>
      <x:c r="F18" s="1" t="n">
        <x:f>'設定と出典'!B57</x:f>
        <x:v>5</x:v>
      </x:c>
      <x:c r="G18" s="1" t="n">
        <x:f>'設定と出典'!C57</x:f>
        <x:v>1</x:v>
      </x:c>
      <x:c r="H18" s="1" t="n">
        <x:f>'設定と出典'!D57</x:f>
        <x:v>2</x:v>
      </x:c>
      <x:c r="I18" s="1" t="n">
        <x:f>'設定と出典'!E57</x:f>
        <x:v>1</x:v>
      </x:c>
      <x:c r="J18" s="1" t="n">
        <x:f>'設定と出典'!F57</x:f>
        <x:v>1.1</x:v>
      </x:c>
      <x:c r="K18" s="1" t="n">
        <x:f>'設定と出典'!G57</x:f>
        <x:v>1</x:v>
      </x:c>
      <x:c r="L18" s="1" t="n">
        <x:f>'設定と出典'!H57</x:f>
        <x:v>3</x:v>
      </x:c>
      <x:c r="M18" s="1" t="n">
        <x:f>A18*D18</x:f>
        <x:v>2000</x:v>
      </x:c>
      <x:c r="N18" s="1" t="n">
        <x:f>M18*F18</x:f>
        <x:v>10000</x:v>
      </x:c>
      <x:c r="O18" s="1" t="n">
        <x:f>N18*G18</x:f>
        <x:v>10000</x:v>
      </x:c>
      <x:c r="P18" s="1" t="n">
        <x:f>O18*H18/1024</x:f>
        <x:v>19.53125</x:v>
      </x:c>
      <x:c r="Q18" s="1" t="n">
        <x:f>P18*I18</x:f>
        <x:v>19.53125</x:v>
      </x:c>
      <x:c r="R18" s="1" t="n">
        <x:f>P18*('設定と出典'!$B$34+'設定と出典'!$B$35)/'設定と出典'!$B$7</x:f>
        <x:v>18.229166666666668</x:v>
      </x:c>
      <x:c r="S18" s="1" t="n">
        <x:f>O18*K18</x:f>
        <x:v>10000</x:v>
      </x:c>
      <x:c r="T18" s="7" t="n">
        <x:f>A18*E18</x:f>
        <x:v>500000</x:v>
      </x:c>
      <x:c r="U18" s="7" t="n">
        <x:f>A18*'設定と出典'!$B$26</x:f>
        <x:v>5000</x:v>
      </x:c>
      <x:c r="V18" s="7" t="n">
        <x:f>M18*'設定と出典'!$B$27</x:f>
        <x:v>4000</x:v>
      </x:c>
      <x:c r="W18" s="7" t="n">
        <x:f>(N18*'設定と出典'!$B$36+S18)*('設定と出典'!$B$43*'設定と出典'!$B$8+'設定と出典'!$B$44*'設定と出典'!$B$9)*'設定と出典'!$B$12*'設定と出典'!$B$6</x:f>
        <x:v>59.084999999999994</x:v>
      </x:c>
      <x:c r="X18" s="7" t="n">
        <x:f>N18*I18*'設定と出典'!$B$37*('設定と出典'!$B$45*'設定と出典'!$B$8+'設定と出典'!$B$46*'設定と出典'!$B$9)*'設定と出典'!$B$12*'設定と出典'!$B$6</x:f>
        <x:v>9.09</x:v>
      </x:c>
      <x:c r="Y18" s="7" t="n">
        <x:f>MAX(0,S18*('設定と出典'!$B$13*'設定と出典'!$B$8+'設定と出典'!$B$14*'設定と出典'!$B$9)-MIN(S18,'設定と出典'!$B$7*86400*'設定と出典'!$B$15)*('設定と出典'!$B$13*'設定と出典'!$B$10+'設定と出典'!$B$14*'設定と出典'!$B$11))*'設定と出典'!$B$12*'設定と出典'!$B$6</x:f>
        <x:v>38.699999999999996</x:v>
      </x:c>
      <x:c r="Z18" s="7" t="n">
        <x:f>O18*('設定と出典'!$B$41*'設定と出典'!$B$18+('設定と出典'!$B$42+I18)*'設定と出典'!$B$19)/1000*'設定と出典'!$B$6</x:f>
        <x:v>9.3</x:v>
      </x:c>
      <x:c r="AA18" s="7" t="n">
        <x:f>N18*(1+J18)*'設定と出典'!$B$21</x:f>
        <x:v>2100</x:v>
      </x:c>
      <x:c r="AB18" s="7" t="n">
        <x:f>N18*'設定と出典'!$B$40/1048576*'設定と出典'!$B$20*'設定と出典'!$B$6+N18*'設定と出典'!$B$39/1000000*'設定と出典'!$B$38*'設定と出典'!$B$6</x:f>
        <x:v>13.38306884765625</x:v>
      </x:c>
      <x:c r="AC18" s="7" t="n">
        <x:f>R18*'設定と出典'!$B$16*'設定と出典'!$B$6</x:f>
        <x:v>68.35937500000001</x:v>
      </x:c>
      <x:c r="AD18" s="7" t="n">
        <x:f>Q18*'設定と出典'!$B$17*'設定と出典'!$B$6</x:f>
        <x:v>351.5625</x:v>
      </x:c>
      <x:c r="AE18" s="7" t="n">
        <x:f>'設定と出典'!B63</x:f>
        <x:v>13999.2</x:v>
      </x:c>
      <x:c r="AF18" s="7" t="n">
        <x:f>SUM(U18:AE18)</x:f>
        <x:v>25648.679943847656</x:v>
      </x:c>
      <x:c r="AG18" s="7" t="n">
        <x:f>T18*'設定と出典'!$B$28</x:f>
        <x:v>18000</x:v>
      </x:c>
      <x:c r="AH18" s="7" t="n">
        <x:f>(A18*L18+M18*'設定と出典'!$B$31)/60*'設定と出典'!$B$29</x:f>
        <x:v>33333.333333333336</x:v>
      </x:c>
      <x:c r="AI18" s="7" t="n">
        <x:f>'設定と出典'!$B$30*'設定と出典'!$B$29</x:f>
        <x:v>8000</x:v>
      </x:c>
      <x:c r="AJ18" s="7" t="n">
        <x:f>T18-SUM(AF18:AI18)</x:f>
        <x:v>415017.98672281904</x:v>
      </x:c>
      <x:c r="AK18" s="7" t="n">
        <x:f>AJ18-T18*'設定と出典'!$B$32</x:f>
        <x:v>165017.98672281904</x:v>
      </x:c>
      <x:c r="AL18" s="7" t="n">
        <x:f>AJ18-A18*MIN(E18,AV18)*'設定と出典'!$B$32</x:f>
        <x:v>365017.98672281904</x:v>
      </x:c>
      <x:c r="AM18" s="8" t="n">
        <x:f>AJ18/T18</x:f>
        <x:v>0.8300359734456381</x:v>
      </x:c>
      <x:c r="AN18" s="8" t="n">
        <x:f>AK18/T18</x:f>
        <x:v>0.33003597344563806</x:v>
      </x:c>
      <x:c r="AO18" s="8" t="n">
        <x:f>AJ18/T18</x:f>
        <x:v>0.8300359734456381</x:v>
      </x:c>
      <x:c r="AP18" s="8" t="n">
        <x:f>AO18-'設定と出典'!$B$33</x:f>
        <x:v>0.630035973445638</x:v>
      </x:c>
      <x:c r="AQ18" s="9" t="n">
        <x:f>SUM(W18:AD18)/N18</x:f>
        <x:v>0.2649479943847657</x:v>
      </x:c>
      <x:c r="AR18" s="9" t="n">
        <x:f>MAX(0,(E18*(1-'設定と出典'!$B$28-'設定と出典'!$B$32)-(U18+V18+AH18+AI18+AE18)/A18)/AQ18)</x:f>
        <x:v>6328.316130718648</x:v>
      </x:c>
      <x:c r="AS18" s="9" t="n">
        <x:f>MAX(0,(E18*(1-'設定と出典'!$B$28 )-(U18+V18+AH18+AI18+AE18)/A18)/AQ18)</x:f>
        <x:v>15764.130150769024</x:v>
      </x:c>
      <x:c r="AT18" s="9" t="n">
        <x:f>MAX(0,(E18*(1-'設定と出典'!$B$28)-MIN(E18,AV18)*'設定と出典'!$B$32-(U18+V18+AH18+AI18+AE18)/A18)/AQ18)</x:f>
        <x:v>13876.96734675895</x:v>
      </x:c>
      <x:c r="AU18" s="9" t="n">
        <x:f>IF((T18*(1-'設定と出典'!$B$28-'設定と出典'!$B$32)-(AF18-AE18)-AH18)&lt;=0,"成立せず",(AE18+AI18)/((T18*(1-'設定と出典'!$B$28-'設定と出典'!$B$32)-(AF18-AE18)-AH18)/A18))</x:f>
        <x:v>11.76319694756469</x:v>
      </x:c>
      <x:c r="AV18" s="9" t="n">
        <x:f>'設定と出典'!D52</x:f>
        <x:v>1000</x:v>
      </x:c>
      <x:c r="AW18" s="9" t="n">
        <x:f>IF(1-'設定と出典'!$B$28-'設定と出典'!$B$32-'設定と出典'!$B$33&lt;=0,0,MAX(0,MIN(E18,(AK18/A18-E18*'設定と出典'!$B$33)/(1-'設定と出典'!$B$28-'設定と出典'!$B$32-'設定と出典'!$B$33))))</x:f>
        <x:v>2462.8025273795097</x:v>
      </x:c>
      <x:c r="AX18" s="1"/>
      <x:c r="AY18" s="1"/>
      <x:c r="AZ18" s="1"/>
      <x:c r="BA18" s="1"/>
    </x:row>
    <x:row r="19" ht="22" customHeight="1">
      <x:c r="A19" s="1" t="n">
        <x:v>100</x:v>
      </x:c>
      <x:c r="B19" s="1" t="str">
        <x:f>'設定と出典'!A52</x:f>
        <x:v>Business</x:v>
      </x:c>
      <x:c r="C19" s="1" t="str">
        <x:f>'設定と出典'!A58</x:f>
        <x:v>標準</x:v>
      </x:c>
      <x:c r="D19" s="1" t="n">
        <x:f>'設定と出典'!B52</x:f>
        <x:v>20</x:v>
      </x:c>
      <x:c r="E19" s="1" t="n">
        <x:f>'設定と出典'!C52</x:f>
        <x:v>5000</x:v>
      </x:c>
      <x:c r="F19" s="1" t="n">
        <x:f>'設定と出典'!B58</x:f>
        <x:v>20</x:v>
      </x:c>
      <x:c r="G19" s="1" t="n">
        <x:f>'設定と出典'!C58</x:f>
        <x:v>2</x:v>
      </x:c>
      <x:c r="H19" s="1" t="n">
        <x:f>'設定と出典'!D58</x:f>
        <x:v>10</x:v>
      </x:c>
      <x:c r="I19" s="1" t="n">
        <x:f>'設定と出典'!E58</x:f>
        <x:v>1.5</x:v>
      </x:c>
      <x:c r="J19" s="1" t="n">
        <x:f>'設定と出典'!F58</x:f>
        <x:v>1.8</x:v>
      </x:c>
      <x:c r="K19" s="1" t="n">
        <x:f>'設定と出典'!G58</x:f>
        <x:v>2</x:v>
      </x:c>
      <x:c r="L19" s="1" t="n">
        <x:f>'設定と出典'!H58</x:f>
        <x:v>8</x:v>
      </x:c>
      <x:c r="M19" s="1" t="n">
        <x:f>A19*D19</x:f>
        <x:v>2000</x:v>
      </x:c>
      <x:c r="N19" s="1" t="n">
        <x:f>M19*F19</x:f>
        <x:v>40000</x:v>
      </x:c>
      <x:c r="O19" s="1" t="n">
        <x:f>N19*G19</x:f>
        <x:v>80000</x:v>
      </x:c>
      <x:c r="P19" s="1" t="n">
        <x:f>O19*H19/1024</x:f>
        <x:v>781.25</x:v>
      </x:c>
      <x:c r="Q19" s="1" t="n">
        <x:f>P19*I19</x:f>
        <x:v>1171.875</x:v>
      </x:c>
      <x:c r="R19" s="1" t="n">
        <x:f>P19*('設定と出典'!$B$34+'設定と出典'!$B$35)/'設定と出典'!$B$7</x:f>
        <x:v>729.1666666666666</x:v>
      </x:c>
      <x:c r="S19" s="1" t="n">
        <x:f>O19*K19</x:f>
        <x:v>160000</x:v>
      </x:c>
      <x:c r="T19" s="7" t="n">
        <x:f>A19*E19</x:f>
        <x:v>500000</x:v>
      </x:c>
      <x:c r="U19" s="7" t="n">
        <x:f>A19*'設定と出典'!$B$26</x:f>
        <x:v>5000</x:v>
      </x:c>
      <x:c r="V19" s="7" t="n">
        <x:f>M19*'設定と出典'!$B$27</x:f>
        <x:v>4000</x:v>
      </x:c>
      <x:c r="W19" s="7" t="n">
        <x:f>(N19*'設定と出典'!$B$36+S19)*('設定と出典'!$B$43*'設定と出典'!$B$8+'設定と出典'!$B$44*'設定と出典'!$B$9)*'設定と出典'!$B$12*'設定と出典'!$B$6</x:f>
        <x:v>781.74</x:v>
      </x:c>
      <x:c r="X19" s="7" t="n">
        <x:f>N19*I19*'設定と出典'!$B$37*('設定と出典'!$B$45*'設定と出典'!$B$8+'設定と出典'!$B$46*'設定と出典'!$B$9)*'設定と出典'!$B$12*'設定と出典'!$B$6</x:f>
        <x:v>54.54</x:v>
      </x:c>
      <x:c r="Y19" s="7" t="n">
        <x:f>MAX(0,S19*('設定と出典'!$B$13*'設定と出典'!$B$8+'設定と出典'!$B$14*'設定と出典'!$B$9)-MIN(S19,'設定と出典'!$B$7*86400*'設定と出典'!$B$15)*('設定と出典'!$B$13*'設定と出典'!$B$10+'設定と出典'!$B$14*'設定と出典'!$B$11))*'設定と出典'!$B$12*'設定と出典'!$B$6</x:f>
        <x:v>619.1999999999999</x:v>
      </x:c>
      <x:c r="Z19" s="7" t="n">
        <x:f>O19*('設定と出典'!$B$41*'設定と出典'!$B$18+('設定と出典'!$B$42+I19)*'設定と出典'!$B$19)/1000*'設定と出典'!$B$6</x:f>
        <x:v>76.8</x:v>
      </x:c>
      <x:c r="AA19" s="7" t="n">
        <x:f>N19*(1+J19)*'設定と出典'!$B$21</x:f>
        <x:v>11200</x:v>
      </x:c>
      <x:c r="AB19" s="7" t="n">
        <x:f>N19*'設定と出典'!$B$40/1048576*'設定と出典'!$B$20*'設定と出典'!$B$6+N19*'設定と出典'!$B$39/1000000*'設定と出典'!$B$38*'設定と出典'!$B$6</x:f>
        <x:v>53.532275390625</x:v>
      </x:c>
      <x:c r="AC19" s="7" t="n">
        <x:f>R19*'設定と出典'!$B$16*'設定と出典'!$B$6</x:f>
        <x:v>2734.375</x:v>
      </x:c>
      <x:c r="AD19" s="7" t="n">
        <x:f>Q19*'設定と出典'!$B$17*'設定と出典'!$B$6</x:f>
        <x:v>21093.75</x:v>
      </x:c>
      <x:c r="AE19" s="7" t="n">
        <x:f>'設定と出典'!B63</x:f>
        <x:v>13999.2</x:v>
      </x:c>
      <x:c r="AF19" s="7" t="n">
        <x:f>SUM(U19:AE19)</x:f>
        <x:v>59613.13727539062</x:v>
      </x:c>
      <x:c r="AG19" s="7" t="n">
        <x:f>T19*'設定と出典'!$B$28</x:f>
        <x:v>18000</x:v>
      </x:c>
      <x:c r="AH19" s="7" t="n">
        <x:f>(A19*L19+M19*'設定と出典'!$B$31)/60*'設定と出典'!$B$29</x:f>
        <x:v>66666.66666666667</x:v>
      </x:c>
      <x:c r="AI19" s="7" t="n">
        <x:f>'設定と出典'!$B$30*'設定と出典'!$B$29</x:f>
        <x:v>8000</x:v>
      </x:c>
      <x:c r="AJ19" s="7" t="n">
        <x:f>T19-SUM(AF19:AI19)</x:f>
        <x:v>347720.1960579427</x:v>
      </x:c>
      <x:c r="AK19" s="7" t="n">
        <x:f>AJ19-T19*'設定と出典'!$B$32</x:f>
        <x:v>97720.1960579427</x:v>
      </x:c>
      <x:c r="AL19" s="7" t="n">
        <x:f>AJ19-A19*MIN(E19,AV19)*'設定と出典'!$B$32</x:f>
        <x:v>297720.1960579427</x:v>
      </x:c>
      <x:c r="AM19" s="8" t="n">
        <x:f>AJ19/T19</x:f>
        <x:v>0.6954403921158854</x:v>
      </x:c>
      <x:c r="AN19" s="8" t="n">
        <x:f>AK19/T19</x:f>
        <x:v>0.1954403921158854</x:v>
      </x:c>
      <x:c r="AO19" s="8" t="n">
        <x:f>AJ19/T19</x:f>
        <x:v>0.6954403921158854</x:v>
      </x:c>
      <x:c r="AP19" s="8" t="n">
        <x:f>AO19-'設定と出典'!$B$33</x:f>
        <x:v>0.49544039211588536</x:v>
      </x:c>
      <x:c r="AQ19" s="9" t="n">
        <x:f>SUM(W19:AD19)/N19</x:f>
        <x:v>0.9153484318847657</x:v>
      </x:c>
      <x:c r="AR19" s="9" t="n">
        <x:f>MAX(0,(E19*(1-'設定と出典'!$B$28-'設定と出典'!$B$32)-(U19+V19+AH19+AI19+AE19)/A19)/AQ19)</x:f>
        <x:v>1467.5737528356285</x:v>
      </x:c>
      <x:c r="AS19" s="9" t="n">
        <x:f>MAX(0,(E19*(1-'設定と出典'!$B$28 )-(U19+V19+AH19+AI19+AE19)/A19)/AQ19)</x:f>
        <x:v>4198.774149227118</x:v>
      </x:c>
      <x:c r="AT19" s="9" t="n">
        <x:f>MAX(0,(E19*(1-'設定と出典'!$B$28)-MIN(E19,AV19)*'設定と出典'!$B$32-(U19+V19+AH19+AI19+AE19)/A19)/AQ19)</x:f>
        <x:v>3652.5340699488197</x:v>
      </x:c>
      <x:c r="AU19" s="9" t="n">
        <x:f>IF((T19*(1-'設定と出典'!$B$28-'設定と出典'!$B$32)-(AF19-AE19)-AH19)&lt;=0,"成立せず",(AE19+AI19)/((T19*(1-'設定と出典'!$B$28-'設定と出典'!$B$32)-(AF19-AE19)-AH19)/A19))</x:f>
        <x:v>18.375635631633713</x:v>
      </x:c>
      <x:c r="AV19" s="9" t="n">
        <x:f>'設定と出典'!D52</x:f>
        <x:v>1000</x:v>
      </x:c>
      <x:c r="AW19" s="9" t="n">
        <x:f>IF(1-'設定と出典'!$B$28-'設定と出典'!$B$32-'設定と出典'!$B$33&lt;=0,0,MAX(0,MIN(E19,(AK19/A19-E19*'設定と出典'!$B$33)/(1-'設定と出典'!$B$28-'設定と出典'!$B$32-'設定と出典'!$B$33))))</x:f>
        <x:v>0</x:v>
      </x:c>
      <x:c r="AX19" s="1"/>
      <x:c r="AY19" s="1"/>
      <x:c r="AZ19" s="1"/>
      <x:c r="BA19" s="1"/>
    </x:row>
    <x:row r="20" ht="22" customHeight="1">
      <x:c r="A20" s="1" t="n">
        <x:v>100</x:v>
      </x:c>
      <x:c r="B20" s="1" t="str">
        <x:f>'設定と出典'!A52</x:f>
        <x:v>Business</x:v>
      </x:c>
      <x:c r="C20" s="1" t="str">
        <x:f>'設定と出典'!A59</x:f>
        <x:v>高位</x:v>
      </x:c>
      <x:c r="D20" s="1" t="n">
        <x:f>'設定と出典'!B52</x:f>
        <x:v>20</x:v>
      </x:c>
      <x:c r="E20" s="1" t="n">
        <x:f>'設定と出典'!C52</x:f>
        <x:v>5000</x:v>
      </x:c>
      <x:c r="F20" s="1" t="n">
        <x:f>'設定と出典'!B59</x:f>
        <x:v>80</x:v>
      </x:c>
      <x:c r="G20" s="1" t="n">
        <x:f>'設定と出典'!C59</x:f>
        <x:v>3</x:v>
      </x:c>
      <x:c r="H20" s="1" t="n">
        <x:f>'設定と出典'!D59</x:f>
        <x:v>50</x:v>
      </x:c>
      <x:c r="I20" s="1" t="n">
        <x:f>'設定と出典'!E59</x:f>
        <x:v>2</x:v>
      </x:c>
      <x:c r="J20" s="1" t="n">
        <x:f>'設定と出典'!F59</x:f>
        <x:v>2.5</x:v>
      </x:c>
      <x:c r="K20" s="1" t="n">
        <x:f>'設定と出典'!G59</x:f>
        <x:v>5</x:v>
      </x:c>
      <x:c r="L20" s="1" t="n">
        <x:f>'設定と出典'!H59</x:f>
        <x:v>20</x:v>
      </x:c>
      <x:c r="M20" s="1" t="n">
        <x:f>A20*D20</x:f>
        <x:v>2000</x:v>
      </x:c>
      <x:c r="N20" s="1" t="n">
        <x:f>M20*F20</x:f>
        <x:v>160000</x:v>
      </x:c>
      <x:c r="O20" s="1" t="n">
        <x:f>N20*G20</x:f>
        <x:v>480000</x:v>
      </x:c>
      <x:c r="P20" s="1" t="n">
        <x:f>O20*H20/1024</x:f>
        <x:v>23437.5</x:v>
      </x:c>
      <x:c r="Q20" s="1" t="n">
        <x:f>P20*I20</x:f>
        <x:v>46875</x:v>
      </x:c>
      <x:c r="R20" s="1" t="n">
        <x:f>P20*('設定と出典'!$B$34+'設定と出典'!$B$35)/'設定と出典'!$B$7</x:f>
        <x:v>21875</x:v>
      </x:c>
      <x:c r="S20" s="1" t="n">
        <x:f>O20*K20</x:f>
        <x:v>2400000</x:v>
      </x:c>
      <x:c r="T20" s="7" t="n">
        <x:f>A20*E20</x:f>
        <x:v>500000</x:v>
      </x:c>
      <x:c r="U20" s="7" t="n">
        <x:f>A20*'設定と出典'!$B$26</x:f>
        <x:v>5000</x:v>
      </x:c>
      <x:c r="V20" s="7" t="n">
        <x:f>M20*'設定と出典'!$B$27</x:f>
        <x:v>4000</x:v>
      </x:c>
      <x:c r="W20" s="7" t="n">
        <x:f>(N20*'設定と出典'!$B$36+S20)*('設定と出典'!$B$43*'設定と出典'!$B$8+'設定と出典'!$B$44*'設定と出典'!$B$9)*'設定と出典'!$B$12*'設定と出典'!$B$6</x:f>
        <x:v>11126.160000000002</x:v>
      </x:c>
      <x:c r="X20" s="7" t="n">
        <x:f>N20*I20*'設定と出典'!$B$37*('設定と出典'!$B$45*'設定と出典'!$B$8+'設定と出典'!$B$46*'設定と出典'!$B$9)*'設定と出典'!$B$12*'設定と出典'!$B$6</x:f>
        <x:v>290.88</x:v>
      </x:c>
      <x:c r="Y20" s="7" t="n">
        <x:f>MAX(0,S20*('設定と出典'!$B$13*'設定と出典'!$B$8+'設定と出典'!$B$14*'設定と出典'!$B$9)-MIN(S20,'設定と出典'!$B$7*86400*'設定と出典'!$B$15)*('設定と出典'!$B$13*'設定と出典'!$B$10+'設定と出典'!$B$14*'設定と出典'!$B$11))*'設定と出典'!$B$12*'設定と出典'!$B$6</x:f>
        <x:v>9287.999999999998</x:v>
      </x:c>
      <x:c r="Z20" s="7" t="n">
        <x:f>O20*('設定と出典'!$B$41*'設定と出典'!$B$18+('設定と出典'!$B$42+I20)*'設定と出典'!$B$19)/1000*'設定と出典'!$B$6</x:f>
        <x:v>475.20000000000005</x:v>
      </x:c>
      <x:c r="AA20" s="7" t="n">
        <x:f>N20*(1+J20)*'設定と出典'!$B$21</x:f>
        <x:v>56000</x:v>
      </x:c>
      <x:c r="AB20" s="7" t="n">
        <x:f>N20*'設定と出典'!$B$40/1048576*'設定と出典'!$B$20*'設定と出典'!$B$6+N20*'設定と出典'!$B$39/1000000*'設定と出典'!$B$38*'設定と出典'!$B$6</x:f>
        <x:v>214.1291015625</x:v>
      </x:c>
      <x:c r="AC20" s="7" t="n">
        <x:f>R20*'設定と出典'!$B$16*'設定と出典'!$B$6</x:f>
        <x:v>82031.25</x:v>
      </x:c>
      <x:c r="AD20" s="7" t="n">
        <x:f>Q20*'設定と出典'!$B$17*'設定と出典'!$B$6</x:f>
        <x:v>843750</x:v>
      </x:c>
      <x:c r="AE20" s="7" t="n">
        <x:f>'設定と出典'!B63</x:f>
        <x:v>13999.2</x:v>
      </x:c>
      <x:c r="AF20" s="7" t="n">
        <x:f>SUM(U20:AE20)</x:f>
        <x:v>1026174.8191015625</x:v>
      </x:c>
      <x:c r="AG20" s="7" t="n">
        <x:f>T20*'設定と出典'!$B$28</x:f>
        <x:v>18000</x:v>
      </x:c>
      <x:c r="AH20" s="7" t="n">
        <x:f>(A20*L20+M20*'設定と出典'!$B$31)/60*'設定と出典'!$B$29</x:f>
        <x:v>146666.66666666666</x:v>
      </x:c>
      <x:c r="AI20" s="7" t="n">
        <x:f>'設定と出典'!$B$30*'設定と出典'!$B$29</x:f>
        <x:v>8000</x:v>
      </x:c>
      <x:c r="AJ20" s="7" t="n">
        <x:f>T20-SUM(AF20:AI20)</x:f>
        <x:v>-698841.4857682292</x:v>
      </x:c>
      <x:c r="AK20" s="7" t="n">
        <x:f>AJ20-T20*'設定と出典'!$B$32</x:f>
        <x:v>-948841.4857682292</x:v>
      </x:c>
      <x:c r="AL20" s="7" t="n">
        <x:f>AJ20-A20*MIN(E20,AV20)*'設定と出典'!$B$32</x:f>
        <x:v>-748841.4857682292</x:v>
      </x:c>
      <x:c r="AM20" s="8" t="n">
        <x:f>AJ20/T20</x:f>
        <x:v>-1.3976829715364585</x:v>
      </x:c>
      <x:c r="AN20" s="8" t="n">
        <x:f>AK20/T20</x:f>
        <x:v>-1.8976829715364585</x:v>
      </x:c>
      <x:c r="AO20" s="8" t="n">
        <x:f>AJ20/T20</x:f>
        <x:v>-1.3976829715364585</x:v>
      </x:c>
      <x:c r="AP20" s="8" t="n">
        <x:f>AO20-'設定と出典'!$B$33</x:f>
        <x:v>-1.5976829715364584</x:v>
      </x:c>
      <x:c r="AQ20" s="9" t="n">
        <x:f>SUM(W20:AD20)/N20</x:f>
        <x:v>6.269847619384766</x:v>
      </x:c>
      <x:c r="AR20" s="9" t="n">
        <x:f>MAX(0,(E20*(1-'設定と出典'!$B$28-'設定と出典'!$B$32)-(U20+V20+AH20+AI20+AE20)/A20)/AQ20)</x:f>
        <x:v>86.65941603643776</x:v>
      </x:c>
      <x:c r="AS20" s="9" t="n">
        <x:f>MAX(0,(E20*(1-'設定と出典'!$B$28 )-(U20+V20+AH20+AI20+AE20)/A20)/AQ20)</x:f>
        <x:v>485.3931894491502</x:v>
      </x:c>
      <x:c r="AT20" s="9" t="n">
        <x:f>MAX(0,(E20*(1-'設定と出典'!$B$28)-MIN(E20,AV20)*'設定と出典'!$B$32-(U20+V20+AH20+AI20+AE20)/A20)/AQ20)</x:f>
        <x:v>405.64643476660774</x:v>
      </x:c>
      <x:c r="AU20" s="9" t="str">
        <x:f>IF((T20*(1-'設定と出典'!$B$28-'設定と出典'!$B$32)-(AF20-AE20)-AH20)&lt;=0,"成立せず",(AE20+AI20)/((T20*(1-'設定と出典'!$B$28-'設定と出典'!$B$32)-(AF20-AE20)-AH20)/A20))</x:f>
        <x:v>成立せず</x:v>
      </x:c>
      <x:c r="AV20" s="9" t="n">
        <x:f>'設定と出典'!D52</x:f>
        <x:v>1000</x:v>
      </x:c>
      <x:c r="AW20" s="9" t="n">
        <x:f>IF(1-'設定と出典'!$B$28-'設定と出典'!$B$32-'設定と出典'!$B$33&lt;=0,0,MAX(0,MIN(E20,(AK20/A20-E20*'設定と出典'!$B$33)/(1-'設定と出典'!$B$28-'設定と出典'!$B$32-'設定と出典'!$B$33))))</x:f>
        <x:v>0</x:v>
      </x:c>
      <x:c r="AX20" s="1"/>
      <x:c r="AY20" s="1"/>
      <x:c r="AZ20" s="1"/>
      <x:c r="BA20" s="1"/>
    </x:row>
    <x:row r="21" ht="22" customHeight="1">
      <x:c r="A21" s="1" t="n">
        <x:v>100</x:v>
      </x:c>
      <x:c r="B21" s="1" t="str">
        <x:f>'設定と出典'!A53</x:f>
        <x:v>Business Plus</x:v>
      </x:c>
      <x:c r="C21" s="1" t="str">
        <x:f>'設定と出典'!A57</x:f>
        <x:v>低位</x:v>
      </x:c>
      <x:c r="D21" s="1" t="n">
        <x:f>'設定と出典'!B53</x:f>
        <x:v>50</x:v>
      </x:c>
      <x:c r="E21" s="1" t="n">
        <x:f>'設定と出典'!C53</x:f>
        <x:v>8000</x:v>
      </x:c>
      <x:c r="F21" s="1" t="n">
        <x:f>'設定と出典'!B57</x:f>
        <x:v>5</x:v>
      </x:c>
      <x:c r="G21" s="1" t="n">
        <x:f>'設定と出典'!C57</x:f>
        <x:v>1</x:v>
      </x:c>
      <x:c r="H21" s="1" t="n">
        <x:f>'設定と出典'!D57</x:f>
        <x:v>2</x:v>
      </x:c>
      <x:c r="I21" s="1" t="n">
        <x:f>'設定と出典'!E57</x:f>
        <x:v>1</x:v>
      </x:c>
      <x:c r="J21" s="1" t="n">
        <x:f>'設定と出典'!F57</x:f>
        <x:v>1.1</x:v>
      </x:c>
      <x:c r="K21" s="1" t="n">
        <x:f>'設定と出典'!G57</x:f>
        <x:v>1</x:v>
      </x:c>
      <x:c r="L21" s="1" t="n">
        <x:f>'設定と出典'!H57</x:f>
        <x:v>3</x:v>
      </x:c>
      <x:c r="M21" s="1" t="n">
        <x:f>A21*D21</x:f>
        <x:v>5000</x:v>
      </x:c>
      <x:c r="N21" s="1" t="n">
        <x:f>M21*F21</x:f>
        <x:v>25000</x:v>
      </x:c>
      <x:c r="O21" s="1" t="n">
        <x:f>N21*G21</x:f>
        <x:v>25000</x:v>
      </x:c>
      <x:c r="P21" s="1" t="n">
        <x:f>O21*H21/1024</x:f>
        <x:v>48.828125</x:v>
      </x:c>
      <x:c r="Q21" s="1" t="n">
        <x:f>P21*I21</x:f>
        <x:v>48.828125</x:v>
      </x:c>
      <x:c r="R21" s="1" t="n">
        <x:f>P21*('設定と出典'!$B$34+'設定と出典'!$B$35)/'設定と出典'!$B$7</x:f>
        <x:v>45.572916666666664</x:v>
      </x:c>
      <x:c r="S21" s="1" t="n">
        <x:f>O21*K21</x:f>
        <x:v>25000</x:v>
      </x:c>
      <x:c r="T21" s="7" t="n">
        <x:f>A21*E21</x:f>
        <x:v>800000</x:v>
      </x:c>
      <x:c r="U21" s="7" t="n">
        <x:f>A21*'設定と出典'!$B$26</x:f>
        <x:v>5000</x:v>
      </x:c>
      <x:c r="V21" s="7" t="n">
        <x:f>M21*'設定と出典'!$B$27</x:f>
        <x:v>10000</x:v>
      </x:c>
      <x:c r="W21" s="7" t="n">
        <x:f>(N21*'設定と出典'!$B$36+S21)*('設定と出典'!$B$43*'設定と出典'!$B$8+'設定と出典'!$B$44*'設定と出典'!$B$9)*'設定と出典'!$B$12*'設定と出典'!$B$6</x:f>
        <x:v>147.7125</x:v>
      </x:c>
      <x:c r="X21" s="7" t="n">
        <x:f>N21*I21*'設定と出典'!$B$37*('設定と出典'!$B$45*'設定と出典'!$B$8+'設定と出典'!$B$46*'設定と出典'!$B$9)*'設定と出典'!$B$12*'設定と出典'!$B$6</x:f>
        <x:v>22.724999999999998</x:v>
      </x:c>
      <x:c r="Y21" s="7" t="n">
        <x:f>MAX(0,S21*('設定と出典'!$B$13*'設定と出典'!$B$8+'設定と出典'!$B$14*'設定と出典'!$B$9)-MIN(S21,'設定と出典'!$B$7*86400*'設定と出典'!$B$15)*('設定と出典'!$B$13*'設定と出典'!$B$10+'設定と出典'!$B$14*'設定と出典'!$B$11))*'設定と出典'!$B$12*'設定と出典'!$B$6</x:f>
        <x:v>96.74999999999999</x:v>
      </x:c>
      <x:c r="Z21" s="7" t="n">
        <x:f>O21*('設定と出典'!$B$41*'設定と出典'!$B$18+('設定と出典'!$B$42+I21)*'設定と出典'!$B$19)/1000*'設定と出典'!$B$6</x:f>
        <x:v>23.250000000000004</x:v>
      </x:c>
      <x:c r="AA21" s="7" t="n">
        <x:f>N21*(1+J21)*'設定と出典'!$B$21</x:f>
        <x:v>5250</x:v>
      </x:c>
      <x:c r="AB21" s="7" t="n">
        <x:f>N21*'設定と出典'!$B$40/1048576*'設定と出典'!$B$20*'設定と出典'!$B$6+N21*'設定と出典'!$B$39/1000000*'設定と出典'!$B$38*'設定と出典'!$B$6</x:f>
        <x:v>33.457672119140625</x:v>
      </x:c>
      <x:c r="AC21" s="7" t="n">
        <x:f>R21*'設定と出典'!$B$16*'設定と出典'!$B$6</x:f>
        <x:v>170.8984375</x:v>
      </x:c>
      <x:c r="AD21" s="7" t="n">
        <x:f>Q21*'設定と出典'!$B$17*'設定と出典'!$B$6</x:f>
        <x:v>878.90625</x:v>
      </x:c>
      <x:c r="AE21" s="7" t="n">
        <x:f>'設定と出典'!B63</x:f>
        <x:v>13999.2</x:v>
      </x:c>
      <x:c r="AF21" s="7" t="n">
        <x:f>SUM(U21:AE21)</x:f>
        <x:v>35622.89985961914</x:v>
      </x:c>
      <x:c r="AG21" s="7" t="n">
        <x:f>T21*'設定と出典'!$B$28</x:f>
        <x:v>28799.999999999996</x:v>
      </x:c>
      <x:c r="AH21" s="7" t="n">
        <x:f>(A21*L21+M21*'設定と出典'!$B$31)/60*'設定と出典'!$B$29</x:f>
        <x:v>53333.333333333336</x:v>
      </x:c>
      <x:c r="AI21" s="7" t="n">
        <x:f>'設定と出典'!$B$30*'設定と出典'!$B$29</x:f>
        <x:v>8000</x:v>
      </x:c>
      <x:c r="AJ21" s="7" t="n">
        <x:f>T21-SUM(AF21:AI21)</x:f>
        <x:v>674243.7668070475</x:v>
      </x:c>
      <x:c r="AK21" s="7" t="n">
        <x:f>AJ21-T21*'設定と出典'!$B$32</x:f>
        <x:v>274243.76680704753</x:v>
      </x:c>
      <x:c r="AL21" s="7" t="n">
        <x:f>AJ21-A21*MIN(E21,AV21)*'設定と出典'!$B$32</x:f>
        <x:v>624243.7668070475</x:v>
      </x:c>
      <x:c r="AM21" s="8" t="n">
        <x:f>AJ21/T21</x:f>
        <x:v>0.8428047085088094</x:v>
      </x:c>
      <x:c r="AN21" s="8" t="n">
        <x:f>AK21/T21</x:f>
        <x:v>0.3428047085088094</x:v>
      </x:c>
      <x:c r="AO21" s="8" t="n">
        <x:f>AJ21/T21</x:f>
        <x:v>0.8428047085088094</x:v>
      </x:c>
      <x:c r="AP21" s="8" t="n">
        <x:f>AO21-'設定と出典'!$B$33</x:f>
        <x:v>0.6428047085088093</x:v>
      </x:c>
      <x:c r="AQ21" s="9" t="n">
        <x:f>SUM(W21:AD21)/N21</x:f>
        <x:v>0.26494799438476563</x:v>
      </x:c>
      <x:c r="AR21" s="9" t="n">
        <x:f>MAX(0,(E21*(1-'設定と出典'!$B$28-'設定と出典'!$B$32)-(U21+V21+AH21+AI21+AE21)/A21)/AQ21)</x:f>
        <x:v>10600.852718997457</x:v>
      </x:c>
      <x:c r="AS21" s="9" t="n">
        <x:f>MAX(0,(E21*(1-'設定と出典'!$B$28 )-(U21+V21+AH21+AI21+AE21)/A21)/AQ21)</x:f>
        <x:v>25698.155151078063</x:v>
      </x:c>
      <x:c r="AT21" s="9" t="n">
        <x:f>MAX(0,(E21*(1-'設定と出典'!$B$28)-MIN(E21,AV21)*'設定と出典'!$B$32-(U21+V21+AH21+AI21+AE21)/A21)/AQ21)</x:f>
        <x:v>23810.99234706799</x:v>
      </x:c>
      <x:c r="AU21" s="9" t="n">
        <x:f>IF((T21*(1-'設定と出典'!$B$28-'設定と出典'!$B$32)-(AF21-AE21)-AH21)&lt;=0,"成立せず",(AE21+AI21)/((T21*(1-'設定と出典'!$B$28-'設定と出典'!$B$32)-(AF21-AE21)-AH21)/A21))</x:f>
        <x:v>7.426066595643021</x:v>
      </x:c>
      <x:c r="AV21" s="9" t="n">
        <x:f>'設定と出典'!D53</x:f>
        <x:v>1000</x:v>
      </x:c>
      <x:c r="AW21" s="9" t="n">
        <x:f>IF(1-'設定と出典'!$B$28-'設定と出典'!$B$32-'設定と出典'!$B$33&lt;=0,0,MAX(0,MIN(E21,(AK21/A21-E21*'設定と出典'!$B$33)/(1-'設定と出典'!$B$28-'設定と出典'!$B$32-'設定と出典'!$B$33))))</x:f>
        <x:v>4327.415409357862</x:v>
      </x:c>
      <x:c r="AX21" s="1"/>
      <x:c r="AY21" s="1"/>
      <x:c r="AZ21" s="1"/>
      <x:c r="BA21" s="1"/>
    </x:row>
    <x:row r="22" ht="22" customHeight="1">
      <x:c r="A22" s="1" t="n">
        <x:v>100</x:v>
      </x:c>
      <x:c r="B22" s="1" t="str">
        <x:f>'設定と出典'!A53</x:f>
        <x:v>Business Plus</x:v>
      </x:c>
      <x:c r="C22" s="1" t="str">
        <x:f>'設定と出典'!A58</x:f>
        <x:v>標準</x:v>
      </x:c>
      <x:c r="D22" s="1" t="n">
        <x:f>'設定と出典'!B53</x:f>
        <x:v>50</x:v>
      </x:c>
      <x:c r="E22" s="1" t="n">
        <x:f>'設定と出典'!C53</x:f>
        <x:v>8000</x:v>
      </x:c>
      <x:c r="F22" s="1" t="n">
        <x:f>'設定と出典'!B58</x:f>
        <x:v>20</x:v>
      </x:c>
      <x:c r="G22" s="1" t="n">
        <x:f>'設定と出典'!C58</x:f>
        <x:v>2</x:v>
      </x:c>
      <x:c r="H22" s="1" t="n">
        <x:f>'設定と出典'!D58</x:f>
        <x:v>10</x:v>
      </x:c>
      <x:c r="I22" s="1" t="n">
        <x:f>'設定と出典'!E58</x:f>
        <x:v>1.5</x:v>
      </x:c>
      <x:c r="J22" s="1" t="n">
        <x:f>'設定と出典'!F58</x:f>
        <x:v>1.8</x:v>
      </x:c>
      <x:c r="K22" s="1" t="n">
        <x:f>'設定と出典'!G58</x:f>
        <x:v>2</x:v>
      </x:c>
      <x:c r="L22" s="1" t="n">
        <x:f>'設定と出典'!H58</x:f>
        <x:v>8</x:v>
      </x:c>
      <x:c r="M22" s="1" t="n">
        <x:f>A22*D22</x:f>
        <x:v>5000</x:v>
      </x:c>
      <x:c r="N22" s="1" t="n">
        <x:f>M22*F22</x:f>
        <x:v>100000</x:v>
      </x:c>
      <x:c r="O22" s="1" t="n">
        <x:f>N22*G22</x:f>
        <x:v>200000</x:v>
      </x:c>
      <x:c r="P22" s="1" t="n">
        <x:f>O22*H22/1024</x:f>
        <x:v>1953.125</x:v>
      </x:c>
      <x:c r="Q22" s="1" t="n">
        <x:f>P22*I22</x:f>
        <x:v>2929.6875</x:v>
      </x:c>
      <x:c r="R22" s="1" t="n">
        <x:f>P22*('設定と出典'!$B$34+'設定と出典'!$B$35)/'設定と出典'!$B$7</x:f>
        <x:v>1822.9166666666667</x:v>
      </x:c>
      <x:c r="S22" s="1" t="n">
        <x:f>O22*K22</x:f>
        <x:v>400000</x:v>
      </x:c>
      <x:c r="T22" s="7" t="n">
        <x:f>A22*E22</x:f>
        <x:v>800000</x:v>
      </x:c>
      <x:c r="U22" s="7" t="n">
        <x:f>A22*'設定と出典'!$B$26</x:f>
        <x:v>5000</x:v>
      </x:c>
      <x:c r="V22" s="7" t="n">
        <x:f>M22*'設定と出典'!$B$27</x:f>
        <x:v>10000</x:v>
      </x:c>
      <x:c r="W22" s="7" t="n">
        <x:f>(N22*'設定と出典'!$B$36+S22)*('設定と出典'!$B$43*'設定と出典'!$B$8+'設定と出典'!$B$44*'設定と出典'!$B$9)*'設定と出典'!$B$12*'設定と出典'!$B$6</x:f>
        <x:v>1954.35</x:v>
      </x:c>
      <x:c r="X22" s="7" t="n">
        <x:f>N22*I22*'設定と出典'!$B$37*('設定と出典'!$B$45*'設定と出典'!$B$8+'設定と出典'!$B$46*'設定と出典'!$B$9)*'設定と出典'!$B$12*'設定と出典'!$B$6</x:f>
        <x:v>136.35</x:v>
      </x:c>
      <x:c r="Y22" s="7" t="n">
        <x:f>MAX(0,S22*('設定と出典'!$B$13*'設定と出典'!$B$8+'設定と出典'!$B$14*'設定と出典'!$B$9)-MIN(S22,'設定と出典'!$B$7*86400*'設定と出典'!$B$15)*('設定と出典'!$B$13*'設定と出典'!$B$10+'設定と出典'!$B$14*'設定と出典'!$B$11))*'設定と出典'!$B$12*'設定と出典'!$B$6</x:f>
        <x:v>1547.9999999999998</x:v>
      </x:c>
      <x:c r="Z22" s="7" t="n">
        <x:f>O22*('設定と出典'!$B$41*'設定と出典'!$B$18+('設定と出典'!$B$42+I22)*'設定と出典'!$B$19)/1000*'設定と出典'!$B$6</x:f>
        <x:v>192</x:v>
      </x:c>
      <x:c r="AA22" s="7" t="n">
        <x:f>N22*(1+J22)*'設定と出典'!$B$21</x:f>
        <x:v>28000</x:v>
      </x:c>
      <x:c r="AB22" s="7" t="n">
        <x:f>N22*'設定と出典'!$B$40/1048576*'設定と出典'!$B$20*'設定と出典'!$B$6+N22*'設定と出典'!$B$39/1000000*'設定と出典'!$B$38*'設定と出典'!$B$6</x:f>
        <x:v>133.8306884765625</x:v>
      </x:c>
      <x:c r="AC22" s="7" t="n">
        <x:f>R22*'設定と出典'!$B$16*'設定と出典'!$B$6</x:f>
        <x:v>6835.937500000001</x:v>
      </x:c>
      <x:c r="AD22" s="7" t="n">
        <x:f>Q22*'設定と出典'!$B$17*'設定と出典'!$B$6</x:f>
        <x:v>52734.375</x:v>
      </x:c>
      <x:c r="AE22" s="7" t="n">
        <x:f>'設定と出典'!B63</x:f>
        <x:v>13999.2</x:v>
      </x:c>
      <x:c r="AF22" s="7" t="n">
        <x:f>SUM(U22:AE22)</x:f>
        <x:v>120534.04318847656</x:v>
      </x:c>
      <x:c r="AG22" s="7" t="n">
        <x:f>T22*'設定と出典'!$B$28</x:f>
        <x:v>28799.999999999996</x:v>
      </x:c>
      <x:c r="AH22" s="7" t="n">
        <x:f>(A22*L22+M22*'設定と出典'!$B$31)/60*'設定と出典'!$B$29</x:f>
        <x:v>86666.66666666667</x:v>
      </x:c>
      <x:c r="AI22" s="7" t="n">
        <x:f>'設定と出典'!$B$30*'設定と出典'!$B$29</x:f>
        <x:v>8000</x:v>
      </x:c>
      <x:c r="AJ22" s="7" t="n">
        <x:f>T22-SUM(AF22:AI22)</x:f>
        <x:v>555999.2901448568</x:v>
      </x:c>
      <x:c r="AK22" s="7" t="n">
        <x:f>AJ22-T22*'設定と出典'!$B$32</x:f>
        <x:v>155999.2901448568</x:v>
      </x:c>
      <x:c r="AL22" s="7" t="n">
        <x:f>AJ22-A22*MIN(E22,AV22)*'設定と出典'!$B$32</x:f>
        <x:v>505999.2901448568</x:v>
      </x:c>
      <x:c r="AM22" s="8" t="n">
        <x:f>AJ22/T22</x:f>
        <x:v>0.694999112681071</x:v>
      </x:c>
      <x:c r="AN22" s="8" t="n">
        <x:f>AK22/T22</x:f>
        <x:v>0.19499911268107098</x:v>
      </x:c>
      <x:c r="AO22" s="8" t="n">
        <x:f>AJ22/T22</x:f>
        <x:v>0.694999112681071</x:v>
      </x:c>
      <x:c r="AP22" s="8" t="n">
        <x:f>AO22-'設定と出典'!$B$33</x:f>
        <x:v>0.49499911268107094</x:v>
      </x:c>
      <x:c r="AQ22" s="9" t="n">
        <x:f>SUM(W22:AD22)/N22</x:f>
        <x:v>0.9153484318847658</x:v>
      </x:c>
      <x:c r="AR22" s="9" t="n">
        <x:f>MAX(0,(E22*(1-'設定と出典'!$B$28-'設定と出典'!$B$32)-(U22+V22+AH22+AI22+AE22)/A22)/AQ22)</x:f>
        <x:v>2704.261292321694</x:v>
      </x:c>
      <x:c r="AS22" s="9" t="n">
        <x:f>MAX(0,(E22*(1-'設定と出典'!$B$28 )-(U22+V22+AH22+AI22+AE22)/A22)/AQ22)</x:f>
        <x:v>7074.181926548077</x:v>
      </x:c>
      <x:c r="AT22" s="9" t="n">
        <x:f>MAX(0,(E22*(1-'設定と出典'!$B$28)-MIN(E22,AV22)*'設定と出典'!$B$32-(U22+V22+AH22+AI22+AE22)/A22)/AQ22)</x:f>
        <x:v>6527.94184726978</x:v>
      </x:c>
      <x:c r="AU22" s="9" t="n">
        <x:f>IF((T22*(1-'設定と出典'!$B$28-'設定と出典'!$B$32)-(AF22-AE22)-AH22)&lt;=0,"成立せず",(AE22+AI22)/((T22*(1-'設定と出典'!$B$28-'設定と出典'!$B$32)-(AF22-AE22)-AH22)/A22))</x:f>
        <x:v>12.359205958486983</x:v>
      </x:c>
      <x:c r="AV22" s="9" t="n">
        <x:f>'設定と出典'!D53</x:f>
        <x:v>1000</x:v>
      </x:c>
      <x:c r="AW22" s="9" t="n">
        <x:f>IF(1-'設定と出典'!$B$28-'設定と出典'!$B$32-'設定と出典'!$B$33&lt;=0,0,MAX(0,MIN(E22,(AK22/A22-E22*'設定と出典'!$B$33)/(1-'設定と出典'!$B$28-'設定と出典'!$B$32-'設定と出典'!$B$33))))</x:f>
        <x:v>0</x:v>
      </x:c>
      <x:c r="AX22" s="1"/>
      <x:c r="AY22" s="1"/>
      <x:c r="AZ22" s="1"/>
      <x:c r="BA22" s="1"/>
    </x:row>
    <x:row r="23" ht="22" customHeight="1">
      <x:c r="A23" s="1" t="n">
        <x:v>100</x:v>
      </x:c>
      <x:c r="B23" s="1" t="str">
        <x:f>'設定と出典'!A53</x:f>
        <x:v>Business Plus</x:v>
      </x:c>
      <x:c r="C23" s="1" t="str">
        <x:f>'設定と出典'!A59</x:f>
        <x:v>高位</x:v>
      </x:c>
      <x:c r="D23" s="1" t="n">
        <x:f>'設定と出典'!B53</x:f>
        <x:v>50</x:v>
      </x:c>
      <x:c r="E23" s="1" t="n">
        <x:f>'設定と出典'!C53</x:f>
        <x:v>8000</x:v>
      </x:c>
      <x:c r="F23" s="1" t="n">
        <x:f>'設定と出典'!B59</x:f>
        <x:v>80</x:v>
      </x:c>
      <x:c r="G23" s="1" t="n">
        <x:f>'設定と出典'!C59</x:f>
        <x:v>3</x:v>
      </x:c>
      <x:c r="H23" s="1" t="n">
        <x:f>'設定と出典'!D59</x:f>
        <x:v>50</x:v>
      </x:c>
      <x:c r="I23" s="1" t="n">
        <x:f>'設定と出典'!E59</x:f>
        <x:v>2</x:v>
      </x:c>
      <x:c r="J23" s="1" t="n">
        <x:f>'設定と出典'!F59</x:f>
        <x:v>2.5</x:v>
      </x:c>
      <x:c r="K23" s="1" t="n">
        <x:f>'設定と出典'!G59</x:f>
        <x:v>5</x:v>
      </x:c>
      <x:c r="L23" s="1" t="n">
        <x:f>'設定と出典'!H59</x:f>
        <x:v>20</x:v>
      </x:c>
      <x:c r="M23" s="1" t="n">
        <x:f>A23*D23</x:f>
        <x:v>5000</x:v>
      </x:c>
      <x:c r="N23" s="1" t="n">
        <x:f>M23*F23</x:f>
        <x:v>400000</x:v>
      </x:c>
      <x:c r="O23" s="1" t="n">
        <x:f>N23*G23</x:f>
        <x:v>1200000</x:v>
      </x:c>
      <x:c r="P23" s="1" t="n">
        <x:f>O23*H23/1024</x:f>
        <x:v>58593.75</x:v>
      </x:c>
      <x:c r="Q23" s="1" t="n">
        <x:f>P23*I23</x:f>
        <x:v>117187.5</x:v>
      </x:c>
      <x:c r="R23" s="1" t="n">
        <x:f>P23*('設定と出典'!$B$34+'設定と出典'!$B$35)/'設定と出典'!$B$7</x:f>
        <x:v>54687.5</x:v>
      </x:c>
      <x:c r="S23" s="1" t="n">
        <x:f>O23*K23</x:f>
        <x:v>6000000</x:v>
      </x:c>
      <x:c r="T23" s="7" t="n">
        <x:f>A23*E23</x:f>
        <x:v>800000</x:v>
      </x:c>
      <x:c r="U23" s="7" t="n">
        <x:f>A23*'設定と出典'!$B$26</x:f>
        <x:v>5000</x:v>
      </x:c>
      <x:c r="V23" s="7" t="n">
        <x:f>M23*'設定と出典'!$B$27</x:f>
        <x:v>10000</x:v>
      </x:c>
      <x:c r="W23" s="7" t="n">
        <x:f>(N23*'設定と出典'!$B$36+S23)*('設定と出典'!$B$43*'設定と出典'!$B$8+'設定と出典'!$B$44*'設定と出典'!$B$9)*'設定と出典'!$B$12*'設定と出典'!$B$6</x:f>
        <x:v>27815.4</x:v>
      </x:c>
      <x:c r="X23" s="7" t="n">
        <x:f>N23*I23*'設定と出典'!$B$37*('設定と出典'!$B$45*'設定と出典'!$B$8+'設定と出典'!$B$46*'設定と出典'!$B$9)*'設定と出典'!$B$12*'設定と出典'!$B$6</x:f>
        <x:v>727.1999999999999</x:v>
      </x:c>
      <x:c r="Y23" s="7" t="n">
        <x:f>MAX(0,S23*('設定と出典'!$B$13*'設定と出典'!$B$8+'設定と出典'!$B$14*'設定と出典'!$B$9)-MIN(S23,'設定と出典'!$B$7*86400*'設定と出典'!$B$15)*('設定と出典'!$B$13*'設定と出典'!$B$10+'設定と出典'!$B$14*'設定と出典'!$B$11))*'設定と出典'!$B$12*'設定と出典'!$B$6</x:f>
        <x:v>27820.800000000003</x:v>
      </x:c>
      <x:c r="Z23" s="7" t="n">
        <x:f>O23*('設定と出典'!$B$41*'設定と出典'!$B$18+('設定と出典'!$B$42+I23)*'設定と出典'!$B$19)/1000*'設定と出典'!$B$6</x:f>
        <x:v>1188</x:v>
      </x:c>
      <x:c r="AA23" s="7" t="n">
        <x:f>N23*(1+J23)*'設定と出典'!$B$21</x:f>
        <x:v>140000</x:v>
      </x:c>
      <x:c r="AB23" s="7" t="n">
        <x:f>N23*'設定と出典'!$B$40/1048576*'設定と出典'!$B$20*'設定と出典'!$B$6+N23*'設定と出典'!$B$39/1000000*'設定と出典'!$B$38*'設定と出典'!$B$6</x:f>
        <x:v>535.32275390625</x:v>
      </x:c>
      <x:c r="AC23" s="7" t="n">
        <x:f>R23*'設定と出典'!$B$16*'設定と出典'!$B$6</x:f>
        <x:v>205078.125</x:v>
      </x:c>
      <x:c r="AD23" s="7" t="n">
        <x:f>Q23*'設定と出典'!$B$17*'設定と出典'!$B$6</x:f>
        <x:v>2109375</x:v>
      </x:c>
      <x:c r="AE23" s="7" t="n">
        <x:f>'設定と出典'!B63</x:f>
        <x:v>13999.2</x:v>
      </x:c>
      <x:c r="AF23" s="7" t="n">
        <x:f>SUM(U23:AE23)</x:f>
        <x:v>2541539.0477539063</x:v>
      </x:c>
      <x:c r="AG23" s="7" t="n">
        <x:f>T23*'設定と出典'!$B$28</x:f>
        <x:v>28799.999999999996</x:v>
      </x:c>
      <x:c r="AH23" s="7" t="n">
        <x:f>(A23*L23+M23*'設定と出典'!$B$31)/60*'設定と出典'!$B$29</x:f>
        <x:v>166666.66666666666</x:v>
      </x:c>
      <x:c r="AI23" s="7" t="n">
        <x:f>'設定と出典'!$B$30*'設定と出典'!$B$29</x:f>
        <x:v>8000</x:v>
      </x:c>
      <x:c r="AJ23" s="7" t="n">
        <x:f>T23-SUM(AF23:AI23)</x:f>
        <x:v>-1945005.7144205729</x:v>
      </x:c>
      <x:c r="AK23" s="7" t="n">
        <x:f>AJ23-T23*'設定と出典'!$B$32</x:f>
        <x:v>-2345005.714420573</x:v>
      </x:c>
      <x:c r="AL23" s="7" t="n">
        <x:f>AJ23-A23*MIN(E23,AV23)*'設定と出典'!$B$32</x:f>
        <x:v>-1995005.7144205729</x:v>
      </x:c>
      <x:c r="AM23" s="8" t="n">
        <x:f>AJ23/T23</x:f>
        <x:v>-2.431257143025716</x:v>
      </x:c>
      <x:c r="AN23" s="8" t="n">
        <x:f>AK23/T23</x:f>
        <x:v>-2.931257143025716</x:v>
      </x:c>
      <x:c r="AO23" s="8" t="n">
        <x:f>AJ23/T23</x:f>
        <x:v>-2.431257143025716</x:v>
      </x:c>
      <x:c r="AP23" s="8" t="n">
        <x:f>AO23-'設定と出典'!$B$33</x:f>
        <x:v>-2.6312571430257163</x:v>
      </x:c>
      <x:c r="AQ23" s="9" t="n">
        <x:f>SUM(W23:AD23)/N23</x:f>
        <x:v>6.281349619384765</x:v>
      </x:c>
      <x:c r="AR23" s="9" t="n">
        <x:f>MAX(0,(E23*(1-'設定と出典'!$B$28-'設定と出典'!$B$32)-(U23+V23+AH23+AI23+AE23)/A23)/AQ23)</x:f>
        <x:v>266.7167782164347</x:v>
      </x:c>
      <x:c r="AS23" s="9" t="n">
        <x:f>MAX(0,(E23*(1-'設定と出典'!$B$28 )-(U23+V23+AH23+AI23+AE23)/A23)/AQ23)</x:f>
        <x:v>903.5225989998646</x:v>
      </x:c>
      <x:c r="AT23" s="9" t="n">
        <x:f>MAX(0,(E23*(1-'設定と出典'!$B$28)-MIN(E23,AV23)*'設定と出典'!$B$32-(U23+V23+AH23+AI23+AE23)/A23)/AQ23)</x:f>
        <x:v>823.921871401936</x:v>
      </x:c>
      <x:c r="AU23" s="9" t="str">
        <x:f>IF((T23*(1-'設定と出典'!$B$28-'設定と出典'!$B$32)-(AF23-AE23)-AH23)&lt;=0,"成立せず",(AE23+AI23)/((T23*(1-'設定と出典'!$B$28-'設定と出典'!$B$32)-(AF23-AE23)-AH23)/A23))</x:f>
        <x:v>成立せず</x:v>
      </x:c>
      <x:c r="AV23" s="9" t="n">
        <x:f>'設定と出典'!D53</x:f>
        <x:v>1000</x:v>
      </x:c>
      <x:c r="AW23" s="9" t="n">
        <x:f>IF(1-'設定と出典'!$B$28-'設定と出典'!$B$32-'設定と出典'!$B$33&lt;=0,0,MAX(0,MIN(E23,(AK23/A23-E23*'設定と出典'!$B$33)/(1-'設定と出典'!$B$28-'設定と出典'!$B$32-'設定と出典'!$B$33))))</x:f>
        <x:v>0</x:v>
      </x:c>
      <x:c r="AX23" s="1"/>
      <x:c r="AY23" s="1"/>
      <x:c r="AZ23" s="1"/>
      <x:c r="BA23" s="1"/>
    </x:row>
    <x:row r="24" ht="22" customHeight="1">
      <x:c r="A24" s="1" t="n">
        <x:v>500</x:v>
      </x:c>
      <x:c r="B24" s="1" t="str">
        <x:f>'設定と出典'!A51</x:f>
        <x:v>Starter</x:v>
      </x:c>
      <x:c r="C24" s="1" t="str">
        <x:f>'設定と出典'!A57</x:f>
        <x:v>低位</x:v>
      </x:c>
      <x:c r="D24" s="1" t="n">
        <x:f>'設定と出典'!B51</x:f>
        <x:v>5</x:v>
      </x:c>
      <x:c r="E24" s="1" t="n">
        <x:f>'設定と出典'!C51</x:f>
        <x:v>3000</x:v>
      </x:c>
      <x:c r="F24" s="1" t="n">
        <x:f>'設定と出典'!B57</x:f>
        <x:v>5</x:v>
      </x:c>
      <x:c r="G24" s="1" t="n">
        <x:f>'設定と出典'!C57</x:f>
        <x:v>1</x:v>
      </x:c>
      <x:c r="H24" s="1" t="n">
        <x:f>'設定と出典'!D57</x:f>
        <x:v>2</x:v>
      </x:c>
      <x:c r="I24" s="1" t="n">
        <x:f>'設定と出典'!E57</x:f>
        <x:v>1</x:v>
      </x:c>
      <x:c r="J24" s="1" t="n">
        <x:f>'設定と出典'!F57</x:f>
        <x:v>1.1</x:v>
      </x:c>
      <x:c r="K24" s="1" t="n">
        <x:f>'設定と出典'!G57</x:f>
        <x:v>1</x:v>
      </x:c>
      <x:c r="L24" s="1" t="n">
        <x:f>'設定と出典'!H57</x:f>
        <x:v>3</x:v>
      </x:c>
      <x:c r="M24" s="1" t="n">
        <x:f>A24*D24</x:f>
        <x:v>2500</x:v>
      </x:c>
      <x:c r="N24" s="1" t="n">
        <x:f>M24*F24</x:f>
        <x:v>12500</x:v>
      </x:c>
      <x:c r="O24" s="1" t="n">
        <x:f>N24*G24</x:f>
        <x:v>12500</x:v>
      </x:c>
      <x:c r="P24" s="1" t="n">
        <x:f>O24*H24/1024</x:f>
        <x:v>24.4140625</x:v>
      </x:c>
      <x:c r="Q24" s="1" t="n">
        <x:f>P24*I24</x:f>
        <x:v>24.4140625</x:v>
      </x:c>
      <x:c r="R24" s="1" t="n">
        <x:f>P24*('設定と出典'!$B$34+'設定と出典'!$B$35)/'設定と出典'!$B$7</x:f>
        <x:v>22.786458333333332</x:v>
      </x:c>
      <x:c r="S24" s="1" t="n">
        <x:f>O24*K24</x:f>
        <x:v>12500</x:v>
      </x:c>
      <x:c r="T24" s="7" t="n">
        <x:f>A24*E24</x:f>
        <x:v>1500000</x:v>
      </x:c>
      <x:c r="U24" s="7" t="n">
        <x:f>A24*'設定と出典'!$B$26</x:f>
        <x:v>25000</x:v>
      </x:c>
      <x:c r="V24" s="7" t="n">
        <x:f>M24*'設定と出典'!$B$27</x:f>
        <x:v>5000</x:v>
      </x:c>
      <x:c r="W24" s="7" t="n">
        <x:f>(N24*'設定と出典'!$B$36+S24)*('設定と出典'!$B$43*'設定と出典'!$B$8+'設定と出典'!$B$44*'設定と出典'!$B$9)*'設定と出典'!$B$12*'設定と出典'!$B$6</x:f>
        <x:v>73.85625</x:v>
      </x:c>
      <x:c r="X24" s="7" t="n">
        <x:f>N24*I24*'設定と出典'!$B$37*('設定と出典'!$B$45*'設定と出典'!$B$8+'設定と出典'!$B$46*'設定と出典'!$B$9)*'設定と出典'!$B$12*'設定と出典'!$B$6</x:f>
        <x:v>11.362499999999999</x:v>
      </x:c>
      <x:c r="Y24" s="7" t="n">
        <x:f>MAX(0,S24*('設定と出典'!$B$13*'設定と出典'!$B$8+'設定と出典'!$B$14*'設定と出典'!$B$9)-MIN(S24,'設定と出典'!$B$7*86400*'設定と出典'!$B$15)*('設定と出典'!$B$13*'設定と出典'!$B$10+'設定と出典'!$B$14*'設定と出典'!$B$11))*'設定と出典'!$B$12*'設定と出典'!$B$6</x:f>
        <x:v>48.37499999999999</x:v>
      </x:c>
      <x:c r="Z24" s="7" t="n">
        <x:f>O24*('設定と出典'!$B$41*'設定と出典'!$B$18+('設定と出典'!$B$42+I24)*'設定と出典'!$B$19)/1000*'設定と出典'!$B$6</x:f>
        <x:v>11.625000000000002</x:v>
      </x:c>
      <x:c r="AA24" s="7" t="n">
        <x:f>N24*(1+J24)*'設定と出典'!$B$21</x:f>
        <x:v>2625</x:v>
      </x:c>
      <x:c r="AB24" s="7" t="n">
        <x:f>N24*'設定と出典'!$B$40/1048576*'設定と出典'!$B$20*'設定と出典'!$B$6+N24*'設定と出典'!$B$39/1000000*'設定と出典'!$B$38*'設定と出典'!$B$6</x:f>
        <x:v>16.728836059570312</x:v>
      </x:c>
      <x:c r="AC24" s="7" t="n">
        <x:f>R24*'設定と出典'!$B$16*'設定と出典'!$B$6</x:f>
        <x:v>85.44921875</x:v>
      </x:c>
      <x:c r="AD24" s="7" t="n">
        <x:f>Q24*'設定と出典'!$B$17*'設定と出典'!$B$6</x:f>
        <x:v>439.453125</x:v>
      </x:c>
      <x:c r="AE24" s="7" t="n">
        <x:f>'設定と出典'!B63</x:f>
        <x:v>13999.2</x:v>
      </x:c>
      <x:c r="AF24" s="7" t="n">
        <x:f>SUM(U24:AE24)</x:f>
        <x:v>47311.04992980957</x:v>
      </x:c>
      <x:c r="AG24" s="7" t="n">
        <x:f>T24*'設定と出典'!$B$28</x:f>
        <x:v>53999.99999999999</x:v>
      </x:c>
      <x:c r="AH24" s="7" t="n">
        <x:f>(A24*L24+M24*'設定と出典'!$B$31)/60*'設定と出典'!$B$29</x:f>
        <x:v>116666.66666666667</x:v>
      </x:c>
      <x:c r="AI24" s="7" t="n">
        <x:f>'設定と出典'!$B$30*'設定と出典'!$B$29</x:f>
        <x:v>8000</x:v>
      </x:c>
      <x:c r="AJ24" s="7" t="n">
        <x:f>T24-SUM(AF24:AI24)</x:f>
        <x:v>1274022.2834035237</x:v>
      </x:c>
      <x:c r="AK24" s="7" t="n">
        <x:f>AJ24-T24*'設定と出典'!$B$32</x:f>
        <x:v>524022.28340352373</x:v>
      </x:c>
      <x:c r="AL24" s="7" t="n">
        <x:f>AJ24-A24*MIN(E24,AV24)*'設定と出典'!$B$32</x:f>
        <x:v>1024022.2834035237</x:v>
      </x:c>
      <x:c r="AM24" s="8" t="n">
        <x:f>AJ24/T24</x:f>
        <x:v>0.8493481889356825</x:v>
      </x:c>
      <x:c r="AN24" s="8" t="n">
        <x:f>AK24/T24</x:f>
        <x:v>0.3493481889356825</x:v>
      </x:c>
      <x:c r="AO24" s="8" t="n">
        <x:f>AJ24/T24</x:f>
        <x:v>0.8493481889356825</x:v>
      </x:c>
      <x:c r="AP24" s="8" t="n">
        <x:f>AO24-'設定と出典'!$B$33</x:f>
        <x:v>0.6493481889356825</x:v>
      </x:c>
      <x:c r="AQ24" s="9" t="n">
        <x:f>SUM(W24:AD24)/N24</x:f>
        <x:v>0.26494799438476563</x:v>
      </x:c>
      <x:c r="AR24" s="9" t="n">
        <x:f>MAX(0,(E24*(1-'設定と出典'!$B$28-'設定と出典'!$B$32)-(U24+V24+AH24+AI24+AE24)/A24)/AQ24)</x:f>
        <x:v>3980.661446846225</x:v>
      </x:c>
      <x:c r="AS24" s="9" t="n">
        <x:f>MAX(0,(E24*(1-'設定と出典'!$B$28 )-(U24+V24+AH24+AI24+AE24)/A24)/AQ24)</x:f>
        <x:v>9642.149858876452</x:v>
      </x:c>
      <x:c r="AT24" s="9" t="n">
        <x:f>MAX(0,(E24*(1-'設定と出典'!$B$28)-MIN(E24,AV24)*'設定と出典'!$B$32-(U24+V24+AH24+AI24+AE24)/A24)/AQ24)</x:f>
        <x:v>7754.987054866376</x:v>
      </x:c>
      <x:c r="AU24" s="9" t="n">
        <x:f>IF((T24*(1-'設定と出典'!$B$28-'設定と出典'!$B$32)-(AF24-AE24)-AH24)&lt;=0,"成立せず",(AE24+AI24)/((T24*(1-'設定と出典'!$B$28-'設定と出典'!$B$32)-(AF24-AE24)-AH24)/A24))</x:f>
        <x:v>20.144994902830618</x:v>
      </x:c>
      <x:c r="AV24" s="9" t="n">
        <x:f>'設定と出典'!D51</x:f>
        <x:v>1000</x:v>
      </x:c>
      <x:c r="AW24" s="9" t="n">
        <x:f>IF(1-'設定と出典'!$B$28-'設定と出典'!$B$32-'設定と出典'!$B$33&lt;=0,0,MAX(0,MIN(E24,(AK24/A24-E24*'設定と出典'!$B$33)/(1-'設定と出典'!$B$28-'設定と出典'!$B$32-'設定と出典'!$B$33))))</x:f>
        <x:v>1697.1385106327557</x:v>
      </x:c>
      <x:c r="AX24" s="1"/>
      <x:c r="AY24" s="1"/>
      <x:c r="AZ24" s="1"/>
      <x:c r="BA24" s="1"/>
    </x:row>
    <x:row r="25" ht="22" customHeight="1">
      <x:c r="A25" s="1" t="n">
        <x:v>500</x:v>
      </x:c>
      <x:c r="B25" s="1" t="str">
        <x:f>'設定と出典'!A51</x:f>
        <x:v>Starter</x:v>
      </x:c>
      <x:c r="C25" s="1" t="str">
        <x:f>'設定と出典'!A58</x:f>
        <x:v>標準</x:v>
      </x:c>
      <x:c r="D25" s="1" t="n">
        <x:f>'設定と出典'!B51</x:f>
        <x:v>5</x:v>
      </x:c>
      <x:c r="E25" s="1" t="n">
        <x:f>'設定と出典'!C51</x:f>
        <x:v>3000</x:v>
      </x:c>
      <x:c r="F25" s="1" t="n">
        <x:f>'設定と出典'!B58</x:f>
        <x:v>20</x:v>
      </x:c>
      <x:c r="G25" s="1" t="n">
        <x:f>'設定と出典'!C58</x:f>
        <x:v>2</x:v>
      </x:c>
      <x:c r="H25" s="1" t="n">
        <x:f>'設定と出典'!D58</x:f>
        <x:v>10</x:v>
      </x:c>
      <x:c r="I25" s="1" t="n">
        <x:f>'設定と出典'!E58</x:f>
        <x:v>1.5</x:v>
      </x:c>
      <x:c r="J25" s="1" t="n">
        <x:f>'設定と出典'!F58</x:f>
        <x:v>1.8</x:v>
      </x:c>
      <x:c r="K25" s="1" t="n">
        <x:f>'設定と出典'!G58</x:f>
        <x:v>2</x:v>
      </x:c>
      <x:c r="L25" s="1" t="n">
        <x:f>'設定と出典'!H58</x:f>
        <x:v>8</x:v>
      </x:c>
      <x:c r="M25" s="1" t="n">
        <x:f>A25*D25</x:f>
        <x:v>2500</x:v>
      </x:c>
      <x:c r="N25" s="1" t="n">
        <x:f>M25*F25</x:f>
        <x:v>50000</x:v>
      </x:c>
      <x:c r="O25" s="1" t="n">
        <x:f>N25*G25</x:f>
        <x:v>100000</x:v>
      </x:c>
      <x:c r="P25" s="1" t="n">
        <x:f>O25*H25/1024</x:f>
        <x:v>976.5625</x:v>
      </x:c>
      <x:c r="Q25" s="1" t="n">
        <x:f>P25*I25</x:f>
        <x:v>1464.84375</x:v>
      </x:c>
      <x:c r="R25" s="1" t="n">
        <x:f>P25*('設定と出典'!$B$34+'設定と出典'!$B$35)/'設定と出典'!$B$7</x:f>
        <x:v>911.4583333333334</x:v>
      </x:c>
      <x:c r="S25" s="1" t="n">
        <x:f>O25*K25</x:f>
        <x:v>200000</x:v>
      </x:c>
      <x:c r="T25" s="7" t="n">
        <x:f>A25*E25</x:f>
        <x:v>1500000</x:v>
      </x:c>
      <x:c r="U25" s="7" t="n">
        <x:f>A25*'設定と出典'!$B$26</x:f>
        <x:v>25000</x:v>
      </x:c>
      <x:c r="V25" s="7" t="n">
        <x:f>M25*'設定と出典'!$B$27</x:f>
        <x:v>5000</x:v>
      </x:c>
      <x:c r="W25" s="7" t="n">
        <x:f>(N25*'設定と出典'!$B$36+S25)*('設定と出典'!$B$43*'設定と出典'!$B$8+'設定と出典'!$B$44*'設定と出典'!$B$9)*'設定と出典'!$B$12*'設定と出典'!$B$6</x:f>
        <x:v>977.175</x:v>
      </x:c>
      <x:c r="X25" s="7" t="n">
        <x:f>N25*I25*'設定と出典'!$B$37*('設定と出典'!$B$45*'設定と出典'!$B$8+'設定と出典'!$B$46*'設定と出典'!$B$9)*'設定と出典'!$B$12*'設定と出典'!$B$6</x:f>
        <x:v>68.175</x:v>
      </x:c>
      <x:c r="Y25" s="7" t="n">
        <x:f>MAX(0,S25*('設定と出典'!$B$13*'設定と出典'!$B$8+'設定と出典'!$B$14*'設定と出典'!$B$9)-MIN(S25,'設定と出典'!$B$7*86400*'設定と出典'!$B$15)*('設定と出典'!$B$13*'設定と出典'!$B$10+'設定と出典'!$B$14*'設定と出典'!$B$11))*'設定と出典'!$B$12*'設定と出典'!$B$6</x:f>
        <x:v>773.9999999999999</x:v>
      </x:c>
      <x:c r="Z25" s="7" t="n">
        <x:f>O25*('設定と出典'!$B$41*'設定と出典'!$B$18+('設定と出典'!$B$42+I25)*'設定と出典'!$B$19)/1000*'設定と出典'!$B$6</x:f>
        <x:v>96</x:v>
      </x:c>
      <x:c r="AA25" s="7" t="n">
        <x:f>N25*(1+J25)*'設定と出典'!$B$21</x:f>
        <x:v>14000</x:v>
      </x:c>
      <x:c r="AB25" s="7" t="n">
        <x:f>N25*'設定と出典'!$B$40/1048576*'設定と出典'!$B$20*'設定と出典'!$B$6+N25*'設定と出典'!$B$39/1000000*'設定と出典'!$B$38*'設定と出典'!$B$6</x:f>
        <x:v>66.91534423828125</x:v>
      </x:c>
      <x:c r="AC25" s="7" t="n">
        <x:f>R25*'設定と出典'!$B$16*'設定と出典'!$B$6</x:f>
        <x:v>3417.9687500000005</x:v>
      </x:c>
      <x:c r="AD25" s="7" t="n">
        <x:f>Q25*'設定と出典'!$B$17*'設定と出典'!$B$6</x:f>
        <x:v>26367.1875</x:v>
      </x:c>
      <x:c r="AE25" s="7" t="n">
        <x:f>'設定と出典'!B63</x:f>
        <x:v>13999.2</x:v>
      </x:c>
      <x:c r="AF25" s="7" t="n">
        <x:f>SUM(U25:AE25)</x:f>
        <x:v>89766.62159423828</x:v>
      </x:c>
      <x:c r="AG25" s="7" t="n">
        <x:f>T25*'設定と出典'!$B$28</x:f>
        <x:v>53999.99999999999</x:v>
      </x:c>
      <x:c r="AH25" s="7" t="n">
        <x:f>(A25*L25+M25*'設定と出典'!$B$31)/60*'設定と出典'!$B$29</x:f>
        <x:v>283333.3333333333</x:v>
      </x:c>
      <x:c r="AI25" s="7" t="n">
        <x:f>'設定と出典'!$B$30*'設定と出典'!$B$29</x:f>
        <x:v>8000</x:v>
      </x:c>
      <x:c r="AJ25" s="7" t="n">
        <x:f>T25-SUM(AF25:AI25)</x:f>
        <x:v>1064900.0450724284</x:v>
      </x:c>
      <x:c r="AK25" s="7" t="n">
        <x:f>AJ25-T25*'設定と出典'!$B$32</x:f>
        <x:v>314900.0450724284</x:v>
      </x:c>
      <x:c r="AL25" s="7" t="n">
        <x:f>AJ25-A25*MIN(E25,AV25)*'設定と出典'!$B$32</x:f>
        <x:v>814900.0450724284</x:v>
      </x:c>
      <x:c r="AM25" s="8" t="n">
        <x:f>AJ25/T25</x:f>
        <x:v>0.7099333633816189</x:v>
      </x:c>
      <x:c r="AN25" s="8" t="n">
        <x:f>AK25/T25</x:f>
        <x:v>0.20993336338161894</x:v>
      </x:c>
      <x:c r="AO25" s="8" t="n">
        <x:f>AJ25/T25</x:f>
        <x:v>0.7099333633816189</x:v>
      </x:c>
      <x:c r="AP25" s="8" t="n">
        <x:f>AO25-'設定と出典'!$B$33</x:f>
        <x:v>0.509933363381619</x:v>
      </x:c>
      <x:c r="AQ25" s="9" t="n">
        <x:f>SUM(W25:AD25)/N25</x:f>
        <x:v>0.9153484318847658</x:v>
      </x:c>
      <x:c r="AR25" s="9" t="n">
        <x:f>MAX(0,(E25*(1-'設定と出典'!$B$28-'設定と出典'!$B$32)-(U25+V25+AH25+AI25+AE25)/A25)/AQ25)</x:f>
        <x:v>788.0441023404112</x:v>
      </x:c>
      <x:c r="AS25" s="9" t="n">
        <x:f>MAX(0,(E25*(1-'設定と出典'!$B$28 )-(U25+V25+AH25+AI25+AE25)/A25)/AQ25)</x:f>
        <x:v>2426.764340175305</x:v>
      </x:c>
      <x:c r="AT25" s="9" t="n">
        <x:f>MAX(0,(E25*(1-'設定と出典'!$B$28)-MIN(E25,AV25)*'設定と出典'!$B$32-(U25+V25+AH25+AI25+AE25)/A25)/AQ25)</x:f>
        <x:v>1880.5242608970068</x:v>
      </x:c>
      <x:c r="AU25" s="9" t="n">
        <x:f>IF((T25*(1-'設定と出典'!$B$28-'設定と出典'!$B$32)-(AF25-AE25)-AH25)&lt;=0,"成立せず",(AE25+AI25)/((T25*(1-'設定と出典'!$B$28-'設定と出典'!$B$32)-(AF25-AE25)-AH25)/A25))</x:f>
        <x:v>32.64952403688304</x:v>
      </x:c>
      <x:c r="AV25" s="9" t="n">
        <x:f>'設定と出典'!D51</x:f>
        <x:v>1000</x:v>
      </x:c>
      <x:c r="AW25" s="9" t="n">
        <x:f>IF(1-'設定と出典'!$B$28-'設定と出典'!$B$32-'設定と出典'!$B$33&lt;=0,0,MAX(0,MIN(E25,(AK25/A25-E25*'設定と出典'!$B$33)/(1-'設定と出典'!$B$28-'設定と出典'!$B$32-'設定と出典'!$B$33))))</x:f>
        <x:v>112.87912933657911</x:v>
      </x:c>
      <x:c r="AX25" s="1"/>
      <x:c r="AY25" s="1"/>
      <x:c r="AZ25" s="1"/>
      <x:c r="BA25" s="1"/>
    </x:row>
    <x:row r="26" ht="22" customHeight="1">
      <x:c r="A26" s="1" t="n">
        <x:v>500</x:v>
      </x:c>
      <x:c r="B26" s="1" t="str">
        <x:f>'設定と出典'!A51</x:f>
        <x:v>Starter</x:v>
      </x:c>
      <x:c r="C26" s="1" t="str">
        <x:f>'設定と出典'!A59</x:f>
        <x:v>高位</x:v>
      </x:c>
      <x:c r="D26" s="1" t="n">
        <x:f>'設定と出典'!B51</x:f>
        <x:v>5</x:v>
      </x:c>
      <x:c r="E26" s="1" t="n">
        <x:f>'設定と出典'!C51</x:f>
        <x:v>3000</x:v>
      </x:c>
      <x:c r="F26" s="1" t="n">
        <x:f>'設定と出典'!B59</x:f>
        <x:v>80</x:v>
      </x:c>
      <x:c r="G26" s="1" t="n">
        <x:f>'設定と出典'!C59</x:f>
        <x:v>3</x:v>
      </x:c>
      <x:c r="H26" s="1" t="n">
        <x:f>'設定と出典'!D59</x:f>
        <x:v>50</x:v>
      </x:c>
      <x:c r="I26" s="1" t="n">
        <x:f>'設定と出典'!E59</x:f>
        <x:v>2</x:v>
      </x:c>
      <x:c r="J26" s="1" t="n">
        <x:f>'設定と出典'!F59</x:f>
        <x:v>2.5</x:v>
      </x:c>
      <x:c r="K26" s="1" t="n">
        <x:f>'設定と出典'!G59</x:f>
        <x:v>5</x:v>
      </x:c>
      <x:c r="L26" s="1" t="n">
        <x:f>'設定と出典'!H59</x:f>
        <x:v>20</x:v>
      </x:c>
      <x:c r="M26" s="1" t="n">
        <x:f>A26*D26</x:f>
        <x:v>2500</x:v>
      </x:c>
      <x:c r="N26" s="1" t="n">
        <x:f>M26*F26</x:f>
        <x:v>200000</x:v>
      </x:c>
      <x:c r="O26" s="1" t="n">
        <x:f>N26*G26</x:f>
        <x:v>600000</x:v>
      </x:c>
      <x:c r="P26" s="1" t="n">
        <x:f>O26*H26/1024</x:f>
        <x:v>29296.875</x:v>
      </x:c>
      <x:c r="Q26" s="1" t="n">
        <x:f>P26*I26</x:f>
        <x:v>58593.75</x:v>
      </x:c>
      <x:c r="R26" s="1" t="n">
        <x:f>P26*('設定と出典'!$B$34+'設定と出典'!$B$35)/'設定と出典'!$B$7</x:f>
        <x:v>27343.75</x:v>
      </x:c>
      <x:c r="S26" s="1" t="n">
        <x:f>O26*K26</x:f>
        <x:v>3000000</x:v>
      </x:c>
      <x:c r="T26" s="7" t="n">
        <x:f>A26*E26</x:f>
        <x:v>1500000</x:v>
      </x:c>
      <x:c r="U26" s="7" t="n">
        <x:f>A26*'設定と出典'!$B$26</x:f>
        <x:v>25000</x:v>
      </x:c>
      <x:c r="V26" s="7" t="n">
        <x:f>M26*'設定と出典'!$B$27</x:f>
        <x:v>5000</x:v>
      </x:c>
      <x:c r="W26" s="7" t="n">
        <x:f>(N26*'設定と出典'!$B$36+S26)*('設定と出典'!$B$43*'設定と出典'!$B$8+'設定と出典'!$B$44*'設定と出典'!$B$9)*'設定と出典'!$B$12*'設定と出典'!$B$6</x:f>
        <x:v>13907.7</x:v>
      </x:c>
      <x:c r="X26" s="7" t="n">
        <x:f>N26*I26*'設定と出典'!$B$37*('設定と出典'!$B$45*'設定と出典'!$B$8+'設定と出典'!$B$46*'設定と出典'!$B$9)*'設定と出典'!$B$12*'設定と出典'!$B$6</x:f>
        <x:v>363.59999999999997</x:v>
      </x:c>
      <x:c r="Y26" s="7" t="n">
        <x:f>MAX(0,S26*('設定と出典'!$B$13*'設定と出典'!$B$8+'設定と出典'!$B$14*'設定と出典'!$B$9)-MIN(S26,'設定と出典'!$B$7*86400*'設定と出典'!$B$15)*('設定と出典'!$B$13*'設定と出典'!$B$10+'設定と出典'!$B$14*'設定と出典'!$B$11))*'設定と出典'!$B$12*'設定と出典'!$B$6</x:f>
        <x:v>12160.800000000001</x:v>
      </x:c>
      <x:c r="Z26" s="7" t="n">
        <x:f>O26*('設定と出典'!$B$41*'設定と出典'!$B$18+('設定と出典'!$B$42+I26)*'設定と出典'!$B$19)/1000*'設定と出典'!$B$6</x:f>
        <x:v>594</x:v>
      </x:c>
      <x:c r="AA26" s="7" t="n">
        <x:f>N26*(1+J26)*'設定と出典'!$B$21</x:f>
        <x:v>70000</x:v>
      </x:c>
      <x:c r="AB26" s="7" t="n">
        <x:f>N26*'設定と出典'!$B$40/1048576*'設定と出典'!$B$20*'設定と出典'!$B$6+N26*'設定と出典'!$B$39/1000000*'設定と出典'!$B$38*'設定と出典'!$B$6</x:f>
        <x:v>267.661376953125</x:v>
      </x:c>
      <x:c r="AC26" s="7" t="n">
        <x:f>R26*'設定と出典'!$B$16*'設定と出典'!$B$6</x:f>
        <x:v>102539.0625</x:v>
      </x:c>
      <x:c r="AD26" s="7" t="n">
        <x:f>Q26*'設定と出典'!$B$17*'設定と出典'!$B$6</x:f>
        <x:v>1054687.5</x:v>
      </x:c>
      <x:c r="AE26" s="7" t="n">
        <x:f>'設定と出典'!B63</x:f>
        <x:v>13999.2</x:v>
      </x:c>
      <x:c r="AF26" s="7" t="n">
        <x:f>SUM(U26:AE26)</x:f>
        <x:v>1298519.5238769532</x:v>
      </x:c>
      <x:c r="AG26" s="7" t="n">
        <x:f>T26*'設定と出典'!$B$28</x:f>
        <x:v>53999.99999999999</x:v>
      </x:c>
      <x:c r="AH26" s="7" t="n">
        <x:f>(A26*L26+M26*'設定と出典'!$B$31)/60*'設定と出典'!$B$29</x:f>
        <x:v>683333.3333333334</x:v>
      </x:c>
      <x:c r="AI26" s="7" t="n">
        <x:f>'設定と出典'!$B$30*'設定と出典'!$B$29</x:f>
        <x:v>8000</x:v>
      </x:c>
      <x:c r="AJ26" s="7" t="n">
        <x:f>T26-SUM(AF26:AI26)</x:f>
        <x:v>-543852.8572102864</x:v>
      </x:c>
      <x:c r="AK26" s="7" t="n">
        <x:f>AJ26-T26*'設定と出典'!$B$32</x:f>
        <x:v>-1293852.8572102864</x:v>
      </x:c>
      <x:c r="AL26" s="7" t="n">
        <x:f>AJ26-A26*MIN(E26,AV26)*'設定と出典'!$B$32</x:f>
        <x:v>-793852.8572102864</x:v>
      </x:c>
      <x:c r="AM26" s="8" t="n">
        <x:f>AJ26/T26</x:f>
        <x:v>-0.3625685714735243</x:v>
      </x:c>
      <x:c r="AN26" s="8" t="n">
        <x:f>AK26/T26</x:f>
        <x:v>-0.8625685714735243</x:v>
      </x:c>
      <x:c r="AO26" s="8" t="n">
        <x:f>AJ26/T26</x:f>
        <x:v>-0.3625685714735243</x:v>
      </x:c>
      <x:c r="AP26" s="8" t="n">
        <x:f>AO26-'設定と出典'!$B$33</x:f>
        <x:v>-0.5625685714735242</x:v>
      </x:c>
      <x:c r="AQ26" s="9" t="n">
        <x:f>SUM(W26:AD26)/N26</x:f>
        <x:v>6.2726016193847665</x:v>
      </x:c>
      <x:c r="AR26" s="9" t="n">
        <x:f>MAX(0,(E26*(1-'設定と出典'!$B$28-'設定と出典'!$B$32)-(U26+V26+AH26+AI26+AE26)/A26)/AQ26)</x:f>
        <x:v>0</x:v>
      </x:c>
      <x:c r="AS26" s="9" t="n">
        <x:f>MAX(0,(E26*(1-'設定と出典'!$B$28 )-(U26+V26+AH26+AI26+AE26)/A26)/AQ26)</x:f>
        <x:v>226.594166117749</x:v>
      </x:c>
      <x:c r="AT26" s="9" t="n">
        <x:f>MAX(0,(E26*(1-'設定と出典'!$B$28)-MIN(E26,AV26)*'設定と出典'!$B$32-(U26+V26+AH26+AI26+AE26)/A26)/AQ26)</x:f>
        <x:v>146.8824244291319</x:v>
      </x:c>
      <x:c r="AU26" s="9" t="str">
        <x:f>IF((T26*(1-'設定と出典'!$B$28-'設定と出典'!$B$32)-(AF26-AE26)-AH26)&lt;=0,"成立せず",(AE26+AI26)/((T26*(1-'設定と出典'!$B$28-'設定と出典'!$B$32)-(AF26-AE26)-AH26)/A26))</x:f>
        <x:v>成立せず</x:v>
      </x:c>
      <x:c r="AV26" s="9" t="n">
        <x:f>'設定と出典'!D51</x:f>
        <x:v>1000</x:v>
      </x:c>
      <x:c r="AW26" s="9" t="n">
        <x:f>IF(1-'設定と出典'!$B$28-'設定と出典'!$B$32-'設定と出典'!$B$33&lt;=0,0,MAX(0,MIN(E26,(AK26/A26-E26*'設定と出典'!$B$33)/(1-'設定と出典'!$B$28-'設定と出典'!$B$32-'設定と出典'!$B$33))))</x:f>
        <x:v>0</x:v>
      </x:c>
      <x:c r="AX26" s="1"/>
      <x:c r="AY26" s="1"/>
      <x:c r="AZ26" s="1"/>
      <x:c r="BA26" s="1"/>
    </x:row>
    <x:row r="27" ht="22" customHeight="1">
      <x:c r="A27" s="1" t="n">
        <x:v>500</x:v>
      </x:c>
      <x:c r="B27" s="1" t="str">
        <x:f>'設定と出典'!A52</x:f>
        <x:v>Business</x:v>
      </x:c>
      <x:c r="C27" s="1" t="str">
        <x:f>'設定と出典'!A57</x:f>
        <x:v>低位</x:v>
      </x:c>
      <x:c r="D27" s="1" t="n">
        <x:f>'設定と出典'!B52</x:f>
        <x:v>20</x:v>
      </x:c>
      <x:c r="E27" s="1" t="n">
        <x:f>'設定と出典'!C52</x:f>
        <x:v>5000</x:v>
      </x:c>
      <x:c r="F27" s="1" t="n">
        <x:f>'設定と出典'!B57</x:f>
        <x:v>5</x:v>
      </x:c>
      <x:c r="G27" s="1" t="n">
        <x:f>'設定と出典'!C57</x:f>
        <x:v>1</x:v>
      </x:c>
      <x:c r="H27" s="1" t="n">
        <x:f>'設定と出典'!D57</x:f>
        <x:v>2</x:v>
      </x:c>
      <x:c r="I27" s="1" t="n">
        <x:f>'設定と出典'!E57</x:f>
        <x:v>1</x:v>
      </x:c>
      <x:c r="J27" s="1" t="n">
        <x:f>'設定と出典'!F57</x:f>
        <x:v>1.1</x:v>
      </x:c>
      <x:c r="K27" s="1" t="n">
        <x:f>'設定と出典'!G57</x:f>
        <x:v>1</x:v>
      </x:c>
      <x:c r="L27" s="1" t="n">
        <x:f>'設定と出典'!H57</x:f>
        <x:v>3</x:v>
      </x:c>
      <x:c r="M27" s="1" t="n">
        <x:f>A27*D27</x:f>
        <x:v>10000</x:v>
      </x:c>
      <x:c r="N27" s="1" t="n">
        <x:f>M27*F27</x:f>
        <x:v>50000</x:v>
      </x:c>
      <x:c r="O27" s="1" t="n">
        <x:f>N27*G27</x:f>
        <x:v>50000</x:v>
      </x:c>
      <x:c r="P27" s="1" t="n">
        <x:f>O27*H27/1024</x:f>
        <x:v>97.65625</x:v>
      </x:c>
      <x:c r="Q27" s="1" t="n">
        <x:f>P27*I27</x:f>
        <x:v>97.65625</x:v>
      </x:c>
      <x:c r="R27" s="1" t="n">
        <x:f>P27*('設定と出典'!$B$34+'設定と出典'!$B$35)/'設定と出典'!$B$7</x:f>
        <x:v>91.14583333333333</x:v>
      </x:c>
      <x:c r="S27" s="1" t="n">
        <x:f>O27*K27</x:f>
        <x:v>50000</x:v>
      </x:c>
      <x:c r="T27" s="7" t="n">
        <x:f>A27*E27</x:f>
        <x:v>2500000</x:v>
      </x:c>
      <x:c r="U27" s="7" t="n">
        <x:f>A27*'設定と出典'!$B$26</x:f>
        <x:v>25000</x:v>
      </x:c>
      <x:c r="V27" s="7" t="n">
        <x:f>M27*'設定と出典'!$B$27</x:f>
        <x:v>20000</x:v>
      </x:c>
      <x:c r="W27" s="7" t="n">
        <x:f>(N27*'設定と出典'!$B$36+S27)*('設定と出典'!$B$43*'設定と出典'!$B$8+'設定と出典'!$B$44*'設定と出典'!$B$9)*'設定と出典'!$B$12*'設定と出典'!$B$6</x:f>
        <x:v>295.425</x:v>
      </x:c>
      <x:c r="X27" s="7" t="n">
        <x:f>N27*I27*'設定と出典'!$B$37*('設定と出典'!$B$45*'設定と出典'!$B$8+'設定と出典'!$B$46*'設定と出典'!$B$9)*'設定と出典'!$B$12*'設定と出典'!$B$6</x:f>
        <x:v>45.449999999999996</x:v>
      </x:c>
      <x:c r="Y27" s="7" t="n">
        <x:f>MAX(0,S27*('設定と出典'!$B$13*'設定と出典'!$B$8+'設定と出典'!$B$14*'設定と出典'!$B$9)-MIN(S27,'設定と出典'!$B$7*86400*'設定と出典'!$B$15)*('設定と出典'!$B$13*'設定と出典'!$B$10+'設定と出典'!$B$14*'設定と出典'!$B$11))*'設定と出典'!$B$12*'設定と出典'!$B$6</x:f>
        <x:v>193.49999999999997</x:v>
      </x:c>
      <x:c r="Z27" s="7" t="n">
        <x:f>O27*('設定と出典'!$B$41*'設定と出典'!$B$18+('設定と出典'!$B$42+I27)*'設定と出典'!$B$19)/1000*'設定と出典'!$B$6</x:f>
        <x:v>46.50000000000001</x:v>
      </x:c>
      <x:c r="AA27" s="7" t="n">
        <x:f>N27*(1+J27)*'設定と出典'!$B$21</x:f>
        <x:v>10500</x:v>
      </x:c>
      <x:c r="AB27" s="7" t="n">
        <x:f>N27*'設定と出典'!$B$40/1048576*'設定と出典'!$B$20*'設定と出典'!$B$6+N27*'設定と出典'!$B$39/1000000*'設定と出典'!$B$38*'設定と出典'!$B$6</x:f>
        <x:v>66.91534423828125</x:v>
      </x:c>
      <x:c r="AC27" s="7" t="n">
        <x:f>R27*'設定と出典'!$B$16*'設定と出典'!$B$6</x:f>
        <x:v>341.796875</x:v>
      </x:c>
      <x:c r="AD27" s="7" t="n">
        <x:f>Q27*'設定と出典'!$B$17*'設定と出典'!$B$6</x:f>
        <x:v>1757.8125</x:v>
      </x:c>
      <x:c r="AE27" s="7" t="n">
        <x:f>'設定と出典'!B63</x:f>
        <x:v>13999.2</x:v>
      </x:c>
      <x:c r="AF27" s="7" t="n">
        <x:f>SUM(U27:AE27)</x:f>
        <x:v>72246.59971923828</x:v>
      </x:c>
      <x:c r="AG27" s="7" t="n">
        <x:f>T27*'設定と出典'!$B$28</x:f>
        <x:v>90000</x:v>
      </x:c>
      <x:c r="AH27" s="7" t="n">
        <x:f>(A27*L27+M27*'設定と出典'!$B$31)/60*'設定と出典'!$B$29</x:f>
        <x:v>166666.66666666666</x:v>
      </x:c>
      <x:c r="AI27" s="7" t="n">
        <x:f>'設定と出典'!$B$30*'設定と出典'!$B$29</x:f>
        <x:v>8000</x:v>
      </x:c>
      <x:c r="AJ27" s="7" t="n">
        <x:f>T27-SUM(AF27:AI27)</x:f>
        <x:v>2163086.733614095</x:v>
      </x:c>
      <x:c r="AK27" s="7" t="n">
        <x:f>AJ27-T27*'設定と出典'!$B$32</x:f>
        <x:v>913086.733614095</x:v>
      </x:c>
      <x:c r="AL27" s="7" t="n">
        <x:f>AJ27-A27*MIN(E27,AV27)*'設定と出典'!$B$32</x:f>
        <x:v>1913086.733614095</x:v>
      </x:c>
      <x:c r="AM27" s="8" t="n">
        <x:f>AJ27/T27</x:f>
        <x:v>0.865234693445638</x:v>
      </x:c>
      <x:c r="AN27" s="8" t="n">
        <x:f>AK27/T27</x:f>
        <x:v>0.365234693445638</x:v>
      </x:c>
      <x:c r="AO27" s="8" t="n">
        <x:f>AJ27/T27</x:f>
        <x:v>0.865234693445638</x:v>
      </x:c>
      <x:c r="AP27" s="8" t="n">
        <x:f>AO27-'設定と出典'!$B$33</x:f>
        <x:v>0.6652346934456379</x:v>
      </x:c>
      <x:c r="AQ27" s="9" t="n">
        <x:f>SUM(W27:AD27)/N27</x:f>
        <x:v>0.26494799438476563</x:v>
      </x:c>
      <x:c r="AR27" s="9" t="n">
        <x:f>MAX(0,(E27*(1-'設定と出典'!$B$28-'設定と出典'!$B$32)-(U27+V27+AH27+AI27+AE27)/A27)/AQ27)</x:f>
        <x:v>6992.573282046305</x:v>
      </x:c>
      <x:c r="AS27" s="9" t="n">
        <x:f>MAX(0,(E27*(1-'設定と出典'!$B$28 )-(U27+V27+AH27+AI27+AE27)/A27)/AQ27)</x:f>
        <x:v>16428.387302096682</x:v>
      </x:c>
      <x:c r="AT27" s="9" t="n">
        <x:f>MAX(0,(E27*(1-'設定と出典'!$B$28)-MIN(E27,AV27)*'設定と出典'!$B$32-(U27+V27+AH27+AI27+AE27)/A27)/AQ27)</x:f>
        <x:v>14541.224498086607</x:v>
      </x:c>
      <x:c r="AU27" s="9" t="n">
        <x:f>IF((T27*(1-'設定と出典'!$B$28-'設定と出典'!$B$32)-(AF27-AE27)-AH27)&lt;=0,"成立せず",(AE27+AI27)/((T27*(1-'設定と出典'!$B$28-'設定と出典'!$B$32)-(AF27-AE27)-AH27)/A27))</x:f>
        <x:v>11.763196947564689</x:v>
      </x:c>
      <x:c r="AV27" s="9" t="n">
        <x:f>'設定と出典'!D52</x:f>
        <x:v>1000</x:v>
      </x:c>
      <x:c r="AW27" s="9" t="n">
        <x:f>IF(1-'設定と出典'!$B$28-'設定と出典'!$B$32-'設定と出典'!$B$33&lt;=0,0,MAX(0,MIN(E27,(AK27/A27-E27*'設定と出典'!$B$33)/(1-'設定と出典'!$B$28-'設定と出典'!$B$32-'設定と出典'!$B$33))))</x:f>
        <x:v>3129.4449516219324</x:v>
      </x:c>
      <x:c r="AX27" s="1"/>
      <x:c r="AY27" s="1"/>
      <x:c r="AZ27" s="1"/>
      <x:c r="BA27" s="1"/>
    </x:row>
    <x:row r="28" ht="22" customHeight="1">
      <x:c r="A28" s="1" t="n">
        <x:v>500</x:v>
      </x:c>
      <x:c r="B28" s="1" t="str">
        <x:f>'設定と出典'!A52</x:f>
        <x:v>Business</x:v>
      </x:c>
      <x:c r="C28" s="1" t="str">
        <x:f>'設定と出典'!A58</x:f>
        <x:v>標準</x:v>
      </x:c>
      <x:c r="D28" s="1" t="n">
        <x:f>'設定と出典'!B52</x:f>
        <x:v>20</x:v>
      </x:c>
      <x:c r="E28" s="1" t="n">
        <x:f>'設定と出典'!C52</x:f>
        <x:v>5000</x:v>
      </x:c>
      <x:c r="F28" s="1" t="n">
        <x:f>'設定と出典'!B58</x:f>
        <x:v>20</x:v>
      </x:c>
      <x:c r="G28" s="1" t="n">
        <x:f>'設定と出典'!C58</x:f>
        <x:v>2</x:v>
      </x:c>
      <x:c r="H28" s="1" t="n">
        <x:f>'設定と出典'!D58</x:f>
        <x:v>10</x:v>
      </x:c>
      <x:c r="I28" s="1" t="n">
        <x:f>'設定と出典'!E58</x:f>
        <x:v>1.5</x:v>
      </x:c>
      <x:c r="J28" s="1" t="n">
        <x:f>'設定と出典'!F58</x:f>
        <x:v>1.8</x:v>
      </x:c>
      <x:c r="K28" s="1" t="n">
        <x:f>'設定と出典'!G58</x:f>
        <x:v>2</x:v>
      </x:c>
      <x:c r="L28" s="1" t="n">
        <x:f>'設定と出典'!H58</x:f>
        <x:v>8</x:v>
      </x:c>
      <x:c r="M28" s="1" t="n">
        <x:f>A28*D28</x:f>
        <x:v>10000</x:v>
      </x:c>
      <x:c r="N28" s="1" t="n">
        <x:f>M28*F28</x:f>
        <x:v>200000</x:v>
      </x:c>
      <x:c r="O28" s="1" t="n">
        <x:f>N28*G28</x:f>
        <x:v>400000</x:v>
      </x:c>
      <x:c r="P28" s="1" t="n">
        <x:f>O28*H28/1024</x:f>
        <x:v>3906.25</x:v>
      </x:c>
      <x:c r="Q28" s="1" t="n">
        <x:f>P28*I28</x:f>
        <x:v>5859.375</x:v>
      </x:c>
      <x:c r="R28" s="1" t="n">
        <x:f>P28*('設定と出典'!$B$34+'設定と出典'!$B$35)/'設定と出典'!$B$7</x:f>
        <x:v>3645.8333333333335</x:v>
      </x:c>
      <x:c r="S28" s="1" t="n">
        <x:f>O28*K28</x:f>
        <x:v>800000</x:v>
      </x:c>
      <x:c r="T28" s="7" t="n">
        <x:f>A28*E28</x:f>
        <x:v>2500000</x:v>
      </x:c>
      <x:c r="U28" s="7" t="n">
        <x:f>A28*'設定と出典'!$B$26</x:f>
        <x:v>25000</x:v>
      </x:c>
      <x:c r="V28" s="7" t="n">
        <x:f>M28*'設定と出典'!$B$27</x:f>
        <x:v>20000</x:v>
      </x:c>
      <x:c r="W28" s="7" t="n">
        <x:f>(N28*'設定と出典'!$B$36+S28)*('設定と出典'!$B$43*'設定と出典'!$B$8+'設定と出典'!$B$44*'設定と出典'!$B$9)*'設定と出典'!$B$12*'設定と出典'!$B$6</x:f>
        <x:v>3908.7</x:v>
      </x:c>
      <x:c r="X28" s="7" t="n">
        <x:f>N28*I28*'設定と出典'!$B$37*('設定と出典'!$B$45*'設定と出典'!$B$8+'設定と出典'!$B$46*'設定と出典'!$B$9)*'設定と出典'!$B$12*'設定と出典'!$B$6</x:f>
        <x:v>272.7</x:v>
      </x:c>
      <x:c r="Y28" s="7" t="n">
        <x:f>MAX(0,S28*('設定と出典'!$B$13*'設定と出典'!$B$8+'設定と出典'!$B$14*'設定と出典'!$B$9)-MIN(S28,'設定と出典'!$B$7*86400*'設定と出典'!$B$15)*('設定と出典'!$B$13*'設定と出典'!$B$10+'設定と出典'!$B$14*'設定と出典'!$B$11))*'設定と出典'!$B$12*'設定と出典'!$B$6</x:f>
        <x:v>3095.9999999999995</x:v>
      </x:c>
      <x:c r="Z28" s="7" t="n">
        <x:f>O28*('設定と出典'!$B$41*'設定と出典'!$B$18+('設定と出典'!$B$42+I28)*'設定と出典'!$B$19)/1000*'設定と出典'!$B$6</x:f>
        <x:v>384</x:v>
      </x:c>
      <x:c r="AA28" s="7" t="n">
        <x:f>N28*(1+J28)*'設定と出典'!$B$21</x:f>
        <x:v>56000</x:v>
      </x:c>
      <x:c r="AB28" s="7" t="n">
        <x:f>N28*'設定と出典'!$B$40/1048576*'設定と出典'!$B$20*'設定と出典'!$B$6+N28*'設定と出典'!$B$39/1000000*'設定と出典'!$B$38*'設定と出典'!$B$6</x:f>
        <x:v>267.661376953125</x:v>
      </x:c>
      <x:c r="AC28" s="7" t="n">
        <x:f>R28*'設定と出典'!$B$16*'設定と出典'!$B$6</x:f>
        <x:v>13671.875000000002</x:v>
      </x:c>
      <x:c r="AD28" s="7" t="n">
        <x:f>Q28*'設定と出典'!$B$17*'設定と出典'!$B$6</x:f>
        <x:v>105468.75</x:v>
      </x:c>
      <x:c r="AE28" s="7" t="n">
        <x:f>'設定と出典'!B63</x:f>
        <x:v>13999.2</x:v>
      </x:c>
      <x:c r="AF28" s="7" t="n">
        <x:f>SUM(U28:AE28)</x:f>
        <x:v>242068.88637695313</x:v>
      </x:c>
      <x:c r="AG28" s="7" t="n">
        <x:f>T28*'設定と出典'!$B$28</x:f>
        <x:v>90000</x:v>
      </x:c>
      <x:c r="AH28" s="7" t="n">
        <x:f>(A28*L28+M28*'設定と出典'!$B$31)/60*'設定と出典'!$B$29</x:f>
        <x:v>333333.3333333333</x:v>
      </x:c>
      <x:c r="AI28" s="7" t="n">
        <x:f>'設定と出典'!$B$30*'設定と出典'!$B$29</x:f>
        <x:v>8000</x:v>
      </x:c>
      <x:c r="AJ28" s="7" t="n">
        <x:f>T28-SUM(AF28:AI28)</x:f>
        <x:v>1826597.7802897135</x:v>
      </x:c>
      <x:c r="AK28" s="7" t="n">
        <x:f>AJ28-T28*'設定と出典'!$B$32</x:f>
        <x:v>576597.7802897135</x:v>
      </x:c>
      <x:c r="AL28" s="7" t="n">
        <x:f>AJ28-A28*MIN(E28,AV28)*'設定と出典'!$B$32</x:f>
        <x:v>1576597.7802897135</x:v>
      </x:c>
      <x:c r="AM28" s="8" t="n">
        <x:f>AJ28/T28</x:f>
        <x:v>0.7306391121158854</x:v>
      </x:c>
      <x:c r="AN28" s="8" t="n">
        <x:f>AK28/T28</x:f>
        <x:v>0.23063911211588542</x:v>
      </x:c>
      <x:c r="AO28" s="8" t="n">
        <x:f>AJ28/T28</x:f>
        <x:v>0.7306391121158854</x:v>
      </x:c>
      <x:c r="AP28" s="8" t="n">
        <x:f>AO28-'設定と出典'!$B$33</x:f>
        <x:v>0.5306391121158853</x:v>
      </x:c>
      <x:c r="AQ28" s="9" t="n">
        <x:f>SUM(W28:AD28)/N28</x:f>
        <x:v>0.9153484318847658</x:v>
      </x:c>
      <x:c r="AR28" s="9" t="n">
        <x:f>MAX(0,(E28*(1-'設定と出典'!$B$28-'設定と出典'!$B$32)-(U28+V28+AH28+AI28+AE28)/A28)/AQ28)</x:f>
        <x:v>1659.8432688685746</x:v>
      </x:c>
      <x:c r="AS28" s="9" t="n">
        <x:f>MAX(0,(E28*(1-'設定と出典'!$B$28 )-(U28+V28+AH28+AI28+AE28)/A28)/AQ28)</x:f>
        <x:v>4391.043665260064</x:v>
      </x:c>
      <x:c r="AT28" s="9" t="n">
        <x:f>MAX(0,(E28*(1-'設定と出典'!$B$28)-MIN(E28,AV28)*'設定と出典'!$B$32-(U28+V28+AH28+AI28+AE28)/A28)/AQ28)</x:f>
        <x:v>3844.803585981766</x:v>
      </x:c>
      <x:c r="AU28" s="9" t="n">
        <x:f>IF((T28*(1-'設定と出典'!$B$28-'設定と出典'!$B$32)-(AF28-AE28)-AH28)&lt;=0,"成立せず",(AE28+AI28)/((T28*(1-'設定と出典'!$B$28-'設定と出典'!$B$32)-(AF28-AE28)-AH28)/A28))</x:f>
        <x:v>18.37563563163371</x:v>
      </x:c>
      <x:c r="AV28" s="9" t="n">
        <x:f>'設定と出典'!D52</x:f>
        <x:v>1000</x:v>
      </x:c>
      <x:c r="AW28" s="9" t="n">
        <x:f>IF(1-'設定と出典'!$B$28-'設定と出典'!$B$32-'設定と出典'!$B$33&lt;=0,0,MAX(0,MIN(E28,(AK28/A28-E28*'設定と出典'!$B$33)/(1-'設定と出典'!$B$28-'設定と出典'!$B$32-'設定と出典'!$B$33))))</x:f>
        <x:v>580.286214316012</x:v>
      </x:c>
      <x:c r="AX28" s="1"/>
      <x:c r="AY28" s="1"/>
      <x:c r="AZ28" s="1"/>
      <x:c r="BA28" s="1"/>
    </x:row>
    <x:row r="29" ht="22" customHeight="1">
      <x:c r="A29" s="1" t="n">
        <x:v>500</x:v>
      </x:c>
      <x:c r="B29" s="1" t="str">
        <x:f>'設定と出典'!A52</x:f>
        <x:v>Business</x:v>
      </x:c>
      <x:c r="C29" s="1" t="str">
        <x:f>'設定と出典'!A59</x:f>
        <x:v>高位</x:v>
      </x:c>
      <x:c r="D29" s="1" t="n">
        <x:f>'設定と出典'!B52</x:f>
        <x:v>20</x:v>
      </x:c>
      <x:c r="E29" s="1" t="n">
        <x:f>'設定と出典'!C52</x:f>
        <x:v>5000</x:v>
      </x:c>
      <x:c r="F29" s="1" t="n">
        <x:f>'設定と出典'!B59</x:f>
        <x:v>80</x:v>
      </x:c>
      <x:c r="G29" s="1" t="n">
        <x:f>'設定と出典'!C59</x:f>
        <x:v>3</x:v>
      </x:c>
      <x:c r="H29" s="1" t="n">
        <x:f>'設定と出典'!D59</x:f>
        <x:v>50</x:v>
      </x:c>
      <x:c r="I29" s="1" t="n">
        <x:f>'設定と出典'!E59</x:f>
        <x:v>2</x:v>
      </x:c>
      <x:c r="J29" s="1" t="n">
        <x:f>'設定と出典'!F59</x:f>
        <x:v>2.5</x:v>
      </x:c>
      <x:c r="K29" s="1" t="n">
        <x:f>'設定と出典'!G59</x:f>
        <x:v>5</x:v>
      </x:c>
      <x:c r="L29" s="1" t="n">
        <x:f>'設定と出典'!H59</x:f>
        <x:v>20</x:v>
      </x:c>
      <x:c r="M29" s="1" t="n">
        <x:f>A29*D29</x:f>
        <x:v>10000</x:v>
      </x:c>
      <x:c r="N29" s="1" t="n">
        <x:f>M29*F29</x:f>
        <x:v>800000</x:v>
      </x:c>
      <x:c r="O29" s="1" t="n">
        <x:f>N29*G29</x:f>
        <x:v>2400000</x:v>
      </x:c>
      <x:c r="P29" s="1" t="n">
        <x:f>O29*H29/1024</x:f>
        <x:v>117187.5</x:v>
      </x:c>
      <x:c r="Q29" s="1" t="n">
        <x:f>P29*I29</x:f>
        <x:v>234375</x:v>
      </x:c>
      <x:c r="R29" s="1" t="n">
        <x:f>P29*('設定と出典'!$B$34+'設定と出典'!$B$35)/'設定と出典'!$B$7</x:f>
        <x:v>109375</x:v>
      </x:c>
      <x:c r="S29" s="1" t="n">
        <x:f>O29*K29</x:f>
        <x:v>12000000</x:v>
      </x:c>
      <x:c r="T29" s="7" t="n">
        <x:f>A29*E29</x:f>
        <x:v>2500000</x:v>
      </x:c>
      <x:c r="U29" s="7" t="n">
        <x:f>A29*'設定と出典'!$B$26</x:f>
        <x:v>25000</x:v>
      </x:c>
      <x:c r="V29" s="7" t="n">
        <x:f>M29*'設定と出典'!$B$27</x:f>
        <x:v>20000</x:v>
      </x:c>
      <x:c r="W29" s="7" t="n">
        <x:f>(N29*'設定と出典'!$B$36+S29)*('設定と出典'!$B$43*'設定と出典'!$B$8+'設定と出典'!$B$44*'設定と出典'!$B$9)*'設定と出典'!$B$12*'設定と出典'!$B$6</x:f>
        <x:v>55630.8</x:v>
      </x:c>
      <x:c r="X29" s="7" t="n">
        <x:f>N29*I29*'設定と出典'!$B$37*('設定と出典'!$B$45*'設定と出典'!$B$8+'設定と出典'!$B$46*'設定と出典'!$B$9)*'設定と出典'!$B$12*'設定と出典'!$B$6</x:f>
        <x:v>1454.3999999999999</x:v>
      </x:c>
      <x:c r="Y29" s="7" t="n">
        <x:f>MAX(0,S29*('設定と出典'!$B$13*'設定と出典'!$B$8+'設定と出典'!$B$14*'設定と出典'!$B$9)-MIN(S29,'設定と出典'!$B$7*86400*'設定と出典'!$B$15)*('設定と出典'!$B$13*'設定と出典'!$B$10+'設定と出典'!$B$14*'設定と出典'!$B$11))*'設定と出典'!$B$12*'設定と出典'!$B$6</x:f>
        <x:v>59140.799999999996</x:v>
      </x:c>
      <x:c r="Z29" s="7" t="n">
        <x:f>O29*('設定と出典'!$B$41*'設定と出典'!$B$18+('設定と出典'!$B$42+I29)*'設定と出典'!$B$19)/1000*'設定と出典'!$B$6</x:f>
        <x:v>2376</x:v>
      </x:c>
      <x:c r="AA29" s="7" t="n">
        <x:f>N29*(1+J29)*'設定と出典'!$B$21</x:f>
        <x:v>280000</x:v>
      </x:c>
      <x:c r="AB29" s="7" t="n">
        <x:f>N29*'設定と出典'!$B$40/1048576*'設定と出典'!$B$20*'設定と出典'!$B$6+N29*'設定と出典'!$B$39/1000000*'設定と出典'!$B$38*'設定と出典'!$B$6</x:f>
        <x:v>1070.6455078125</x:v>
      </x:c>
      <x:c r="AC29" s="7" t="n">
        <x:f>R29*'設定と出典'!$B$16*'設定と出典'!$B$6</x:f>
        <x:v>410156.25</x:v>
      </x:c>
      <x:c r="AD29" s="7" t="n">
        <x:f>Q29*'設定と出典'!$B$17*'設定と出典'!$B$6</x:f>
        <x:v>4218750</x:v>
      </x:c>
      <x:c r="AE29" s="7" t="n">
        <x:f>'設定と出典'!B63</x:f>
        <x:v>13999.2</x:v>
      </x:c>
      <x:c r="AF29" s="7" t="n">
        <x:f>SUM(U29:AE29)</x:f>
        <x:v>5087578.095507813</x:v>
      </x:c>
      <x:c r="AG29" s="7" t="n">
        <x:f>T29*'設定と出典'!$B$28</x:f>
        <x:v>90000</x:v>
      </x:c>
      <x:c r="AH29" s="7" t="n">
        <x:f>(A29*L29+M29*'設定と出典'!$B$31)/60*'設定と出典'!$B$29</x:f>
        <x:v>733333.3333333334</x:v>
      </x:c>
      <x:c r="AI29" s="7" t="n">
        <x:f>'設定と出典'!$B$30*'設定と出典'!$B$29</x:f>
        <x:v>8000</x:v>
      </x:c>
      <x:c r="AJ29" s="7" t="n">
        <x:f>T29-SUM(AF29:AI29)</x:f>
        <x:v>-3418911.4288411457</x:v>
      </x:c>
      <x:c r="AK29" s="7" t="n">
        <x:f>AJ29-T29*'設定と出典'!$B$32</x:f>
        <x:v>-4668911.428841146</x:v>
      </x:c>
      <x:c r="AL29" s="7" t="n">
        <x:f>AJ29-A29*MIN(E29,AV29)*'設定と出典'!$B$32</x:f>
        <x:v>-3668911.4288411457</x:v>
      </x:c>
      <x:c r="AM29" s="8" t="n">
        <x:f>AJ29/T29</x:f>
        <x:v>-1.3675645715364584</x:v>
      </x:c>
      <x:c r="AN29" s="8" t="n">
        <x:f>AK29/T29</x:f>
        <x:v>-1.8675645715364584</x:v>
      </x:c>
      <x:c r="AO29" s="8" t="n">
        <x:f>AJ29/T29</x:f>
        <x:v>-1.3675645715364584</x:v>
      </x:c>
      <x:c r="AP29" s="8" t="n">
        <x:f>AO29-'設定と出典'!$B$33</x:f>
        <x:v>-1.5675645715364583</x:v>
      </x:c>
      <x:c r="AQ29" s="9" t="n">
        <x:f>SUM(W29:AD29)/N29</x:f>
        <x:v>6.285723619384766</x:v>
      </x:c>
      <x:c r="AR29" s="9" t="n">
        <x:f>MAX(0,(E29*(1-'設定と出典'!$B$28-'設定と出典'!$B$32)-(U29+V29+AH29+AI29+AE29)/A29)/AQ29)</x:f>
        <x:v>114.43947855342395</x:v>
      </x:c>
      <x:c r="AS29" s="9" t="n">
        <x:f>MAX(0,(E29*(1-'設定と出典'!$B$28 )-(U29+V29+AH29+AI29+AE29)/A29)/AQ29)</x:f>
        <x:v>512.1661606955025</x:v>
      </x:c>
      <x:c r="AT29" s="9" t="n">
        <x:f>MAX(0,(E29*(1-'設定と出典'!$B$28)-MIN(E29,AV29)*'設定と出典'!$B$32-(U29+V29+AH29+AI29+AE29)/A29)/AQ29)</x:f>
        <x:v>432.6208242670868</x:v>
      </x:c>
      <x:c r="AU29" s="9" t="str">
        <x:f>IF((T29*(1-'設定と出典'!$B$28-'設定と出典'!$B$32)-(AF29-AE29)-AH29)&lt;=0,"成立せず",(AE29+AI29)/((T29*(1-'設定と出典'!$B$28-'設定と出典'!$B$32)-(AF29-AE29)-AH29)/A29))</x:f>
        <x:v>成立せず</x:v>
      </x:c>
      <x:c r="AV29" s="9" t="n">
        <x:f>'設定と出典'!D52</x:f>
        <x:v>1000</x:v>
      </x:c>
      <x:c r="AW29" s="9" t="n">
        <x:f>IF(1-'設定と出典'!$B$28-'設定と出典'!$B$32-'設定と出典'!$B$33&lt;=0,0,MAX(0,MIN(E29,(AK29/A29-E29*'設定と出典'!$B$33)/(1-'設定と出典'!$B$28-'設定と出典'!$B$32-'設定と出典'!$B$33))))</x:f>
        <x:v>0</x:v>
      </x:c>
      <x:c r="AX29" s="1"/>
      <x:c r="AY29" s="1"/>
      <x:c r="AZ29" s="1"/>
      <x:c r="BA29" s="1"/>
    </x:row>
    <x:row r="30" ht="22" customHeight="1">
      <x:c r="A30" s="1" t="n">
        <x:v>500</x:v>
      </x:c>
      <x:c r="B30" s="1" t="str">
        <x:f>'設定と出典'!A53</x:f>
        <x:v>Business Plus</x:v>
      </x:c>
      <x:c r="C30" s="1" t="str">
        <x:f>'設定と出典'!A57</x:f>
        <x:v>低位</x:v>
      </x:c>
      <x:c r="D30" s="1" t="n">
        <x:f>'設定と出典'!B53</x:f>
        <x:v>50</x:v>
      </x:c>
      <x:c r="E30" s="1" t="n">
        <x:f>'設定と出典'!C53</x:f>
        <x:v>8000</x:v>
      </x:c>
      <x:c r="F30" s="1" t="n">
        <x:f>'設定と出典'!B57</x:f>
        <x:v>5</x:v>
      </x:c>
      <x:c r="G30" s="1" t="n">
        <x:f>'設定と出典'!C57</x:f>
        <x:v>1</x:v>
      </x:c>
      <x:c r="H30" s="1" t="n">
        <x:f>'設定と出典'!D57</x:f>
        <x:v>2</x:v>
      </x:c>
      <x:c r="I30" s="1" t="n">
        <x:f>'設定と出典'!E57</x:f>
        <x:v>1</x:v>
      </x:c>
      <x:c r="J30" s="1" t="n">
        <x:f>'設定と出典'!F57</x:f>
        <x:v>1.1</x:v>
      </x:c>
      <x:c r="K30" s="1" t="n">
        <x:f>'設定と出典'!G57</x:f>
        <x:v>1</x:v>
      </x:c>
      <x:c r="L30" s="1" t="n">
        <x:f>'設定と出典'!H57</x:f>
        <x:v>3</x:v>
      </x:c>
      <x:c r="M30" s="1" t="n">
        <x:f>A30*D30</x:f>
        <x:v>25000</x:v>
      </x:c>
      <x:c r="N30" s="1" t="n">
        <x:f>M30*F30</x:f>
        <x:v>125000</x:v>
      </x:c>
      <x:c r="O30" s="1" t="n">
        <x:f>N30*G30</x:f>
        <x:v>125000</x:v>
      </x:c>
      <x:c r="P30" s="1" t="n">
        <x:f>O30*H30/1024</x:f>
        <x:v>244.140625</x:v>
      </x:c>
      <x:c r="Q30" s="1" t="n">
        <x:f>P30*I30</x:f>
        <x:v>244.140625</x:v>
      </x:c>
      <x:c r="R30" s="1" t="n">
        <x:f>P30*('設定と出典'!$B$34+'設定と出典'!$B$35)/'設定と出典'!$B$7</x:f>
        <x:v>227.86458333333334</x:v>
      </x:c>
      <x:c r="S30" s="1" t="n">
        <x:f>O30*K30</x:f>
        <x:v>125000</x:v>
      </x:c>
      <x:c r="T30" s="7" t="n">
        <x:f>A30*E30</x:f>
        <x:v>4000000</x:v>
      </x:c>
      <x:c r="U30" s="7" t="n">
        <x:f>A30*'設定と出典'!$B$26</x:f>
        <x:v>25000</x:v>
      </x:c>
      <x:c r="V30" s="7" t="n">
        <x:f>M30*'設定と出典'!$B$27</x:f>
        <x:v>50000</x:v>
      </x:c>
      <x:c r="W30" s="7" t="n">
        <x:f>(N30*'設定と出典'!$B$36+S30)*('設定と出典'!$B$43*'設定と出典'!$B$8+'設定と出典'!$B$44*'設定と出典'!$B$9)*'設定と出典'!$B$12*'設定と出典'!$B$6</x:f>
        <x:v>738.5625</x:v>
      </x:c>
      <x:c r="X30" s="7" t="n">
        <x:f>N30*I30*'設定と出典'!$B$37*('設定と出典'!$B$45*'設定と出典'!$B$8+'設定と出典'!$B$46*'設定と出典'!$B$9)*'設定と出典'!$B$12*'設定と出典'!$B$6</x:f>
        <x:v>113.62499999999999</x:v>
      </x:c>
      <x:c r="Y30" s="7" t="n">
        <x:f>MAX(0,S30*('設定と出典'!$B$13*'設定と出典'!$B$8+'設定と出典'!$B$14*'設定と出典'!$B$9)-MIN(S30,'設定と出典'!$B$7*86400*'設定と出典'!$B$15)*('設定と出典'!$B$13*'設定と出典'!$B$10+'設定と出典'!$B$14*'設定と出典'!$B$11))*'設定と出典'!$B$12*'設定と出典'!$B$6</x:f>
        <x:v>483.75</x:v>
      </x:c>
      <x:c r="Z30" s="7" t="n">
        <x:f>O30*('設定と出典'!$B$41*'設定と出典'!$B$18+('設定と出典'!$B$42+I30)*'設定と出典'!$B$19)/1000*'設定と出典'!$B$6</x:f>
        <x:v>116.25000000000001</x:v>
      </x:c>
      <x:c r="AA30" s="7" t="n">
        <x:f>N30*(1+J30)*'設定と出典'!$B$21</x:f>
        <x:v>26250</x:v>
      </x:c>
      <x:c r="AB30" s="7" t="n">
        <x:f>N30*'設定と出典'!$B$40/1048576*'設定と出典'!$B$20*'設定と出典'!$B$6+N30*'設定と出典'!$B$39/1000000*'設定と出典'!$B$38*'設定と出典'!$B$6</x:f>
        <x:v>167.28836059570312</x:v>
      </x:c>
      <x:c r="AC30" s="7" t="n">
        <x:f>R30*'設定と出典'!$B$16*'設定と出典'!$B$6</x:f>
        <x:v>854.4921875000001</x:v>
      </x:c>
      <x:c r="AD30" s="7" t="n">
        <x:f>Q30*'設定と出典'!$B$17*'設定と出典'!$B$6</x:f>
        <x:v>4394.53125</x:v>
      </x:c>
      <x:c r="AE30" s="7" t="n">
        <x:f>'設定と出典'!B63</x:f>
        <x:v>13999.2</x:v>
      </x:c>
      <x:c r="AF30" s="7" t="n">
        <x:f>SUM(U30:AE30)</x:f>
        <x:v>122117.6992980957</x:v>
      </x:c>
      <x:c r="AG30" s="7" t="n">
        <x:f>T30*'設定と出典'!$B$28</x:f>
        <x:v>144000</x:v>
      </x:c>
      <x:c r="AH30" s="7" t="n">
        <x:f>(A30*L30+M30*'設定と出典'!$B$31)/60*'設定と出典'!$B$29</x:f>
        <x:v>266666.6666666667</x:v>
      </x:c>
      <x:c r="AI30" s="7" t="n">
        <x:f>'設定と出典'!$B$30*'設定と出典'!$B$29</x:f>
        <x:v>8000</x:v>
      </x:c>
      <x:c r="AJ30" s="7" t="n">
        <x:f>T30-SUM(AF30:AI30)</x:f>
        <x:v>3459215.6340352376</x:v>
      </x:c>
      <x:c r="AK30" s="7" t="n">
        <x:f>AJ30-T30*'設定と出典'!$B$32</x:f>
        <x:v>1459215.6340352376</x:v>
      </x:c>
      <x:c r="AL30" s="7" t="n">
        <x:f>AJ30-A30*MIN(E30,AV30)*'設定と出典'!$B$32</x:f>
        <x:v>3209215.6340352376</x:v>
      </x:c>
      <x:c r="AM30" s="8" t="n">
        <x:f>AJ30/T30</x:f>
        <x:v>0.8648039085088094</x:v>
      </x:c>
      <x:c r="AN30" s="8" t="n">
        <x:f>AK30/T30</x:f>
        <x:v>0.3648039085088094</x:v>
      </x:c>
      <x:c r="AO30" s="8" t="n">
        <x:f>AJ30/T30</x:f>
        <x:v>0.8648039085088094</x:v>
      </x:c>
      <x:c r="AP30" s="8" t="n">
        <x:f>AO30-'設定と出典'!$B$33</x:f>
        <x:v>0.6648039085088093</x:v>
      </x:c>
      <x:c r="AQ30" s="9" t="n">
        <x:f>SUM(W30:AD30)/N30</x:f>
        <x:v>0.26494799438476563</x:v>
      </x:c>
      <x:c r="AR30" s="9" t="n">
        <x:f>MAX(0,(E30*(1-'設定と出典'!$B$28-'設定と出典'!$B$32)-(U30+V30+AH30+AI30+AE30)/A30)/AQ30)</x:f>
        <x:v>11265.109870325114</x:v>
      </x:c>
      <x:c r="AS30" s="9" t="n">
        <x:f>MAX(0,(E30*(1-'設定と出典'!$B$28 )-(U30+V30+AH30+AI30+AE30)/A30)/AQ30)</x:f>
        <x:v>26362.41230240572</x:v>
      </x:c>
      <x:c r="AT30" s="9" t="n">
        <x:f>MAX(0,(E30*(1-'設定と出典'!$B$28)-MIN(E30,AV30)*'設定と出典'!$B$32-(U30+V30+AH30+AI30+AE30)/A30)/AQ30)</x:f>
        <x:v>24475.249498395642</x:v>
      </x:c>
      <x:c r="AU30" s="9" t="n">
        <x:f>IF((T30*(1-'設定と出典'!$B$28-'設定と出典'!$B$32)-(AF30-AE30)-AH30)&lt;=0,"成立せず",(AE30+AI30)/((T30*(1-'設定と出典'!$B$28-'設定と出典'!$B$32)-(AF30-AE30)-AH30)/A30))</x:f>
        <x:v>7.426066595643023</x:v>
      </x:c>
      <x:c r="AV30" s="9" t="n">
        <x:f>'設定と出典'!D53</x:f>
        <x:v>1000</x:v>
      </x:c>
      <x:c r="AW30" s="9" t="n">
        <x:f>IF(1-'設定と出典'!$B$28-'設定と出典'!$B$32-'設定と出典'!$B$33&lt;=0,0,MAX(0,MIN(E30,(AK30/A30-E30*'設定と出典'!$B$33)/(1-'設定と出典'!$B$28-'設定と出典'!$B$32-'設定と出典'!$B$33))))</x:f>
        <x:v>4994.057833600285</x:v>
      </x:c>
      <x:c r="AX30" s="1"/>
      <x:c r="AY30" s="1"/>
      <x:c r="AZ30" s="1"/>
      <x:c r="BA30" s="1"/>
    </x:row>
    <x:row r="31" ht="22" customHeight="1">
      <x:c r="A31" s="1" t="n">
        <x:v>500</x:v>
      </x:c>
      <x:c r="B31" s="1" t="str">
        <x:f>'設定と出典'!A53</x:f>
        <x:v>Business Plus</x:v>
      </x:c>
      <x:c r="C31" s="1" t="str">
        <x:f>'設定と出典'!A58</x:f>
        <x:v>標準</x:v>
      </x:c>
      <x:c r="D31" s="1" t="n">
        <x:f>'設定と出典'!B53</x:f>
        <x:v>50</x:v>
      </x:c>
      <x:c r="E31" s="1" t="n">
        <x:f>'設定と出典'!C53</x:f>
        <x:v>8000</x:v>
      </x:c>
      <x:c r="F31" s="1" t="n">
        <x:f>'設定と出典'!B58</x:f>
        <x:v>20</x:v>
      </x:c>
      <x:c r="G31" s="1" t="n">
        <x:f>'設定と出典'!C58</x:f>
        <x:v>2</x:v>
      </x:c>
      <x:c r="H31" s="1" t="n">
        <x:f>'設定と出典'!D58</x:f>
        <x:v>10</x:v>
      </x:c>
      <x:c r="I31" s="1" t="n">
        <x:f>'設定と出典'!E58</x:f>
        <x:v>1.5</x:v>
      </x:c>
      <x:c r="J31" s="1" t="n">
        <x:f>'設定と出典'!F58</x:f>
        <x:v>1.8</x:v>
      </x:c>
      <x:c r="K31" s="1" t="n">
        <x:f>'設定と出典'!G58</x:f>
        <x:v>2</x:v>
      </x:c>
      <x:c r="L31" s="1" t="n">
        <x:f>'設定と出典'!H58</x:f>
        <x:v>8</x:v>
      </x:c>
      <x:c r="M31" s="1" t="n">
        <x:f>A31*D31</x:f>
        <x:v>25000</x:v>
      </x:c>
      <x:c r="N31" s="1" t="n">
        <x:f>M31*F31</x:f>
        <x:v>500000</x:v>
      </x:c>
      <x:c r="O31" s="1" t="n">
        <x:f>N31*G31</x:f>
        <x:v>1000000</x:v>
      </x:c>
      <x:c r="P31" s="1" t="n">
        <x:f>O31*H31/1024</x:f>
        <x:v>9765.625</x:v>
      </x:c>
      <x:c r="Q31" s="1" t="n">
        <x:f>P31*I31</x:f>
        <x:v>14648.4375</x:v>
      </x:c>
      <x:c r="R31" s="1" t="n">
        <x:f>P31*('設定と出典'!$B$34+'設定と出典'!$B$35)/'設定と出典'!$B$7</x:f>
        <x:v>9114.583333333334</x:v>
      </x:c>
      <x:c r="S31" s="1" t="n">
        <x:f>O31*K31</x:f>
        <x:v>2000000</x:v>
      </x:c>
      <x:c r="T31" s="7" t="n">
        <x:f>A31*E31</x:f>
        <x:v>4000000</x:v>
      </x:c>
      <x:c r="U31" s="7" t="n">
        <x:f>A31*'設定と出典'!$B$26</x:f>
        <x:v>25000</x:v>
      </x:c>
      <x:c r="V31" s="7" t="n">
        <x:f>M31*'設定と出典'!$B$27</x:f>
        <x:v>50000</x:v>
      </x:c>
      <x:c r="W31" s="7" t="n">
        <x:f>(N31*'設定と出典'!$B$36+S31)*('設定と出典'!$B$43*'設定と出典'!$B$8+'設定と出典'!$B$44*'設定と出典'!$B$9)*'設定と出典'!$B$12*'設定と出典'!$B$6</x:f>
        <x:v>9771.75</x:v>
      </x:c>
      <x:c r="X31" s="7" t="n">
        <x:f>N31*I31*'設定と出典'!$B$37*('設定と出典'!$B$45*'設定と出典'!$B$8+'設定と出典'!$B$46*'設定と出典'!$B$9)*'設定と出典'!$B$12*'設定と出典'!$B$6</x:f>
        <x:v>681.75</x:v>
      </x:c>
      <x:c r="Y31" s="7" t="n">
        <x:f>MAX(0,S31*('設定と出典'!$B$13*'設定と出典'!$B$8+'設定と出典'!$B$14*'設定と出典'!$B$9)-MIN(S31,'設定と出典'!$B$7*86400*'設定と出典'!$B$15)*('設定と出典'!$B$13*'設定と出典'!$B$10+'設定と出典'!$B$14*'設定と出典'!$B$11))*'設定と出典'!$B$12*'設定と出典'!$B$6</x:f>
        <x:v>7740</x:v>
      </x:c>
      <x:c r="Z31" s="7" t="n">
        <x:f>O31*('設定と出典'!$B$41*'設定と出典'!$B$18+('設定と出典'!$B$42+I31)*'設定と出典'!$B$19)/1000*'設定と出典'!$B$6</x:f>
        <x:v>960</x:v>
      </x:c>
      <x:c r="AA31" s="7" t="n">
        <x:f>N31*(1+J31)*'設定と出典'!$B$21</x:f>
        <x:v>140000</x:v>
      </x:c>
      <x:c r="AB31" s="7" t="n">
        <x:f>N31*'設定と出典'!$B$40/1048576*'設定と出典'!$B$20*'設定と出典'!$B$6+N31*'設定と出典'!$B$39/1000000*'設定と出典'!$B$38*'設定と出典'!$B$6</x:f>
        <x:v>669.1534423828125</x:v>
      </x:c>
      <x:c r="AC31" s="7" t="n">
        <x:f>R31*'設定と出典'!$B$16*'設定と出典'!$B$6</x:f>
        <x:v>34179.68750000001</x:v>
      </x:c>
      <x:c r="AD31" s="7" t="n">
        <x:f>Q31*'設定と出典'!$B$17*'設定と出典'!$B$6</x:f>
        <x:v>263671.875</x:v>
      </x:c>
      <x:c r="AE31" s="7" t="n">
        <x:f>'設定と出典'!B63</x:f>
        <x:v>13999.2</x:v>
      </x:c>
      <x:c r="AF31" s="7" t="n">
        <x:f>SUM(U31:AE31)</x:f>
        <x:v>546673.4159423828</x:v>
      </x:c>
      <x:c r="AG31" s="7" t="n">
        <x:f>T31*'設定と出典'!$B$28</x:f>
        <x:v>144000</x:v>
      </x:c>
      <x:c r="AH31" s="7" t="n">
        <x:f>(A31*L31+M31*'設定と出典'!$B$31)/60*'設定と出典'!$B$29</x:f>
        <x:v>433333.3333333333</x:v>
      </x:c>
      <x:c r="AI31" s="7" t="n">
        <x:f>'設定と出典'!$B$30*'設定と出典'!$B$29</x:f>
        <x:v>8000</x:v>
      </x:c>
      <x:c r="AJ31" s="7" t="n">
        <x:f>T31-SUM(AF31:AI31)</x:f>
        <x:v>2867993.250724284</x:v>
      </x:c>
      <x:c r="AK31" s="7" t="n">
        <x:f>AJ31-T31*'設定と出典'!$B$32</x:f>
        <x:v>867993.250724284</x:v>
      </x:c>
      <x:c r="AL31" s="7" t="n">
        <x:f>AJ31-A31*MIN(E31,AV31)*'設定と出典'!$B$32</x:f>
        <x:v>2617993.250724284</x:v>
      </x:c>
      <x:c r="AM31" s="8" t="n">
        <x:f>AJ31/T31</x:f>
        <x:v>0.716998312681071</x:v>
      </x:c>
      <x:c r="AN31" s="8" t="n">
        <x:f>AK31/T31</x:f>
        <x:v>0.216998312681071</x:v>
      </x:c>
      <x:c r="AO31" s="8" t="n">
        <x:f>AJ31/T31</x:f>
        <x:v>0.716998312681071</x:v>
      </x:c>
      <x:c r="AP31" s="8" t="n">
        <x:f>AO31-'設定と出典'!$B$33</x:f>
        <x:v>0.5169983126810709</x:v>
      </x:c>
      <x:c r="AQ31" s="9" t="n">
        <x:f>SUM(W31:AD31)/N31</x:f>
        <x:v>0.9153484318847657</x:v>
      </x:c>
      <x:c r="AR31" s="9" t="n">
        <x:f>MAX(0,(E31*(1-'設定と出典'!$B$28-'設定と出典'!$B$32)-(U31+V31+AH31+AI31+AE31)/A31)/AQ31)</x:f>
        <x:v>2896.53080835464</x:v>
      </x:c>
      <x:c r="AS31" s="9" t="n">
        <x:f>MAX(0,(E31*(1-'設定と出典'!$B$28 )-(U31+V31+AH31+AI31+AE31)/A31)/AQ31)</x:f>
        <x:v>7266.451442581024</x:v>
      </x:c>
      <x:c r="AT31" s="9" t="n">
        <x:f>MAX(0,(E31*(1-'設定と出典'!$B$28)-MIN(E31,AV31)*'設定と出典'!$B$32-(U31+V31+AH31+AI31+AE31)/A31)/AQ31)</x:f>
        <x:v>6720.211363302726</x:v>
      </x:c>
      <x:c r="AU31" s="9" t="n">
        <x:f>IF((T31*(1-'設定と出典'!$B$28-'設定と出典'!$B$32)-(AF31-AE31)-AH31)&lt;=0,"成立せず",(AE31+AI31)/((T31*(1-'設定と出典'!$B$28-'設定と出典'!$B$32)-(AF31-AE31)-AH31)/A31))</x:f>
        <x:v>12.359205958486983</x:v>
      </x:c>
      <x:c r="AV31" s="9" t="n">
        <x:f>'設定と出典'!D53</x:f>
        <x:v>1000</x:v>
      </x:c>
      <x:c r="AW31" s="9" t="n">
        <x:f>IF(1-'設定と出典'!$B$28-'設定と出典'!$B$32-'設定と出典'!$B$33&lt;=0,0,MAX(0,MIN(E31,(AK31/A31-E31*'設定と出典'!$B$33)/(1-'設定と出典'!$B$28-'設定と出典'!$B$32-'設定と出典'!$B$33))))</x:f>
        <x:v>515.1003842748784</x:v>
      </x:c>
      <x:c r="AX31" s="1"/>
      <x:c r="AY31" s="1"/>
      <x:c r="AZ31" s="1"/>
      <x:c r="BA31" s="1"/>
    </x:row>
    <x:row r="32" ht="22" customHeight="1">
      <x:c r="A32" s="1" t="n">
        <x:v>500</x:v>
      </x:c>
      <x:c r="B32" s="1" t="str">
        <x:f>'設定と出典'!A53</x:f>
        <x:v>Business Plus</x:v>
      </x:c>
      <x:c r="C32" s="1" t="str">
        <x:f>'設定と出典'!A59</x:f>
        <x:v>高位</x:v>
      </x:c>
      <x:c r="D32" s="1" t="n">
        <x:f>'設定と出典'!B53</x:f>
        <x:v>50</x:v>
      </x:c>
      <x:c r="E32" s="1" t="n">
        <x:f>'設定と出典'!C53</x:f>
        <x:v>8000</x:v>
      </x:c>
      <x:c r="F32" s="1" t="n">
        <x:f>'設定と出典'!B59</x:f>
        <x:v>80</x:v>
      </x:c>
      <x:c r="G32" s="1" t="n">
        <x:f>'設定と出典'!C59</x:f>
        <x:v>3</x:v>
      </x:c>
      <x:c r="H32" s="1" t="n">
        <x:f>'設定と出典'!D59</x:f>
        <x:v>50</x:v>
      </x:c>
      <x:c r="I32" s="1" t="n">
        <x:f>'設定と出典'!E59</x:f>
        <x:v>2</x:v>
      </x:c>
      <x:c r="J32" s="1" t="n">
        <x:f>'設定と出典'!F59</x:f>
        <x:v>2.5</x:v>
      </x:c>
      <x:c r="K32" s="1" t="n">
        <x:f>'設定と出典'!G59</x:f>
        <x:v>5</x:v>
      </x:c>
      <x:c r="L32" s="1" t="n">
        <x:f>'設定と出典'!H59</x:f>
        <x:v>20</x:v>
      </x:c>
      <x:c r="M32" s="1" t="n">
        <x:f>A32*D32</x:f>
        <x:v>25000</x:v>
      </x:c>
      <x:c r="N32" s="1" t="n">
        <x:f>M32*F32</x:f>
        <x:v>2000000</x:v>
      </x:c>
      <x:c r="O32" s="1" t="n">
        <x:f>N32*G32</x:f>
        <x:v>6000000</x:v>
      </x:c>
      <x:c r="P32" s="1" t="n">
        <x:f>O32*H32/1024</x:f>
        <x:v>292968.75</x:v>
      </x:c>
      <x:c r="Q32" s="1" t="n">
        <x:f>P32*I32</x:f>
        <x:v>585937.5</x:v>
      </x:c>
      <x:c r="R32" s="1" t="n">
        <x:f>P32*('設定と出典'!$B$34+'設定と出典'!$B$35)/'設定と出典'!$B$7</x:f>
        <x:v>273437.5</x:v>
      </x:c>
      <x:c r="S32" s="1" t="n">
        <x:f>O32*K32</x:f>
        <x:v>30000000</x:v>
      </x:c>
      <x:c r="T32" s="7" t="n">
        <x:f>A32*E32</x:f>
        <x:v>4000000</x:v>
      </x:c>
      <x:c r="U32" s="7" t="n">
        <x:f>A32*'設定と出典'!$B$26</x:f>
        <x:v>25000</x:v>
      </x:c>
      <x:c r="V32" s="7" t="n">
        <x:f>M32*'設定と出典'!$B$27</x:f>
        <x:v>50000</x:v>
      </x:c>
      <x:c r="W32" s="7" t="n">
        <x:f>(N32*'設定と出典'!$B$36+S32)*('設定と出典'!$B$43*'設定と出典'!$B$8+'設定と出典'!$B$44*'設定と出典'!$B$9)*'設定と出典'!$B$12*'設定と出典'!$B$6</x:f>
        <x:v>139077</x:v>
      </x:c>
      <x:c r="X32" s="7" t="n">
        <x:f>N32*I32*'設定と出典'!$B$37*('設定と出典'!$B$45*'設定と出典'!$B$8+'設定と出典'!$B$46*'設定と出典'!$B$9)*'設定と出典'!$B$12*'設定と出典'!$B$6</x:f>
        <x:v>3635.9999999999995</x:v>
      </x:c>
      <x:c r="Y32" s="7" t="n">
        <x:f>MAX(0,S32*('設定と出典'!$B$13*'設定と出典'!$B$8+'設定と出典'!$B$14*'設定と出典'!$B$9)-MIN(S32,'設定と出典'!$B$7*86400*'設定と出典'!$B$15)*('設定と出典'!$B$13*'設定と出典'!$B$10+'設定と出典'!$B$14*'設定と出典'!$B$11))*'設定と出典'!$B$12*'設定と出典'!$B$6</x:f>
        <x:v>153100.8</x:v>
      </x:c>
      <x:c r="Z32" s="7" t="n">
        <x:f>O32*('設定と出典'!$B$41*'設定と出典'!$B$18+('設定と出典'!$B$42+I32)*'設定と出典'!$B$19)/1000*'設定と出典'!$B$6</x:f>
        <x:v>5940</x:v>
      </x:c>
      <x:c r="AA32" s="7" t="n">
        <x:f>N32*(1+J32)*'設定と出典'!$B$21</x:f>
        <x:v>700000</x:v>
      </x:c>
      <x:c r="AB32" s="7" t="n">
        <x:f>N32*'設定と出典'!$B$40/1048576*'設定と出典'!$B$20*'設定と出典'!$B$6+N32*'設定と出典'!$B$39/1000000*'設定と出典'!$B$38*'設定と出典'!$B$6</x:f>
        <x:v>2676.61376953125</x:v>
      </x:c>
      <x:c r="AC32" s="7" t="n">
        <x:f>R32*'設定と出典'!$B$16*'設定と出典'!$B$6</x:f>
        <x:v>1025390.625</x:v>
      </x:c>
      <x:c r="AD32" s="7" t="n">
        <x:f>Q32*'設定と出典'!$B$17*'設定と出典'!$B$6</x:f>
        <x:v>10546875</x:v>
      </x:c>
      <x:c r="AE32" s="7" t="n">
        <x:f>'設定と出典'!B63</x:f>
        <x:v>13999.2</x:v>
      </x:c>
      <x:c r="AF32" s="7" t="n">
        <x:f>SUM(U32:AE32)</x:f>
        <x:v>12665695.238769531</x:v>
      </x:c>
      <x:c r="AG32" s="7" t="n">
        <x:f>T32*'設定と出典'!$B$28</x:f>
        <x:v>144000</x:v>
      </x:c>
      <x:c r="AH32" s="7" t="n">
        <x:f>(A32*L32+M32*'設定と出典'!$B$31)/60*'設定と出典'!$B$29</x:f>
        <x:v>833333.3333333334</x:v>
      </x:c>
      <x:c r="AI32" s="7" t="n">
        <x:f>'設定と出典'!$B$30*'設定と出典'!$B$29</x:f>
        <x:v>8000</x:v>
      </x:c>
      <x:c r="AJ32" s="7" t="n">
        <x:f>T32-SUM(AF32:AI32)</x:f>
        <x:v>-9651028.572102865</x:v>
      </x:c>
      <x:c r="AK32" s="7" t="n">
        <x:f>AJ32-T32*'設定と出典'!$B$32</x:f>
        <x:v>-11651028.572102865</x:v>
      </x:c>
      <x:c r="AL32" s="7" t="n">
        <x:f>AJ32-A32*MIN(E32,AV32)*'設定と出典'!$B$32</x:f>
        <x:v>-9901028.572102865</x:v>
      </x:c>
      <x:c r="AM32" s="8" t="n">
        <x:f>AJ32/T32</x:f>
        <x:v>-2.412757143025716</x:v>
      </x:c>
      <x:c r="AN32" s="8" t="n">
        <x:f>AK32/T32</x:f>
        <x:v>-2.912757143025716</x:v>
      </x:c>
      <x:c r="AO32" s="8" t="n">
        <x:f>AJ32/T32</x:f>
        <x:v>-2.412757143025716</x:v>
      </x:c>
      <x:c r="AP32" s="8" t="n">
        <x:f>AO32-'設定と出典'!$B$33</x:f>
        <x:v>-2.6127571430257164</x:v>
      </x:c>
      <x:c r="AQ32" s="9" t="n">
        <x:f>SUM(W32:AD32)/N32</x:f>
        <x:v>6.288348019384766</x:v>
      </x:c>
      <x:c r="AR32" s="9" t="n">
        <x:f>MAX(0,(E32*(1-'設定と出典'!$B$28-'設定と出典'!$B$32)-(U32+V32+AH32+AI32+AE32)/A32)/AQ32)</x:f>
        <x:v>294.407200051002</x:v>
      </x:c>
      <x:c r="AS32" s="9" t="n">
        <x:f>MAX(0,(E32*(1-'設定と出典'!$B$28 )-(U32+V32+AH32+AI32+AE32)/A32)/AQ32)</x:f>
        <x:v>930.5043097639834</x:v>
      </x:c>
      <x:c r="AT32" s="9" t="n">
        <x:f>MAX(0,(E32*(1-'設定と出典'!$B$28)-MIN(E32,AV32)*'設定と出典'!$B$32-(U32+V32+AH32+AI32+AE32)/A32)/AQ32)</x:f>
        <x:v>850.9921710498608</x:v>
      </x:c>
      <x:c r="AU32" s="9" t="str">
        <x:f>IF((T32*(1-'設定と出典'!$B$28-'設定と出典'!$B$32)-(AF32-AE32)-AH32)&lt;=0,"成立せず",(AE32+AI32)/((T32*(1-'設定と出典'!$B$28-'設定と出典'!$B$32)-(AF32-AE32)-AH32)/A32))</x:f>
        <x:v>成立せず</x:v>
      </x:c>
      <x:c r="AV32" s="9" t="n">
        <x:f>'設定と出典'!D53</x:f>
        <x:v>1000</x:v>
      </x:c>
      <x:c r="AW32" s="9" t="n">
        <x:f>IF(1-'設定と出典'!$B$28-'設定と出典'!$B$32-'設定と出典'!$B$33&lt;=0,0,MAX(0,MIN(E32,(AK32/A32-E32*'設定と出典'!$B$33)/(1-'設定と出典'!$B$28-'設定と出典'!$B$32-'設定と出典'!$B$33))))</x:f>
        <x:v>0</x:v>
      </x:c>
      <x:c r="AX32" s="1"/>
      <x:c r="AY32" s="1"/>
      <x:c r="AZ32" s="1"/>
      <x:c r="BA32" s="1"/>
    </x:row>
    <x:row r="33" ht="22" customHeight="1">
      <x:c r="A33" s="1" t="n">
        <x:v>1000</x:v>
      </x:c>
      <x:c r="B33" s="1" t="str">
        <x:f>'設定と出典'!A51</x:f>
        <x:v>Starter</x:v>
      </x:c>
      <x:c r="C33" s="1" t="str">
        <x:f>'設定と出典'!A57</x:f>
        <x:v>低位</x:v>
      </x:c>
      <x:c r="D33" s="1" t="n">
        <x:f>'設定と出典'!B51</x:f>
        <x:v>5</x:v>
      </x:c>
      <x:c r="E33" s="1" t="n">
        <x:f>'設定と出典'!C51</x:f>
        <x:v>3000</x:v>
      </x:c>
      <x:c r="F33" s="1" t="n">
        <x:f>'設定と出典'!B57</x:f>
        <x:v>5</x:v>
      </x:c>
      <x:c r="G33" s="1" t="n">
        <x:f>'設定と出典'!C57</x:f>
        <x:v>1</x:v>
      </x:c>
      <x:c r="H33" s="1" t="n">
        <x:f>'設定と出典'!D57</x:f>
        <x:v>2</x:v>
      </x:c>
      <x:c r="I33" s="1" t="n">
        <x:f>'設定と出典'!E57</x:f>
        <x:v>1</x:v>
      </x:c>
      <x:c r="J33" s="1" t="n">
        <x:f>'設定と出典'!F57</x:f>
        <x:v>1.1</x:v>
      </x:c>
      <x:c r="K33" s="1" t="n">
        <x:f>'設定と出典'!G57</x:f>
        <x:v>1</x:v>
      </x:c>
      <x:c r="L33" s="1" t="n">
        <x:f>'設定と出典'!H57</x:f>
        <x:v>3</x:v>
      </x:c>
      <x:c r="M33" s="1" t="n">
        <x:f>A33*D33</x:f>
        <x:v>5000</x:v>
      </x:c>
      <x:c r="N33" s="1" t="n">
        <x:f>M33*F33</x:f>
        <x:v>25000</x:v>
      </x:c>
      <x:c r="O33" s="1" t="n">
        <x:f>N33*G33</x:f>
        <x:v>25000</x:v>
      </x:c>
      <x:c r="P33" s="1" t="n">
        <x:f>O33*H33/1024</x:f>
        <x:v>48.828125</x:v>
      </x:c>
      <x:c r="Q33" s="1" t="n">
        <x:f>P33*I33</x:f>
        <x:v>48.828125</x:v>
      </x:c>
      <x:c r="R33" s="1" t="n">
        <x:f>P33*('設定と出典'!$B$34+'設定と出典'!$B$35)/'設定と出典'!$B$7</x:f>
        <x:v>45.572916666666664</x:v>
      </x:c>
      <x:c r="S33" s="1" t="n">
        <x:f>O33*K33</x:f>
        <x:v>25000</x:v>
      </x:c>
      <x:c r="T33" s="7" t="n">
        <x:f>A33*E33</x:f>
        <x:v>3000000</x:v>
      </x:c>
      <x:c r="U33" s="7" t="n">
        <x:f>A33*'設定と出典'!$B$26</x:f>
        <x:v>50000</x:v>
      </x:c>
      <x:c r="V33" s="7" t="n">
        <x:f>M33*'設定と出典'!$B$27</x:f>
        <x:v>10000</x:v>
      </x:c>
      <x:c r="W33" s="7" t="n">
        <x:f>(N33*'設定と出典'!$B$36+S33)*('設定と出典'!$B$43*'設定と出典'!$B$8+'設定と出典'!$B$44*'設定と出典'!$B$9)*'設定と出典'!$B$12*'設定と出典'!$B$6</x:f>
        <x:v>147.7125</x:v>
      </x:c>
      <x:c r="X33" s="7" t="n">
        <x:f>N33*I33*'設定と出典'!$B$37*('設定と出典'!$B$45*'設定と出典'!$B$8+'設定と出典'!$B$46*'設定と出典'!$B$9)*'設定と出典'!$B$12*'設定と出典'!$B$6</x:f>
        <x:v>22.724999999999998</x:v>
      </x:c>
      <x:c r="Y33" s="7" t="n">
        <x:f>MAX(0,S33*('設定と出典'!$B$13*'設定と出典'!$B$8+'設定と出典'!$B$14*'設定と出典'!$B$9)-MIN(S33,'設定と出典'!$B$7*86400*'設定と出典'!$B$15)*('設定と出典'!$B$13*'設定と出典'!$B$10+'設定と出典'!$B$14*'設定と出典'!$B$11))*'設定と出典'!$B$12*'設定と出典'!$B$6</x:f>
        <x:v>96.74999999999999</x:v>
      </x:c>
      <x:c r="Z33" s="7" t="n">
        <x:f>O33*('設定と出典'!$B$41*'設定と出典'!$B$18+('設定と出典'!$B$42+I33)*'設定と出典'!$B$19)/1000*'設定と出典'!$B$6</x:f>
        <x:v>23.250000000000004</x:v>
      </x:c>
      <x:c r="AA33" s="7" t="n">
        <x:f>N33*(1+J33)*'設定と出典'!$B$21</x:f>
        <x:v>5250</x:v>
      </x:c>
      <x:c r="AB33" s="7" t="n">
        <x:f>N33*'設定と出典'!$B$40/1048576*'設定と出典'!$B$20*'設定と出典'!$B$6+N33*'設定と出典'!$B$39/1000000*'設定と出典'!$B$38*'設定と出典'!$B$6</x:f>
        <x:v>33.457672119140625</x:v>
      </x:c>
      <x:c r="AC33" s="7" t="n">
        <x:f>R33*'設定と出典'!$B$16*'設定と出典'!$B$6</x:f>
        <x:v>170.8984375</x:v>
      </x:c>
      <x:c r="AD33" s="7" t="n">
        <x:f>Q33*'設定と出典'!$B$17*'設定と出典'!$B$6</x:f>
        <x:v>878.90625</x:v>
      </x:c>
      <x:c r="AE33" s="7" t="n">
        <x:f>'設定と出典'!B63</x:f>
        <x:v>13999.2</x:v>
      </x:c>
      <x:c r="AF33" s="7" t="n">
        <x:f>SUM(U33:AE33)</x:f>
        <x:v>80622.89985961914</x:v>
      </x:c>
      <x:c r="AG33" s="7" t="n">
        <x:f>T33*'設定と出典'!$B$28</x:f>
        <x:v>107999.99999999999</x:v>
      </x:c>
      <x:c r="AH33" s="7" t="n">
        <x:f>(A33*L33+M33*'設定と出典'!$B$31)/60*'設定と出典'!$B$29</x:f>
        <x:v>233333.33333333334</x:v>
      </x:c>
      <x:c r="AI33" s="7" t="n">
        <x:f>'設定と出典'!$B$30*'設定と出典'!$B$29</x:f>
        <x:v>8000</x:v>
      </x:c>
      <x:c r="AJ33" s="7" t="n">
        <x:f>T33-SUM(AF33:AI33)</x:f>
        <x:v>2570043.7668070477</x:v>
      </x:c>
      <x:c r="AK33" s="7" t="n">
        <x:f>AJ33-T33*'設定と出典'!$B$32</x:f>
        <x:v>1070043.7668070477</x:v>
      </x:c>
      <x:c r="AL33" s="7" t="n">
        <x:f>AJ33-A33*MIN(E33,AV33)*'設定と出典'!$B$32</x:f>
        <x:v>2070043.7668070477</x:v>
      </x:c>
      <x:c r="AM33" s="8" t="n">
        <x:f>AJ33/T33</x:f>
        <x:v>0.8566812556023492</x:v>
      </x:c>
      <x:c r="AN33" s="8" t="n">
        <x:f>AK33/T33</x:f>
        <x:v>0.3566812556023492</x:v>
      </x:c>
      <x:c r="AO33" s="8" t="n">
        <x:f>AJ33/T33</x:f>
        <x:v>0.8566812556023492</x:v>
      </x:c>
      <x:c r="AP33" s="8" t="n">
        <x:f>AO33-'設定と出典'!$B$33</x:f>
        <x:v>0.6566812556023491</x:v>
      </x:c>
      <x:c r="AQ33" s="9" t="n">
        <x:f>SUM(W33:AD33)/N33</x:f>
        <x:v>0.26494799438476563</x:v>
      </x:c>
      <x:c r="AR33" s="9" t="n">
        <x:f>MAX(0,(E33*(1-'設定と出典'!$B$28-'設定と出典'!$B$32)-(U33+V33+AH33+AI33+AE33)/A33)/AQ33)</x:f>
        <x:v>4063.6935907621814</x:v>
      </x:c>
      <x:c r="AS33" s="9" t="n">
        <x:f>MAX(0,(E33*(1-'設定と出典'!$B$28 )-(U33+V33+AH33+AI33+AE33)/A33)/AQ33)</x:f>
        <x:v>9725.182002792408</x:v>
      </x:c>
      <x:c r="AT33" s="9" t="n">
        <x:f>MAX(0,(E33*(1-'設定と出典'!$B$28)-MIN(E33,AV33)*'設定と出典'!$B$32-(U33+V33+AH33+AI33+AE33)/A33)/AQ33)</x:f>
        <x:v>7838.019198782333</x:v>
      </x:c>
      <x:c r="AU33" s="9" t="n">
        <x:f>IF((T33*(1-'設定と出典'!$B$28-'設定と出典'!$B$32)-(AF33-AE33)-AH33)&lt;=0,"成立せず",(AE33+AI33)/((T33*(1-'設定と出典'!$B$28-'設定と出典'!$B$32)-(AF33-AE33)-AH33)/A33))</x:f>
        <x:v>20.144994902830618</x:v>
      </x:c>
      <x:c r="AV33" s="9" t="n">
        <x:f>'設定と出典'!D51</x:f>
        <x:v>1000</x:v>
      </x:c>
      <x:c r="AW33" s="9" t="n">
        <x:f>IF(1-'設定と出典'!$B$28-'設定と出典'!$B$32-'設定と出典'!$B$33&lt;=0,0,MAX(0,MIN(E33,(AK33/A33-E33*'設定と出典'!$B$33)/(1-'設定と出典'!$B$28-'設定と出典'!$B$32-'設定と出典'!$B$33))))</x:f>
        <x:v>1780.4688136630596</x:v>
      </x:c>
      <x:c r="AX33" s="1"/>
      <x:c r="AY33" s="1"/>
      <x:c r="AZ33" s="1"/>
      <x:c r="BA33" s="1"/>
    </x:row>
    <x:row r="34" ht="22" customHeight="1">
      <x:c r="A34" s="1" t="n">
        <x:v>1000</x:v>
      </x:c>
      <x:c r="B34" s="1" t="str">
        <x:f>'設定と出典'!A51</x:f>
        <x:v>Starter</x:v>
      </x:c>
      <x:c r="C34" s="1" t="str">
        <x:f>'設定と出典'!A58</x:f>
        <x:v>標準</x:v>
      </x:c>
      <x:c r="D34" s="1" t="n">
        <x:f>'設定と出典'!B51</x:f>
        <x:v>5</x:v>
      </x:c>
      <x:c r="E34" s="1" t="n">
        <x:f>'設定と出典'!C51</x:f>
        <x:v>3000</x:v>
      </x:c>
      <x:c r="F34" s="1" t="n">
        <x:f>'設定と出典'!B58</x:f>
        <x:v>20</x:v>
      </x:c>
      <x:c r="G34" s="1" t="n">
        <x:f>'設定と出典'!C58</x:f>
        <x:v>2</x:v>
      </x:c>
      <x:c r="H34" s="1" t="n">
        <x:f>'設定と出典'!D58</x:f>
        <x:v>10</x:v>
      </x:c>
      <x:c r="I34" s="1" t="n">
        <x:f>'設定と出典'!E58</x:f>
        <x:v>1.5</x:v>
      </x:c>
      <x:c r="J34" s="1" t="n">
        <x:f>'設定と出典'!F58</x:f>
        <x:v>1.8</x:v>
      </x:c>
      <x:c r="K34" s="1" t="n">
        <x:f>'設定と出典'!G58</x:f>
        <x:v>2</x:v>
      </x:c>
      <x:c r="L34" s="1" t="n">
        <x:f>'設定と出典'!H58</x:f>
        <x:v>8</x:v>
      </x:c>
      <x:c r="M34" s="1" t="n">
        <x:f>A34*D34</x:f>
        <x:v>5000</x:v>
      </x:c>
      <x:c r="N34" s="1" t="n">
        <x:f>M34*F34</x:f>
        <x:v>100000</x:v>
      </x:c>
      <x:c r="O34" s="1" t="n">
        <x:f>N34*G34</x:f>
        <x:v>200000</x:v>
      </x:c>
      <x:c r="P34" s="1" t="n">
        <x:f>O34*H34/1024</x:f>
        <x:v>1953.125</x:v>
      </x:c>
      <x:c r="Q34" s="1" t="n">
        <x:f>P34*I34</x:f>
        <x:v>2929.6875</x:v>
      </x:c>
      <x:c r="R34" s="1" t="n">
        <x:f>P34*('設定と出典'!$B$34+'設定と出典'!$B$35)/'設定と出典'!$B$7</x:f>
        <x:v>1822.9166666666667</x:v>
      </x:c>
      <x:c r="S34" s="1" t="n">
        <x:f>O34*K34</x:f>
        <x:v>400000</x:v>
      </x:c>
      <x:c r="T34" s="7" t="n">
        <x:f>A34*E34</x:f>
        <x:v>3000000</x:v>
      </x:c>
      <x:c r="U34" s="7" t="n">
        <x:f>A34*'設定と出典'!$B$26</x:f>
        <x:v>50000</x:v>
      </x:c>
      <x:c r="V34" s="7" t="n">
        <x:f>M34*'設定と出典'!$B$27</x:f>
        <x:v>10000</x:v>
      </x:c>
      <x:c r="W34" s="7" t="n">
        <x:f>(N34*'設定と出典'!$B$36+S34)*('設定と出典'!$B$43*'設定と出典'!$B$8+'設定と出典'!$B$44*'設定と出典'!$B$9)*'設定と出典'!$B$12*'設定と出典'!$B$6</x:f>
        <x:v>1954.35</x:v>
      </x:c>
      <x:c r="X34" s="7" t="n">
        <x:f>N34*I34*'設定と出典'!$B$37*('設定と出典'!$B$45*'設定と出典'!$B$8+'設定と出典'!$B$46*'設定と出典'!$B$9)*'設定と出典'!$B$12*'設定と出典'!$B$6</x:f>
        <x:v>136.35</x:v>
      </x:c>
      <x:c r="Y34" s="7" t="n">
        <x:f>MAX(0,S34*('設定と出典'!$B$13*'設定と出典'!$B$8+'設定と出典'!$B$14*'設定と出典'!$B$9)-MIN(S34,'設定と出典'!$B$7*86400*'設定と出典'!$B$15)*('設定と出典'!$B$13*'設定と出典'!$B$10+'設定と出典'!$B$14*'設定と出典'!$B$11))*'設定と出典'!$B$12*'設定と出典'!$B$6</x:f>
        <x:v>1547.9999999999998</x:v>
      </x:c>
      <x:c r="Z34" s="7" t="n">
        <x:f>O34*('設定と出典'!$B$41*'設定と出典'!$B$18+('設定と出典'!$B$42+I34)*'設定と出典'!$B$19)/1000*'設定と出典'!$B$6</x:f>
        <x:v>192</x:v>
      </x:c>
      <x:c r="AA34" s="7" t="n">
        <x:f>N34*(1+J34)*'設定と出典'!$B$21</x:f>
        <x:v>28000</x:v>
      </x:c>
      <x:c r="AB34" s="7" t="n">
        <x:f>N34*'設定と出典'!$B$40/1048576*'設定と出典'!$B$20*'設定と出典'!$B$6+N34*'設定と出典'!$B$39/1000000*'設定と出典'!$B$38*'設定と出典'!$B$6</x:f>
        <x:v>133.8306884765625</x:v>
      </x:c>
      <x:c r="AC34" s="7" t="n">
        <x:f>R34*'設定と出典'!$B$16*'設定と出典'!$B$6</x:f>
        <x:v>6835.937500000001</x:v>
      </x:c>
      <x:c r="AD34" s="7" t="n">
        <x:f>Q34*'設定と出典'!$B$17*'設定と出典'!$B$6</x:f>
        <x:v>52734.375</x:v>
      </x:c>
      <x:c r="AE34" s="7" t="n">
        <x:f>'設定と出典'!B63</x:f>
        <x:v>13999.2</x:v>
      </x:c>
      <x:c r="AF34" s="7" t="n">
        <x:f>SUM(U34:AE34)</x:f>
        <x:v>165534.0431884766</x:v>
      </x:c>
      <x:c r="AG34" s="7" t="n">
        <x:f>T34*'設定と出典'!$B$28</x:f>
        <x:v>107999.99999999999</x:v>
      </x:c>
      <x:c r="AH34" s="7" t="n">
        <x:f>(A34*L34+M34*'設定と出典'!$B$31)/60*'設定と出典'!$B$29</x:f>
        <x:v>566666.6666666666</x:v>
      </x:c>
      <x:c r="AI34" s="7" t="n">
        <x:f>'設定と出典'!$B$30*'設定と出典'!$B$29</x:f>
        <x:v>8000</x:v>
      </x:c>
      <x:c r="AJ34" s="7" t="n">
        <x:f>T34-SUM(AF34:AI34)</x:f>
        <x:v>2151799.290144857</x:v>
      </x:c>
      <x:c r="AK34" s="7" t="n">
        <x:f>AJ34-T34*'設定と出典'!$B$32</x:f>
        <x:v>651799.290144857</x:v>
      </x:c>
      <x:c r="AL34" s="7" t="n">
        <x:f>AJ34-A34*MIN(E34,AV34)*'設定と出典'!$B$32</x:f>
        <x:v>1651799.290144857</x:v>
      </x:c>
      <x:c r="AM34" s="8" t="n">
        <x:f>AJ34/T34</x:f>
        <x:v>0.7172664300482857</x:v>
      </x:c>
      <x:c r="AN34" s="8" t="n">
        <x:f>AK34/T34</x:f>
        <x:v>0.21726643004828566</x:v>
      </x:c>
      <x:c r="AO34" s="8" t="n">
        <x:f>AJ34/T34</x:f>
        <x:v>0.7172664300482857</x:v>
      </x:c>
      <x:c r="AP34" s="8" t="n">
        <x:f>AO34-'設定と出典'!$B$33</x:f>
        <x:v>0.5172664300482857</x:v>
      </x:c>
      <x:c r="AQ34" s="9" t="n">
        <x:f>SUM(W34:AD34)/N34</x:f>
        <x:v>0.9153484318847658</x:v>
      </x:c>
      <x:c r="AR34" s="9" t="n">
        <x:f>MAX(0,(E34*(1-'設定と出典'!$B$28-'設定と出典'!$B$32)-(U34+V34+AH34+AI34+AE34)/A34)/AQ34)</x:f>
        <x:v>812.0777918445295</x:v>
      </x:c>
      <x:c r="AS34" s="9" t="n">
        <x:f>MAX(0,(E34*(1-'設定と出典'!$B$28 )-(U34+V34+AH34+AI34+AE34)/A34)/AQ34)</x:f>
        <x:v>2450.7980296794226</x:v>
      </x:c>
      <x:c r="AT34" s="9" t="n">
        <x:f>MAX(0,(E34*(1-'設定と出典'!$B$28)-MIN(E34,AV34)*'設定と出典'!$B$32-(U34+V34+AH34+AI34+AE34)/A34)/AQ34)</x:f>
        <x:v>1904.557950401125</x:v>
      </x:c>
      <x:c r="AU34" s="9" t="n">
        <x:f>IF((T34*(1-'設定と出典'!$B$28-'設定と出典'!$B$32)-(AF34-AE34)-AH34)&lt;=0,"成立せず",(AE34+AI34)/((T34*(1-'設定と出典'!$B$28-'設定と出典'!$B$32)-(AF34-AE34)-AH34)/A34))</x:f>
        <x:v>32.64952403688304</x:v>
      </x:c>
      <x:c r="AV34" s="9" t="n">
        <x:f>'設定と出典'!D51</x:f>
        <x:v>1000</x:v>
      </x:c>
      <x:c r="AW34" s="9" t="n">
        <x:f>IF(1-'設定と出典'!$B$28-'設定と出典'!$B$32-'設定と出典'!$B$33&lt;=0,0,MAX(0,MIN(E34,(AK34/A34-E34*'設定と出典'!$B$33)/(1-'設定と出典'!$B$28-'設定と出典'!$B$32-'設定と出典'!$B$33))))</x:f>
        <x:v>196.20943236688248</x:v>
      </x:c>
      <x:c r="AX34" s="1"/>
      <x:c r="AY34" s="1"/>
      <x:c r="AZ34" s="1"/>
      <x:c r="BA34" s="1"/>
    </x:row>
    <x:row r="35" ht="22" customHeight="1">
      <x:c r="A35" s="1" t="n">
        <x:v>1000</x:v>
      </x:c>
      <x:c r="B35" s="1" t="str">
        <x:f>'設定と出典'!A51</x:f>
        <x:v>Starter</x:v>
      </x:c>
      <x:c r="C35" s="1" t="str">
        <x:f>'設定と出典'!A59</x:f>
        <x:v>高位</x:v>
      </x:c>
      <x:c r="D35" s="1" t="n">
        <x:f>'設定と出典'!B51</x:f>
        <x:v>5</x:v>
      </x:c>
      <x:c r="E35" s="1" t="n">
        <x:f>'設定と出典'!C51</x:f>
        <x:v>3000</x:v>
      </x:c>
      <x:c r="F35" s="1" t="n">
        <x:f>'設定と出典'!B59</x:f>
        <x:v>80</x:v>
      </x:c>
      <x:c r="G35" s="1" t="n">
        <x:f>'設定と出典'!C59</x:f>
        <x:v>3</x:v>
      </x:c>
      <x:c r="H35" s="1" t="n">
        <x:f>'設定と出典'!D59</x:f>
        <x:v>50</x:v>
      </x:c>
      <x:c r="I35" s="1" t="n">
        <x:f>'設定と出典'!E59</x:f>
        <x:v>2</x:v>
      </x:c>
      <x:c r="J35" s="1" t="n">
        <x:f>'設定と出典'!F59</x:f>
        <x:v>2.5</x:v>
      </x:c>
      <x:c r="K35" s="1" t="n">
        <x:f>'設定と出典'!G59</x:f>
        <x:v>5</x:v>
      </x:c>
      <x:c r="L35" s="1" t="n">
        <x:f>'設定と出典'!H59</x:f>
        <x:v>20</x:v>
      </x:c>
      <x:c r="M35" s="1" t="n">
        <x:f>A35*D35</x:f>
        <x:v>5000</x:v>
      </x:c>
      <x:c r="N35" s="1" t="n">
        <x:f>M35*F35</x:f>
        <x:v>400000</x:v>
      </x:c>
      <x:c r="O35" s="1" t="n">
        <x:f>N35*G35</x:f>
        <x:v>1200000</x:v>
      </x:c>
      <x:c r="P35" s="1" t="n">
        <x:f>O35*H35/1024</x:f>
        <x:v>58593.75</x:v>
      </x:c>
      <x:c r="Q35" s="1" t="n">
        <x:f>P35*I35</x:f>
        <x:v>117187.5</x:v>
      </x:c>
      <x:c r="R35" s="1" t="n">
        <x:f>P35*('設定と出典'!$B$34+'設定と出典'!$B$35)/'設定と出典'!$B$7</x:f>
        <x:v>54687.5</x:v>
      </x:c>
      <x:c r="S35" s="1" t="n">
        <x:f>O35*K35</x:f>
        <x:v>6000000</x:v>
      </x:c>
      <x:c r="T35" s="7" t="n">
        <x:f>A35*E35</x:f>
        <x:v>3000000</x:v>
      </x:c>
      <x:c r="U35" s="7" t="n">
        <x:f>A35*'設定と出典'!$B$26</x:f>
        <x:v>50000</x:v>
      </x:c>
      <x:c r="V35" s="7" t="n">
        <x:f>M35*'設定と出典'!$B$27</x:f>
        <x:v>10000</x:v>
      </x:c>
      <x:c r="W35" s="7" t="n">
        <x:f>(N35*'設定と出典'!$B$36+S35)*('設定と出典'!$B$43*'設定と出典'!$B$8+'設定と出典'!$B$44*'設定と出典'!$B$9)*'設定と出典'!$B$12*'設定と出典'!$B$6</x:f>
        <x:v>27815.4</x:v>
      </x:c>
      <x:c r="X35" s="7" t="n">
        <x:f>N35*I35*'設定と出典'!$B$37*('設定と出典'!$B$45*'設定と出典'!$B$8+'設定と出典'!$B$46*'設定と出典'!$B$9)*'設定と出典'!$B$12*'設定と出典'!$B$6</x:f>
        <x:v>727.1999999999999</x:v>
      </x:c>
      <x:c r="Y35" s="7" t="n">
        <x:f>MAX(0,S35*('設定と出典'!$B$13*'設定と出典'!$B$8+'設定と出典'!$B$14*'設定と出典'!$B$9)-MIN(S35,'設定と出典'!$B$7*86400*'設定と出典'!$B$15)*('設定と出典'!$B$13*'設定と出典'!$B$10+'設定と出典'!$B$14*'設定と出典'!$B$11))*'設定と出典'!$B$12*'設定と出典'!$B$6</x:f>
        <x:v>27820.800000000003</x:v>
      </x:c>
      <x:c r="Z35" s="7" t="n">
        <x:f>O35*('設定と出典'!$B$41*'設定と出典'!$B$18+('設定と出典'!$B$42+I35)*'設定と出典'!$B$19)/1000*'設定と出典'!$B$6</x:f>
        <x:v>1188</x:v>
      </x:c>
      <x:c r="AA35" s="7" t="n">
        <x:f>N35*(1+J35)*'設定と出典'!$B$21</x:f>
        <x:v>140000</x:v>
      </x:c>
      <x:c r="AB35" s="7" t="n">
        <x:f>N35*'設定と出典'!$B$40/1048576*'設定と出典'!$B$20*'設定と出典'!$B$6+N35*'設定と出典'!$B$39/1000000*'設定と出典'!$B$38*'設定と出典'!$B$6</x:f>
        <x:v>535.32275390625</x:v>
      </x:c>
      <x:c r="AC35" s="7" t="n">
        <x:f>R35*'設定と出典'!$B$16*'設定と出典'!$B$6</x:f>
        <x:v>205078.125</x:v>
      </x:c>
      <x:c r="AD35" s="7" t="n">
        <x:f>Q35*'設定と出典'!$B$17*'設定と出典'!$B$6</x:f>
        <x:v>2109375</x:v>
      </x:c>
      <x:c r="AE35" s="7" t="n">
        <x:f>'設定と出典'!B63</x:f>
        <x:v>13999.2</x:v>
      </x:c>
      <x:c r="AF35" s="7" t="n">
        <x:f>SUM(U35:AE35)</x:f>
        <x:v>2586539.0477539063</x:v>
      </x:c>
      <x:c r="AG35" s="7" t="n">
        <x:f>T35*'設定と出典'!$B$28</x:f>
        <x:v>107999.99999999999</x:v>
      </x:c>
      <x:c r="AH35" s="7" t="n">
        <x:f>(A35*L35+M35*'設定と出典'!$B$31)/60*'設定と出典'!$B$29</x:f>
        <x:v>1366666.6666666667</x:v>
      </x:c>
      <x:c r="AI35" s="7" t="n">
        <x:f>'設定と出典'!$B$30*'設定と出典'!$B$29</x:f>
        <x:v>8000</x:v>
      </x:c>
      <x:c r="AJ35" s="7" t="n">
        <x:f>T35-SUM(AF35:AI35)</x:f>
        <x:v>-1069205.7144205729</x:v>
      </x:c>
      <x:c r="AK35" s="7" t="n">
        <x:f>AJ35-T35*'設定と出典'!$B$32</x:f>
        <x:v>-2569205.714420573</x:v>
      </x:c>
      <x:c r="AL35" s="7" t="n">
        <x:f>AJ35-A35*MIN(E35,AV35)*'設定と出典'!$B$32</x:f>
        <x:v>-1569205.7144205729</x:v>
      </x:c>
      <x:c r="AM35" s="8" t="n">
        <x:f>AJ35/T35</x:f>
        <x:v>-0.35640190480685763</x:v>
      </x:c>
      <x:c r="AN35" s="8" t="n">
        <x:f>AK35/T35</x:f>
        <x:v>-0.8564019048068576</x:v>
      </x:c>
      <x:c r="AO35" s="8" t="n">
        <x:f>AJ35/T35</x:f>
        <x:v>-0.35640190480685763</x:v>
      </x:c>
      <x:c r="AP35" s="8" t="n">
        <x:f>AO35-'設定と出典'!$B$33</x:f>
        <x:v>-0.5564019048068576</x:v>
      </x:c>
      <x:c r="AQ35" s="9" t="n">
        <x:f>SUM(W35:AD35)/N35</x:f>
        <x:v>6.281349619384765</x:v>
      </x:c>
      <x:c r="AR35" s="9" t="n">
        <x:f>MAX(0,(E35*(1-'設定と出典'!$B$28-'設定と出典'!$B$32)-(U35+V35+AH35+AI35+AE35)/A35)/AQ35)</x:f>
        <x:v>0</x:v>
      </x:c>
      <x:c r="AS35" s="9" t="n">
        <x:f>MAX(0,(E35*(1-'設定と出典'!$B$28 )-(U35+V35+AH35+AI35+AE35)/A35)/AQ35)</x:f>
        <x:v>229.7808943605184</x:v>
      </x:c>
      <x:c r="AT35" s="9" t="n">
        <x:f>MAX(0,(E35*(1-'設定と出典'!$B$28)-MIN(E35,AV35)*'設定と出典'!$B$32-(U35+V35+AH35+AI35+AE35)/A35)/AQ35)</x:f>
        <x:v>150.1801667625897</x:v>
      </x:c>
      <x:c r="AU35" s="9" t="str">
        <x:f>IF((T35*(1-'設定と出典'!$B$28-'設定と出典'!$B$32)-(AF35-AE35)-AH35)&lt;=0,"成立せず",(AE35+AI35)/((T35*(1-'設定と出典'!$B$28-'設定と出典'!$B$32)-(AF35-AE35)-AH35)/A35))</x:f>
        <x:v>成立せず</x:v>
      </x:c>
      <x:c r="AV35" s="9" t="n">
        <x:f>'設定と出典'!D51</x:f>
        <x:v>1000</x:v>
      </x:c>
      <x:c r="AW35" s="9" t="n">
        <x:f>IF(1-'設定と出典'!$B$28-'設定と出典'!$B$32-'設定と出典'!$B$33&lt;=0,0,MAX(0,MIN(E35,(AK35/A35-E35*'設定と出典'!$B$33)/(1-'設定と出典'!$B$28-'設定と出典'!$B$32-'設定と出典'!$B$33))))</x:f>
        <x:v>0</x:v>
      </x:c>
      <x:c r="AX35" s="1"/>
      <x:c r="AY35" s="1"/>
      <x:c r="AZ35" s="1"/>
      <x:c r="BA35" s="1"/>
    </x:row>
    <x:row r="36" ht="22" customHeight="1">
      <x:c r="A36" s="1" t="n">
        <x:v>1000</x:v>
      </x:c>
      <x:c r="B36" s="1" t="str">
        <x:f>'設定と出典'!A52</x:f>
        <x:v>Business</x:v>
      </x:c>
      <x:c r="C36" s="1" t="str">
        <x:f>'設定と出典'!A57</x:f>
        <x:v>低位</x:v>
      </x:c>
      <x:c r="D36" s="1" t="n">
        <x:f>'設定と出典'!B52</x:f>
        <x:v>20</x:v>
      </x:c>
      <x:c r="E36" s="1" t="n">
        <x:f>'設定と出典'!C52</x:f>
        <x:v>5000</x:v>
      </x:c>
      <x:c r="F36" s="1" t="n">
        <x:f>'設定と出典'!B57</x:f>
        <x:v>5</x:v>
      </x:c>
      <x:c r="G36" s="1" t="n">
        <x:f>'設定と出典'!C57</x:f>
        <x:v>1</x:v>
      </x:c>
      <x:c r="H36" s="1" t="n">
        <x:f>'設定と出典'!D57</x:f>
        <x:v>2</x:v>
      </x:c>
      <x:c r="I36" s="1" t="n">
        <x:f>'設定と出典'!E57</x:f>
        <x:v>1</x:v>
      </x:c>
      <x:c r="J36" s="1" t="n">
        <x:f>'設定と出典'!F57</x:f>
        <x:v>1.1</x:v>
      </x:c>
      <x:c r="K36" s="1" t="n">
        <x:f>'設定と出典'!G57</x:f>
        <x:v>1</x:v>
      </x:c>
      <x:c r="L36" s="1" t="n">
        <x:f>'設定と出典'!H57</x:f>
        <x:v>3</x:v>
      </x:c>
      <x:c r="M36" s="1" t="n">
        <x:f>A36*D36</x:f>
        <x:v>20000</x:v>
      </x:c>
      <x:c r="N36" s="1" t="n">
        <x:f>M36*F36</x:f>
        <x:v>100000</x:v>
      </x:c>
      <x:c r="O36" s="1" t="n">
        <x:f>N36*G36</x:f>
        <x:v>100000</x:v>
      </x:c>
      <x:c r="P36" s="1" t="n">
        <x:f>O36*H36/1024</x:f>
        <x:v>195.3125</x:v>
      </x:c>
      <x:c r="Q36" s="1" t="n">
        <x:f>P36*I36</x:f>
        <x:v>195.3125</x:v>
      </x:c>
      <x:c r="R36" s="1" t="n">
        <x:f>P36*('設定と出典'!$B$34+'設定と出典'!$B$35)/'設定と出典'!$B$7</x:f>
        <x:v>182.29166666666666</x:v>
      </x:c>
      <x:c r="S36" s="1" t="n">
        <x:f>O36*K36</x:f>
        <x:v>100000</x:v>
      </x:c>
      <x:c r="T36" s="7" t="n">
        <x:f>A36*E36</x:f>
        <x:v>5000000</x:v>
      </x:c>
      <x:c r="U36" s="7" t="n">
        <x:f>A36*'設定と出典'!$B$26</x:f>
        <x:v>50000</x:v>
      </x:c>
      <x:c r="V36" s="7" t="n">
        <x:f>M36*'設定と出典'!$B$27</x:f>
        <x:v>40000</x:v>
      </x:c>
      <x:c r="W36" s="7" t="n">
        <x:f>(N36*'設定と出典'!$B$36+S36)*('設定と出典'!$B$43*'設定と出典'!$B$8+'設定と出典'!$B$44*'設定と出典'!$B$9)*'設定と出典'!$B$12*'設定と出典'!$B$6</x:f>
        <x:v>590.85</x:v>
      </x:c>
      <x:c r="X36" s="7" t="n">
        <x:f>N36*I36*'設定と出典'!$B$37*('設定と出典'!$B$45*'設定と出典'!$B$8+'設定と出典'!$B$46*'設定と出典'!$B$9)*'設定と出典'!$B$12*'設定と出典'!$B$6</x:f>
        <x:v>90.89999999999999</x:v>
      </x:c>
      <x:c r="Y36" s="7" t="n">
        <x:f>MAX(0,S36*('設定と出典'!$B$13*'設定と出典'!$B$8+'設定と出典'!$B$14*'設定と出典'!$B$9)-MIN(S36,'設定と出典'!$B$7*86400*'設定と出典'!$B$15)*('設定と出典'!$B$13*'設定と出典'!$B$10+'設定と出典'!$B$14*'設定と出典'!$B$11))*'設定と出典'!$B$12*'設定と出典'!$B$6</x:f>
        <x:v>386.99999999999994</x:v>
      </x:c>
      <x:c r="Z36" s="7" t="n">
        <x:f>O36*('設定と出典'!$B$41*'設定と出典'!$B$18+('設定と出典'!$B$42+I36)*'設定と出典'!$B$19)/1000*'設定と出典'!$B$6</x:f>
        <x:v>93.00000000000001</x:v>
      </x:c>
      <x:c r="AA36" s="7" t="n">
        <x:f>N36*(1+J36)*'設定と出典'!$B$21</x:f>
        <x:v>21000</x:v>
      </x:c>
      <x:c r="AB36" s="7" t="n">
        <x:f>N36*'設定と出典'!$B$40/1048576*'設定と出典'!$B$20*'設定と出典'!$B$6+N36*'設定と出典'!$B$39/1000000*'設定と出典'!$B$38*'設定と出典'!$B$6</x:f>
        <x:v>133.8306884765625</x:v>
      </x:c>
      <x:c r="AC36" s="7" t="n">
        <x:f>R36*'設定と出典'!$B$16*'設定と出典'!$B$6</x:f>
        <x:v>683.59375</x:v>
      </x:c>
      <x:c r="AD36" s="7" t="n">
        <x:f>Q36*'設定と出典'!$B$17*'設定と出典'!$B$6</x:f>
        <x:v>3515.625</x:v>
      </x:c>
      <x:c r="AE36" s="7" t="n">
        <x:f>'設定と出典'!B63</x:f>
        <x:v>13999.2</x:v>
      </x:c>
      <x:c r="AF36" s="7" t="n">
        <x:f>SUM(U36:AE36)</x:f>
        <x:v>130493.99943847656</x:v>
      </x:c>
      <x:c r="AG36" s="7" t="n">
        <x:f>T36*'設定と出典'!$B$28</x:f>
        <x:v>180000</x:v>
      </x:c>
      <x:c r="AH36" s="7" t="n">
        <x:f>(A36*L36+M36*'設定と出典'!$B$31)/60*'設定と出典'!$B$29</x:f>
        <x:v>333333.3333333333</x:v>
      </x:c>
      <x:c r="AI36" s="7" t="n">
        <x:f>'設定と出典'!$B$30*'設定と出典'!$B$29</x:f>
        <x:v>8000</x:v>
      </x:c>
      <x:c r="AJ36" s="7" t="n">
        <x:f>T36-SUM(AF36:AI36)</x:f>
        <x:v>4348172.66722819</x:v>
      </x:c>
      <x:c r="AK36" s="7" t="n">
        <x:f>AJ36-T36*'設定と出典'!$B$32</x:f>
        <x:v>1848172.6672281902</x:v>
      </x:c>
      <x:c r="AL36" s="7" t="n">
        <x:f>AJ36-A36*MIN(E36,AV36)*'設定と出典'!$B$32</x:f>
        <x:v>3848172.66722819</x:v>
      </x:c>
      <x:c r="AM36" s="8" t="n">
        <x:f>AJ36/T36</x:f>
        <x:v>0.869634533445638</x:v>
      </x:c>
      <x:c r="AN36" s="8" t="n">
        <x:f>AK36/T36</x:f>
        <x:v>0.36963453344563807</x:v>
      </x:c>
      <x:c r="AO36" s="8" t="n">
        <x:f>AJ36/T36</x:f>
        <x:v>0.869634533445638</x:v>
      </x:c>
      <x:c r="AP36" s="8" t="n">
        <x:f>AO36-'設定と出典'!$B$33</x:f>
        <x:v>0.669634533445638</x:v>
      </x:c>
      <x:c r="AQ36" s="9" t="n">
        <x:f>SUM(W36:AD36)/N36</x:f>
        <x:v>0.26494799438476563</x:v>
      </x:c>
      <x:c r="AR36" s="9" t="n">
        <x:f>MAX(0,(E36*(1-'設定と出典'!$B$28-'設定と出典'!$B$32)-(U36+V36+AH36+AI36+AE36)/A36)/AQ36)</x:f>
        <x:v>7075.605425962262</x:v>
      </x:c>
      <x:c r="AS36" s="9" t="n">
        <x:f>MAX(0,(E36*(1-'設定と出典'!$B$28 )-(U36+V36+AH36+AI36+AE36)/A36)/AQ36)</x:f>
        <x:v>16511.41944601264</x:v>
      </x:c>
      <x:c r="AT36" s="9" t="n">
        <x:f>MAX(0,(E36*(1-'設定と出典'!$B$28)-MIN(E36,AV36)*'設定と出典'!$B$32-(U36+V36+AH36+AI36+AE36)/A36)/AQ36)</x:f>
        <x:v>14624.256642002563</x:v>
      </x:c>
      <x:c r="AU36" s="9" t="n">
        <x:f>IF((T36*(1-'設定と出典'!$B$28-'設定と出典'!$B$32)-(AF36-AE36)-AH36)&lt;=0,"成立せず",(AE36+AI36)/((T36*(1-'設定と出典'!$B$28-'設定と出典'!$B$32)-(AF36-AE36)-AH36)/A36))</x:f>
        <x:v>11.763196947564689</x:v>
      </x:c>
      <x:c r="AV36" s="9" t="n">
        <x:f>'設定と出典'!D52</x:f>
        <x:v>1000</x:v>
      </x:c>
      <x:c r="AW36" s="9" t="n">
        <x:f>IF(1-'設定と出典'!$B$28-'設定と出典'!$B$32-'設定と出典'!$B$33&lt;=0,0,MAX(0,MIN(E36,(AK36/A36-E36*'設定と出典'!$B$33)/(1-'設定と出典'!$B$28-'設定と出典'!$B$32-'設定と出典'!$B$33))))</x:f>
        <x:v>3212.775254652236</x:v>
      </x:c>
      <x:c r="AX36" s="1"/>
      <x:c r="AY36" s="1"/>
      <x:c r="AZ36" s="1"/>
      <x:c r="BA36" s="1"/>
    </x:row>
    <x:row r="37" ht="22" customHeight="1">
      <x:c r="A37" s="1" t="n">
        <x:v>1000</x:v>
      </x:c>
      <x:c r="B37" s="1" t="str">
        <x:f>'設定と出典'!A52</x:f>
        <x:v>Business</x:v>
      </x:c>
      <x:c r="C37" s="1" t="str">
        <x:f>'設定と出典'!A58</x:f>
        <x:v>標準</x:v>
      </x:c>
      <x:c r="D37" s="1" t="n">
        <x:f>'設定と出典'!B52</x:f>
        <x:v>20</x:v>
      </x:c>
      <x:c r="E37" s="1" t="n">
        <x:f>'設定と出典'!C52</x:f>
        <x:v>5000</x:v>
      </x:c>
      <x:c r="F37" s="1" t="n">
        <x:f>'設定と出典'!B58</x:f>
        <x:v>20</x:v>
      </x:c>
      <x:c r="G37" s="1" t="n">
        <x:f>'設定と出典'!C58</x:f>
        <x:v>2</x:v>
      </x:c>
      <x:c r="H37" s="1" t="n">
        <x:f>'設定と出典'!D58</x:f>
        <x:v>10</x:v>
      </x:c>
      <x:c r="I37" s="1" t="n">
        <x:f>'設定と出典'!E58</x:f>
        <x:v>1.5</x:v>
      </x:c>
      <x:c r="J37" s="1" t="n">
        <x:f>'設定と出典'!F58</x:f>
        <x:v>1.8</x:v>
      </x:c>
      <x:c r="K37" s="1" t="n">
        <x:f>'設定と出典'!G58</x:f>
        <x:v>2</x:v>
      </x:c>
      <x:c r="L37" s="1" t="n">
        <x:f>'設定と出典'!H58</x:f>
        <x:v>8</x:v>
      </x:c>
      <x:c r="M37" s="1" t="n">
        <x:f>A37*D37</x:f>
        <x:v>20000</x:v>
      </x:c>
      <x:c r="N37" s="1" t="n">
        <x:f>M37*F37</x:f>
        <x:v>400000</x:v>
      </x:c>
      <x:c r="O37" s="1" t="n">
        <x:f>N37*G37</x:f>
        <x:v>800000</x:v>
      </x:c>
      <x:c r="P37" s="1" t="n">
        <x:f>O37*H37/1024</x:f>
        <x:v>7812.5</x:v>
      </x:c>
      <x:c r="Q37" s="1" t="n">
        <x:f>P37*I37</x:f>
        <x:v>11718.75</x:v>
      </x:c>
      <x:c r="R37" s="1" t="n">
        <x:f>P37*('設定と出典'!$B$34+'設定と出典'!$B$35)/'設定と出典'!$B$7</x:f>
        <x:v>7291.666666666667</x:v>
      </x:c>
      <x:c r="S37" s="1" t="n">
        <x:f>O37*K37</x:f>
        <x:v>1600000</x:v>
      </x:c>
      <x:c r="T37" s="7" t="n">
        <x:f>A37*E37</x:f>
        <x:v>5000000</x:v>
      </x:c>
      <x:c r="U37" s="7" t="n">
        <x:f>A37*'設定と出典'!$B$26</x:f>
        <x:v>50000</x:v>
      </x:c>
      <x:c r="V37" s="7" t="n">
        <x:f>M37*'設定と出典'!$B$27</x:f>
        <x:v>40000</x:v>
      </x:c>
      <x:c r="W37" s="7" t="n">
        <x:f>(N37*'設定と出典'!$B$36+S37)*('設定と出典'!$B$43*'設定と出典'!$B$8+'設定と出典'!$B$44*'設定と出典'!$B$9)*'設定と出典'!$B$12*'設定と出典'!$B$6</x:f>
        <x:v>7817.4</x:v>
      </x:c>
      <x:c r="X37" s="7" t="n">
        <x:f>N37*I37*'設定と出典'!$B$37*('設定と出典'!$B$45*'設定と出典'!$B$8+'設定と出典'!$B$46*'設定と出典'!$B$9)*'設定と出典'!$B$12*'設定と出典'!$B$6</x:f>
        <x:v>545.4</x:v>
      </x:c>
      <x:c r="Y37" s="7" t="n">
        <x:f>MAX(0,S37*('設定と出典'!$B$13*'設定と出典'!$B$8+'設定と出典'!$B$14*'設定と出典'!$B$9)-MIN(S37,'設定と出典'!$B$7*86400*'設定と出典'!$B$15)*('設定と出典'!$B$13*'設定と出典'!$B$10+'設定と出典'!$B$14*'設定と出典'!$B$11))*'設定と出典'!$B$12*'設定と出典'!$B$6</x:f>
        <x:v>6191.999999999999</x:v>
      </x:c>
      <x:c r="Z37" s="7" t="n">
        <x:f>O37*('設定と出典'!$B$41*'設定と出典'!$B$18+('設定と出典'!$B$42+I37)*'設定と出典'!$B$19)/1000*'設定と出典'!$B$6</x:f>
        <x:v>768</x:v>
      </x:c>
      <x:c r="AA37" s="7" t="n">
        <x:f>N37*(1+J37)*'設定と出典'!$B$21</x:f>
        <x:v>112000</x:v>
      </x:c>
      <x:c r="AB37" s="7" t="n">
        <x:f>N37*'設定と出典'!$B$40/1048576*'設定と出典'!$B$20*'設定と出典'!$B$6+N37*'設定と出典'!$B$39/1000000*'設定と出典'!$B$38*'設定と出典'!$B$6</x:f>
        <x:v>535.32275390625</x:v>
      </x:c>
      <x:c r="AC37" s="7" t="n">
        <x:f>R37*'設定と出典'!$B$16*'設定と出典'!$B$6</x:f>
        <x:v>27343.750000000004</x:v>
      </x:c>
      <x:c r="AD37" s="7" t="n">
        <x:f>Q37*'設定と出典'!$B$17*'設定と出典'!$B$6</x:f>
        <x:v>210937.5</x:v>
      </x:c>
      <x:c r="AE37" s="7" t="n">
        <x:f>'設定と出典'!B63</x:f>
        <x:v>13999.2</x:v>
      </x:c>
      <x:c r="AF37" s="7" t="n">
        <x:f>SUM(U37:AE37)</x:f>
        <x:v>470138.57275390625</x:v>
      </x:c>
      <x:c r="AG37" s="7" t="n">
        <x:f>T37*'設定と出典'!$B$28</x:f>
        <x:v>180000</x:v>
      </x:c>
      <x:c r="AH37" s="7" t="n">
        <x:f>(A37*L37+M37*'設定と出典'!$B$31)/60*'設定と出典'!$B$29</x:f>
        <x:v>666666.6666666666</x:v>
      </x:c>
      <x:c r="AI37" s="7" t="n">
        <x:f>'設定と出典'!$B$30*'設定と出典'!$B$29</x:f>
        <x:v>8000</x:v>
      </x:c>
      <x:c r="AJ37" s="7" t="n">
        <x:f>T37-SUM(AF37:AI37)</x:f>
        <x:v>3675194.7605794272</x:v>
      </x:c>
      <x:c r="AK37" s="7" t="n">
        <x:f>AJ37-T37*'設定と出典'!$B$32</x:f>
        <x:v>1175194.7605794272</x:v>
      </x:c>
      <x:c r="AL37" s="7" t="n">
        <x:f>AJ37-A37*MIN(E37,AV37)*'設定と出典'!$B$32</x:f>
        <x:v>3175194.7605794272</x:v>
      </x:c>
      <x:c r="AM37" s="8" t="n">
        <x:f>AJ37/T37</x:f>
        <x:v>0.7350389521158854</x:v>
      </x:c>
      <x:c r="AN37" s="8" t="n">
        <x:f>AK37/T37</x:f>
        <x:v>0.23503895211588544</x:v>
      </x:c>
      <x:c r="AO37" s="8" t="n">
        <x:f>AJ37/T37</x:f>
        <x:v>0.7350389521158854</x:v>
      </x:c>
      <x:c r="AP37" s="8" t="n">
        <x:f>AO37-'設定と出典'!$B$33</x:f>
        <x:v>0.5350389521158854</x:v>
      </x:c>
      <x:c r="AQ37" s="9" t="n">
        <x:f>SUM(W37:AD37)/N37</x:f>
        <x:v>0.9153484318847658</x:v>
      </x:c>
      <x:c r="AR37" s="9" t="n">
        <x:f>MAX(0,(E37*(1-'設定と出典'!$B$28-'設定と出典'!$B$32)-(U37+V37+AH37+AI37+AE37)/A37)/AQ37)</x:f>
        <x:v>1683.8769583726928</x:v>
      </x:c>
      <x:c r="AS37" s="9" t="n">
        <x:f>MAX(0,(E37*(1-'設定と出典'!$B$28 )-(U37+V37+AH37+AI37+AE37)/A37)/AQ37)</x:f>
        <x:v>4415.077354764181</x:v>
      </x:c>
      <x:c r="AT37" s="9" t="n">
        <x:f>MAX(0,(E37*(1-'設定と出典'!$B$28)-MIN(E37,AV37)*'設定と出典'!$B$32-(U37+V37+AH37+AI37+AE37)/A37)/AQ37)</x:f>
        <x:v>3868.8372754858838</x:v>
      </x:c>
      <x:c r="AU37" s="9" t="n">
        <x:f>IF((T37*(1-'設定と出典'!$B$28-'設定と出典'!$B$32)-(AF37-AE37)-AH37)&lt;=0,"成立せず",(AE37+AI37)/((T37*(1-'設定と出典'!$B$28-'設定と出典'!$B$32)-(AF37-AE37)-AH37)/A37))</x:f>
        <x:v>18.37563563163371</x:v>
      </x:c>
      <x:c r="AV37" s="9" t="n">
        <x:f>'設定と出典'!D52</x:f>
        <x:v>1000</x:v>
      </x:c>
      <x:c r="AW37" s="9" t="n">
        <x:f>IF(1-'設定と出典'!$B$28-'設定と出典'!$B$32-'設定と出典'!$B$33&lt;=0,0,MAX(0,MIN(E37,(AK37/A37-E37*'設定と出典'!$B$33)/(1-'設定と出典'!$B$28-'設定と出典'!$B$32-'設定と出典'!$B$33))))</x:f>
        <x:v>663.6165173463157</x:v>
      </x:c>
      <x:c r="AX37" s="1"/>
      <x:c r="AY37" s="1"/>
      <x:c r="AZ37" s="1"/>
      <x:c r="BA37" s="1"/>
    </x:row>
    <x:row r="38" ht="22" customHeight="1">
      <x:c r="A38" s="1" t="n">
        <x:v>1000</x:v>
      </x:c>
      <x:c r="B38" s="1" t="str">
        <x:f>'設定と出典'!A52</x:f>
        <x:v>Business</x:v>
      </x:c>
      <x:c r="C38" s="1" t="str">
        <x:f>'設定と出典'!A59</x:f>
        <x:v>高位</x:v>
      </x:c>
      <x:c r="D38" s="1" t="n">
        <x:f>'設定と出典'!B52</x:f>
        <x:v>20</x:v>
      </x:c>
      <x:c r="E38" s="1" t="n">
        <x:f>'設定と出典'!C52</x:f>
        <x:v>5000</x:v>
      </x:c>
      <x:c r="F38" s="1" t="n">
        <x:f>'設定と出典'!B59</x:f>
        <x:v>80</x:v>
      </x:c>
      <x:c r="G38" s="1" t="n">
        <x:f>'設定と出典'!C59</x:f>
        <x:v>3</x:v>
      </x:c>
      <x:c r="H38" s="1" t="n">
        <x:f>'設定と出典'!D59</x:f>
        <x:v>50</x:v>
      </x:c>
      <x:c r="I38" s="1" t="n">
        <x:f>'設定と出典'!E59</x:f>
        <x:v>2</x:v>
      </x:c>
      <x:c r="J38" s="1" t="n">
        <x:f>'設定と出典'!F59</x:f>
        <x:v>2.5</x:v>
      </x:c>
      <x:c r="K38" s="1" t="n">
        <x:f>'設定と出典'!G59</x:f>
        <x:v>5</x:v>
      </x:c>
      <x:c r="L38" s="1" t="n">
        <x:f>'設定と出典'!H59</x:f>
        <x:v>20</x:v>
      </x:c>
      <x:c r="M38" s="1" t="n">
        <x:f>A38*D38</x:f>
        <x:v>20000</x:v>
      </x:c>
      <x:c r="N38" s="1" t="n">
        <x:f>M38*F38</x:f>
        <x:v>1600000</x:v>
      </x:c>
      <x:c r="O38" s="1" t="n">
        <x:f>N38*G38</x:f>
        <x:v>4800000</x:v>
      </x:c>
      <x:c r="P38" s="1" t="n">
        <x:f>O38*H38/1024</x:f>
        <x:v>234375</x:v>
      </x:c>
      <x:c r="Q38" s="1" t="n">
        <x:f>P38*I38</x:f>
        <x:v>468750</x:v>
      </x:c>
      <x:c r="R38" s="1" t="n">
        <x:f>P38*('設定と出典'!$B$34+'設定と出典'!$B$35)/'設定と出典'!$B$7</x:f>
        <x:v>218750</x:v>
      </x:c>
      <x:c r="S38" s="1" t="n">
        <x:f>O38*K38</x:f>
        <x:v>24000000</x:v>
      </x:c>
      <x:c r="T38" s="7" t="n">
        <x:f>A38*E38</x:f>
        <x:v>5000000</x:v>
      </x:c>
      <x:c r="U38" s="7" t="n">
        <x:f>A38*'設定と出典'!$B$26</x:f>
        <x:v>50000</x:v>
      </x:c>
      <x:c r="V38" s="7" t="n">
        <x:f>M38*'設定と出典'!$B$27</x:f>
        <x:v>40000</x:v>
      </x:c>
      <x:c r="W38" s="7" t="n">
        <x:f>(N38*'設定と出典'!$B$36+S38)*('設定と出典'!$B$43*'設定と出典'!$B$8+'設定と出典'!$B$44*'設定と出典'!$B$9)*'設定と出典'!$B$12*'設定と出典'!$B$6</x:f>
        <x:v>111261.6</x:v>
      </x:c>
      <x:c r="X38" s="7" t="n">
        <x:f>N38*I38*'設定と出典'!$B$37*('設定と出典'!$B$45*'設定と出典'!$B$8+'設定と出典'!$B$46*'設定と出典'!$B$9)*'設定と出典'!$B$12*'設定と出典'!$B$6</x:f>
        <x:v>2908.7999999999997</x:v>
      </x:c>
      <x:c r="Y38" s="7" t="n">
        <x:f>MAX(0,S38*('設定と出典'!$B$13*'設定と出典'!$B$8+'設定と出典'!$B$14*'設定と出典'!$B$9)-MIN(S38,'設定と出典'!$B$7*86400*'設定と出典'!$B$15)*('設定と出典'!$B$13*'設定と出典'!$B$10+'設定と出典'!$B$14*'設定と出典'!$B$11))*'設定と出典'!$B$12*'設定と出典'!$B$6</x:f>
        <x:v>121780.79999999999</x:v>
      </x:c>
      <x:c r="Z38" s="7" t="n">
        <x:f>O38*('設定と出典'!$B$41*'設定と出典'!$B$18+('設定と出典'!$B$42+I38)*'設定と出典'!$B$19)/1000*'設定と出典'!$B$6</x:f>
        <x:v>4752</x:v>
      </x:c>
      <x:c r="AA38" s="7" t="n">
        <x:f>N38*(1+J38)*'設定と出典'!$B$21</x:f>
        <x:v>560000</x:v>
      </x:c>
      <x:c r="AB38" s="7" t="n">
        <x:f>N38*'設定と出典'!$B$40/1048576*'設定と出典'!$B$20*'設定と出典'!$B$6+N38*'設定と出典'!$B$39/1000000*'設定と出典'!$B$38*'設定と出典'!$B$6</x:f>
        <x:v>2141.291015625</x:v>
      </x:c>
      <x:c r="AC38" s="7" t="n">
        <x:f>R38*'設定と出典'!$B$16*'設定と出典'!$B$6</x:f>
        <x:v>820312.5</x:v>
      </x:c>
      <x:c r="AD38" s="7" t="n">
        <x:f>Q38*'設定と出典'!$B$17*'設定と出典'!$B$6</x:f>
        <x:v>8437500</x:v>
      </x:c>
      <x:c r="AE38" s="7" t="n">
        <x:f>'設定と出典'!B63</x:f>
        <x:v>13999.2</x:v>
      </x:c>
      <x:c r="AF38" s="7" t="n">
        <x:f>SUM(U38:AE38)</x:f>
        <x:v>10164656.191015624</x:v>
      </x:c>
      <x:c r="AG38" s="7" t="n">
        <x:f>T38*'設定と出典'!$B$28</x:f>
        <x:v>180000</x:v>
      </x:c>
      <x:c r="AH38" s="7" t="n">
        <x:f>(A38*L38+M38*'設定と出典'!$B$31)/60*'設定と出典'!$B$29</x:f>
        <x:v>1466666.6666666667</x:v>
      </x:c>
      <x:c r="AI38" s="7" t="n">
        <x:f>'設定と出典'!$B$30*'設定と出典'!$B$29</x:f>
        <x:v>8000</x:v>
      </x:c>
      <x:c r="AJ38" s="7" t="n">
        <x:f>T38-SUM(AF38:AI38)</x:f>
        <x:v>-6819322.85768229</x:v>
      </x:c>
      <x:c r="AK38" s="7" t="n">
        <x:f>AJ38-T38*'設定と出典'!$B$32</x:f>
        <x:v>-9319322.85768229</x:v>
      </x:c>
      <x:c r="AL38" s="7" t="n">
        <x:f>AJ38-A38*MIN(E38,AV38)*'設定と出典'!$B$32</x:f>
        <x:v>-7319322.85768229</x:v>
      </x:c>
      <x:c r="AM38" s="8" t="n">
        <x:f>AJ38/T38</x:f>
        <x:v>-1.363864571536458</x:v>
      </x:c>
      <x:c r="AN38" s="8" t="n">
        <x:f>AK38/T38</x:f>
        <x:v>-1.863864571536458</x:v>
      </x:c>
      <x:c r="AO38" s="8" t="n">
        <x:f>AJ38/T38</x:f>
        <x:v>-1.363864571536458</x:v>
      </x:c>
      <x:c r="AP38" s="8" t="n">
        <x:f>AO38-'設定と出典'!$B$33</x:f>
        <x:v>-1.5638645715364579</x:v>
      </x:c>
      <x:c r="AQ38" s="9" t="n">
        <x:f>SUM(W38:AD38)/N38</x:f>
        <x:v>6.287910619384765</x:v>
      </x:c>
      <x:c r="AR38" s="9" t="n">
        <x:f>MAX(0,(E38*(1-'設定と出典'!$B$28-'設定と出典'!$B$32)-(U38+V38+AH38+AI38+AE38)/A38)/AQ38)</x:f>
        <x:v>117.8983255658727</x:v>
      </x:c>
      <x:c r="AS38" s="9" t="n">
        <x:f>MAX(0,(E38*(1-'設定と出典'!$B$28 )-(U38+V38+AH38+AI38+AE38)/A38)/AQ38)</x:f>
        <x:v>515.4866742763081</x:v>
      </x:c>
      <x:c r="AT38" s="9" t="n">
        <x:f>MAX(0,(E38*(1-'設定と出典'!$B$28)-MIN(E38,AV38)*'設定と出典'!$B$32-(U38+V38+AH38+AI38+AE38)/A38)/AQ38)</x:f>
        <x:v>435.969004534221</x:v>
      </x:c>
      <x:c r="AU38" s="9" t="str">
        <x:f>IF((T38*(1-'設定と出典'!$B$28-'設定と出典'!$B$32)-(AF38-AE38)-AH38)&lt;=0,"成立せず",(AE38+AI38)/((T38*(1-'設定と出典'!$B$28-'設定と出典'!$B$32)-(AF38-AE38)-AH38)/A38))</x:f>
        <x:v>成立せず</x:v>
      </x:c>
      <x:c r="AV38" s="9" t="n">
        <x:f>'設定と出典'!D52</x:f>
        <x:v>1000</x:v>
      </x:c>
      <x:c r="AW38" s="9" t="n">
        <x:f>IF(1-'設定と出典'!$B$28-'設定と出典'!$B$32-'設定と出典'!$B$33&lt;=0,0,MAX(0,MIN(E38,(AK38/A38-E38*'設定と出典'!$B$33)/(1-'設定と出典'!$B$28-'設定と出典'!$B$32-'設定と出典'!$B$33))))</x:f>
        <x:v>0</x:v>
      </x:c>
      <x:c r="AX38" s="1"/>
      <x:c r="AY38" s="1"/>
      <x:c r="AZ38" s="1"/>
      <x:c r="BA38" s="1"/>
    </x:row>
    <x:row r="39" ht="22" customHeight="1">
      <x:c r="A39" s="1" t="n">
        <x:v>1000</x:v>
      </x:c>
      <x:c r="B39" s="1" t="str">
        <x:f>'設定と出典'!A53</x:f>
        <x:v>Business Plus</x:v>
      </x:c>
      <x:c r="C39" s="1" t="str">
        <x:f>'設定と出典'!A57</x:f>
        <x:v>低位</x:v>
      </x:c>
      <x:c r="D39" s="1" t="n">
        <x:f>'設定と出典'!B53</x:f>
        <x:v>50</x:v>
      </x:c>
      <x:c r="E39" s="1" t="n">
        <x:f>'設定と出典'!C53</x:f>
        <x:v>8000</x:v>
      </x:c>
      <x:c r="F39" s="1" t="n">
        <x:f>'設定と出典'!B57</x:f>
        <x:v>5</x:v>
      </x:c>
      <x:c r="G39" s="1" t="n">
        <x:f>'設定と出典'!C57</x:f>
        <x:v>1</x:v>
      </x:c>
      <x:c r="H39" s="1" t="n">
        <x:f>'設定と出典'!D57</x:f>
        <x:v>2</x:v>
      </x:c>
      <x:c r="I39" s="1" t="n">
        <x:f>'設定と出典'!E57</x:f>
        <x:v>1</x:v>
      </x:c>
      <x:c r="J39" s="1" t="n">
        <x:f>'設定と出典'!F57</x:f>
        <x:v>1.1</x:v>
      </x:c>
      <x:c r="K39" s="1" t="n">
        <x:f>'設定と出典'!G57</x:f>
        <x:v>1</x:v>
      </x:c>
      <x:c r="L39" s="1" t="n">
        <x:f>'設定と出典'!H57</x:f>
        <x:v>3</x:v>
      </x:c>
      <x:c r="M39" s="1" t="n">
        <x:f>A39*D39</x:f>
        <x:v>50000</x:v>
      </x:c>
      <x:c r="N39" s="1" t="n">
        <x:f>M39*F39</x:f>
        <x:v>250000</x:v>
      </x:c>
      <x:c r="O39" s="1" t="n">
        <x:f>N39*G39</x:f>
        <x:v>250000</x:v>
      </x:c>
      <x:c r="P39" s="1" t="n">
        <x:f>O39*H39/1024</x:f>
        <x:v>488.28125</x:v>
      </x:c>
      <x:c r="Q39" s="1" t="n">
        <x:f>P39*I39</x:f>
        <x:v>488.28125</x:v>
      </x:c>
      <x:c r="R39" s="1" t="n">
        <x:f>P39*('設定と出典'!$B$34+'設定と出典'!$B$35)/'設定と出典'!$B$7</x:f>
        <x:v>455.7291666666667</x:v>
      </x:c>
      <x:c r="S39" s="1" t="n">
        <x:f>O39*K39</x:f>
        <x:v>250000</x:v>
      </x:c>
      <x:c r="T39" s="7" t="n">
        <x:f>A39*E39</x:f>
        <x:v>8000000</x:v>
      </x:c>
      <x:c r="U39" s="7" t="n">
        <x:f>A39*'設定と出典'!$B$26</x:f>
        <x:v>50000</x:v>
      </x:c>
      <x:c r="V39" s="7" t="n">
        <x:f>M39*'設定と出典'!$B$27</x:f>
        <x:v>100000</x:v>
      </x:c>
      <x:c r="W39" s="7" t="n">
        <x:f>(N39*'設定と出典'!$B$36+S39)*('設定と出典'!$B$43*'設定と出典'!$B$8+'設定と出典'!$B$44*'設定と出典'!$B$9)*'設定と出典'!$B$12*'設定と出典'!$B$6</x:f>
        <x:v>1477.125</x:v>
      </x:c>
      <x:c r="X39" s="7" t="n">
        <x:f>N39*I39*'設定と出典'!$B$37*('設定と出典'!$B$45*'設定と出典'!$B$8+'設定と出典'!$B$46*'設定と出典'!$B$9)*'設定と出典'!$B$12*'設定と出典'!$B$6</x:f>
        <x:v>227.24999999999997</x:v>
      </x:c>
      <x:c r="Y39" s="7" t="n">
        <x:f>MAX(0,S39*('設定と出典'!$B$13*'設定と出典'!$B$8+'設定と出典'!$B$14*'設定と出典'!$B$9)-MIN(S39,'設定と出典'!$B$7*86400*'設定と出典'!$B$15)*('設定と出典'!$B$13*'設定と出典'!$B$10+'設定と出典'!$B$14*'設定と出典'!$B$11))*'設定と出典'!$B$12*'設定と出典'!$B$6</x:f>
        <x:v>967.5</x:v>
      </x:c>
      <x:c r="Z39" s="7" t="n">
        <x:f>O39*('設定と出典'!$B$41*'設定と出典'!$B$18+('設定と出典'!$B$42+I39)*'設定と出典'!$B$19)/1000*'設定と出典'!$B$6</x:f>
        <x:v>232.50000000000003</x:v>
      </x:c>
      <x:c r="AA39" s="7" t="n">
        <x:f>N39*(1+J39)*'設定と出典'!$B$21</x:f>
        <x:v>52500</x:v>
      </x:c>
      <x:c r="AB39" s="7" t="n">
        <x:f>N39*'設定と出典'!$B$40/1048576*'設定と出典'!$B$20*'設定と出典'!$B$6+N39*'設定と出典'!$B$39/1000000*'設定と出典'!$B$38*'設定と出典'!$B$6</x:f>
        <x:v>334.57672119140625</x:v>
      </x:c>
      <x:c r="AC39" s="7" t="n">
        <x:f>R39*'設定と出典'!$B$16*'設定と出典'!$B$6</x:f>
        <x:v>1708.9843750000002</x:v>
      </x:c>
      <x:c r="AD39" s="7" t="n">
        <x:f>Q39*'設定と出典'!$B$17*'設定と出典'!$B$6</x:f>
        <x:v>8789.0625</x:v>
      </x:c>
      <x:c r="AE39" s="7" t="n">
        <x:f>'設定と出典'!B63</x:f>
        <x:v>13999.2</x:v>
      </x:c>
      <x:c r="AF39" s="7" t="n">
        <x:f>SUM(U39:AE39)</x:f>
        <x:v>230236.19859619142</x:v>
      </x:c>
      <x:c r="AG39" s="7" t="n">
        <x:f>T39*'設定と出典'!$B$28</x:f>
        <x:v>288000</x:v>
      </x:c>
      <x:c r="AH39" s="7" t="n">
        <x:f>(A39*L39+M39*'設定と出典'!$B$31)/60*'設定と出典'!$B$29</x:f>
        <x:v>533333.3333333334</x:v>
      </x:c>
      <x:c r="AI39" s="7" t="n">
        <x:f>'設定と出典'!$B$30*'設定と出典'!$B$29</x:f>
        <x:v>8000</x:v>
      </x:c>
      <x:c r="AJ39" s="7" t="n">
        <x:f>T39-SUM(AF39:AI39)</x:f>
        <x:v>6940430.468070475</x:v>
      </x:c>
      <x:c r="AK39" s="7" t="n">
        <x:f>AJ39-T39*'設定と出典'!$B$32</x:f>
        <x:v>2940430.4680704754</x:v>
      </x:c>
      <x:c r="AL39" s="7" t="n">
        <x:f>AJ39-A39*MIN(E39,AV39)*'設定と出典'!$B$32</x:f>
        <x:v>6440430.468070475</x:v>
      </x:c>
      <x:c r="AM39" s="8" t="n">
        <x:f>AJ39/T39</x:f>
        <x:v>0.8675538085088095</x:v>
      </x:c>
      <x:c r="AN39" s="8" t="n">
        <x:f>AK39/T39</x:f>
        <x:v>0.3675538085088094</x:v>
      </x:c>
      <x:c r="AO39" s="8" t="n">
        <x:f>AJ39/T39</x:f>
        <x:v>0.8675538085088095</x:v>
      </x:c>
      <x:c r="AP39" s="8" t="n">
        <x:f>AO39-'設定と出典'!$B$33</x:f>
        <x:v>0.6675538085088095</x:v>
      </x:c>
      <x:c r="AQ39" s="9" t="n">
        <x:f>SUM(W39:AD39)/N39</x:f>
        <x:v>0.26494799438476563</x:v>
      </x:c>
      <x:c r="AR39" s="9" t="n">
        <x:f>MAX(0,(E39*(1-'設定と出典'!$B$28-'設定と出典'!$B$32)-(U39+V39+AH39+AI39+AE39)/A39)/AQ39)</x:f>
        <x:v>11348.142014241072</x:v>
      </x:c>
      <x:c r="AS39" s="9" t="n">
        <x:f>MAX(0,(E39*(1-'設定と出典'!$B$28 )-(U39+V39+AH39+AI39+AE39)/A39)/AQ39)</x:f>
        <x:v>26445.444446321675</x:v>
      </x:c>
      <x:c r="AT39" s="9" t="n">
        <x:f>MAX(0,(E39*(1-'設定と出典'!$B$28)-MIN(E39,AV39)*'設定と出典'!$B$32-(U39+V39+AH39+AI39+AE39)/A39)/AQ39)</x:f>
        <x:v>24558.281642311602</x:v>
      </x:c>
      <x:c r="AU39" s="9" t="n">
        <x:f>IF((T39*(1-'設定と出典'!$B$28-'設定と出典'!$B$32)-(AF39-AE39)-AH39)&lt;=0,"成立せず",(AE39+AI39)/((T39*(1-'設定と出典'!$B$28-'設定と出典'!$B$32)-(AF39-AE39)-AH39)/A39))</x:f>
        <x:v>7.426066595643023</x:v>
      </x:c>
      <x:c r="AV39" s="9" t="n">
        <x:f>'設定と出典'!D53</x:f>
        <x:v>1000</x:v>
      </x:c>
      <x:c r="AW39" s="9" t="n">
        <x:f>IF(1-'設定と出典'!$B$28-'設定と出典'!$B$32-'設定と出典'!$B$33&lt;=0,0,MAX(0,MIN(E39,(AK39/A39-E39*'設定と出典'!$B$33)/(1-'設定と出典'!$B$28-'設定と出典'!$B$32-'設定と出典'!$B$33))))</x:f>
        <x:v>5077.3881366305895</x:v>
      </x:c>
      <x:c r="AX39" s="1"/>
      <x:c r="AY39" s="1"/>
      <x:c r="AZ39" s="1"/>
      <x:c r="BA39" s="1"/>
    </x:row>
    <x:row r="40" ht="22" customHeight="1">
      <x:c r="A40" s="1" t="n">
        <x:v>1000</x:v>
      </x:c>
      <x:c r="B40" s="1" t="str">
        <x:f>'設定と出典'!A53</x:f>
        <x:v>Business Plus</x:v>
      </x:c>
      <x:c r="C40" s="1" t="str">
        <x:f>'設定と出典'!A58</x:f>
        <x:v>標準</x:v>
      </x:c>
      <x:c r="D40" s="1" t="n">
        <x:f>'設定と出典'!B53</x:f>
        <x:v>50</x:v>
      </x:c>
      <x:c r="E40" s="1" t="n">
        <x:f>'設定と出典'!C53</x:f>
        <x:v>8000</x:v>
      </x:c>
      <x:c r="F40" s="1" t="n">
        <x:f>'設定と出典'!B58</x:f>
        <x:v>20</x:v>
      </x:c>
      <x:c r="G40" s="1" t="n">
        <x:f>'設定と出典'!C58</x:f>
        <x:v>2</x:v>
      </x:c>
      <x:c r="H40" s="1" t="n">
        <x:f>'設定と出典'!D58</x:f>
        <x:v>10</x:v>
      </x:c>
      <x:c r="I40" s="1" t="n">
        <x:f>'設定と出典'!E58</x:f>
        <x:v>1.5</x:v>
      </x:c>
      <x:c r="J40" s="1" t="n">
        <x:f>'設定と出典'!F58</x:f>
        <x:v>1.8</x:v>
      </x:c>
      <x:c r="K40" s="1" t="n">
        <x:f>'設定と出典'!G58</x:f>
        <x:v>2</x:v>
      </x:c>
      <x:c r="L40" s="1" t="n">
        <x:f>'設定と出典'!H58</x:f>
        <x:v>8</x:v>
      </x:c>
      <x:c r="M40" s="1" t="n">
        <x:f>A40*D40</x:f>
        <x:v>50000</x:v>
      </x:c>
      <x:c r="N40" s="1" t="n">
        <x:f>M40*F40</x:f>
        <x:v>1000000</x:v>
      </x:c>
      <x:c r="O40" s="1" t="n">
        <x:f>N40*G40</x:f>
        <x:v>2000000</x:v>
      </x:c>
      <x:c r="P40" s="1" t="n">
        <x:f>O40*H40/1024</x:f>
        <x:v>19531.25</x:v>
      </x:c>
      <x:c r="Q40" s="1" t="n">
        <x:f>P40*I40</x:f>
        <x:v>29296.875</x:v>
      </x:c>
      <x:c r="R40" s="1" t="n">
        <x:f>P40*('設定と出典'!$B$34+'設定と出典'!$B$35)/'設定と出典'!$B$7</x:f>
        <x:v>18229.166666666668</x:v>
      </x:c>
      <x:c r="S40" s="1" t="n">
        <x:f>O40*K40</x:f>
        <x:v>4000000</x:v>
      </x:c>
      <x:c r="T40" s="7" t="n">
        <x:f>A40*E40</x:f>
        <x:v>8000000</x:v>
      </x:c>
      <x:c r="U40" s="7" t="n">
        <x:f>A40*'設定と出典'!$B$26</x:f>
        <x:v>50000</x:v>
      </x:c>
      <x:c r="V40" s="7" t="n">
        <x:f>M40*'設定と出典'!$B$27</x:f>
        <x:v>100000</x:v>
      </x:c>
      <x:c r="W40" s="7" t="n">
        <x:f>(N40*'設定と出典'!$B$36+S40)*('設定と出典'!$B$43*'設定と出典'!$B$8+'設定と出典'!$B$44*'設定と出典'!$B$9)*'設定と出典'!$B$12*'設定と出典'!$B$6</x:f>
        <x:v>19543.5</x:v>
      </x:c>
      <x:c r="X40" s="7" t="n">
        <x:f>N40*I40*'設定と出典'!$B$37*('設定と出典'!$B$45*'設定と出典'!$B$8+'設定と出典'!$B$46*'設定と出典'!$B$9)*'設定と出典'!$B$12*'設定と出典'!$B$6</x:f>
        <x:v>1363.5</x:v>
      </x:c>
      <x:c r="Y40" s="7" t="n">
        <x:f>MAX(0,S40*('設定と出典'!$B$13*'設定と出典'!$B$8+'設定と出典'!$B$14*'設定と出典'!$B$9)-MIN(S40,'設定と出典'!$B$7*86400*'設定と出典'!$B$15)*('設定と出典'!$B$13*'設定と出典'!$B$10+'設定と出典'!$B$14*'設定と出典'!$B$11))*'設定と出典'!$B$12*'設定と出典'!$B$6</x:f>
        <x:v>17380.8</x:v>
      </x:c>
      <x:c r="Z40" s="7" t="n">
        <x:f>O40*('設定と出典'!$B$41*'設定と出典'!$B$18+('設定と出典'!$B$42+I40)*'設定と出典'!$B$19)/1000*'設定と出典'!$B$6</x:f>
        <x:v>1920</x:v>
      </x:c>
      <x:c r="AA40" s="7" t="n">
        <x:f>N40*(1+J40)*'設定と出典'!$B$21</x:f>
        <x:v>280000</x:v>
      </x:c>
      <x:c r="AB40" s="7" t="n">
        <x:f>N40*'設定と出典'!$B$40/1048576*'設定と出典'!$B$20*'設定と出典'!$B$6+N40*'設定と出典'!$B$39/1000000*'設定と出典'!$B$38*'設定と出典'!$B$6</x:f>
        <x:v>1338.306884765625</x:v>
      </x:c>
      <x:c r="AC40" s="7" t="n">
        <x:f>R40*'設定と出典'!$B$16*'設定と出典'!$B$6</x:f>
        <x:v>68359.37500000001</x:v>
      </x:c>
      <x:c r="AD40" s="7" t="n">
        <x:f>Q40*'設定と出典'!$B$17*'設定と出典'!$B$6</x:f>
        <x:v>527343.75</x:v>
      </x:c>
      <x:c r="AE40" s="7" t="n">
        <x:f>'設定と出典'!B63</x:f>
        <x:v>13999.2</x:v>
      </x:c>
      <x:c r="AF40" s="7" t="n">
        <x:f>SUM(U40:AE40)</x:f>
        <x:v>1081248.4318847656</x:v>
      </x:c>
      <x:c r="AG40" s="7" t="n">
        <x:f>T40*'設定と出典'!$B$28</x:f>
        <x:v>288000</x:v>
      </x:c>
      <x:c r="AH40" s="7" t="n">
        <x:f>(A40*L40+M40*'設定と出典'!$B$31)/60*'設定と出典'!$B$29</x:f>
        <x:v>866666.6666666666</x:v>
      </x:c>
      <x:c r="AI40" s="7" t="n">
        <x:f>'設定と出典'!$B$30*'設定と出典'!$B$29</x:f>
        <x:v>8000</x:v>
      </x:c>
      <x:c r="AJ40" s="7" t="n">
        <x:f>T40-SUM(AF40:AI40)</x:f>
        <x:v>5756084.901448568</x:v>
      </x:c>
      <x:c r="AK40" s="7" t="n">
        <x:f>AJ40-T40*'設定と出典'!$B$32</x:f>
        <x:v>1756084.9014485683</x:v>
      </x:c>
      <x:c r="AL40" s="7" t="n">
        <x:f>AJ40-A40*MIN(E40,AV40)*'設定と出典'!$B$32</x:f>
        <x:v>5256084.901448568</x:v>
      </x:c>
      <x:c r="AM40" s="8" t="n">
        <x:f>AJ40/T40</x:f>
        <x:v>0.7195106126810711</x:v>
      </x:c>
      <x:c r="AN40" s="8" t="n">
        <x:f>AK40/T40</x:f>
        <x:v>0.21951061268107105</x:v>
      </x:c>
      <x:c r="AO40" s="8" t="n">
        <x:f>AJ40/T40</x:f>
        <x:v>0.7195106126810711</x:v>
      </x:c>
      <x:c r="AP40" s="8" t="n">
        <x:f>AO40-'設定と出典'!$B$33</x:f>
        <x:v>0.5195106126810711</x:v>
      </x:c>
      <x:c r="AQ40" s="9" t="n">
        <x:f>SUM(W40:AD40)/N40</x:f>
        <x:v>0.9172492318847657</x:v>
      </x:c>
      <x:c r="AR40" s="9" t="n">
        <x:f>MAX(0,(E40*(1-'設定と出典'!$B$28-'設定と出典'!$B$32)-(U40+V40+AH40+AI40+AE40)/A40)/AQ40)</x:f>
        <x:v>2914.512261667595</x:v>
      </x:c>
      <x:c r="AS40" s="9" t="n">
        <x:f>MAX(0,(E40*(1-'設定と出典'!$B$28 )-(U40+V40+AH40+AI40+AE40)/A40)/AQ40)</x:f>
        <x:v>7275.37718360467</x:v>
      </x:c>
      <x:c r="AT40" s="9" t="n">
        <x:f>MAX(0,(E40*(1-'設定と出典'!$B$28)-MIN(E40,AV40)*'設定と出典'!$B$32-(U40+V40+AH40+AI40+AE40)/A40)/AQ40)</x:f>
        <x:v>6730.269068362536</x:v>
      </x:c>
      <x:c r="AU40" s="9" t="n">
        <x:f>IF((T40*(1-'設定と出典'!$B$28-'設定と出典'!$B$32)-(AF40-AE40)-AH40)&lt;=0,"成立せず",(AE40+AI40)/((T40*(1-'設定と出典'!$B$28-'設定と出典'!$B$32)-(AF40-AE40)-AH40)/A40))</x:f>
        <x:v>12.372418144944731</x:v>
      </x:c>
      <x:c r="AV40" s="9" t="n">
        <x:f>'設定と出典'!D53</x:f>
        <x:v>1000</x:v>
      </x:c>
      <x:c r="AW40" s="9" t="n">
        <x:f>IF(1-'設定と出典'!$B$28-'設定と出典'!$B$32-'設定と出典'!$B$33&lt;=0,0,MAX(0,MIN(E40,(AK40/A40-E40*'設定と出典'!$B$33)/(1-'設定と出典'!$B$28-'設定と出典'!$B$32-'設定と出典'!$B$33))))</x:f>
        <x:v>591.2306873051834</x:v>
      </x:c>
      <x:c r="AX40" s="1"/>
      <x:c r="AY40" s="1"/>
      <x:c r="AZ40" s="1"/>
      <x:c r="BA40" s="1"/>
    </x:row>
    <x:row r="41" ht="22" customHeight="1">
      <x:c r="A41" s="1" t="n">
        <x:v>1000</x:v>
      </x:c>
      <x:c r="B41" s="1" t="str">
        <x:f>'設定と出典'!A53</x:f>
        <x:v>Business Plus</x:v>
      </x:c>
      <x:c r="C41" s="1" t="str">
        <x:f>'設定と出典'!A59</x:f>
        <x:v>高位</x:v>
      </x:c>
      <x:c r="D41" s="1" t="n">
        <x:f>'設定と出典'!B53</x:f>
        <x:v>50</x:v>
      </x:c>
      <x:c r="E41" s="1" t="n">
        <x:f>'設定と出典'!C53</x:f>
        <x:v>8000</x:v>
      </x:c>
      <x:c r="F41" s="1" t="n">
        <x:f>'設定と出典'!B59</x:f>
        <x:v>80</x:v>
      </x:c>
      <x:c r="G41" s="1" t="n">
        <x:f>'設定と出典'!C59</x:f>
        <x:v>3</x:v>
      </x:c>
      <x:c r="H41" s="1" t="n">
        <x:f>'設定と出典'!D59</x:f>
        <x:v>50</x:v>
      </x:c>
      <x:c r="I41" s="1" t="n">
        <x:f>'設定と出典'!E59</x:f>
        <x:v>2</x:v>
      </x:c>
      <x:c r="J41" s="1" t="n">
        <x:f>'設定と出典'!F59</x:f>
        <x:v>2.5</x:v>
      </x:c>
      <x:c r="K41" s="1" t="n">
        <x:f>'設定と出典'!G59</x:f>
        <x:v>5</x:v>
      </x:c>
      <x:c r="L41" s="1" t="n">
        <x:f>'設定と出典'!H59</x:f>
        <x:v>20</x:v>
      </x:c>
      <x:c r="M41" s="1" t="n">
        <x:f>A41*D41</x:f>
        <x:v>50000</x:v>
      </x:c>
      <x:c r="N41" s="1" t="n">
        <x:f>M41*F41</x:f>
        <x:v>4000000</x:v>
      </x:c>
      <x:c r="O41" s="1" t="n">
        <x:f>N41*G41</x:f>
        <x:v>12000000</x:v>
      </x:c>
      <x:c r="P41" s="1" t="n">
        <x:f>O41*H41/1024</x:f>
        <x:v>585937.5</x:v>
      </x:c>
      <x:c r="Q41" s="1" t="n">
        <x:f>P41*I41</x:f>
        <x:v>1171875</x:v>
      </x:c>
      <x:c r="R41" s="1" t="n">
        <x:f>P41*('設定と出典'!$B$34+'設定と出典'!$B$35)/'設定と出典'!$B$7</x:f>
        <x:v>546875</x:v>
      </x:c>
      <x:c r="S41" s="1" t="n">
        <x:f>O41*K41</x:f>
        <x:v>60000000</x:v>
      </x:c>
      <x:c r="T41" s="7" t="n">
        <x:f>A41*E41</x:f>
        <x:v>8000000</x:v>
      </x:c>
      <x:c r="U41" s="7" t="n">
        <x:f>A41*'設定と出典'!$B$26</x:f>
        <x:v>50000</x:v>
      </x:c>
      <x:c r="V41" s="7" t="n">
        <x:f>M41*'設定と出典'!$B$27</x:f>
        <x:v>100000</x:v>
      </x:c>
      <x:c r="W41" s="7" t="n">
        <x:f>(N41*'設定と出典'!$B$36+S41)*('設定と出典'!$B$43*'設定と出典'!$B$8+'設定と出典'!$B$44*'設定と出典'!$B$9)*'設定と出典'!$B$12*'設定と出典'!$B$6</x:f>
        <x:v>278154</x:v>
      </x:c>
      <x:c r="X41" s="7" t="n">
        <x:f>N41*I41*'設定と出典'!$B$37*('設定と出典'!$B$45*'設定と出典'!$B$8+'設定と出典'!$B$46*'設定と出典'!$B$9)*'設定と出典'!$B$12*'設定と出典'!$B$6</x:f>
        <x:v>7271.999999999999</x:v>
      </x:c>
      <x:c r="Y41" s="7" t="n">
        <x:f>MAX(0,S41*('設定と出典'!$B$13*'設定と出典'!$B$8+'設定と出典'!$B$14*'設定と出典'!$B$9)-MIN(S41,'設定と出典'!$B$7*86400*'設定と出典'!$B$15)*('設定と出典'!$B$13*'設定と出典'!$B$10+'設定と出典'!$B$14*'設定と出典'!$B$11))*'設定と出典'!$B$12*'設定と出典'!$B$6</x:f>
        <x:v>309700.8</x:v>
      </x:c>
      <x:c r="Z41" s="7" t="n">
        <x:f>O41*('設定と出典'!$B$41*'設定と出典'!$B$18+('設定と出典'!$B$42+I41)*'設定と出典'!$B$19)/1000*'設定と出典'!$B$6</x:f>
        <x:v>11880</x:v>
      </x:c>
      <x:c r="AA41" s="7" t="n">
        <x:f>N41*(1+J41)*'設定と出典'!$B$21</x:f>
        <x:v>1400000</x:v>
      </x:c>
      <x:c r="AB41" s="7" t="n">
        <x:f>N41*'設定と出典'!$B$40/1048576*'設定と出典'!$B$20*'設定と出典'!$B$6+N41*'設定と出典'!$B$39/1000000*'設定と出典'!$B$38*'設定と出典'!$B$6</x:f>
        <x:v>5353.2275390625</x:v>
      </x:c>
      <x:c r="AC41" s="7" t="n">
        <x:f>R41*'設定と出典'!$B$16*'設定と出典'!$B$6</x:f>
        <x:v>2050781.25</x:v>
      </x:c>
      <x:c r="AD41" s="7" t="n">
        <x:f>Q41*'設定と出典'!$B$17*'設定と出典'!$B$6</x:f>
        <x:v>21093750</x:v>
      </x:c>
      <x:c r="AE41" s="7" t="n">
        <x:f>'設定と出典'!B63</x:f>
        <x:v>13999.2</x:v>
      </x:c>
      <x:c r="AF41" s="7" t="n">
        <x:f>SUM(U41:AE41)</x:f>
        <x:v>25320890.477539062</x:v>
      </x:c>
      <x:c r="AG41" s="7" t="n">
        <x:f>T41*'設定と出典'!$B$28</x:f>
        <x:v>288000</x:v>
      </x:c>
      <x:c r="AH41" s="7" t="n">
        <x:f>(A41*L41+M41*'設定と出典'!$B$31)/60*'設定と出典'!$B$29</x:f>
        <x:v>1666666.6666666667</x:v>
      </x:c>
      <x:c r="AI41" s="7" t="n">
        <x:f>'設定と出典'!$B$30*'設定と出典'!$B$29</x:f>
        <x:v>8000</x:v>
      </x:c>
      <x:c r="AJ41" s="7" t="n">
        <x:f>T41-SUM(AF41:AI41)</x:f>
        <x:v>-19283557.14420573</x:v>
      </x:c>
      <x:c r="AK41" s="7" t="n">
        <x:f>AJ41-T41*'設定と出典'!$B$32</x:f>
        <x:v>-23283557.14420573</x:v>
      </x:c>
      <x:c r="AL41" s="7" t="n">
        <x:f>AJ41-A41*MIN(E41,AV41)*'設定と出典'!$B$32</x:f>
        <x:v>-19783557.14420573</x:v>
      </x:c>
      <x:c r="AM41" s="8" t="n">
        <x:f>AJ41/T41</x:f>
        <x:v>-2.4104446430257163</x:v>
      </x:c>
      <x:c r="AN41" s="8" t="n">
        <x:f>AK41/T41</x:f>
        <x:v>-2.9104446430257163</x:v>
      </x:c>
      <x:c r="AO41" s="8" t="n">
        <x:f>AJ41/T41</x:f>
        <x:v>-2.4104446430257163</x:v>
      </x:c>
      <x:c r="AP41" s="8" t="n">
        <x:f>AO41-'設定と出典'!$B$33</x:f>
        <x:v>-2.6104446430257164</x:v>
      </x:c>
      <x:c r="AQ41" s="9" t="n">
        <x:f>SUM(W41:AD41)/N41</x:f>
        <x:v>6.289222819384766</x:v>
      </x:c>
      <x:c r="AR41" s="9" t="n">
        <x:f>MAX(0,(E41*(1-'設定と出典'!$B$28-'設定と出典'!$B$32)-(U41+V41+AH41+AI41+AE41)/A41)/AQ41)</x:f>
        <x:v>297.8641697284608</x:v>
      </x:c>
      <x:c r="AS41" s="9" t="n">
        <x:f>MAX(0,(E41*(1-'設定と出典'!$B$28 )-(U41+V41+AH41+AI41+AE41)/A41)/AQ41)</x:f>
        <x:v>933.8728014581433</x:v>
      </x:c>
      <x:c r="AT41" s="9" t="n">
        <x:f>MAX(0,(E41*(1-'設定と出典'!$B$28)-MIN(E41,AV41)*'設定と出典'!$B$32-(U41+V41+AH41+AI41+AE41)/A41)/AQ41)</x:f>
        <x:v>854.371722491933</x:v>
      </x:c>
      <x:c r="AU41" s="9" t="str">
        <x:f>IF((T41*(1-'設定と出典'!$B$28-'設定と出典'!$B$32)-(AF41-AE41)-AH41)&lt;=0,"成立せず",(AE41+AI41)/((T41*(1-'設定と出典'!$B$28-'設定と出典'!$B$32)-(AF41-AE41)-AH41)/A41))</x:f>
        <x:v>成立せず</x:v>
      </x:c>
      <x:c r="AV41" s="9" t="n">
        <x:f>'設定と出典'!D53</x:f>
        <x:v>1000</x:v>
      </x:c>
      <x:c r="AW41" s="9" t="n">
        <x:f>IF(1-'設定と出典'!$B$28-'設定と出典'!$B$32-'設定と出典'!$B$33&lt;=0,0,MAX(0,MIN(E41,(AK41/A41-E41*'設定と出典'!$B$33)/(1-'設定と出典'!$B$28-'設定と出典'!$B$32-'設定と出典'!$B$33))))</x:f>
        <x:v>0</x:v>
      </x:c>
      <x:c r="AX41" s="1"/>
      <x:c r="AY41" s="1"/>
      <x:c r="AZ41" s="1"/>
      <x:c r="BA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</x:row>
    <x:row r="66" ht="22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</x:row>
    <x:row r="67" ht="22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</x:row>
    <x:row r="68" ht="22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</x:row>
    <x:row r="69" ht="22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</x:row>
    <x:row r="70" ht="22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</x:row>
    <x:row r="71" ht="22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</x:row>
    <x:row r="72" ht="22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</x:row>
    <x:row r="73" ht="22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</x:row>
    <x:row r="74" ht="22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</x:row>
    <x:row r="75" ht="22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</x:row>
    <x:row r="76" ht="22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</x:row>
    <x:row r="77" ht="22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</x:row>
    <x:row r="78" ht="22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</x:row>
    <x:row r="79" ht="22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</x:row>
    <x:row r="80" ht="22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</x:row>
    <x:row r="86" ht="22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</x:row>
    <x:row r="87" ht="22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</x:row>
    <x:row r="88" ht="22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</x:row>
    <x:row r="89" ht="22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</x:row>
    <x:row r="90" ht="22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</x:row>
    <x:row r="91" ht="22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</x:row>
    <x:row r="92" ht="22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</x:row>
    <x:row r="93" ht="22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</x:row>
    <x:row r="94" ht="22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</x:row>
    <x:row r="95" ht="22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</x:row>
    <x:row r="96" ht="22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</x:row>
    <x:row r="97" ht="22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</x:row>
    <x:row r="98" ht="22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</x:row>
    <x:row r="99" ht="22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</x:row>
    <x:row r="100" ht="22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</x:row>
  </x:sheetData>
  <x:conditionalFormatting sqref="AJ6:AL41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" hidden="0" customWidth="1"/>
    <x:col min="2" max="2" width="17" hidden="0" customWidth="1"/>
    <x:col min="3" max="3" width="17" hidden="0" customWidth="1"/>
    <x:col min="4" max="4" width="17" hidden="0" customWidth="1"/>
    <x:col min="5" max="5" width="70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</x:row>
    <x:row r="2" ht="22" customHeight="1">
      <x:c r="A2" s="10" t="str">
        <x:v>実績取得状況 2026-10-17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</x:row>
    <x:row r="3" ht="22" customHeight="1">
      <x:c r="A3" s="1" t="str">
        <x:v>対象: 2026年7〜9月の完了月、10月は部分月。未取得を0円・0件に置換しない。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</x:row>
    <x:row r="5" ht="34" customHeight="1">
      <x:c r="A5" s="4" t="str">
        <x:v>対象</x:v>
      </x:c>
      <x:c r="B5" s="4" t="str">
        <x:v>2026-07</x:v>
      </x:c>
      <x:c r="C5" s="4" t="str">
        <x:v>2026-08</x:v>
      </x:c>
      <x:c r="D5" s="4" t="str">
        <x:v>2026-09</x:v>
      </x:c>
      <x:c r="E5" s="4" t="str">
        <x:v>取得経路・制約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</x:row>
    <x:row r="6" ht="22" customHeight="1">
      <x:c r="A6" s="1" t="str">
        <x:v>Cloud Run upload費用</x:v>
      </x:c>
      <x:c r="B6" s="1" t="str">
        <x:v>未取得</x:v>
      </x:c>
      <x:c r="C6" s="1" t="str">
        <x:v>未取得</x:v>
      </x:c>
      <x:c r="D6" s="1" t="str">
        <x:v>未取得</x:v>
      </x:c>
      <x:c r="E6" s="1" t="str">
        <x:v>請求export/構成/メトリクス未取得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</x:row>
    <x:row r="7" ht="22" customHeight="1">
      <x:c r="A7" s="1" t="str">
        <x:v>Cloud Run download費用</x:v>
      </x:c>
      <x:c r="B7" s="1" t="str">
        <x:v>未取得</x:v>
      </x:c>
      <x:c r="C7" s="1" t="str">
        <x:v>未取得</x:v>
      </x:c>
      <x:c r="D7" s="1" t="str">
        <x:v>未取得</x:v>
      </x:c>
      <x:c r="E7" s="1" t="str">
        <x:v>請求export/構成/メトリクス未取得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</x:row>
    <x:row r="8" ht="22" customHeight="1">
      <x:c r="A8" s="1" t="str">
        <x:v>Cloud Run scan費用</x:v>
      </x:c>
      <x:c r="B8" s="1" t="str">
        <x:v>未取得</x:v>
      </x:c>
      <x:c r="C8" s="1" t="str">
        <x:v>未取得</x:v>
      </x:c>
      <x:c r="D8" s="1" t="str">
        <x:v>未取得</x:v>
      </x:c>
      <x:c r="E8" s="1" t="str">
        <x:v>請求export/構成/メトリクス未取得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</x:row>
    <x:row r="9" ht="22" customHeight="1">
      <x:c r="A9" s="1" t="str">
        <x:v>Cloud Storage保存費</x:v>
      </x:c>
      <x:c r="B9" s="1" t="str">
        <x:v>未取得</x:v>
      </x:c>
      <x:c r="C9" s="1" t="str">
        <x:v>未取得</x:v>
      </x:c>
      <x:c r="D9" s="1" t="str">
        <x:v>未取得</x:v>
      </x:c>
      <x:c r="E9" s="1" t="str">
        <x:v>請求export/構成/メトリクス未取得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</x:row>
    <x:row r="10" ht="22" customHeight="1">
      <x:c r="A10" s="1" t="str">
        <x:v>Cloud Storage通信費</x:v>
      </x:c>
      <x:c r="B10" s="1" t="str">
        <x:v>未取得</x:v>
      </x:c>
      <x:c r="C10" s="1" t="str">
        <x:v>未取得</x:v>
      </x:c>
      <x:c r="D10" s="1" t="str">
        <x:v>未取得</x:v>
      </x:c>
      <x:c r="E10" s="1" t="str">
        <x:v>請求export/構成/メトリクス未取得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</x:row>
    <x:row r="11" ht="22" customHeight="1">
      <x:c r="A11" s="1" t="str">
        <x:v>Cloud SQL配賦費</x:v>
      </x:c>
      <x:c r="B11" s="1" t="str">
        <x:v>未取得</x:v>
      </x:c>
      <x:c r="C11" s="1" t="str">
        <x:v>未取得</x:v>
      </x:c>
      <x:c r="D11" s="1" t="str">
        <x:v>未取得</x:v>
      </x:c>
      <x:c r="E11" s="1" t="str">
        <x:v>請求export/構成/メトリクス未取得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</x:row>
    <x:row r="12" ht="22" customHeight="1">
      <x:c r="A12" s="1" t="str">
        <x:v>LB/IAP配賦費</x:v>
      </x:c>
      <x:c r="B12" s="1" t="str">
        <x:v>未取得</x:v>
      </x:c>
      <x:c r="C12" s="1" t="str">
        <x:v>未取得</x:v>
      </x:c>
      <x:c r="D12" s="1" t="str">
        <x:v>未取得</x:v>
      </x:c>
      <x:c r="E12" s="1" t="str">
        <x:v>請求export/構成/メトリクス未取得</x:v>
      </x:c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</x:row>
    <x:row r="13" ht="22" customHeight="1">
      <x:c r="A13" s="1" t="str">
        <x:v>メール費</x:v>
      </x:c>
      <x:c r="B13" s="1" t="str">
        <x:v>未取得</x:v>
      </x:c>
      <x:c r="C13" s="1" t="str">
        <x:v>未取得</x:v>
      </x:c>
      <x:c r="D13" s="1" t="str">
        <x:v>未取得</x:v>
      </x:c>
      <x:c r="E13" s="1" t="str">
        <x:v>請求export/構成/メトリクス未取得</x:v>
      </x:c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</x:row>
    <x:row r="14" ht="22" customHeight="1">
      <x:c r="A14" s="1" t="str">
        <x:v>Logging/Monitoring費</x:v>
      </x:c>
      <x:c r="B14" s="1" t="str">
        <x:v>未取得</x:v>
      </x:c>
      <x:c r="C14" s="1" t="str">
        <x:v>未取得</x:v>
      </x:c>
      <x:c r="D14" s="1" t="str">
        <x:v>未取得</x:v>
      </x:c>
      <x:c r="E14" s="1" t="str">
        <x:v>請求export/構成/メトリクス未取得</x:v>
      </x:c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</x:row>
    <x:row r="15" ht="22" customHeight="1">
      <x:c r="A15" s="1" t="str">
        <x:v>Secret/Build/Registry等</x:v>
      </x:c>
      <x:c r="B15" s="1" t="str">
        <x:v>未取得</x:v>
      </x:c>
      <x:c r="C15" s="1" t="str">
        <x:v>未取得</x:v>
      </x:c>
      <x:c r="D15" s="1" t="str">
        <x:v>未取得</x:v>
      </x:c>
      <x:c r="E15" s="1" t="str">
        <x:v>請求export/構成/メトリクス未取得</x:v>
      </x:c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</x:row>
    <x:row r="16" ht="22" customHeight="1">
      <x:c r="A16" s="1" t="str">
        <x:v>送信グループ数</x:v>
      </x:c>
      <x:c r="B16" s="1" t="str">
        <x:v>未取得</x:v>
      </x:c>
      <x:c r="C16" s="1" t="str">
        <x:v>未取得</x:v>
      </x:c>
      <x:c r="D16" s="1" t="str">
        <x:v>未取得</x:v>
      </x:c>
      <x:c r="E16" s="1" t="str">
        <x:v>DB匿名集計/メトリクス未取得</x:v>
      </x:c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</x:row>
    <x:row r="17" ht="22" customHeight="1">
      <x:c r="A17" s="1" t="str">
        <x:v>ファイル数</x:v>
      </x:c>
      <x:c r="B17" s="1" t="str">
        <x:v>未取得</x:v>
      </x:c>
      <x:c r="C17" s="1" t="str">
        <x:v>未取得</x:v>
      </x:c>
      <x:c r="D17" s="1" t="str">
        <x:v>未取得</x:v>
      </x:c>
      <x:c r="E17" s="1" t="str">
        <x:v>DB匿名集計/メトリクス未取得</x:v>
      </x:c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</x:row>
    <x:row r="18" ht="22" customHeight="1">
      <x:c r="A18" s="1" t="str">
        <x:v>DL認可件数</x:v>
      </x:c>
      <x:c r="B18" s="1" t="str">
        <x:v>未取得</x:v>
      </x:c>
      <x:c r="C18" s="1" t="str">
        <x:v>未取得</x:v>
      </x:c>
      <x:c r="D18" s="1" t="str">
        <x:v>未取得</x:v>
      </x:c>
      <x:c r="E18" s="1" t="str">
        <x:v>DB匿名集計/メトリクス未取得</x:v>
      </x:c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</x:row>
    <x:row r="19" ht="22" customHeight="1">
      <x:c r="A19" s="1" t="str">
        <x:v>実DL総容量</x:v>
      </x:c>
      <x:c r="B19" s="1" t="str">
        <x:v>未取得</x:v>
      </x:c>
      <x:c r="C19" s="1" t="str">
        <x:v>未取得</x:v>
      </x:c>
      <x:c r="D19" s="1" t="str">
        <x:v>未取得</x:v>
      </x:c>
      <x:c r="E19" s="1" t="str">
        <x:v>DB匿名集計/メトリクス未取得</x:v>
      </x:c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</x:row>
    <x:row r="20" ht="22" customHeight="1">
      <x:c r="A20" s="1" t="str">
        <x:v>平均/中央値/p95サイズ</x:v>
      </x:c>
      <x:c r="B20" s="1" t="str">
        <x:v>未取得</x:v>
      </x:c>
      <x:c r="C20" s="1" t="str">
        <x:v>未取得</x:v>
      </x:c>
      <x:c r="D20" s="1" t="str">
        <x:v>未取得</x:v>
      </x:c>
      <x:c r="E20" s="1" t="str">
        <x:v>DB匿名集計/メトリクス未取得</x:v>
      </x:c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</x:row>
    <x:row r="21" ht="22" customHeight="1">
      <x:c r="A21" s="1" t="str">
        <x:v>アップロード総量</x:v>
      </x:c>
      <x:c r="B21" s="1" t="str">
        <x:v>未取得</x:v>
      </x:c>
      <x:c r="C21" s="1" t="str">
        <x:v>未取得</x:v>
      </x:c>
      <x:c r="D21" s="1" t="str">
        <x:v>未取得</x:v>
      </x:c>
      <x:c r="E21" s="1" t="str">
        <x:v>DB匿名集計/メトリクス未取得</x:v>
      </x:c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</x:row>
    <x:row r="22" ht="22" customHeight="1">
      <x:c r="A22" s="1" t="str">
        <x:v>物理平均保存期間</x:v>
      </x:c>
      <x:c r="B22" s="1" t="str">
        <x:v>未取得</x:v>
      </x:c>
      <x:c r="C22" s="1" t="str">
        <x:v>未取得</x:v>
      </x:c>
      <x:c r="D22" s="1" t="str">
        <x:v>未取得</x:v>
      </x:c>
      <x:c r="E22" s="1" t="str">
        <x:v>DB匿名集計/メトリクス未取得</x:v>
      </x:c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</x:row>
    <x:row r="23" ht="22" customHeight="1">
      <x:c r="A23" s="1" t="str">
        <x:v>同時UL/DLピーク</x:v>
      </x:c>
      <x:c r="B23" s="1" t="str">
        <x:v>未取得</x:v>
      </x:c>
      <x:c r="C23" s="1" t="str">
        <x:v>未取得</x:v>
      </x:c>
      <x:c r="D23" s="1" t="str">
        <x:v>未取得</x:v>
      </x:c>
      <x:c r="E23" s="1" t="str">
        <x:v>DB匿名集計/メトリクス未取得</x:v>
      </x:c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</x:row>
    <x:row r="24" ht="22" customHeight="1">
      <x:c r="A24" s="1" t="str">
        <x:v>scan純処理時間</x:v>
      </x:c>
      <x:c r="B24" s="1" t="str">
        <x:v>未取得</x:v>
      </x:c>
      <x:c r="C24" s="1" t="str">
        <x:v>未取得</x:v>
      </x:c>
      <x:c r="D24" s="1" t="str">
        <x:v>未取得</x:v>
      </x:c>
      <x:c r="E24" s="1" t="str">
        <x:v>DB匿名集計/メトリクス未取得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</x:row>
    <x:row r="25" ht="22" customHeight="1">
      <x:c r="A25" s="1" t="str">
        <x:v>OTP送信成功数</x:v>
      </x:c>
      <x:c r="B25" s="1" t="str">
        <x:v>未取得</x:v>
      </x:c>
      <x:c r="C25" s="1" t="str">
        <x:v>未取得</x:v>
      </x:c>
      <x:c r="D25" s="1" t="str">
        <x:v>未取得</x:v>
      </x:c>
      <x:c r="E25" s="1" t="str">
        <x:v>DB匿名集計/メトリクス未取得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</x:row>
    <x:row r="26" ht="22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</x:row>
    <x:row r="27" ht="22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</x:row>
    <x:row r="28" ht="22" customHeight="1">
      <x:c r="A28" s="1" t="str">
        <x:v>gcloud: credentials.dbアクセス拒否。ブラウザ参照: 起動失敗。顧客内容・宛先・OTP・ファイル名は未取得。</x:v>
      </x:c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</x:row>
    <x:row r="29" ht="22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</x:row>
    <x:row r="30" ht="22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</x:row>
    <x:row r="31" ht="22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</x:row>
    <x:row r="32" ht="22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</x:row>
    <x:row r="33" ht="22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</x:row>
    <x:row r="34" ht="22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</x:row>
    <x:row r="35" ht="22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</x:row>
    <x:row r="36" ht="22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</x:row>
    <x:row r="37" ht="22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</x:row>
    <x:row r="39" ht="22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</x:row>
    <x:row r="40" ht="22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</x:row>
    <x:row r="66" ht="22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</x:row>
    <x:row r="67" ht="22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</x:row>
    <x:row r="68" ht="22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</x:row>
    <x:row r="69" ht="22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</x:row>
    <x:row r="70" ht="22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</x:row>
    <x:row r="71" ht="22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</x:row>
    <x:row r="72" ht="22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</x:row>
    <x:row r="73" ht="22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</x:row>
    <x:row r="74" ht="22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</x:row>
    <x:row r="75" ht="22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</x:row>
    <x:row r="76" ht="22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</x:row>
    <x:row r="77" ht="22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</x:row>
    <x:row r="78" ht="22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</x:row>
    <x:row r="79" ht="22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</x:row>
    <x:row r="80" ht="22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</x:row>
    <x:row r="86" ht="22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</x:row>
    <x:row r="87" ht="22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</x:row>
    <x:row r="88" ht="22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</x:row>
    <x:row r="89" ht="22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</x:row>
    <x:row r="90" ht="22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</x:row>
    <x:row r="91" ht="22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</x:row>
    <x:row r="92" ht="22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</x:row>
    <x:row r="93" ht="22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</x:row>
    <x:row r="94" ht="22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</x:row>
    <x:row r="95" ht="22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</x:row>
    <x:row r="96" ht="22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</x:row>
    <x:row r="97" ht="22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</x:row>
    <x:row r="98" ht="22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</x:row>
    <x:row r="99" ht="22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</x:row>
    <x:row r="100" ht="22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</x:row>
  </x:sheetData>
  <x:pageMargins left="0.7" right="0.7" top="0.75" bottom="0.75" header="0.3" footer="0.3"/>
</x:worksheet>
</file>