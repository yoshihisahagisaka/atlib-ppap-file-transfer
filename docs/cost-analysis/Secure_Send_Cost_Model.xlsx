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dfacbd7e9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判断サマリー" sheetId="1" r:id="R6e36e899b96342cb"/>
    <x:sheet xmlns:r="http://schemas.openxmlformats.org/officeDocument/2006/relationships" name="設定と出典" sheetId="2" r:id="Rbe4192d1c7df498b"/>
    <x:sheet xmlns:r="http://schemas.openxmlformats.org/officeDocument/2006/relationships" name="収益試算" sheetId="3" r:id="R89ed1da0cd1f4053"/>
    <x:sheet xmlns:r="http://schemas.openxmlformats.org/officeDocument/2006/relationships" name="実績取得状況" sheetId="4" r:id="Ra0318342ccad4ff4"/>
    <x:sheet xmlns:r="http://schemas.openxmlformats.org/officeDocument/2006/relationships" name="損益分岐設定" sheetId="5" r:id="Rb6463355a9724f7e"/>
    <x:sheet xmlns:r="http://schemas.openxmlformats.org/officeDocument/2006/relationships" name="損益分岐比較" sheetId="6" r:id="R1febc339e2cb4101"/>
    <x:sheet xmlns:r="http://schemas.openxmlformats.org/officeDocument/2006/relationships" name="累積赤字" sheetId="7" r:id="R316c66684705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&quot;-&quot;"/>
    <x:numFmt numFmtId="201" formatCode="0.0%;(0.0%);&quot;-&quot;"/>
    <x:numFmt numFmtId="202" formatCode="#,##0.0;(#,##0.0);&quot;-&quot;"/>
    <x:numFmt numFmtId="203" formatCode="#,##0.00;(#,##0.00);&quot;-&quot;"/>
    <x:numFmt numFmtId="204" formatCode="#,##0"/>
    <x:numFmt numFmtId="205" formatCode="0.0%"/>
    <x:numFmt numFmtId="206" formatCode="0%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5"/>
      <x:color rgb="FF1F355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556"/>
      </x:patternFill>
    </x:fill>
    <x:fill>
      <x:patternFill patternType="solid">
        <x:fgColor rgb="FFFFF2CC"/>
      </x:patternFill>
    </x:fill>
    <x:fill>
      <x:patternFill patternType="solid">
        <x:fgColor rgb="FF1F3556"/>
      </x:patternFill>
    </x:fill>
    <x:fill>
      <x:patternFill patternType="solid">
        <x:fgColor rgb="FF1F35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4" fontId="1" fillId="0" borderId="0" xfId="0" applyNumberFormat="1" applyFont="1" applyFill="1" applyBorder="1"/>
    <x:xf numFmtId="205" fontId="3" fillId="0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  <x:dxfs count="3">
    <x:dxf>
      <x:font>
        <x:color rgb="FFB71C1C"/>
      </x:font>
      <x:fill>
        <x:patternFill>
          <x:bgColor rgb="FFFDE9E7"/>
        </x:patternFill>
      </x:fill>
    </x:dxf>
    <x:dxf>
      <x:font>
        <x:color rgb="FFB71C1C"/>
      </x:font>
      <x:fill>
        <x:patternFill>
          <x:bgColor rgb="FFFDE9E7"/>
        </x:patternFill>
      </x:fill>
    </x:dxf>
    <x:dxf>
      <x:font>
        <x:color rgb="FFB7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a2bd52d30416a" /><Relationship Type="http://schemas.openxmlformats.org/officeDocument/2006/relationships/theme" Target="/xl/theme/theme1.xml" Id="Re8a6b94be7dd44a6" /><Relationship Type="http://schemas.openxmlformats.org/officeDocument/2006/relationships/sharedStrings" Target="/xl/sharedStrings.xml" Id="Ref54b1c7b29f43fa" /><Relationship Type="http://schemas.openxmlformats.org/officeDocument/2006/relationships/worksheet" Target="/xl/worksheets/sheet1.xml" Id="R6e36e899b96342cb" /><Relationship Type="http://schemas.openxmlformats.org/officeDocument/2006/relationships/worksheet" Target="/xl/worksheets/sheet2.xml" Id="Rbe4192d1c7df498b" /><Relationship Type="http://schemas.openxmlformats.org/officeDocument/2006/relationships/worksheet" Target="/xl/worksheets/sheet3.xml" Id="R89ed1da0cd1f4053" /><Relationship Type="http://schemas.openxmlformats.org/officeDocument/2006/relationships/worksheet" Target="/xl/worksheets/sheet4.xml" Id="Ra0318342ccad4ff4" /><Relationship Type="http://schemas.openxmlformats.org/officeDocument/2006/relationships/worksheet" Target="/xl/worksheets/sheet5.xml" Id="Rb6463355a9724f7e" /><Relationship Type="http://schemas.openxmlformats.org/officeDocument/2006/relationships/worksheet" Target="/xl/worksheets/sheet6.xml" Id="R1febc339e2cb4101" /><Relationship Type="http://schemas.openxmlformats.org/officeDocument/2006/relationships/worksheet" Target="/xl/worksheets/sheet7.xml" Id="R316c66684705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</x:row>
    <x:row r="2" ht="22" customHeight="1">
      <x:c r="A2" s="10" t="str">
        <x:v>Secure Send 料金採算比較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</x:row>
    <x:row r="3" ht="22" customHeight="1">
      <x:c r="A3" s="1" t="str">
        <x:v>共有請求取得済。Run単価を校正した将来試算。Secure Send実原価の確定値ではない。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</x:row>
    <x:row r="5" ht="34" customHeight="1">
      <x:c r="A5" s="4" t="str">
        <x:v>企業数</x:v>
      </x:c>
      <x:c r="B5" s="4" t="str">
        <x:v>プラン</x:v>
      </x:c>
      <x:c r="C5" s="4" t="str">
        <x:v>利用</x:v>
      </x:c>
      <x:c r="D5" s="4" t="str">
        <x:v>月額売上</x:v>
      </x:c>
      <x:c r="E5" s="4" t="str">
        <x:v>インフラ/月</x:v>
      </x:c>
      <x:c r="F5" s="4" t="str">
        <x:v>サポート等/月</x:v>
      </x:c>
      <x:c r="G5" s="4" t="str">
        <x:v>配分前差引/月</x:v>
      </x:c>
      <x:c r="H5" s="4" t="str">
        <x:v>売上50%後/月</x:v>
      </x:c>
      <x:c r="I5" s="4" t="str">
        <x:v>基本料50%後/月</x:v>
      </x:c>
      <x:c r="J5" s="4" t="str">
        <x:v>赤字回避配分上限</x:v>
      </x:c>
      <x:c r="K5" s="4" t="str">
        <x:v>目標20%確保上限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</x:row>
    <x:row r="6" ht="22" customHeight="1">
      <x:c r="A6" s="1" t="n">
        <x:f>'収益試算'!A6</x:f>
        <x:v>10</x:v>
      </x:c>
      <x:c r="B6" s="1" t="str">
        <x:f>'収益試算'!B6</x:f>
        <x:v>Starter</x:v>
      </x:c>
      <x:c r="C6" s="1" t="str">
        <x:f>'収益試算'!C6</x:f>
        <x:v>低位</x:v>
      </x:c>
      <x:c r="D6" s="7" t="n">
        <x:f>'収益試算'!T6</x:f>
        <x:v>30000</x:v>
      </x:c>
      <x:c r="E6" s="7" t="n">
        <x:f>'収益試算'!AF6</x:f>
        <x:v>14294.933397311817</x:v>
      </x:c>
      <x:c r="F6" s="7" t="n">
        <x:f>SUM('収益試算'!AH6:AI6)</x:f>
        <x:v>10333.333333333334</x:v>
      </x:c>
      <x:c r="G6" s="7" t="n">
        <x:f>'収益試算'!AJ6</x:f>
        <x:v>4291.733269354849</x:v>
      </x:c>
      <x:c r="H6" s="7" t="n">
        <x:f>'収益試算'!AK6</x:f>
        <x:v>-10708.266730645151</x:v>
      </x:c>
      <x:c r="I6" s="7" t="n">
        <x:f>'収益試算'!AL6</x:f>
        <x:v>-708.2667306451513</x:v>
      </x:c>
      <x:c r="J6" s="8" t="n">
        <x:f>'収益試算'!AO6</x:f>
        <x:v>0.14305777564516162</x:v>
      </x:c>
      <x:c r="K6" s="8" t="n">
        <x:f>'収益試算'!AP6</x:f>
        <x:v>-0.056942224354838394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</x:row>
    <x:row r="7" ht="22" customHeight="1">
      <x:c r="A7" s="1" t="n">
        <x:f>'収益試算'!A7</x:f>
        <x:v>10</x:v>
      </x:c>
      <x:c r="B7" s="1" t="str">
        <x:f>'収益試算'!B7</x:f>
        <x:v>Starter</x:v>
      </x:c>
      <x:c r="C7" s="1" t="str">
        <x:f>'収益試算'!C7</x:f>
        <x:v>標準</x:v>
      </x:c>
      <x:c r="D7" s="7" t="n">
        <x:f>'収益試算'!T7</x:f>
        <x:v>30000</x:v>
      </x:c>
      <x:c r="E7" s="7" t="n">
        <x:f>'収益試算'!AF7</x:f>
        <x:v>15140.595112834477</x:v>
      </x:c>
      <x:c r="F7" s="7" t="n">
        <x:f>SUM('収益試算'!AH7:AI7)</x:f>
        <x:v>13666.666666666668</x:v>
      </x:c>
      <x:c r="G7" s="7" t="n">
        <x:f>'収益試算'!AJ7</x:f>
        <x:v>112.73822049885712</x:v>
      </x:c>
      <x:c r="H7" s="7" t="n">
        <x:f>'収益試算'!AK7</x:f>
        <x:v>-14887.261779501143</x:v>
      </x:c>
      <x:c r="I7" s="7" t="n">
        <x:f>'収益試算'!AL7</x:f>
        <x:v>-4887.261779501143</x:v>
      </x:c>
      <x:c r="J7" s="8" t="n">
        <x:f>'収益試算'!AO7</x:f>
        <x:v>0.003757940683295237</x:v>
      </x:c>
      <x:c r="K7" s="8" t="n">
        <x:f>'収益試算'!AP7</x:f>
        <x:v>-0.19624205931670477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</x:row>
    <x:row r="8" ht="22" customHeight="1">
      <x:c r="A8" s="1" t="n">
        <x:f>'収益試算'!A8</x:f>
        <x:v>10</x:v>
      </x:c>
      <x:c r="B8" s="1" t="str">
        <x:f>'収益試算'!B8</x:f>
        <x:v>Starter</x:v>
      </x:c>
      <x:c r="C8" s="1" t="str">
        <x:f>'収益試算'!C8</x:f>
        <x:v>高位</x:v>
      </x:c>
      <x:c r="D8" s="7" t="n">
        <x:f>'収益試算'!T8</x:f>
        <x:v>30000</x:v>
      </x:c>
      <x:c r="E8" s="7" t="n">
        <x:f>'収益試算'!AF8</x:f>
        <x:v>39255.37782163064</x:v>
      </x:c>
      <x:c r="F8" s="7" t="n">
        <x:f>SUM('収益試算'!AH8:AI8)</x:f>
        <x:v>21666.666666666664</x:v>
      </x:c>
      <x:c r="G8" s="7" t="n">
        <x:f>'収益試算'!AJ8</x:f>
        <x:v>-32002.044488297302</x:v>
      </x:c>
      <x:c r="H8" s="7" t="n">
        <x:f>'収益試算'!AK8</x:f>
        <x:v>-47002.0444882973</x:v>
      </x:c>
      <x:c r="I8" s="7" t="n">
        <x:f>'収益試算'!AL8</x:f>
        <x:v>-37002.0444882973</x:v>
      </x:c>
      <x:c r="J8" s="8" t="n">
        <x:f>'収益試算'!AO8</x:f>
        <x:v>-1.0667348162765768</x:v>
      </x:c>
      <x:c r="K8" s="8" t="n">
        <x:f>'収益試算'!AP8</x:f>
        <x:v>-1.2667348162765768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</x:row>
    <x:row r="9" ht="22" customHeight="1">
      <x:c r="A9" s="1" t="n">
        <x:f>'収益試算'!A9</x:f>
        <x:v>10</x:v>
      </x:c>
      <x:c r="B9" s="1" t="str">
        <x:f>'収益試算'!B9</x:f>
        <x:v>Business</x:v>
      </x:c>
      <x:c r="C9" s="1" t="str">
        <x:f>'収益試算'!C9</x:f>
        <x:v>低位</x:v>
      </x:c>
      <x:c r="D9" s="7" t="n">
        <x:f>'収益試算'!T9</x:f>
        <x:v>50000</x:v>
      </x:c>
      <x:c r="E9" s="7" t="n">
        <x:f>'収益試算'!AF9</x:f>
        <x:v>14792.825333968543</x:v>
      </x:c>
      <x:c r="F9" s="7" t="n">
        <x:f>SUM('収益試算'!AH9:AI9)</x:f>
        <x:v>11333.333333333334</x:v>
      </x:c>
      <x:c r="G9" s="7" t="n">
        <x:f>'収益試算'!AJ9</x:f>
        <x:v>22073.841332698124</x:v>
      </x:c>
      <x:c r="H9" s="7" t="n">
        <x:f>'収益試算'!AK9</x:f>
        <x:v>-2926.1586673018755</x:v>
      </x:c>
      <x:c r="I9" s="7" t="n">
        <x:f>'収益試算'!AL9</x:f>
        <x:v>17073.841332698124</x:v>
      </x:c>
      <x:c r="J9" s="8" t="n">
        <x:f>'収益試算'!AO9</x:f>
        <x:v>0.4414768266539625</x:v>
      </x:c>
      <x:c r="K9" s="8" t="n">
        <x:f>'収益試算'!AP9</x:f>
        <x:v>0.24147682665396247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</x:row>
    <x:row r="10" ht="22" customHeight="1">
      <x:c r="A10" s="1" t="n">
        <x:f>'収益試算'!A10</x:f>
        <x:v>10</x:v>
      </x:c>
      <x:c r="B10" s="1" t="str">
        <x:f>'収益試算'!B10</x:f>
        <x:v>Business</x:v>
      </x:c>
      <x:c r="C10" s="1" t="str">
        <x:f>'収益試算'!C10</x:f>
        <x:v>標準</x:v>
      </x:c>
      <x:c r="D10" s="7" t="n">
        <x:f>'収益試算'!T10</x:f>
        <x:v>50000</x:v>
      </x:c>
      <x:c r="E10" s="7" t="n">
        <x:f>'収益試算'!AF10</x:f>
        <x:v>18175.47219605918</x:v>
      </x:c>
      <x:c r="F10" s="7" t="n">
        <x:f>SUM('収益試算'!AH10:AI10)</x:f>
        <x:v>14666.666666666668</x:v>
      </x:c>
      <x:c r="G10" s="7" t="n">
        <x:f>'収益試算'!AJ10</x:f>
        <x:v>15357.86113727415</x:v>
      </x:c>
      <x:c r="H10" s="7" t="n">
        <x:f>'収益試算'!AK10</x:f>
        <x:v>-9642.13886272585</x:v>
      </x:c>
      <x:c r="I10" s="7" t="n">
        <x:f>'収益試算'!AL10</x:f>
        <x:v>10357.86113727415</x:v>
      </x:c>
      <x:c r="J10" s="8" t="n">
        <x:f>'収益試算'!AO10</x:f>
        <x:v>0.307157222745483</x:v>
      </x:c>
      <x:c r="K10" s="8" t="n">
        <x:f>'収益試算'!AP10</x:f>
        <x:v>0.107157222745483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</x:row>
    <x:row r="11" ht="22" customHeight="1">
      <x:c r="A11" s="1" t="n">
        <x:f>'収益試算'!A11</x:f>
        <x:v>10</x:v>
      </x:c>
      <x:c r="B11" s="1" t="str">
        <x:f>'収益試算'!B11</x:f>
        <x:v>Business</x:v>
      </x:c>
      <x:c r="C11" s="1" t="str">
        <x:f>'収益試算'!C11</x:f>
        <x:v>高位</x:v>
      </x:c>
      <x:c r="D11" s="7" t="n">
        <x:f>'収益試算'!T11</x:f>
        <x:v>50000</x:v>
      </x:c>
      <x:c r="E11" s="7" t="n">
        <x:f>'収益試算'!AF11</x:f>
        <x:v>114634.60303124384</x:v>
      </x:c>
      <x:c r="F11" s="7" t="n">
        <x:f>SUM('収益試算'!AH11:AI11)</x:f>
        <x:v>22666.666666666664</x:v>
      </x:c>
      <x:c r="G11" s="7" t="n">
        <x:f>'収益試算'!AJ11</x:f>
        <x:v>-89101.2696979105</x:v>
      </x:c>
      <x:c r="H11" s="7" t="n">
        <x:f>'収益試算'!AK11</x:f>
        <x:v>-114101.2696979105</x:v>
      </x:c>
      <x:c r="I11" s="7" t="n">
        <x:f>'収益試算'!AL11</x:f>
        <x:v>-94101.2696979105</x:v>
      </x:c>
      <x:c r="J11" s="8" t="n">
        <x:f>'収益試算'!AO11</x:f>
        <x:v>-1.7820253939582098</x:v>
      </x:c>
      <x:c r="K11" s="8" t="n">
        <x:f>'収益試算'!AP11</x:f>
        <x:v>-1.9820253939582098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</x:row>
    <x:row r="12" ht="22" customHeight="1">
      <x:c r="A12" s="1" t="n">
        <x:f>'収益試算'!A12</x:f>
        <x:v>10</x:v>
      </x:c>
      <x:c r="B12" s="1" t="str">
        <x:f>'収益試算'!B12</x:f>
        <x:v>Business Plus</x:v>
      </x:c>
      <x:c r="C12" s="1" t="str">
        <x:f>'収益試算'!C12</x:f>
        <x:v>低位</x:v>
      </x:c>
      <x:c r="D12" s="7" t="n">
        <x:f>'収益試算'!T12</x:f>
        <x:v>80000</x:v>
      </x:c>
      <x:c r="E12" s="7" t="n">
        <x:f>'収益試算'!AF12</x:f>
        <x:v>15788.609207281996</x:v>
      </x:c>
      <x:c r="F12" s="7" t="n">
        <x:f>SUM('収益試算'!AH12:AI12)</x:f>
        <x:v>13333.333333333332</x:v>
      </x:c>
      <x:c r="G12" s="7" t="n">
        <x:f>'収益試算'!AJ12</x:f>
        <x:v>47998.05745938467</x:v>
      </x:c>
      <x:c r="H12" s="7" t="n">
        <x:f>'収益試算'!AK12</x:f>
        <x:v>7998.057459384669</x:v>
      </x:c>
      <x:c r="I12" s="7" t="n">
        <x:f>'収益試算'!AL12</x:f>
        <x:v>42998.05745938467</x:v>
      </x:c>
      <x:c r="J12" s="8" t="n">
        <x:f>'収益試算'!AO12</x:f>
        <x:v>0.5999757182423083</x:v>
      </x:c>
      <x:c r="K12" s="8" t="n">
        <x:f>'収益試算'!AP12</x:f>
        <x:v>0.3999757182423083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</x:row>
    <x:row r="13" ht="22" customHeight="1">
      <x:c r="A13" s="1" t="n">
        <x:f>'収益試算'!A13</x:f>
        <x:v>10</x:v>
      </x:c>
      <x:c r="B13" s="1" t="str">
        <x:f>'収益試算'!B13</x:f>
        <x:v>Business Plus</x:v>
      </x:c>
      <x:c r="C13" s="1" t="str">
        <x:f>'収益試算'!C13</x:f>
        <x:v>標準</x:v>
      </x:c>
      <x:c r="D13" s="7" t="n">
        <x:f>'収益試算'!T13</x:f>
        <x:v>80000</x:v>
      </x:c>
      <x:c r="E13" s="7" t="n">
        <x:f>'収益試算'!AF13</x:f>
        <x:v>24245.22636250859</x:v>
      </x:c>
      <x:c r="F13" s="7" t="n">
        <x:f>SUM('収益試算'!AH13:AI13)</x:f>
        <x:v>16666.666666666664</x:v>
      </x:c>
      <x:c r="G13" s="7" t="n">
        <x:f>'収益試算'!AJ13</x:f>
        <x:v>36208.106970824745</x:v>
      </x:c>
      <x:c r="H13" s="7" t="n">
        <x:f>'収益試算'!AK13</x:f>
        <x:v>-3791.893029175255</x:v>
      </x:c>
      <x:c r="I13" s="7" t="n">
        <x:f>'収益試算'!AL13</x:f>
        <x:v>31208.106970824745</x:v>
      </x:c>
      <x:c r="J13" s="8" t="n">
        <x:f>'収益試算'!AO13</x:f>
        <x:v>0.4526013371353093</x:v>
      </x:c>
      <x:c r="K13" s="8" t="n">
        <x:f>'収益試算'!AP13</x:f>
        <x:v>0.2526013371353093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</x:row>
    <x:row r="14" ht="22" customHeight="1">
      <x:c r="A14" s="1" t="n">
        <x:f>'収益試算'!A14</x:f>
        <x:v>10</x:v>
      </x:c>
      <x:c r="B14" s="1" t="str">
        <x:f>'収益試算'!B14</x:f>
        <x:v>Business Plus</x:v>
      </x:c>
      <x:c r="C14" s="1" t="str">
        <x:f>'収益試算'!C14</x:f>
        <x:v>高位</x:v>
      </x:c>
      <x:c r="D14" s="7" t="n">
        <x:f>'収益試算'!T14</x:f>
        <x:v>80000</x:v>
      </x:c>
      <x:c r="E14" s="7" t="n">
        <x:f>'収益試算'!AF14</x:f>
        <x:v>265393.0534504702</x:v>
      </x:c>
      <x:c r="F14" s="7" t="n">
        <x:f>SUM('収益試算'!AH14:AI14)</x:f>
        <x:v>24666.666666666668</x:v>
      </x:c>
      <x:c r="G14" s="7" t="n">
        <x:f>'収益試算'!AJ14</x:f>
        <x:v>-212939.7201171369</x:v>
      </x:c>
      <x:c r="H14" s="7" t="n">
        <x:f>'収益試算'!AK14</x:f>
        <x:v>-252939.7201171369</x:v>
      </x:c>
      <x:c r="I14" s="7" t="n">
        <x:f>'収益試算'!AL14</x:f>
        <x:v>-217939.7201171369</x:v>
      </x:c>
      <x:c r="J14" s="8" t="n">
        <x:f>'収益試算'!AO14</x:f>
        <x:v>-2.661746501464211</x:v>
      </x:c>
      <x:c r="K14" s="8" t="n">
        <x:f>'収益試算'!AP14</x:f>
        <x:v>-2.861746501464211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</x:row>
    <x:row r="15" ht="22" customHeight="1">
      <x:c r="A15" s="1" t="n">
        <x:f>'収益試算'!A15</x:f>
        <x:v>100</x:v>
      </x:c>
      <x:c r="B15" s="1" t="str">
        <x:f>'収益試算'!B15</x:f>
        <x:v>Starter</x:v>
      </x:c>
      <x:c r="C15" s="1" t="str">
        <x:f>'収益試算'!C15</x:f>
        <x:v>低位</x:v>
      </x:c>
      <x:c r="D15" s="7" t="n">
        <x:f>'収益試算'!T15</x:f>
        <x:v>300000</x:v>
      </x:c>
      <x:c r="E15" s="7" t="n">
        <x:f>'収益試算'!AF15</x:f>
        <x:v>20288.609207281996</x:v>
      </x:c>
      <x:c r="F15" s="7" t="n">
        <x:f>SUM('収益試算'!AH15:AI15)</x:f>
        <x:v>31333.333333333332</x:v>
      </x:c>
      <x:c r="G15" s="7" t="n">
        <x:f>'収益試算'!AJ15</x:f>
        <x:v>237578.05745938467</x:v>
      </x:c>
      <x:c r="H15" s="7" t="n">
        <x:f>'収益試算'!AK15</x:f>
        <x:v>87578.05745938467</x:v>
      </x:c>
      <x:c r="I15" s="7" t="n">
        <x:f>'収益試算'!AL15</x:f>
        <x:v>187578.05745938467</x:v>
      </x:c>
      <x:c r="J15" s="8" t="n">
        <x:f>'収益試算'!AO15</x:f>
        <x:v>0.791926858197949</x:v>
      </x:c>
      <x:c r="K15" s="8" t="n">
        <x:f>'収益試算'!AP15</x:f>
        <x:v>0.5919268581979489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</x:row>
    <x:row r="16" ht="22" customHeight="1">
      <x:c r="A16" s="1" t="n">
        <x:f>'収益試算'!A16</x:f>
        <x:v>100</x:v>
      </x:c>
      <x:c r="B16" s="1" t="str">
        <x:f>'収益試算'!B16</x:f>
        <x:v>Starter</x:v>
      </x:c>
      <x:c r="C16" s="1" t="str">
        <x:f>'収益試算'!C16</x:f>
        <x:v>標準</x:v>
      </x:c>
      <x:c r="D16" s="7" t="n">
        <x:f>'収益試算'!T16</x:f>
        <x:v>300000</x:v>
      </x:c>
      <x:c r="E16" s="7" t="n">
        <x:f>'収益試算'!AF16</x:f>
        <x:v>28745.226362508587</x:v>
      </x:c>
      <x:c r="F16" s="7" t="n">
        <x:f>SUM('収益試算'!AH16:AI16)</x:f>
        <x:v>64666.666666666664</x:v>
      </x:c>
      <x:c r="G16" s="7" t="n">
        <x:f>'収益試算'!AJ16</x:f>
        <x:v>195788.10697082474</x:v>
      </x:c>
      <x:c r="H16" s="7" t="n">
        <x:f>'収益試算'!AK16</x:f>
        <x:v>45788.10697082474</x:v>
      </x:c>
      <x:c r="I16" s="7" t="n">
        <x:f>'収益試算'!AL16</x:f>
        <x:v>145788.10697082474</x:v>
      </x:c>
      <x:c r="J16" s="8" t="n">
        <x:f>'収益試算'!AO16</x:f>
        <x:v>0.6526270232360825</x:v>
      </x:c>
      <x:c r="K16" s="8" t="n">
        <x:f>'収益試算'!AP16</x:f>
        <x:v>0.45262702323608245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</x:row>
    <x:row r="17" ht="22" customHeight="1">
      <x:c r="A17" s="1" t="n">
        <x:f>'収益試算'!A17</x:f>
        <x:v>100</x:v>
      </x:c>
      <x:c r="B17" s="1" t="str">
        <x:f>'収益試算'!B17</x:f>
        <x:v>Starter</x:v>
      </x:c>
      <x:c r="C17" s="1" t="str">
        <x:f>'収益試算'!C17</x:f>
        <x:v>高位</x:v>
      </x:c>
      <x:c r="D17" s="7" t="n">
        <x:f>'収益試算'!T17</x:f>
        <x:v>300000</x:v>
      </x:c>
      <x:c r="E17" s="7" t="n">
        <x:f>'収益試算'!AF17</x:f>
        <x:v>269893.0534504702</x:v>
      </x:c>
      <x:c r="F17" s="7" t="n">
        <x:f>SUM('収益試算'!AH17:AI17)</x:f>
        <x:v>144666.66666666666</x:v>
      </x:c>
      <x:c r="G17" s="7" t="n">
        <x:f>'収益試算'!AJ17</x:f>
        <x:v>-125359.72011713684</x:v>
      </x:c>
      <x:c r="H17" s="7" t="n">
        <x:f>'収益試算'!AK17</x:f>
        <x:v>-275359.72011713684</x:v>
      </x:c>
      <x:c r="I17" s="7" t="n">
        <x:f>'収益試算'!AL17</x:f>
        <x:v>-175359.72011713684</x:v>
      </x:c>
      <x:c r="J17" s="8" t="n">
        <x:f>'収益試算'!AO17</x:f>
        <x:v>-0.41786573372378943</x:v>
      </x:c>
      <x:c r="K17" s="8" t="n">
        <x:f>'収益試算'!AP17</x:f>
        <x:v>-0.6178657337237894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</x:row>
    <x:row r="18" ht="22" customHeight="1">
      <x:c r="A18" s="1" t="n">
        <x:f>'収益試算'!A18</x:f>
        <x:v>100</x:v>
      </x:c>
      <x:c r="B18" s="1" t="str">
        <x:f>'収益試算'!B18</x:f>
        <x:v>Business</x:v>
      </x:c>
      <x:c r="C18" s="1" t="str">
        <x:f>'収益試算'!C18</x:f>
        <x:v>低位</x:v>
      </x:c>
      <x:c r="D18" s="7" t="n">
        <x:f>'収益試算'!T18</x:f>
        <x:v>500000</x:v>
      </x:c>
      <x:c r="E18" s="7" t="n">
        <x:f>'収益試算'!AF18</x:f>
        <x:v>25267.528573849253</x:v>
      </x:c>
      <x:c r="F18" s="7" t="n">
        <x:f>SUM('収益試算'!AH18:AI18)</x:f>
        <x:v>41333.333333333336</x:v>
      </x:c>
      <x:c r="G18" s="7" t="n">
        <x:f>'収益試算'!AJ18</x:f>
        <x:v>415399.1380928174</x:v>
      </x:c>
      <x:c r="H18" s="7" t="n">
        <x:f>'収益試算'!AK18</x:f>
        <x:v>165399.1380928174</x:v>
      </x:c>
      <x:c r="I18" s="7" t="n">
        <x:f>'収益試算'!AL18</x:f>
        <x:v>365399.1380928174</x:v>
      </x:c>
      <x:c r="J18" s="8" t="n">
        <x:f>'収益試算'!AO18</x:f>
        <x:v>0.8307982761856347</x:v>
      </x:c>
      <x:c r="K18" s="8" t="n">
        <x:f>'収益試算'!AP18</x:f>
        <x:v>0.6307982761856348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</x:row>
    <x:row r="19" ht="22" customHeight="1">
      <x:c r="A19" s="1" t="n">
        <x:f>'収益試算'!A19</x:f>
        <x:v>100</x:v>
      </x:c>
      <x:c r="B19" s="1" t="str">
        <x:f>'収益試算'!B19</x:f>
        <x:v>Business</x:v>
      </x:c>
      <x:c r="C19" s="1" t="str">
        <x:f>'収益試算'!C19</x:f>
        <x:v>標準</x:v>
      </x:c>
      <x:c r="D19" s="7" t="n">
        <x:f>'収益試算'!T19</x:f>
        <x:v>500000</x:v>
      </x:c>
      <x:c r="E19" s="7" t="n">
        <x:f>'収益試算'!AF19</x:f>
        <x:v>59093.997194755626</x:v>
      </x:c>
      <x:c r="F19" s="7" t="n">
        <x:f>SUM('収益試算'!AH19:AI19)</x:f>
        <x:v>74666.66666666667</x:v>
      </x:c>
      <x:c r="G19" s="7" t="n">
        <x:f>'収益試算'!AJ19</x:f>
        <x:v>348239.3361385777</x:v>
      </x:c>
      <x:c r="H19" s="7" t="n">
        <x:f>'収益試算'!AK19</x:f>
        <x:v>98239.33613857772</x:v>
      </x:c>
      <x:c r="I19" s="7" t="n">
        <x:f>'収益試算'!AL19</x:f>
        <x:v>298239.3361385777</x:v>
      </x:c>
      <x:c r="J19" s="8" t="n">
        <x:f>'収益試算'!AO19</x:f>
        <x:v>0.6964786722771554</x:v>
      </x:c>
      <x:c r="K19" s="8" t="n">
        <x:f>'収益試算'!AP19</x:f>
        <x:v>0.4964786722771554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</x:row>
    <x:row r="20" ht="22" customHeight="1">
      <x:c r="A20" s="1" t="n">
        <x:f>'収益試算'!A20</x:f>
        <x:v>100</x:v>
      </x:c>
      <x:c r="B20" s="1" t="str">
        <x:f>'収益試算'!B20</x:f>
        <x:v>Business</x:v>
      </x:c>
      <x:c r="C20" s="1" t="str">
        <x:f>'収益試算'!C20</x:f>
        <x:v>高位</x:v>
      </x:c>
      <x:c r="D20" s="7" t="n">
        <x:f>'収益試算'!T20</x:f>
        <x:v>500000</x:v>
      </x:c>
      <x:c r="E20" s="7" t="n">
        <x:f>'収益試算'!AF20</x:f>
        <x:v>1023685.3055466022</x:v>
      </x:c>
      <x:c r="F20" s="7" t="n">
        <x:f>SUM('収益試算'!AH20:AI20)</x:f>
        <x:v>154666.66666666666</x:v>
      </x:c>
      <x:c r="G20" s="7" t="n">
        <x:f>'収益試算'!AJ20</x:f>
        <x:v>-696351.972213269</x:v>
      </x:c>
      <x:c r="H20" s="7" t="n">
        <x:f>'収益試算'!AK20</x:f>
        <x:v>-946351.972213269</x:v>
      </x:c>
      <x:c r="I20" s="7" t="n">
        <x:f>'収益試算'!AL20</x:f>
        <x:v>-746351.972213269</x:v>
      </x:c>
      <x:c r="J20" s="8" t="n">
        <x:f>'収益試算'!AO20</x:f>
        <x:v>-1.3927039444265379</x:v>
      </x:c>
      <x:c r="K20" s="8" t="n">
        <x:f>'収益試算'!AP20</x:f>
        <x:v>-1.5927039444265378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</x:row>
    <x:row r="21" ht="22" customHeight="1">
      <x:c r="A21" s="1" t="n">
        <x:f>'収益試算'!A21</x:f>
        <x:v>100</x:v>
      </x:c>
      <x:c r="B21" s="1" t="str">
        <x:f>'収益試算'!B21</x:f>
        <x:v>Business Plus</x:v>
      </x:c>
      <x:c r="C21" s="1" t="str">
        <x:f>'収益試算'!C21</x:f>
        <x:v>低位</x:v>
      </x:c>
      <x:c r="D21" s="7" t="n">
        <x:f>'収益試算'!T21</x:f>
        <x:v>800000</x:v>
      </x:c>
      <x:c r="E21" s="7" t="n">
        <x:f>'収益試算'!AF21</x:f>
        <x:v>35225.367306983775</x:v>
      </x:c>
      <x:c r="F21" s="7" t="n">
        <x:f>SUM('収益試算'!AH21:AI21)</x:f>
        <x:v>61333.333333333336</x:v>
      </x:c>
      <x:c r="G21" s="7" t="n">
        <x:f>'収益試算'!AJ21</x:f>
        <x:v>674641.299359683</x:v>
      </x:c>
      <x:c r="H21" s="7" t="n">
        <x:f>'収益試算'!AK21</x:f>
        <x:v>274641.29935968295</x:v>
      </x:c>
      <x:c r="I21" s="7" t="n">
        <x:f>'収益試算'!AL21</x:f>
        <x:v>624641.299359683</x:v>
      </x:c>
      <x:c r="J21" s="8" t="n">
        <x:f>'収益試算'!AO21</x:f>
        <x:v>0.8433016241996036</x:v>
      </x:c>
      <x:c r="K21" s="8" t="n">
        <x:f>'収益試算'!AP21</x:f>
        <x:v>0.6433016241996037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</x:row>
    <x:row r="22" ht="22" customHeight="1">
      <x:c r="A22" s="1" t="n">
        <x:f>'収益試算'!A22</x:f>
        <x:v>100</x:v>
      </x:c>
      <x:c r="B22" s="1" t="str">
        <x:f>'収益試算'!B22</x:f>
        <x:v>Business Plus</x:v>
      </x:c>
      <x:c r="C22" s="1" t="str">
        <x:f>'収益試算'!C22</x:f>
        <x:v>標準</x:v>
      </x:c>
      <x:c r="D22" s="7" t="n">
        <x:f>'収益試算'!T22</x:f>
        <x:v>800000</x:v>
      </x:c>
      <x:c r="E22" s="7" t="n">
        <x:f>'収益試算'!AF22</x:f>
        <x:v>119791.5388592497</x:v>
      </x:c>
      <x:c r="F22" s="7" t="n">
        <x:f>SUM('収益試算'!AH22:AI22)</x:f>
        <x:v>94666.66666666667</x:v>
      </x:c>
      <x:c r="G22" s="7" t="n">
        <x:f>'収益試算'!AJ22</x:f>
        <x:v>556741.7944740837</x:v>
      </x:c>
      <x:c r="H22" s="7" t="n">
        <x:f>'収益試算'!AK22</x:f>
        <x:v>156741.7944740837</x:v>
      </x:c>
      <x:c r="I22" s="7" t="n">
        <x:f>'収益試算'!AL22</x:f>
        <x:v>506741.7944740837</x:v>
      </x:c>
      <x:c r="J22" s="8" t="n">
        <x:f>'収益試算'!AO22</x:f>
        <x:v>0.6959272430926047</x:v>
      </x:c>
      <x:c r="K22" s="8" t="n">
        <x:f>'収益試算'!AP22</x:f>
        <x:v>0.49592724309260466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</x:row>
    <x:row r="23" ht="22" customHeight="1">
      <x:c r="A23" s="1" t="n">
        <x:f>'収益試算'!A23</x:f>
        <x:v>100</x:v>
      </x:c>
      <x:c r="B23" s="1" t="str">
        <x:f>'収益試算'!B23</x:f>
        <x:v>Business Plus</x:v>
      </x:c>
      <x:c r="C23" s="1" t="str">
        <x:f>'収益試算'!C23</x:f>
        <x:v>高位</x:v>
      </x:c>
      <x:c r="D23" s="7" t="n">
        <x:f>'収益試算'!T23</x:f>
        <x:v>800000</x:v>
      </x:c>
      <x:c r="E23" s="7" t="n">
        <x:f>'収益試算'!AF23</x:f>
        <x:v>2535383.825085315</x:v>
      </x:c>
      <x:c r="F23" s="7" t="n">
        <x:f>SUM('収益試算'!AH23:AI23)</x:f>
        <x:v>174666.66666666666</x:v>
      </x:c>
      <x:c r="G23" s="7" t="n">
        <x:f>'収益試算'!AJ23</x:f>
        <x:v>-1938850.4917519814</x:v>
      </x:c>
      <x:c r="H23" s="7" t="n">
        <x:f>'収益試算'!AK23</x:f>
        <x:v>-2338850.4917519814</x:v>
      </x:c>
      <x:c r="I23" s="7" t="n">
        <x:f>'収益試算'!AL23</x:f>
        <x:v>-1988850.4917519814</x:v>
      </x:c>
      <x:c r="J23" s="8" t="n">
        <x:f>'収益試算'!AO23</x:f>
        <x:v>-2.4235631146899768</x:v>
      </x:c>
      <x:c r="K23" s="8" t="n">
        <x:f>'収益試算'!AP23</x:f>
        <x:v>-2.623563114689977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</x:row>
    <x:row r="24" ht="22" customHeight="1">
      <x:c r="A24" s="1" t="n">
        <x:f>'収益試算'!A24</x:f>
        <x:v>500</x:v>
      </x:c>
      <x:c r="B24" s="1" t="str">
        <x:f>'収益試算'!B24</x:f>
        <x:v>Starter</x:v>
      </x:c>
      <x:c r="C24" s="1" t="str">
        <x:f>'収益試算'!C24</x:f>
        <x:v>低位</x:v>
      </x:c>
      <x:c r="D24" s="7" t="n">
        <x:f>'収益試算'!T24</x:f>
        <x:v>1500000</x:v>
      </x:c>
      <x:c r="E24" s="7" t="n">
        <x:f>'収益試算'!AF24</x:f>
        <x:v>46927.168362705</x:v>
      </x:c>
      <x:c r="F24" s="7" t="n">
        <x:f>SUM('収益試算'!AH24:AI24)</x:f>
        <x:v>124666.66666666667</x:v>
      </x:c>
      <x:c r="G24" s="7" t="n">
        <x:f>'収益試算'!AJ24</x:f>
        <x:v>1274406.1649706285</x:v>
      </x:c>
      <x:c r="H24" s="7" t="n">
        <x:f>'収益試算'!AK24</x:f>
        <x:v>524406.1649706285</x:v>
      </x:c>
      <x:c r="I24" s="7" t="n">
        <x:f>'収益試算'!AL24</x:f>
        <x:v>1024406.1649706285</x:v>
      </x:c>
      <x:c r="J24" s="8" t="n">
        <x:f>'収益試算'!AO24</x:f>
        <x:v>0.849604109980419</x:v>
      </x:c>
      <x:c r="K24" s="8" t="n">
        <x:f>'収益試算'!AP24</x:f>
        <x:v>0.6496041099804191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</x:row>
    <x:row r="25" ht="22" customHeight="1">
      <x:c r="A25" s="1" t="n">
        <x:f>'収益試算'!A25</x:f>
        <x:v>500</x:v>
      </x:c>
      <x:c r="B25" s="1" t="str">
        <x:f>'収益試算'!B25</x:f>
        <x:v>Starter</x:v>
      </x:c>
      <x:c r="C25" s="1" t="str">
        <x:f>'収益試算'!C25</x:f>
        <x:v>標準</x:v>
      </x:c>
      <x:c r="D25" s="7" t="n">
        <x:f>'収益試算'!T25</x:f>
        <x:v>1500000</x:v>
      </x:c>
      <x:c r="E25" s="7" t="n">
        <x:f>'収益試算'!AF25</x:f>
        <x:v>89210.25413883798</x:v>
      </x:c>
      <x:c r="F25" s="7" t="n">
        <x:f>SUM('収益試算'!AH25:AI25)</x:f>
        <x:v>291333.3333333333</x:v>
      </x:c>
      <x:c r="G25" s="7" t="n">
        <x:f>'収益試算'!AJ25</x:f>
        <x:v>1065456.4125278287</x:v>
      </x:c>
      <x:c r="H25" s="7" t="n">
        <x:f>'収益試算'!AK25</x:f>
        <x:v>315456.4125278287</x:v>
      </x:c>
      <x:c r="I25" s="7" t="n">
        <x:f>'収益試算'!AL25</x:f>
        <x:v>815456.4125278287</x:v>
      </x:c>
      <x:c r="J25" s="8" t="n">
        <x:f>'収益試算'!AO25</x:f>
        <x:v>0.7103042750185524</x:v>
      </x:c>
      <x:c r="K25" s="8" t="n">
        <x:f>'収益試算'!AP25</x:f>
        <x:v>0.5103042750185525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</x:row>
    <x:row r="26" ht="22" customHeight="1">
      <x:c r="A26" s="1" t="n">
        <x:f>'収益試算'!A26</x:f>
        <x:v>500</x:v>
      </x:c>
      <x:c r="B26" s="1" t="str">
        <x:f>'収益試算'!B26</x:f>
        <x:v>Starter</x:v>
      </x:c>
      <x:c r="C26" s="1" t="str">
        <x:f>'収益試算'!C26</x:f>
        <x:v>高位</x:v>
      </x:c>
      <x:c r="D26" s="7" t="n">
        <x:f>'収益試算'!T26</x:f>
        <x:v>1500000</x:v>
      </x:c>
      <x:c r="E26" s="7" t="n">
        <x:f>'収益試算'!AF26</x:f>
        <x:v>1295441.9125426577</x:v>
      </x:c>
      <x:c r="F26" s="7" t="n">
        <x:f>SUM('収益試算'!AH26:AI26)</x:f>
        <x:v>691333.3333333334</x:v>
      </x:c>
      <x:c r="G26" s="7" t="n">
        <x:f>'収益試算'!AJ26</x:f>
        <x:v>-540775.245875991</x:v>
      </x:c>
      <x:c r="H26" s="7" t="n">
        <x:f>'収益試算'!AK26</x:f>
        <x:v>-1290775.245875991</x:v>
      </x:c>
      <x:c r="I26" s="7" t="n">
        <x:f>'収益試算'!AL26</x:f>
        <x:v>-790775.245875991</x:v>
      </x:c>
      <x:c r="J26" s="8" t="n">
        <x:f>'収益試算'!AO26</x:f>
        <x:v>-0.360516830583994</x:v>
      </x:c>
      <x:c r="K26" s="8" t="n">
        <x:f>'収益試算'!AP26</x:f>
        <x:v>-0.560516830583994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</x:row>
    <x:row r="27" ht="22" customHeight="1">
      <x:c r="A27" s="1" t="n">
        <x:f>'収益試算'!A27</x:f>
        <x:v>500</x:v>
      </x:c>
      <x:c r="B27" s="1" t="str">
        <x:f>'収益試算'!B27</x:f>
        <x:v>Business</x:v>
      </x:c>
      <x:c r="C27" s="1" t="str">
        <x:f>'収益試算'!C27</x:f>
        <x:v>低位</x:v>
      </x:c>
      <x:c r="D27" s="7" t="n">
        <x:f>'収益試算'!T27</x:f>
        <x:v>2500000</x:v>
      </x:c>
      <x:c r="E27" s="7" t="n">
        <x:f>'収益試算'!AF27</x:f>
        <x:v>71821.76519554132</x:v>
      </x:c>
      <x:c r="F27" s="7" t="n">
        <x:f>SUM('収益試算'!AH27:AI27)</x:f>
        <x:v>174666.66666666666</x:v>
      </x:c>
      <x:c r="G27" s="7" t="n">
        <x:f>'収益試算'!AJ27</x:f>
        <x:v>2163511.568137792</x:v>
      </x:c>
      <x:c r="H27" s="7" t="n">
        <x:f>'収益試算'!AK27</x:f>
        <x:v>913511.5681377919</x:v>
      </x:c>
      <x:c r="I27" s="7" t="n">
        <x:f>'収益試算'!AL27</x:f>
        <x:v>1913511.568137792</x:v>
      </x:c>
      <x:c r="J27" s="8" t="n">
        <x:f>'収益試算'!AO27</x:f>
        <x:v>0.8654046272551168</x:v>
      </x:c>
      <x:c r="K27" s="8" t="n">
        <x:f>'収益試算'!AP27</x:f>
        <x:v>0.6654046272551168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</x:row>
    <x:row r="28" ht="22" customHeight="1">
      <x:c r="A28" s="1" t="n">
        <x:f>'収益試算'!A28</x:f>
        <x:v>500</x:v>
      </x:c>
      <x:c r="B28" s="1" t="str">
        <x:f>'収益試算'!B28</x:f>
        <x:v>Business</x:v>
      </x:c>
      <x:c r="C28" s="1" t="str">
        <x:f>'収益試算'!C28</x:f>
        <x:v>標準</x:v>
      </x:c>
      <x:c r="D28" s="7" t="n">
        <x:f>'収益試算'!T28</x:f>
        <x:v>2500000</x:v>
      </x:c>
      <x:c r="E28" s="7" t="n">
        <x:f>'収益試算'!AF28</x:f>
        <x:v>240954.10830007316</x:v>
      </x:c>
      <x:c r="F28" s="7" t="n">
        <x:f>SUM('収益試算'!AH28:AI28)</x:f>
        <x:v>341333.3333333333</x:v>
      </x:c>
      <x:c r="G28" s="7" t="n">
        <x:f>'収益試算'!AJ28</x:f>
        <x:v>1827712.5583665934</x:v>
      </x:c>
      <x:c r="H28" s="7" t="n">
        <x:f>'収益試算'!AK28</x:f>
        <x:v>577712.5583665934</x:v>
      </x:c>
      <x:c r="I28" s="7" t="n">
        <x:f>'収益試算'!AL28</x:f>
        <x:v>1577712.5583665934</x:v>
      </x:c>
      <x:c r="J28" s="8" t="n">
        <x:f>'収益試算'!AO28</x:f>
        <x:v>0.7310850233466374</x:v>
      </x:c>
      <x:c r="K28" s="8" t="n">
        <x:f>'収益試算'!AP28</x:f>
        <x:v>0.5310850233466373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</x:row>
    <x:row r="29" ht="22" customHeight="1">
      <x:c r="A29" s="1" t="n">
        <x:f>'収益試算'!A29</x:f>
        <x:v>500</x:v>
      </x:c>
      <x:c r="B29" s="1" t="str">
        <x:f>'収益試算'!B29</x:f>
        <x:v>Business</x:v>
      </x:c>
      <x:c r="C29" s="1" t="str">
        <x:f>'収益試算'!C29</x:f>
        <x:v>高位</x:v>
      </x:c>
      <x:c r="D29" s="7" t="n">
        <x:f>'収益試算'!T29</x:f>
        <x:v>2500000</x:v>
      </x:c>
      <x:c r="E29" s="7" t="n">
        <x:f>'収益試算'!AF29</x:f>
        <x:v>5075267.650170631</x:v>
      </x:c>
      <x:c r="F29" s="7" t="n">
        <x:f>SUM('収益試算'!AH29:AI29)</x:f>
        <x:v>741333.3333333334</x:v>
      </x:c>
      <x:c r="G29" s="7" t="n">
        <x:f>'収益試算'!AJ29</x:f>
        <x:v>-3406600.983503964</x:v>
      </x:c>
      <x:c r="H29" s="7" t="n">
        <x:f>'収益試算'!AK29</x:f>
        <x:v>-4656600.983503964</x:v>
      </x:c>
      <x:c r="I29" s="7" t="n">
        <x:f>'収益試算'!AL29</x:f>
        <x:v>-3656600.983503964</x:v>
      </x:c>
      <x:c r="J29" s="8" t="n">
        <x:f>'収益試算'!AO29</x:f>
        <x:v>-1.3626403934015856</x:v>
      </x:c>
      <x:c r="K29" s="8" t="n">
        <x:f>'収益試算'!AP29</x:f>
        <x:v>-1.5626403934015856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</x:row>
    <x:row r="30" ht="22" customHeight="1">
      <x:c r="A30" s="1" t="n">
        <x:f>'収益試算'!A30</x:f>
        <x:v>500</x:v>
      </x:c>
      <x:c r="B30" s="1" t="str">
        <x:f>'収益試算'!B30</x:f>
        <x:v>Business Plus</x:v>
      </x:c>
      <x:c r="C30" s="1" t="str">
        <x:f>'収益試算'!C30</x:f>
        <x:v>低位</x:v>
      </x:c>
      <x:c r="D30" s="7" t="n">
        <x:f>'収益試算'!T30</x:f>
        <x:v>4000000</x:v>
      </x:c>
      <x:c r="E30" s="7" t="n">
        <x:f>'収益試算'!AF30</x:f>
        <x:v>121610.95886121393</x:v>
      </x:c>
      <x:c r="F30" s="7" t="n">
        <x:f>SUM('収益試算'!AH30:AI30)</x:f>
        <x:v>274666.6666666667</x:v>
      </x:c>
      <x:c r="G30" s="7" t="n">
        <x:f>'収益試算'!AJ30</x:f>
        <x:v>3459722.3744721194</x:v>
      </x:c>
      <x:c r="H30" s="7" t="n">
        <x:f>'収益試算'!AK30</x:f>
        <x:v>1459722.3744721194</x:v>
      </x:c>
      <x:c r="I30" s="7" t="n">
        <x:f>'収益試算'!AL30</x:f>
        <x:v>3209722.3744721194</x:v>
      </x:c>
      <x:c r="J30" s="8" t="n">
        <x:f>'収益試算'!AO30</x:f>
        <x:v>0.8649305936180298</x:v>
      </x:c>
      <x:c r="K30" s="8" t="n">
        <x:f>'収益試算'!AP30</x:f>
        <x:v>0.6649305936180299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</x:row>
    <x:row r="31" ht="22" customHeight="1">
      <x:c r="A31" s="1" t="n">
        <x:f>'収益試算'!A31</x:f>
        <x:v>500</x:v>
      </x:c>
      <x:c r="B31" s="1" t="str">
        <x:f>'収益試算'!B31</x:f>
        <x:v>Business Plus</x:v>
      </x:c>
      <x:c r="C31" s="1" t="str">
        <x:f>'収益試算'!C31</x:f>
        <x:v>標準</x:v>
      </x:c>
      <x:c r="D31" s="7" t="n">
        <x:f>'収益試算'!T31</x:f>
        <x:v>4000000</x:v>
      </x:c>
      <x:c r="E31" s="7" t="n">
        <x:f>'収益試算'!AF31</x:f>
        <x:v>544441.8166225436</x:v>
      </x:c>
      <x:c r="F31" s="7" t="n">
        <x:f>SUM('収益試算'!AH31:AI31)</x:f>
        <x:v>441333.3333333333</x:v>
      </x:c>
      <x:c r="G31" s="7" t="n">
        <x:f>'収益試算'!AJ31</x:f>
        <x:v>2870224.850044123</x:v>
      </x:c>
      <x:c r="H31" s="7" t="n">
        <x:f>'収益試算'!AK31</x:f>
        <x:v>870224.8500441229</x:v>
      </x:c>
      <x:c r="I31" s="7" t="n">
        <x:f>'収益試算'!AL31</x:f>
        <x:v>2620224.850044123</x:v>
      </x:c>
      <x:c r="J31" s="8" t="n">
        <x:f>'収益試算'!AO31</x:f>
        <x:v>0.7175562125110307</x:v>
      </x:c>
      <x:c r="K31" s="8" t="n">
        <x:f>'収益試算'!AP31</x:f>
        <x:v>0.5175562125110307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</x:row>
    <x:row r="32" ht="22" customHeight="1">
      <x:c r="A32" s="1" t="n">
        <x:f>'収益試算'!A32</x:f>
        <x:v>500</x:v>
      </x:c>
      <x:c r="B32" s="1" t="str">
        <x:f>'収益試算'!B32</x:f>
        <x:v>Business Plus</x:v>
      </x:c>
      <x:c r="C32" s="1" t="str">
        <x:f>'収益試算'!C32</x:f>
        <x:v>高位</x:v>
      </x:c>
      <x:c r="D32" s="7" t="n">
        <x:f>'収益試算'!T32</x:f>
        <x:v>4000000</x:v>
      </x:c>
      <x:c r="E32" s="7" t="n">
        <x:f>'収益試算'!AF32</x:f>
        <x:v>12634919.125426577</x:v>
      </x:c>
      <x:c r="F32" s="7" t="n">
        <x:f>SUM('収益試算'!AH32:AI32)</x:f>
        <x:v>841333.3333333334</x:v>
      </x:c>
      <x:c r="G32" s="7" t="n">
        <x:f>'収益試算'!AJ32</x:f>
        <x:v>-9620252.458759911</x:v>
      </x:c>
      <x:c r="H32" s="7" t="n">
        <x:f>'収益試算'!AK32</x:f>
        <x:v>-11620252.458759911</x:v>
      </x:c>
      <x:c r="I32" s="7" t="n">
        <x:f>'収益試算'!AL32</x:f>
        <x:v>-9870252.458759911</x:v>
      </x:c>
      <x:c r="J32" s="8" t="n">
        <x:f>'収益試算'!AO32</x:f>
        <x:v>-2.4050631146899777</x:v>
      </x:c>
      <x:c r="K32" s="8" t="n">
        <x:f>'収益試算'!AP32</x:f>
        <x:v>-2.605063114689978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</x:row>
    <x:row r="33" ht="22" customHeight="1">
      <x:c r="A33" s="1" t="n">
        <x:f>'収益試算'!A33</x:f>
        <x:v>1000</x:v>
      </x:c>
      <x:c r="B33" s="1" t="str">
        <x:f>'収益試算'!B33</x:f>
        <x:v>Starter</x:v>
      </x:c>
      <x:c r="C33" s="1" t="str">
        <x:f>'収益試算'!C33</x:f>
        <x:v>低位</x:v>
      </x:c>
      <x:c r="D33" s="7" t="n">
        <x:f>'収益試算'!T33</x:f>
        <x:v>3000000</x:v>
      </x:c>
      <x:c r="E33" s="7" t="n">
        <x:f>'収益試算'!AF33</x:f>
        <x:v>80225.36730698377</x:v>
      </x:c>
      <x:c r="F33" s="7" t="n">
        <x:f>SUM('収益試算'!AH33:AI33)</x:f>
        <x:v>241333.33333333334</x:v>
      </x:c>
      <x:c r="G33" s="7" t="n">
        <x:f>'収益試算'!AJ33</x:f>
        <x:v>2570441.299359683</x:v>
      </x:c>
      <x:c r="H33" s="7" t="n">
        <x:f>'収益試算'!AK33</x:f>
        <x:v>1070441.299359683</x:v>
      </x:c>
      <x:c r="I33" s="7" t="n">
        <x:f>'収益試算'!AL33</x:f>
        <x:v>2070441.299359683</x:v>
      </x:c>
      <x:c r="J33" s="8" t="n">
        <x:f>'収益試算'!AO33</x:f>
        <x:v>0.8568137664532276</x:v>
      </x:c>
      <x:c r="K33" s="8" t="n">
        <x:f>'収益試算'!AP33</x:f>
        <x:v>0.6568137664532276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</x:row>
    <x:row r="34" ht="22" customHeight="1">
      <x:c r="A34" s="1" t="n">
        <x:f>'収益試算'!A34</x:f>
        <x:v>1000</x:v>
      </x:c>
      <x:c r="B34" s="1" t="str">
        <x:f>'収益試算'!B34</x:f>
        <x:v>Starter</x:v>
      </x:c>
      <x:c r="C34" s="1" t="str">
        <x:f>'収益試算'!C34</x:f>
        <x:v>標準</x:v>
      </x:c>
      <x:c r="D34" s="7" t="n">
        <x:f>'収益試算'!T34</x:f>
        <x:v>3000000</x:v>
      </x:c>
      <x:c r="E34" s="7" t="n">
        <x:f>'収益試算'!AF34</x:f>
        <x:v>164791.5388592497</x:v>
      </x:c>
      <x:c r="F34" s="7" t="n">
        <x:f>SUM('収益試算'!AH34:AI34)</x:f>
        <x:v>574666.6666666666</x:v>
      </x:c>
      <x:c r="G34" s="7" t="n">
        <x:f>'収益試算'!AJ34</x:f>
        <x:v>2152541.794474084</x:v>
      </x:c>
      <x:c r="H34" s="7" t="n">
        <x:f>'収益試算'!AK34</x:f>
        <x:v>652541.7944740839</x:v>
      </x:c>
      <x:c r="I34" s="7" t="n">
        <x:f>'収益試算'!AL34</x:f>
        <x:v>1652541.794474084</x:v>
      </x:c>
      <x:c r="J34" s="8" t="n">
        <x:f>'収益試算'!AO34</x:f>
        <x:v>0.7175139314913613</x:v>
      </x:c>
      <x:c r="K34" s="8" t="n">
        <x:f>'収益試算'!AP34</x:f>
        <x:v>0.5175139314913613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</x:row>
    <x:row r="35" ht="22" customHeight="1">
      <x:c r="A35" s="1" t="n">
        <x:f>'収益試算'!A35</x:f>
        <x:v>1000</x:v>
      </x:c>
      <x:c r="B35" s="1" t="str">
        <x:f>'収益試算'!B35</x:f>
        <x:v>Starter</x:v>
      </x:c>
      <x:c r="C35" s="1" t="str">
        <x:f>'収益試算'!C35</x:f>
        <x:v>高位</x:v>
      </x:c>
      <x:c r="D35" s="7" t="n">
        <x:f>'収益試算'!T35</x:f>
        <x:v>3000000</x:v>
      </x:c>
      <x:c r="E35" s="7" t="n">
        <x:f>'収益試算'!AF35</x:f>
        <x:v>2580383.825085315</x:v>
      </x:c>
      <x:c r="F35" s="7" t="n">
        <x:f>SUM('収益試算'!AH35:AI35)</x:f>
        <x:v>1374666.6666666667</x:v>
      </x:c>
      <x:c r="G35" s="7" t="n">
        <x:f>'収益試算'!AJ35</x:f>
        <x:v>-1063050.491751982</x:v>
      </x:c>
      <x:c r="H35" s="7" t="n">
        <x:f>'収益試算'!AK35</x:f>
        <x:v>-2563050.491751982</x:v>
      </x:c>
      <x:c r="I35" s="7" t="n">
        <x:f>'収益試算'!AL35</x:f>
        <x:v>-1563050.491751982</x:v>
      </x:c>
      <x:c r="J35" s="8" t="n">
        <x:f>'収益試算'!AO35</x:f>
        <x:v>-0.3543501639173273</x:v>
      </x:c>
      <x:c r="K35" s="8" t="n">
        <x:f>'収益試算'!AP35</x:f>
        <x:v>-0.5543501639173274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</x:row>
    <x:row r="36" ht="22" customHeight="1">
      <x:c r="A36" s="1" t="n">
        <x:f>'収益試算'!A36</x:f>
        <x:v>1000</x:v>
      </x:c>
      <x:c r="B36" s="1" t="str">
        <x:f>'収益試算'!B36</x:f>
        <x:v>Business</x:v>
      </x:c>
      <x:c r="C36" s="1" t="str">
        <x:f>'収益試算'!C36</x:f>
        <x:v>低位</x:v>
      </x:c>
      <x:c r="D36" s="7" t="n">
        <x:f>'収益試算'!T36</x:f>
        <x:v>5000000</x:v>
      </x:c>
      <x:c r="E36" s="7" t="n">
        <x:f>'収益試算'!AF36</x:f>
        <x:v>130014.56097265639</x:v>
      </x:c>
      <x:c r="F36" s="7" t="n">
        <x:f>SUM('収益試算'!AH36:AI36)</x:f>
        <x:v>341333.3333333333</x:v>
      </x:c>
      <x:c r="G36" s="7" t="n">
        <x:f>'収益試算'!AJ36</x:f>
        <x:v>4348652.105694011</x:v>
      </x:c>
      <x:c r="H36" s="7" t="n">
        <x:f>'収益試算'!AK36</x:f>
        <x:v>1848652.1056940109</x:v>
      </x:c>
      <x:c r="I36" s="7" t="n">
        <x:f>'収益試算'!AL36</x:f>
        <x:v>3848652.105694011</x:v>
      </x:c>
      <x:c r="J36" s="8" t="n">
        <x:f>'収益試算'!AO36</x:f>
        <x:v>0.8697304211388022</x:v>
      </x:c>
      <x:c r="K36" s="8" t="n">
        <x:f>'収益試算'!AP36</x:f>
        <x:v>0.6697304211388022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</x:row>
    <x:row r="37" ht="22" customHeight="1">
      <x:c r="A37" s="1" t="n">
        <x:f>'収益試算'!A37</x:f>
        <x:v>1000</x:v>
      </x:c>
      <x:c r="B37" s="1" t="str">
        <x:f>'収益試算'!B37</x:f>
        <x:v>Business</x:v>
      </x:c>
      <x:c r="C37" s="1" t="str">
        <x:f>'収益試算'!C37</x:f>
        <x:v>標準</x:v>
      </x:c>
      <x:c r="D37" s="7" t="n">
        <x:f>'収益試算'!T37</x:f>
        <x:v>5000000</x:v>
      </x:c>
      <x:c r="E37" s="7" t="n">
        <x:f>'収益試算'!AF37</x:f>
        <x:v>468279.24718172004</x:v>
      </x:c>
      <x:c r="F37" s="7" t="n">
        <x:f>SUM('収益試算'!AH37:AI37)</x:f>
        <x:v>674666.6666666666</x:v>
      </x:c>
      <x:c r="G37" s="7" t="n">
        <x:f>'収益試算'!AJ37</x:f>
        <x:v>3677054.0861516134</x:v>
      </x:c>
      <x:c r="H37" s="7" t="n">
        <x:f>'収益試算'!AK37</x:f>
        <x:v>1177054.0861516134</x:v>
      </x:c>
      <x:c r="I37" s="7" t="n">
        <x:f>'収益試算'!AL37</x:f>
        <x:v>3177054.0861516134</x:v>
      </x:c>
      <x:c r="J37" s="8" t="n">
        <x:f>'収益試算'!AO37</x:f>
        <x:v>0.7354108172303226</x:v>
      </x:c>
      <x:c r="K37" s="8" t="n">
        <x:f>'収益試算'!AP37</x:f>
        <x:v>0.5354108172303227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</x:row>
    <x:row r="38" ht="22" customHeight="1">
      <x:c r="A38" s="1" t="n">
        <x:f>'収益試算'!A38</x:f>
        <x:v>1000</x:v>
      </x:c>
      <x:c r="B38" s="1" t="str">
        <x:f>'収益試算'!B38</x:f>
        <x:v>Business</x:v>
      </x:c>
      <x:c r="C38" s="1" t="str">
        <x:f>'収益試算'!C38</x:f>
        <x:v>高位</x:v>
      </x:c>
      <x:c r="D38" s="7" t="n">
        <x:f>'収益試算'!T38</x:f>
        <x:v>5000000</x:v>
      </x:c>
      <x:c r="E38" s="7" t="n">
        <x:f>'収益試算'!AF38</x:f>
        <x:v>10140035.300341262</x:v>
      </x:c>
      <x:c r="F38" s="7" t="n">
        <x:f>SUM('収益試算'!AH38:AI38)</x:f>
        <x:v>1474666.6666666667</x:v>
      </x:c>
      <x:c r="G38" s="7" t="n">
        <x:f>'収益試算'!AJ38</x:f>
        <x:v>-6794701.967007928</x:v>
      </x:c>
      <x:c r="H38" s="7" t="n">
        <x:f>'収益試算'!AK38</x:f>
        <x:v>-9294701.967007928</x:v>
      </x:c>
      <x:c r="I38" s="7" t="n">
        <x:f>'収益試算'!AL38</x:f>
        <x:v>-7294701.967007928</x:v>
      </x:c>
      <x:c r="J38" s="8" t="n">
        <x:f>'収益試算'!AO38</x:f>
        <x:v>-1.3589403934015856</x:v>
      </x:c>
      <x:c r="K38" s="8" t="n">
        <x:f>'収益試算'!AP38</x:f>
        <x:v>-1.5589403934015855</x:v>
      </x:c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</x:row>
    <x:row r="39" ht="22" customHeight="1">
      <x:c r="A39" s="1" t="n">
        <x:f>'収益試算'!A39</x:f>
        <x:v>1000</x:v>
      </x:c>
      <x:c r="B39" s="1" t="str">
        <x:f>'収益試算'!B39</x:f>
        <x:v>Business Plus</x:v>
      </x:c>
      <x:c r="C39" s="1" t="str">
        <x:f>'収益試算'!C39</x:f>
        <x:v>低位</x:v>
      </x:c>
      <x:c r="D39" s="7" t="n">
        <x:f>'収益試算'!T39</x:f>
        <x:v>8000000</x:v>
      </x:c>
      <x:c r="E39" s="7" t="n">
        <x:f>'収益試算'!AF39</x:f>
        <x:v>229592.94830400162</x:v>
      </x:c>
      <x:c r="F39" s="7" t="n">
        <x:f>SUM('収益試算'!AH39:AI39)</x:f>
        <x:v>541333.3333333334</x:v>
      </x:c>
      <x:c r="G39" s="7" t="n">
        <x:f>'収益試算'!AJ39</x:f>
        <x:v>6941073.718362665</x:v>
      </x:c>
      <x:c r="H39" s="7" t="n">
        <x:f>'収益試算'!AK39</x:f>
        <x:v>2941073.718362665</x:v>
      </x:c>
      <x:c r="I39" s="7" t="n">
        <x:f>'収益試算'!AL39</x:f>
        <x:v>6441073.718362665</x:v>
      </x:c>
      <x:c r="J39" s="8" t="n">
        <x:f>'収益試算'!AO39</x:f>
        <x:v>0.8676342147953331</x:v>
      </x:c>
      <x:c r="K39" s="8" t="n">
        <x:f>'収益試算'!AP39</x:f>
        <x:v>0.6676342147953331</x:v>
      </x:c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</x:row>
    <x:row r="40" ht="22" customHeight="1">
      <x:c r="A40" s="1" t="n">
        <x:f>'収益試算'!A40</x:f>
        <x:v>1000</x:v>
      </x:c>
      <x:c r="B40" s="1" t="str">
        <x:f>'収益試算'!B40</x:f>
        <x:v>Business Plus</x:v>
      </x:c>
      <x:c r="C40" s="1" t="str">
        <x:f>'収益試算'!C40</x:f>
        <x:v>標準</x:v>
      </x:c>
      <x:c r="D40" s="7" t="n">
        <x:f>'収益試算'!T40</x:f>
        <x:v>8000000</x:v>
      </x:c>
      <x:c r="E40" s="7" t="n">
        <x:f>'収益試算'!AF40</x:f>
        <x:v>1076954.3509181517</x:v>
      </x:c>
      <x:c r="F40" s="7" t="n">
        <x:f>SUM('収益試算'!AH40:AI40)</x:f>
        <x:v>874666.6666666666</x:v>
      </x:c>
      <x:c r="G40" s="7" t="n">
        <x:f>'収益試算'!AJ40</x:f>
        <x:v>5760378.982415182</x:v>
      </x:c>
      <x:c r="H40" s="7" t="n">
        <x:f>'収益試算'!AK40</x:f>
        <x:v>1760378.9824151816</x:v>
      </x:c>
      <x:c r="I40" s="7" t="n">
        <x:f>'収益試算'!AL40</x:f>
        <x:v>5260378.982415182</x:v>
      </x:c>
      <x:c r="J40" s="8" t="n">
        <x:f>'収益試算'!AO40</x:f>
        <x:v>0.7200473728018977</x:v>
      </x:c>
      <x:c r="K40" s="8" t="n">
        <x:f>'収益試算'!AP40</x:f>
        <x:v>0.5200473728018977</x:v>
      </x:c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</x:row>
    <x:row r="41" ht="22" customHeight="1">
      <x:c r="A41" s="1" t="n">
        <x:f>'収益試算'!A41</x:f>
        <x:v>1000</x:v>
      </x:c>
      <x:c r="B41" s="1" t="str">
        <x:f>'収益試算'!B41</x:f>
        <x:v>Business Plus</x:v>
      </x:c>
      <x:c r="C41" s="1" t="str">
        <x:f>'収益試算'!C41</x:f>
        <x:v>高位</x:v>
      </x:c>
      <x:c r="D41" s="7" t="n">
        <x:f>'収益試算'!T41</x:f>
        <x:v>8000000</x:v>
      </x:c>
      <x:c r="E41" s="7" t="n">
        <x:f>'収益試算'!AF41</x:f>
        <x:v>25259338.25085315</x:v>
      </x:c>
      <x:c r="F41" s="7" t="n">
        <x:f>SUM('収益試算'!AH41:AI41)</x:f>
        <x:v>1674666.6666666667</x:v>
      </x:c>
      <x:c r="G41" s="7" t="n">
        <x:f>'収益試算'!AJ41</x:f>
        <x:v>-19222004.91751982</x:v>
      </x:c>
      <x:c r="H41" s="7" t="n">
        <x:f>'収益試算'!AK41</x:f>
        <x:v>-23222004.91751982</x:v>
      </x:c>
      <x:c r="I41" s="7" t="n">
        <x:f>'収益試算'!AL41</x:f>
        <x:v>-19722004.91751982</x:v>
      </x:c>
      <x:c r="J41" s="8" t="n">
        <x:f>'収益試算'!AO41</x:f>
        <x:v>-2.4027506146899773</x:v>
      </x:c>
      <x:c r="K41" s="8" t="n">
        <x:f>'収益試算'!AP41</x:f>
        <x:v>-2.6027506146899775</x:v>
      </x:c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</x:row>
    <x:row r="44" ht="22" customHeight="1">
      <x:c r="A44" s="1" t="str">
        <x:v>配分上限が負なら配分なしでも不足。目標20%は未決定の比較基準。基本料は仮に全プラン1,000円/社。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</x:row>
    <x:row r="45" ht="22" customHeight="1">
      <x:c r="A45" s="1" t="str">
        <x:v>差引額は営業利益ではない。開発費・営業費・初期導入・税金・事故対応・24時間対応・貸倒れを含まない。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</x:row>
  </x:sheetData>
  <x:conditionalFormatting sqref="G6:K41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8" hidden="0" customWidth="1"/>
    <x:col min="4" max="4" width="18" hidden="0" customWidth="1"/>
    <x:col min="5" max="5" width="1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</x:row>
    <x:row r="2" ht="22" customHeight="1">
      <x:c r="A2" s="10" t="str">
        <x:v>Secure Send 原価・料金の入力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</x:row>
    <x:row r="3" ht="22" customHeight="1">
      <x:c r="A3" s="1" t="str">
        <x:v>Run概算単価のみ請求CSVで校正。他の利用量・配賦予算は仮定。価格・人数・利用量は変更可能。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</x:row>
    <x:row r="5" ht="34" customHeight="1">
      <x:c r="A5" s="4" t="str">
        <x:v>入力項目</x:v>
      </x:c>
      <x:c r="B5" s="4" t="str">
        <x:v>値</x:v>
      </x:c>
      <x:c r="C5" s="4" t="str">
        <x:v>単位</x:v>
      </x:c>
      <x:c r="D5" s="4" t="str">
        <x:v>区分</x:v>
      </x:c>
      <x:c r="E5" s="4" t="str">
        <x:v>根拠・出典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</x:row>
    <x:row r="6" ht="22" customHeight="1">
      <x:c r="A6" s="1" t="str">
        <x:v>為替</x:v>
      </x:c>
      <x:c r="B6" s="6" t="n">
        <x:v>150</x:v>
      </x:c>
      <x:c r="C6" s="1" t="str">
        <x:v>円/USD</x:v>
      </x:c>
      <x:c r="D6" s="1" t="str">
        <x:v>仮定</x:v>
      </x:c>
      <x:c r="E6" s="1" t="str">
        <x:v>請求為替ではない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</x:row>
    <x:row r="7" ht="22" customHeight="1">
      <x:c r="A7" s="1" t="str">
        <x:v>月の日数</x:v>
      </x:c>
      <x:c r="B7" s="6" t="n">
        <x:v>30</x:v>
      </x:c>
      <x:c r="C7" s="1" t="str">
        <x:v>日</x:v>
      </x:c>
      <x:c r="D7" s="1" t="str">
        <x:v>仮定</x:v>
      </x:c>
      <x:c r="E7" s="1" t="str">
        <x:v>定常月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</x:row>
    <x:row r="8" ht="22" customHeight="1">
      <x:c r="A8" s="1" t="str">
        <x:v>Cloud Run active CPU</x:v>
      </x:c>
      <x:c r="B8" s="6" t="n">
        <x:v>0.000025908257440771683</x:v>
      </x:c>
      <x:c r="C8" s="1" t="str">
        <x:v>USD/vCPU秒</x:v>
      </x:c>
      <x:c r="D8" s="1" t="str">
        <x:v>請求から逆算・概算</x:v>
      </x:c>
      <x:c r="E8" s="1" t="str">
        <x:v>7〜9月の正規費用（円丸め）÷表示使用量÷150。将来単価保証なし。地域係数は1へ。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</x:row>
    <x:row r="9" ht="22" customHeight="1">
      <x:c r="A9" s="1" t="str">
        <x:v>Cloud Run active memory</x:v>
      </x:c>
      <x:c r="B9" s="6" t="n">
        <x:v>0.0000026351242296379006</x:v>
      </x:c>
      <x:c r="C9" s="1" t="str">
        <x:v>USD/GiB秒</x:v>
      </x:c>
      <x:c r="D9" s="1" t="str">
        <x:v>請求から逆算・概算</x:v>
      </x:c>
      <x:c r="E9" s="1" t="str">
        <x:v>7〜9月の正規費用（円丸め）÷表示使用量÷150。将来単価保証なし。地域係数は1へ。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</x:row>
    <x:row r="10" ht="22" customHeight="1">
      <x:c r="A10" s="1" t="str">
        <x:v>Cloud Run idle CPU</x:v>
      </x:c>
      <x:c r="B10" s="6" t="n">
        <x:v>0.0000026834998308159128</x:v>
      </x:c>
      <x:c r="C10" s="1" t="str">
        <x:v>USD/vCPU秒</x:v>
      </x:c>
      <x:c r="D10" s="1" t="str">
        <x:v>請求から逆算・概算</x:v>
      </x:c>
      <x:c r="E10" s="1" t="str">
        <x:v>7〜9月の正規費用（円丸め）÷表示使用量÷150。将来単価保証なし。地域係数は1へ。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</x:row>
    <x:row r="11" ht="22" customHeight="1">
      <x:c r="A11" s="1" t="str">
        <x:v>Cloud Run idle memory</x:v>
      </x:c>
      <x:c r="B11" s="6" t="n">
        <x:v>0.0000026821305095229113</x:v>
      </x:c>
      <x:c r="C11" s="1" t="str">
        <x:v>USD/GiB秒</x:v>
      </x:c>
      <x:c r="D11" s="1" t="str">
        <x:v>請求から逆算・概算</x:v>
      </x:c>
      <x:c r="E11" s="1" t="str">
        <x:v>7〜9月の正規費用（円丸め）÷表示使用量÷150。将来単価保証なし。地域係数は1へ。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</x:row>
    <x:row r="12" ht="22" customHeight="1">
      <x:c r="A12" s="1" t="str">
        <x:v>Run地域補正係数</x:v>
      </x:c>
      <x:c r="B12" s="6" t="n">
        <x:v>1</x:v>
      </x:c>
      <x:c r="C12" s="1" t="str">
        <x:v>倍</x:v>
      </x:c>
      <x:c r="D12" s="1" t="str">
        <x:v>概算単価へ更新</x:v>
      </x:c>
      <x:c r="E12" s="1" t="str">
        <x:v>日本SKU相当を逆算したため地域係数を重ねない。削減・無料枠を将来へ適用しない。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</x:row>
    <x:row r="13" ht="22" customHeight="1">
      <x:c r="A13" s="1" t="str">
        <x:v>scan vCPU</x:v>
      </x:c>
      <x:c r="B13" s="6" t="n">
        <x:v>1</x:v>
      </x:c>
      <x:c r="C13" s="1" t="str">
        <x:v>vCPU</x:v>
      </x:c>
      <x:c r="D13" s="1" t="str">
        <x:v>構成実測</x:v>
      </x:c>
      <x:c r="E13" s="1" t="str">
        <x:v>2026-10-18読み取り専用構成収集で確認。docs/secure-send-config-evidence-20261018.md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</x:row>
    <x:row r="14" ht="22" customHeight="1">
      <x:c r="A14" s="1" t="str">
        <x:v>scan memory</x:v>
      </x:c>
      <x:c r="B14" s="6" t="n">
        <x:v>2</x:v>
      </x:c>
      <x:c r="C14" s="1" t="str">
        <x:v>GiB</x:v>
      </x:c>
      <x:c r="D14" s="1" t="str">
        <x:v>構成実測</x:v>
      </x:c>
      <x:c r="E14" s="1" t="str">
        <x:v>2026-10-18読み取り専用構成収集で確認。docs/secure-send-config-evidence-20261018.md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</x:row>
    <x:row r="15" ht="22" customHeight="1">
      <x:c r="A15" s="1" t="str">
        <x:v>scan最小インスタンス</x:v>
      </x:c>
      <x:c r="B15" s="6" t="n">
        <x:v>1</x:v>
      </x:c>
      <x:c r="C15" s="1" t="str">
        <x:v>台</x:v>
      </x:c>
      <x:c r="D15" s="1" t="str">
        <x:v>構成実測</x:v>
      </x:c>
      <x:c r="E15" s="1" t="str">
        <x:v>2026-10-18読み取り専用構成収集で確認。docs/secure-send-config-evidence-20261018.md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</x:row>
    <x:row r="16" ht="22" customHeight="1">
      <x:c r="A16" s="1" t="str">
        <x:v>保存単価</x:v>
      </x:c>
      <x:c r="B16" s="6" t="n">
        <x:v>0.025</x:v>
      </x:c>
      <x:c r="C16" s="1" t="str">
        <x:v>USD/GiB月</x:v>
      </x:c>
      <x:c r="D16" s="1" t="str">
        <x:v>仮定</x:v>
      </x:c>
      <x:c r="E16" s="1" t="str">
        <x:v>https://cloud.google.com/storage/pricing 東京SKU未照合の仮置き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</x:row>
    <x:row r="17" ht="22" customHeight="1">
      <x:c r="A17" s="1" t="str">
        <x:v>GCS外向き通信</x:v>
      </x:c>
      <x:c r="B17" s="6" t="n">
        <x:v>0.12</x:v>
      </x:c>
      <x:c r="C17" s="1" t="str">
        <x:v>USD/GiB</x:v>
      </x:c>
      <x:c r="D17" s="1" t="str">
        <x:v>公式参考</x:v>
      </x:c>
      <x:c r="E17" s="1" t="str">
        <x:v>https://cloud.google.com/storage/pricing アジア宛10TiB未満。大規模も単一単価で保守試算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</x:row>
    <x:row r="18" ht="22" customHeight="1">
      <x:c r="A18" s="1" t="str">
        <x:v>GCS Class A</x:v>
      </x:c>
      <x:c r="B18" s="6" t="n">
        <x:v>0.005</x:v>
      </x:c>
      <x:c r="C18" s="1" t="str">
        <x:v>USD/千回</x:v>
      </x:c>
      <x:c r="D18" s="1" t="str">
        <x:v>公式参考</x:v>
      </x:c>
      <x:c r="E18" s="1" t="str">
        <x:v>https://cloud.google.com/storage/pricing Standard単一region/flat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</x:row>
    <x:row r="19" ht="22" customHeight="1">
      <x:c r="A19" s="1" t="str">
        <x:v>GCS Class B</x:v>
      </x:c>
      <x:c r="B19" s="6" t="n">
        <x:v>0.0004</x:v>
      </x:c>
      <x:c r="C19" s="1" t="str">
        <x:v>USD/千回</x:v>
      </x:c>
      <x:c r="D19" s="1" t="str">
        <x:v>公式参考</x:v>
      </x:c>
      <x:c r="E19" s="1" t="str">
        <x:v>https://cloud.google.com/storage/pricing Standard単一region/flat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</x:row>
    <x:row r="20" ht="22" customHeight="1">
      <x:c r="A20" s="1" t="str">
        <x:v>Logging</x:v>
      </x:c>
      <x:c r="B20" s="6" t="n">
        <x:v>0.5</x:v>
      </x:c>
      <x:c r="C20" s="1" t="str">
        <x:v>USD/GiB</x:v>
      </x:c>
      <x:c r="D20" s="1" t="str">
        <x:v>公式参考</x:v>
      </x:c>
      <x:c r="E20" s="1" t="str">
        <x:v>https://cloud.google.com/products/observability/pricing 無料枠は控除しない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</x:row>
    <x:row r="21" ht="22" customHeight="1">
      <x:c r="A21" s="1" t="str">
        <x:v>送信メール従量予備費</x:v>
      </x:c>
      <x:c r="B21" s="6" t="n">
        <x:v>0.1</x:v>
      </x:c>
      <x:c r="C21" s="1" t="str">
        <x:v>円/通</x:v>
      </x:c>
      <x:c r="D21" s="1" t="str">
        <x:v>仮定</x:v>
      </x:c>
      <x:c r="E21" s="1" t="str">
        <x:v>Gmail実測・商用配送単価ではない。配送サービス移行時更新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</x:row>
    <x:row r="22" ht="22" customHeight="1">
      <x:c r="A22" s="1" t="str">
        <x:v>DB固定予算</x:v>
      </x:c>
      <x:c r="B22" s="6" t="n">
        <x:v>6000</x:v>
      </x:c>
      <x:c r="C22" s="1" t="str">
        <x:v>円/月</x:v>
      </x:c>
      <x:c r="D22" s="1" t="str">
        <x:v>仮定</x:v>
      </x:c>
      <x:c r="E22" s="1" t="str">
        <x:v>共有Cloud SQLの実配賦ではない。独立採算用予算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</x:row>
    <x:row r="23" ht="22" customHeight="1">
      <x:c r="A23" s="1" t="str">
        <x:v>LB固定配賦予算</x:v>
      </x:c>
      <x:c r="B23" s="6" t="n">
        <x:v>1500</x:v>
      </x:c>
      <x:c r="C23" s="1" t="str">
        <x:v>円/月</x:v>
      </x:c>
      <x:c r="D23" s="1" t="str">
        <x:v>仮定</x:v>
      </x:c>
      <x:c r="E23" s="1" t="str">
        <x:v>既存共有LB。実配賦未確認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</x:row>
    <x:row r="24" ht="22" customHeight="1">
      <x:c r="A24" s="1" t="str">
        <x:v>メール固定予算</x:v>
      </x:c>
      <x:c r="B24" s="6" t="n">
        <x:v>2000</x:v>
      </x:c>
      <x:c r="C24" s="1" t="str">
        <x:v>円/月</x:v>
      </x:c>
      <x:c r="D24" s="1" t="str">
        <x:v>仮定</x:v>
      </x:c>
      <x:c r="E24" s="1" t="str">
        <x:v>Workspace既存契約の人数課金を送信者人数へ配賦しない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</x:row>
    <x:row r="25" ht="22" customHeight="1">
      <x:c r="A25" s="1" t="str">
        <x:v>その他固定予算</x:v>
      </x:c>
      <x:c r="B25" s="6" t="n">
        <x:v>1000</x:v>
      </x:c>
      <x:c r="C25" s="1" t="str">
        <x:v>円/月</x:v>
      </x:c>
      <x:c r="D25" s="1" t="str">
        <x:v>仮定</x:v>
      </x:c>
      <x:c r="E25" s="1" t="str">
        <x:v>Secret/監視/Registry/Build/DNS等の予備費。実測ではない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</x:row>
    <x:row r="26" ht="22" customHeight="1">
      <x:c r="A26" s="1" t="str">
        <x:v>企業別追加インフラ</x:v>
      </x:c>
      <x:c r="B26" s="6" t="n">
        <x:v>50</x:v>
      </x:c>
      <x:c r="C26" s="1" t="str">
        <x:v>円/社月</x:v>
      </x:c>
      <x:c r="D26" s="1" t="str">
        <x:v>仮定</x:v>
      </x:c>
      <x:c r="E26" s="1" t="str">
        <x:v>DB・ログ等の拡張予備費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</x:row>
    <x:row r="27" ht="22" customHeight="1">
      <x:c r="A27" s="1" t="str">
        <x:v>送信者別追加インフラ</x:v>
      </x:c>
      <x:c r="B27" s="6" t="n">
        <x:v>2</x:v>
      </x:c>
      <x:c r="C27" s="1" t="str">
        <x:v>円/人月</x:v>
      </x:c>
      <x:c r="D27" s="1" t="str">
        <x:v>仮定</x:v>
      </x:c>
      <x:c r="E27" s="1" t="str">
        <x:v>SSO等の拡張予備費。Googleの送信者ライセンス費ではない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</x:row>
    <x:row r="28" ht="22" customHeight="1">
      <x:c r="A28" s="1" t="str">
        <x:v>決済手数料</x:v>
      </x:c>
      <x:c r="B28" s="6" t="n">
        <x:v>0.036</x:v>
      </x:c>
      <x:c r="C28" s="1" t="str">
        <x:v>売上比</x:v>
      </x:c>
      <x:c r="D28" s="1" t="str">
        <x:v>仮定</x:v>
      </x:c>
      <x:c r="E28" s="1" t="str">
        <x:v>税別売上基準。実契約・税込課金の手数料は要更新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</x:row>
    <x:row r="29" ht="22" customHeight="1">
      <x:c r="A29" s="1" t="str">
        <x:v>運用時給</x:v>
      </x:c>
      <x:c r="B29" s="6" t="n">
        <x:v>4000</x:v>
      </x:c>
      <x:c r="C29" s="1" t="str">
        <x:v>円/時間</x:v>
      </x:c>
      <x:c r="D29" s="1" t="str">
        <x:v>仮定</x:v>
      </x:c>
      <x:c r="E29" s="1" t="str">
        <x:v>社内原価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</x:row>
    <x:row r="30" ht="22" customHeight="1">
      <x:c r="A30" s="1" t="str">
        <x:v>固定運用工数</x:v>
      </x:c>
      <x:c r="B30" s="6" t="n">
        <x:v>2</x:v>
      </x:c>
      <x:c r="C30" s="1" t="str">
        <x:v>時間/月</x:v>
      </x:c>
      <x:c r="D30" s="1" t="str">
        <x:v>仮定</x:v>
      </x:c>
      <x:c r="E30" s="1" t="str">
        <x:v>監視確認・定期保守。開発・初期導入・24h対応を含まない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</x:row>
    <x:row r="31" ht="22" customHeight="1">
      <x:c r="A31" s="1" t="str">
        <x:v>送信者別サポート</x:v>
      </x:c>
      <x:c r="B31" s="6" t="n">
        <x:v>0.1</x:v>
      </x:c>
      <x:c r="C31" s="1" t="str">
        <x:v>分/人月</x:v>
      </x:c>
      <x:c r="D31" s="1" t="str">
        <x:v>仮定</x:v>
      </x:c>
      <x:c r="E31" s="1" t="str">
        <x:v>企業別サポートに加算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</x:row>
    <x:row r="32" ht="22" customHeight="1">
      <x:c r="A32" s="1" t="str">
        <x:v>レベニューシェア率</x:v>
      </x:c>
      <x:c r="B32" s="6" t="n">
        <x:v>0.5</x:v>
      </x:c>
      <x:c r="C32" s="1" t="str">
        <x:v>比率</x:v>
      </x:c>
      <x:c r="D32" s="1" t="str">
        <x:v>比較仮定</x:v>
      </x:c>
      <x:c r="E32" s="1" t="str">
        <x:v>正式決定ではない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</x:row>
    <x:row r="33" ht="22" customHeight="1">
      <x:c r="A33" s="1" t="str">
        <x:v>目標差引率</x:v>
      </x:c>
      <x:c r="B33" s="6" t="n">
        <x:v>0.2</x:v>
      </x:c>
      <x:c r="C33" s="1" t="str">
        <x:v>売上比</x:v>
      </x:c>
      <x:c r="D33" s="1" t="str">
        <x:v>比較仮定</x:v>
      </x:c>
      <x:c r="E33" s="1" t="str">
        <x:v>営業利益ではない。開発・営業・税・事故対応は除外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</x:row>
    <x:row r="34" ht="22" customHeight="1">
      <x:c r="A34" s="1" t="str">
        <x:v>物理保存日数</x:v>
      </x:c>
      <x:c r="B34" s="6" t="n">
        <x:v>21</x:v>
      </x:c>
      <x:c r="C34" s="1" t="str">
        <x:v>日</x:v>
      </x:c>
      <x:c r="D34" s="1" t="str">
        <x:v>構成実測</x:v>
      </x:c>
      <x:c r="E34" s="1" t="str">
        <x:v>2026-10-18読み取り専用構成収集で確認。docs/secure-send-config-evidence-20261018.md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</x:row>
    <x:row r="35" ht="22" customHeight="1">
      <x:c r="A35" s="1" t="str">
        <x:v>削除後課金日数</x:v>
      </x:c>
      <x:c r="B35" s="6" t="n">
        <x:v>7</x:v>
      </x:c>
      <x:c r="C35" s="1" t="str">
        <x:v>日</x:v>
      </x:c>
      <x:c r="D35" s="1" t="str">
        <x:v>構成実測</x:v>
      </x:c>
      <x:c r="E35" s="1" t="str">
        <x:v>2026-10-18読み取り専用構成収集で確認。docs/secure-send-config-evidence-20261018.md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</x:row>
    <x:row r="36" ht="22" customHeight="1">
      <x:c r="A36" s="1" t="str">
        <x:v>API通常処理秒</x:v>
      </x:c>
      <x:c r="B36" s="6" t="n">
        <x:v>0.3</x:v>
      </x:c>
      <x:c r="C36" s="1" t="str">
        <x:v>秒/送信</x:v>
      </x:c>
      <x:c r="D36" s="1" t="str">
        <x:v>仮定</x:v>
      </x:c>
      <x:c r="E36" s="1" t="str">
        <x:v>upload 1vCPU/0.5GiB。同期scan待ちを別加算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</x:row>
    <x:row r="37" ht="22" customHeight="1">
      <x:c r="A37" s="1" t="str">
        <x:v>download API秒</x:v>
      </x:c>
      <x:c r="B37" s="6" t="n">
        <x:v>0.2</x:v>
      </x:c>
      <x:c r="C37" s="1" t="str">
        <x:v>秒/認可</x:v>
      </x:c>
      <x:c r="D37" s="1" t="str">
        <x:v>仮定</x:v>
      </x:c>
      <x:c r="E37" s="1" t="str">
        <x:v>download 1vCPU/0.5GiB。ファイル本体はGCS直接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</x:row>
    <x:row r="38" ht="22" customHeight="1">
      <x:c r="A38" s="1" t="str">
        <x:v>Runリクエスト</x:v>
      </x:c>
      <x:c r="B38" s="6" t="n">
        <x:v>0.4</x:v>
      </x:c>
      <x:c r="C38" s="1" t="str">
        <x:v>USD/百万回</x:v>
      </x:c>
      <x:c r="D38" s="1" t="str">
        <x:v>公式参考</x:v>
      </x:c>
      <x:c r="E38" s="1" t="str">
        <x:v>https://cloud.google.com/run/pricing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</x:row>
    <x:row r="39" ht="22" customHeight="1">
      <x:c r="A39" s="1" t="str">
        <x:v>API回数</x:v>
      </x:c>
      <x:c r="B39" s="6" t="n">
        <x:v>8</x:v>
      </x:c>
      <x:c r="C39" s="1" t="str">
        <x:v>回/送信</x:v>
      </x:c>
      <x:c r="D39" s="1" t="str">
        <x:v>仮定</x:v>
      </x:c>
      <x:c r="E39" s="1" t="str">
        <x:v>OTP等を含む平均。多宛先・再試行で増加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</x:row>
    <x:row r="40" ht="22" customHeight="1">
      <x:c r="A40" s="1" t="str">
        <x:v>ログ量</x:v>
      </x:c>
      <x:c r="B40" s="6" t="n">
        <x:v>12</x:v>
      </x:c>
      <x:c r="C40" s="1" t="str">
        <x:v>KiB/送信</x:v>
      </x:c>
      <x:c r="D40" s="1" t="str">
        <x:v>仮定</x:v>
      </x:c>
      <x:c r="E40" s="1" t="str">
        <x:v>アクセスログ・監査ログの実測ではない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</x:row>
    <x:row r="41" ht="22" customHeight="1">
      <x:c r="A41" s="1" t="str">
        <x:v>GCS Class A回数</x:v>
      </x:c>
      <x:c r="B41" s="6" t="n">
        <x:v>1</x:v>
      </x:c>
      <x:c r="C41" s="1" t="str">
        <x:v>回/ファイル</x:v>
      </x:c>
      <x:c r="D41" s="1" t="str">
        <x:v>仮定</x:v>
      </x:c>
      <x:c r="E41" s="1" t="str">
        <x:v>PUT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</x:row>
    <x:row r="42" ht="22" customHeight="1">
      <x:c r="A42" s="1" t="str">
        <x:v>GCS Class B基礎回数</x:v>
      </x:c>
      <x:c r="B42" s="6" t="n">
        <x:v>2</x:v>
      </x:c>
      <x:c r="C42" s="1" t="str">
        <x:v>回/ファイル</x:v>
      </x:c>
      <x:c r="D42" s="1" t="str">
        <x:v>仮定</x:v>
      </x:c>
      <x:c r="E42" s="1" t="str">
        <x:v>metadata/scan read。DL分は別加算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</x:row>
    <x:row r="43" ht="22" customHeight="1">
      <x:c r="A43" s="1" t="str">
        <x:v>upload vCPU</x:v>
      </x:c>
      <x:c r="B43" s="6" t="n">
        <x:v>1</x:v>
      </x:c>
      <x:c r="C43" s="1" t="str">
        <x:v>vCPU</x:v>
      </x:c>
      <x:c r="D43" s="1" t="str">
        <x:v>構成実測</x:v>
      </x:c>
      <x:c r="E43" s="1" t="str">
        <x:v>2026-10-18読み取り専用構成収集で確認。docs/secure-send-config-evidence-20261018.md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</x:row>
    <x:row r="44" ht="22" customHeight="1">
      <x:c r="A44" s="1" t="str">
        <x:v>upload memory</x:v>
      </x:c>
      <x:c r="B44" s="6" t="n">
        <x:v>0.5</x:v>
      </x:c>
      <x:c r="C44" s="1" t="str">
        <x:v>GiB</x:v>
      </x:c>
      <x:c r="D44" s="1" t="str">
        <x:v>構成実測</x:v>
      </x:c>
      <x:c r="E44" s="1" t="str">
        <x:v>2026-10-18読み取り専用構成収集で確認。docs/secure-send-config-evidence-20261018.md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</x:row>
    <x:row r="45" ht="22" customHeight="1">
      <x:c r="A45" s="1" t="str">
        <x:v>download vCPU</x:v>
      </x:c>
      <x:c r="B45" s="6" t="n">
        <x:v>1</x:v>
      </x:c>
      <x:c r="C45" s="1" t="str">
        <x:v>vCPU</x:v>
      </x:c>
      <x:c r="D45" s="1" t="str">
        <x:v>構成実測</x:v>
      </x:c>
      <x:c r="E45" s="1" t="str">
        <x:v>2026-10-18読み取り専用構成収集で確認。docs/secure-send-config-evidence-20261018.md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</x:row>
    <x:row r="46" ht="22" customHeight="1">
      <x:c r="A46" s="1" t="str">
        <x:v>download memory</x:v>
      </x:c>
      <x:c r="B46" s="6" t="n">
        <x:v>0.5</x:v>
      </x:c>
      <x:c r="C46" s="1" t="str">
        <x:v>GiB</x:v>
      </x:c>
      <x:c r="D46" s="1" t="str">
        <x:v>構成実測</x:v>
      </x:c>
      <x:c r="E46" s="1" t="str">
        <x:v>2026-10-18読み取り専用構成収集で確認。docs/secure-send-config-evidence-20261018.md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</x:row>
    <x:row r="50" ht="34" customHeight="1">
      <x:c r="A50" s="4" t="str">
        <x:v>プラン</x:v>
      </x:c>
      <x:c r="B50" s="4" t="str">
        <x:v>送信者上限</x:v>
      </x:c>
      <x:c r="C50" s="4" t="str">
        <x:v>月額税別</x:v>
      </x:c>
      <x:c r="D50" s="4" t="str">
        <x:v>配分対象基本料</x:v>
      </x:c>
      <x:c r="E50" s="4" t="str">
        <x:v>区分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</x:row>
    <x:row r="51" ht="22" customHeight="1">
      <x:c r="A51" s="1" t="str">
        <x:v>Starter</x:v>
      </x:c>
      <x:c r="B51" s="6" t="n">
        <x:v>5</x:v>
      </x:c>
      <x:c r="C51" s="6" t="n">
        <x:v>3000</x:v>
      </x:c>
      <x:c r="D51" s="6" t="n">
        <x:v>1000</x:v>
      </x:c>
      <x:c r="E51" s="1" t="str">
        <x:v>仮プラン／基本料部分は比較仮定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</x:row>
    <x:row r="52" ht="22" customHeight="1">
      <x:c r="A52" s="1" t="str">
        <x:v>Business</x:v>
      </x:c>
      <x:c r="B52" s="6" t="n">
        <x:v>20</x:v>
      </x:c>
      <x:c r="C52" s="6" t="n">
        <x:v>5000</x:v>
      </x:c>
      <x:c r="D52" s="6" t="n">
        <x:v>1000</x:v>
      </x:c>
      <x:c r="E52" s="1" t="str">
        <x:v>仮プラン／基本料部分は比較仮定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</x:row>
    <x:row r="53" ht="22" customHeight="1">
      <x:c r="A53" s="1" t="str">
        <x:v>Business Plus</x:v>
      </x:c>
      <x:c r="B53" s="6" t="n">
        <x:v>50</x:v>
      </x:c>
      <x:c r="C53" s="6" t="n">
        <x:v>8000</x:v>
      </x:c>
      <x:c r="D53" s="6" t="n">
        <x:v>1000</x:v>
      </x:c>
      <x:c r="E53" s="1" t="str">
        <x:v>仮プラン／基本料部分は比較仮定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</x:row>
    <x:row r="56" ht="34" customHeight="1">
      <x:c r="A56" s="4" t="str">
        <x:v>利用ケース</x:v>
      </x:c>
      <x:c r="B56" s="4" t="str">
        <x:v>送信/人月</x:v>
      </x:c>
      <x:c r="C56" s="4" t="str">
        <x:v>ファイル/送信</x:v>
      </x:c>
      <x:c r="D56" s="4" t="str">
        <x:v>平均MiB/ファイル</x:v>
      </x:c>
      <x:c r="E56" s="4" t="str">
        <x:v>DL倍率</x:v>
      </x:c>
      <x:c r="F56" s="4" t="str">
        <x:v>OTP通/送信</x:v>
      </x:c>
      <x:c r="G56" s="4" t="str">
        <x:v>scan秒/ファイル</x:v>
      </x:c>
      <x:c r="H56" s="4" t="str">
        <x:v>サポート分/社月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</x:row>
    <x:row r="57" ht="22" customHeight="1">
      <x:c r="A57" s="1" t="str">
        <x:v>低位</x:v>
      </x:c>
      <x:c r="B57" s="6" t="n">
        <x:v>5</x:v>
      </x:c>
      <x:c r="C57" s="6" t="n">
        <x:v>1</x:v>
      </x:c>
      <x:c r="D57" s="6" t="n">
        <x:v>2</x:v>
      </x:c>
      <x:c r="E57" s="6" t="n">
        <x:v>1</x:v>
      </x:c>
      <x:c r="F57" s="6" t="n">
        <x:v>1.1</x:v>
      </x:c>
      <x:c r="G57" s="6" t="n">
        <x:v>1</x:v>
      </x:c>
      <x:c r="H57" s="6" t="n">
        <x:v>3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</x:row>
    <x:row r="58" ht="22" customHeight="1">
      <x:c r="A58" s="1" t="str">
        <x:v>標準</x:v>
      </x:c>
      <x:c r="B58" s="6" t="n">
        <x:v>20</x:v>
      </x:c>
      <x:c r="C58" s="6" t="n">
        <x:v>2</x:v>
      </x:c>
      <x:c r="D58" s="6" t="n">
        <x:v>10</x:v>
      </x:c>
      <x:c r="E58" s="6" t="n">
        <x:v>1.5</x:v>
      </x:c>
      <x:c r="F58" s="6" t="n">
        <x:v>1.8</x:v>
      </x:c>
      <x:c r="G58" s="6" t="n">
        <x:v>2</x:v>
      </x:c>
      <x:c r="H58" s="6" t="n">
        <x:v>8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</x:row>
    <x:row r="59" ht="22" customHeight="1">
      <x:c r="A59" s="1" t="str">
        <x:v>高位</x:v>
      </x:c>
      <x:c r="B59" s="6" t="n">
        <x:v>80</x:v>
      </x:c>
      <x:c r="C59" s="6" t="n">
        <x:v>3</x:v>
      </x:c>
      <x:c r="D59" s="6" t="n">
        <x:v>50</x:v>
      </x:c>
      <x:c r="E59" s="6" t="n">
        <x:v>2</x:v>
      </x:c>
      <x:c r="F59" s="6" t="n">
        <x:v>2.5</x:v>
      </x:c>
      <x:c r="G59" s="6" t="n">
        <x:v>5</x:v>
      </x:c>
      <x:c r="H59" s="6" t="n">
        <x:v>20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</x:row>
    <x:row r="61" ht="22" customHeight="1">
      <x:c r="A61" s="1" t="str">
        <x:v>全ケースは仮定。各社が各パック上限まで送信者を利用。DL倍率は実GET容量倍率で認可回数とは厳密一致しない。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</x:row>
    <x:row r="62" ht="22" customHeight="1">
      <x:c r="A62" s="1" t="str">
        <x:v>scan待機基準額 円/月</x:v>
      </x:c>
      <x:c r="B62" s="1" t="n">
        <x:f>'設定と出典'!$B$7*86400*'設定と出典'!$B$15*('設定と出典'!$B$13*'設定と出典'!$B$10+'設定と出典'!$B$14*'設定と出典'!$B$11)*'設定と出典'!$B$12*'設定と出典'!$B$6</x:f>
        <x:v>3128.969418426243</x:v>
      </x:c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</x:row>
    <x:row r="63" ht="22" customHeight="1">
      <x:c r="A63" s="1" t="str">
        <x:v>固定インフラ基準額 円/月</x:v>
      </x:c>
      <x:c r="B63" s="1" t="n">
        <x:f>SUM(B62,'設定と出典'!$B$22,'設定と出典'!$B$23,'設定と出典'!$B$24,'設定と出典'!$B$25)</x:f>
        <x:v>13628.969418426243</x:v>
      </x:c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</x:row>
    <x:row r="2" ht="22" customHeight="1">
      <x:c r="A2" s="10" t="str">
        <x:v>36通りの月額試算（全額税別・定常月・仮定）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</x:row>
    <x:row r="3" ht="22" customHeight="1">
      <x:c r="A3" s="1" t="str">
        <x:v>各行は独立した単一プラン構成。異なる行を合算すると固定費が重複する。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</x:row>
    <x:row r="5" ht="34" customHeight="1">
      <x:c r="A5" s="4" t="str">
        <x:v>企業数</x:v>
      </x:c>
      <x:c r="B5" s="4" t="str">
        <x:v>プラン</x:v>
      </x:c>
      <x:c r="C5" s="4" t="str">
        <x:v>ケース</x:v>
      </x:c>
      <x:c r="D5" s="4" t="str">
        <x:v>送信者/社</x:v>
      </x:c>
      <x:c r="E5" s="4" t="str">
        <x:v>月額/社</x:v>
      </x:c>
      <x:c r="F5" s="4" t="str">
        <x:v>送信/人月</x:v>
      </x:c>
      <x:c r="G5" s="4" t="str">
        <x:v>ファイル/送信</x:v>
      </x:c>
      <x:c r="H5" s="4" t="str">
        <x:v>平均MiB</x:v>
      </x:c>
      <x:c r="I5" s="4" t="str">
        <x:v>DL倍率</x:v>
      </x:c>
      <x:c r="J5" s="4" t="str">
        <x:v>OTP通/送信</x:v>
      </x:c>
      <x:c r="K5" s="4" t="str">
        <x:v>scan秒/ファイル</x:v>
      </x:c>
      <x:c r="L5" s="4" t="str">
        <x:v>サポート分/社</x:v>
      </x:c>
      <x:c r="M5" s="4" t="str">
        <x:v>総送信者</x:v>
      </x:c>
      <x:c r="N5" s="4" t="str">
        <x:v>送信件数</x:v>
      </x:c>
      <x:c r="O5" s="4" t="str">
        <x:v>ファイル数</x:v>
      </x:c>
      <x:c r="P5" s="4" t="str">
        <x:v>UL GiB</x:v>
      </x:c>
      <x:c r="Q5" s="4" t="str">
        <x:v>DL GiB</x:v>
      </x:c>
      <x:c r="R5" s="4" t="str">
        <x:v>平均保存GiB</x:v>
      </x:c>
      <x:c r="S5" s="4" t="str">
        <x:v>scan稼働秒</x:v>
      </x:c>
      <x:c r="T5" s="4" t="str">
        <x:v>売上</x:v>
      </x:c>
      <x:c r="U5" s="4" t="str">
        <x:v>企業比例費</x:v>
      </x:c>
      <x:c r="V5" s="4" t="str">
        <x:v>送信者比例費</x:v>
      </x:c>
      <x:c r="W5" s="4" t="str">
        <x:v>upload処理費</x:v>
      </x:c>
      <x:c r="X5" s="4" t="str">
        <x:v>download処理費</x:v>
      </x:c>
      <x:c r="Y5" s="4" t="str">
        <x:v>scan追加費</x:v>
      </x:c>
      <x:c r="Z5" s="4" t="str">
        <x:v>GCS操作費</x:v>
      </x:c>
      <x:c r="AA5" s="4" t="str">
        <x:v>メール従量費</x:v>
      </x:c>
      <x:c r="AB5" s="4" t="str">
        <x:v>Logging/API回数費</x:v>
      </x:c>
      <x:c r="AC5" s="4" t="str">
        <x:v>保存費</x:v>
      </x:c>
      <x:c r="AD5" s="4" t="str">
        <x:v>DL通信費</x:v>
      </x:c>
      <x:c r="AE5" s="4" t="str">
        <x:v>固定インフラ</x:v>
      </x:c>
      <x:c r="AF5" s="4" t="str">
        <x:v>インフラ合計</x:v>
      </x:c>
      <x:c r="AG5" s="4" t="str">
        <x:v>決済費</x:v>
      </x:c>
      <x:c r="AH5" s="4" t="str">
        <x:v>サポート費</x:v>
      </x:c>
      <x:c r="AI5" s="4" t="str">
        <x:v>固定運用費</x:v>
      </x:c>
      <x:c r="AJ5" s="4" t="str">
        <x:v>配分前差引</x:v>
      </x:c>
      <x:c r="AK5" s="4" t="str">
        <x:v>全売上50%差引</x:v>
      </x:c>
      <x:c r="AL5" s="4" t="str">
        <x:v>基本料配分差引</x:v>
      </x:c>
      <x:c r="AM5" s="4" t="str">
        <x:v>配分前率</x:v>
      </x:c>
      <x:c r="AN5" s="4" t="str">
        <x:v>全売上配分後率</x:v>
      </x:c>
      <x:c r="AO5" s="4" t="str">
        <x:v>赤字回避最大配分率</x:v>
      </x:c>
      <x:c r="AP5" s="4" t="str">
        <x:v>目標率確保最大配分率</x:v>
      </x:c>
      <x:c r="AQ5" s="4" t="str">
        <x:v>送信従量原価/件</x:v>
      </x:c>
      <x:c r="AR5" s="4" t="str">
        <x:v>50%時分岐送信/社 概算</x:v>
      </x:c>
      <x:c r="AS5" s="4" t="str">
        <x:v>配分なし分岐送信/社 概算</x:v>
      </x:c>
      <x:c r="AT5" s="4" t="str">
        <x:v>基本料50%時分岐送信/社 概算</x:v>
      </x:c>
      <x:c r="AU5" s="4" t="str">
        <x:v>50%時分岐企業数 概算</x:v>
      </x:c>
      <x:c r="AV5" s="4" t="str">
        <x:v>配分対象基本料/社</x:v>
      </x:c>
      <x:c r="AW5" s="4" t="str">
        <x:v>目標確保割引上限/社</x:v>
      </x:c>
      <x:c r="AX5" s="1"/>
      <x:c r="AY5" s="1"/>
      <x:c r="AZ5" s="1"/>
      <x:c r="BA5" s="1"/>
    </x:row>
    <x:row r="6" ht="22" customHeight="1">
      <x:c r="A6" s="1" t="n">
        <x:v>10</x:v>
      </x:c>
      <x:c r="B6" s="1" t="str">
        <x:f>'設定と出典'!A51</x:f>
        <x:v>Starter</x:v>
      </x:c>
      <x:c r="C6" s="1" t="str">
        <x:f>'設定と出典'!A57</x:f>
        <x:v>低位</x:v>
      </x:c>
      <x:c r="D6" s="1" t="n">
        <x:f>'設定と出典'!B51</x:f>
        <x:v>5</x:v>
      </x:c>
      <x:c r="E6" s="1" t="n">
        <x:f>'設定と出典'!C51</x:f>
        <x:v>3000</x:v>
      </x:c>
      <x:c r="F6" s="1" t="n">
        <x:f>'設定と出典'!B57</x:f>
        <x:v>5</x:v>
      </x:c>
      <x:c r="G6" s="1" t="n">
        <x:f>'設定と出典'!C57</x:f>
        <x:v>1</x:v>
      </x:c>
      <x:c r="H6" s="1" t="n">
        <x:f>'設定と出典'!D57</x:f>
        <x:v>2</x:v>
      </x:c>
      <x:c r="I6" s="1" t="n">
        <x:f>'設定と出典'!E57</x:f>
        <x:v>1</x:v>
      </x:c>
      <x:c r="J6" s="1" t="n">
        <x:f>'設定と出典'!F57</x:f>
        <x:v>1.1</x:v>
      </x:c>
      <x:c r="K6" s="1" t="n">
        <x:f>'設定と出典'!G57</x:f>
        <x:v>1</x:v>
      </x:c>
      <x:c r="L6" s="1" t="n">
        <x:f>'設定と出典'!H57</x:f>
        <x:v>3</x:v>
      </x:c>
      <x:c r="M6" s="1" t="n">
        <x:f>A6*D6</x:f>
        <x:v>50</x:v>
      </x:c>
      <x:c r="N6" s="1" t="n">
        <x:f>M6*F6</x:f>
        <x:v>250</x:v>
      </x:c>
      <x:c r="O6" s="1" t="n">
        <x:f>N6*G6</x:f>
        <x:v>250</x:v>
      </x:c>
      <x:c r="P6" s="1" t="n">
        <x:f>O6*H6/1024</x:f>
        <x:v>0.48828125</x:v>
      </x:c>
      <x:c r="Q6" s="1" t="n">
        <x:f>P6*I6</x:f>
        <x:v>0.48828125</x:v>
      </x:c>
      <x:c r="R6" s="1" t="n">
        <x:f>P6*('設定と出典'!$B$34+'設定と出典'!$B$35)/'設定と出典'!$B$7</x:f>
        <x:v>0.4557291666666667</x:v>
      </x:c>
      <x:c r="S6" s="1" t="n">
        <x:f>O6*K6</x:f>
        <x:v>250</x:v>
      </x:c>
      <x:c r="T6" s="7" t="n">
        <x:f>A6*E6</x:f>
        <x:v>30000</x:v>
      </x:c>
      <x:c r="U6" s="7" t="n">
        <x:f>A6*'設定と出典'!$B$26</x:f>
        <x:v>500</x:v>
      </x:c>
      <x:c r="V6" s="7" t="n">
        <x:f>M6*'設定と出典'!$B$27</x:f>
        <x:v>100</x:v>
      </x:c>
      <x:c r="W6" s="7" t="n">
        <x:f>(N6*'設定と出典'!$B$36+S6)*('設定と出典'!$B$43*'設定と出典'!$B$8+'設定と出典'!$B$44*'設定と出典'!$B$9)*'設定と出典'!$B$12*'設定と出典'!$B$6</x:f>
        <x:v>1.3272587033350431</x:v>
      </x:c>
      <x:c r="X6" s="7" t="n">
        <x:f>N6*I6*'設定と出典'!$B$37*('設定と出典'!$B$45*'設定と出典'!$B$8+'設定と出典'!$B$46*'設定と出典'!$B$9)*'設定と出典'!$B$12*'設定と出典'!$B$6</x:f>
        <x:v>0.20419364666692974</x:v>
      </x:c>
      <x:c r="Y6" s="7" t="n">
        <x:f>MAX(0,S6*('設定と出典'!$B$13*'設定と出典'!$B$8+'設定と出典'!$B$14*'設定と出典'!$B$9)-MIN(S6,'設定と出典'!$B$7*86400*'設定と出典'!$B$15)*('設定と出典'!$B$13*'設定と出典'!$B$10+'設定と出典'!$B$14*'設定と出典'!$B$11))*'設定と出典'!$B$12*'設定と出典'!$B$6</x:f>
        <x:v>0.8674029393819658</x:v>
      </x:c>
      <x:c r="Z6" s="7" t="n">
        <x:f>O6*('設定と出典'!$B$41*'設定と出典'!$B$18+('設定と出典'!$B$42+I6)*'設定と出典'!$B$19)/1000*'設定と出典'!$B$6</x:f>
        <x:v>0.2325</x:v>
      </x:c>
      <x:c r="AA6" s="7" t="n">
        <x:f>N6*(1+J6)*'設定と出典'!$B$21</x:f>
        <x:v>52.5</x:v>
      </x:c>
      <x:c r="AB6" s="7" t="n">
        <x:f>N6*'設定と出典'!$B$40/1048576*'設定と出典'!$B$20*'設定と出典'!$B$6+N6*'設定と出典'!$B$39/1000000*'設定と出典'!$B$38*'設定と出典'!$B$6</x:f>
        <x:v>0.33457672119140625</x:v>
      </x:c>
      <x:c r="AC6" s="7" t="n">
        <x:f>R6*'設定と出典'!$B$16*'設定と出典'!$B$6</x:f>
        <x:v>1.7089843750000002</x:v>
      </x:c>
      <x:c r="AD6" s="7" t="n">
        <x:f>Q6*'設定と出典'!$B$17*'設定と出典'!$B$6</x:f>
        <x:v>8.7890625</x:v>
      </x:c>
      <x:c r="AE6" s="7" t="n">
        <x:f>'設定と出典'!B63</x:f>
        <x:v>13628.969418426243</x:v>
      </x:c>
      <x:c r="AF6" s="7" t="n">
        <x:f>SUM(U6:AE6)</x:f>
        <x:v>14294.933397311817</x:v>
      </x:c>
      <x:c r="AG6" s="7" t="n">
        <x:f>T6*'設定と出典'!$B$28</x:f>
        <x:v>1080</x:v>
      </x:c>
      <x:c r="AH6" s="7" t="n">
        <x:f>(A6*L6+M6*'設定と出典'!$B$31)/60*'設定と出典'!$B$29</x:f>
        <x:v>2333.3333333333335</x:v>
      </x:c>
      <x:c r="AI6" s="7" t="n">
        <x:f>'設定と出典'!$B$30*'設定と出典'!$B$29</x:f>
        <x:v>8000</x:v>
      </x:c>
      <x:c r="AJ6" s="7" t="n">
        <x:f>T6-SUM(AF6:AI6)</x:f>
        <x:v>4291.733269354849</x:v>
      </x:c>
      <x:c r="AK6" s="7" t="n">
        <x:f>AJ6-T6*'設定と出典'!$B$32</x:f>
        <x:v>-10708.266730645151</x:v>
      </x:c>
      <x:c r="AL6" s="7" t="n">
        <x:f>AJ6-A6*MIN(E6,AV6)*'設定と出典'!$B$32</x:f>
        <x:v>-708.2667306451513</x:v>
      </x:c>
      <x:c r="AM6" s="8" t="n">
        <x:f>AJ6/T6</x:f>
        <x:v>0.14305777564516162</x:v>
      </x:c>
      <x:c r="AN6" s="8" t="n">
        <x:f>AK6/T6</x:f>
        <x:v>-0.35694222435483836</x:v>
      </x:c>
      <x:c r="AO6" s="8" t="n">
        <x:f>AJ6/T6</x:f>
        <x:v>0.14305777564516162</x:v>
      </x:c>
      <x:c r="AP6" s="8" t="n">
        <x:f>AO6-'設定と出典'!$B$33</x:f>
        <x:v>-0.056942224354838394</x:v>
      </x:c>
      <x:c r="AQ6" s="9" t="n">
        <x:f>SUM(W6:AD6)/N6</x:f>
        <x:v>0.26385591554230137</x:v>
      </x:c>
      <x:c r="AR6" s="9" t="n">
        <x:f>MAX(0,(E6*(1-'設定と出典'!$B$28-'設定と出典'!$B$32)-(U6+V6+AH6+AI6+AE6)/A6)/AQ6)</x:f>
        <x:v>0</x:v>
      </x:c>
      <x:c r="AS6" s="9" t="n">
        <x:f>MAX(0,(E6*(1-'設定と出典'!$B$28 )-(U6+V6+AH6+AI6+AE6)/A6)/AQ6)</x:f>
        <x:v>1651.5442677432784</x:v>
      </x:c>
      <x:c r="AT6" s="9" t="n">
        <x:f>MAX(0,(E6*(1-'設定と出典'!$B$28)-MIN(E6,AV6)*'設定と出典'!$B$32-(U6+V6+AH6+AI6+AE6)/A6)/AQ6)</x:f>
        <x:v>0</x:v>
      </x:c>
      <x:c r="AU6" s="9" t="n">
        <x:f>IF((T6*(1-'設定と出典'!$B$28-'設定と出典'!$B$32)-(AF6-AE6)-AH6)&lt;=0,"成立せず",(AE6+AI6)/((T6*(1-'設定と出典'!$B$28-'設定と出典'!$B$32)-(AF6-AE6)-AH6)/A6))</x:f>
        <x:v>19.80547409520302</x:v>
      </x:c>
      <x:c r="AV6" s="9" t="n">
        <x:f>'設定と出典'!D51</x:f>
        <x:v>1000</x:v>
      </x:c>
      <x:c r="AW6" s="9" t="n">
        <x:f>IF(1-'設定と出典'!$B$28-'設定と出典'!$B$32-'設定と出典'!$B$33&lt;=0,0,MAX(0,MIN(E6,(AK6/A6-E6*'設定と出典'!$B$33)/(1-'設定と出典'!$B$28-'設定と出典'!$B$32-'設定と出典'!$B$33))))</x:f>
        <x:v>0</x:v>
      </x:c>
      <x:c r="AX6" s="1"/>
      <x:c r="AY6" s="1"/>
      <x:c r="AZ6" s="1"/>
      <x:c r="BA6" s="1"/>
    </x:row>
    <x:row r="7" ht="22" customHeight="1">
      <x:c r="A7" s="1" t="n">
        <x:v>10</x:v>
      </x:c>
      <x:c r="B7" s="1" t="str">
        <x:f>'設定と出典'!A51</x:f>
        <x:v>Starter</x:v>
      </x:c>
      <x:c r="C7" s="1" t="str">
        <x:f>'設定と出典'!A58</x:f>
        <x:v>標準</x:v>
      </x:c>
      <x:c r="D7" s="1" t="n">
        <x:f>'設定と出典'!B51</x:f>
        <x:v>5</x:v>
      </x:c>
      <x:c r="E7" s="1" t="n">
        <x:f>'設定と出典'!C51</x:f>
        <x:v>3000</x:v>
      </x:c>
      <x:c r="F7" s="1" t="n">
        <x:f>'設定と出典'!B58</x:f>
        <x:v>20</x:v>
      </x:c>
      <x:c r="G7" s="1" t="n">
        <x:f>'設定と出典'!C58</x:f>
        <x:v>2</x:v>
      </x:c>
      <x:c r="H7" s="1" t="n">
        <x:f>'設定と出典'!D58</x:f>
        <x:v>10</x:v>
      </x:c>
      <x:c r="I7" s="1" t="n">
        <x:f>'設定と出典'!E58</x:f>
        <x:v>1.5</x:v>
      </x:c>
      <x:c r="J7" s="1" t="n">
        <x:f>'設定と出典'!F58</x:f>
        <x:v>1.8</x:v>
      </x:c>
      <x:c r="K7" s="1" t="n">
        <x:f>'設定と出典'!G58</x:f>
        <x:v>2</x:v>
      </x:c>
      <x:c r="L7" s="1" t="n">
        <x:f>'設定と出典'!H58</x:f>
        <x:v>8</x:v>
      </x:c>
      <x:c r="M7" s="1" t="n">
        <x:f>A7*D7</x:f>
        <x:v>50</x:v>
      </x:c>
      <x:c r="N7" s="1" t="n">
        <x:f>M7*F7</x:f>
        <x:v>1000</x:v>
      </x:c>
      <x:c r="O7" s="1" t="n">
        <x:f>N7*G7</x:f>
        <x:v>2000</x:v>
      </x:c>
      <x:c r="P7" s="1" t="n">
        <x:f>O7*H7/1024</x:f>
        <x:v>19.53125</x:v>
      </x:c>
      <x:c r="Q7" s="1" t="n">
        <x:f>P7*I7</x:f>
        <x:v>29.296875</x:v>
      </x:c>
      <x:c r="R7" s="1" t="n">
        <x:f>P7*('設定と出典'!$B$34+'設定と出典'!$B$35)/'設定と出典'!$B$7</x:f>
        <x:v>18.229166666666668</x:v>
      </x:c>
      <x:c r="S7" s="1" t="n">
        <x:f>O7*K7</x:f>
        <x:v>4000</x:v>
      </x:c>
      <x:c r="T7" s="7" t="n">
        <x:f>A7*E7</x:f>
        <x:v>30000</x:v>
      </x:c>
      <x:c r="U7" s="7" t="n">
        <x:f>A7*'設定と出典'!$B$26</x:f>
        <x:v>500</x:v>
      </x:c>
      <x:c r="V7" s="7" t="n">
        <x:f>M7*'設定と出典'!$B$27</x:f>
        <x:v>100</x:v>
      </x:c>
      <x:c r="W7" s="7" t="n">
        <x:f>(N7*'設定と出典'!$B$36+S7)*('設定と出典'!$B$43*'設定と出典'!$B$8+'設定と出典'!$B$44*'設定と出典'!$B$9)*'設定と出典'!$B$12*'設定と出典'!$B$6</x:f>
        <x:v>17.560653613355957</x:v>
      </x:c>
      <x:c r="X7" s="7" t="n">
        <x:f>N7*I7*'設定と出典'!$B$37*('設定と出典'!$B$45*'設定と出典'!$B$8+'設定と出典'!$B$46*'設定と出典'!$B$9)*'設定と出典'!$B$12*'設定と出典'!$B$6</x:f>
        <x:v>1.2251618800015787</x:v>
      </x:c>
      <x:c r="Y7" s="7" t="n">
        <x:f>MAX(0,S7*('設定と出典'!$B$13*'設定と出典'!$B$8+'設定と出典'!$B$14*'設定と出典'!$B$9)-MIN(S7,'設定と出典'!$B$7*86400*'設定と出典'!$B$15)*('設定と出典'!$B$13*'設定と出典'!$B$10+'設定と出典'!$B$14*'設定と出典'!$B$11))*'設定と出典'!$B$12*'設定と出典'!$B$6</x:f>
        <x:v>13.878447030111452</x:v>
      </x:c>
      <x:c r="Z7" s="7" t="n">
        <x:f>O7*('設定と出典'!$B$41*'設定と出典'!$B$18+('設定と出典'!$B$42+I7)*'設定と出典'!$B$19)/1000*'設定と出典'!$B$6</x:f>
        <x:v>1.9200000000000002</x:v>
      </x:c>
      <x:c r="AA7" s="7" t="n">
        <x:f>N7*(1+J7)*'設定と出典'!$B$21</x:f>
        <x:v>280</x:v>
      </x:c>
      <x:c r="AB7" s="7" t="n">
        <x:f>N7*'設定と出典'!$B$40/1048576*'設定と出典'!$B$20*'設定と出典'!$B$6+N7*'設定と出典'!$B$39/1000000*'設定と出典'!$B$38*'設定と出典'!$B$6</x:f>
        <x:v>1.338306884765625</x:v>
      </x:c>
      <x:c r="AC7" s="7" t="n">
        <x:f>R7*'設定と出典'!$B$16*'設定と出典'!$B$6</x:f>
        <x:v>68.35937500000001</x:v>
      </x:c>
      <x:c r="AD7" s="7" t="n">
        <x:f>Q7*'設定と出典'!$B$17*'設定と出典'!$B$6</x:f>
        <x:v>527.34375</x:v>
      </x:c>
      <x:c r="AE7" s="7" t="n">
        <x:f>'設定と出典'!B63</x:f>
        <x:v>13628.969418426243</x:v>
      </x:c>
      <x:c r="AF7" s="7" t="n">
        <x:f>SUM(U7:AE7)</x:f>
        <x:v>15140.595112834477</x:v>
      </x:c>
      <x:c r="AG7" s="7" t="n">
        <x:f>T7*'設定と出典'!$B$28</x:f>
        <x:v>1080</x:v>
      </x:c>
      <x:c r="AH7" s="7" t="n">
        <x:f>(A7*L7+M7*'設定と出典'!$B$31)/60*'設定と出典'!$B$29</x:f>
        <x:v>5666.666666666667</x:v>
      </x:c>
      <x:c r="AI7" s="7" t="n">
        <x:f>'設定と出典'!$B$30*'設定と出典'!$B$29</x:f>
        <x:v>8000</x:v>
      </x:c>
      <x:c r="AJ7" s="7" t="n">
        <x:f>T7-SUM(AF7:AI7)</x:f>
        <x:v>112.73822049885712</x:v>
      </x:c>
      <x:c r="AK7" s="7" t="n">
        <x:f>AJ7-T7*'設定と出典'!$B$32</x:f>
        <x:v>-14887.261779501143</x:v>
      </x:c>
      <x:c r="AL7" s="7" t="n">
        <x:f>AJ7-A7*MIN(E7,AV7)*'設定と出典'!$B$32</x:f>
        <x:v>-4887.261779501143</x:v>
      </x:c>
      <x:c r="AM7" s="8" t="n">
        <x:f>AJ7/T7</x:f>
        <x:v>0.003757940683295237</x:v>
      </x:c>
      <x:c r="AN7" s="8" t="n">
        <x:f>AK7/T7</x:f>
        <x:v>-0.4962420593167048</x:v>
      </x:c>
      <x:c r="AO7" s="8" t="n">
        <x:f>AJ7/T7</x:f>
        <x:v>0.003757940683295237</x:v>
      </x:c>
      <x:c r="AP7" s="8" t="n">
        <x:f>AO7-'設定と出典'!$B$33</x:f>
        <x:v>-0.19624205931670477</x:v>
      </x:c>
      <x:c r="AQ7" s="9" t="n">
        <x:f>SUM(W7:AD7)/N7</x:f>
        <x:v>0.9116256944082346</x:v>
      </x:c>
      <x:c r="AR7" s="9" t="n">
        <x:f>MAX(0,(E7*(1-'設定と出典'!$B$28-'設定と出典'!$B$32)-(U7+V7+AH7+AI7+AE7)/A7)/AQ7)</x:f>
        <x:v>0</x:v>
      </x:c>
      <x:c r="AS7" s="9" t="n">
        <x:f>MAX(0,(E7*(1-'設定と出典'!$B$28 )-(U7+V7+AH7+AI7+AE7)/A7)/AQ7)</x:f>
        <x:v>112.36672256940246</x:v>
      </x:c>
      <x:c r="AT7" s="9" t="n">
        <x:f>MAX(0,(E7*(1-'設定と出典'!$B$28)-MIN(E7,AV7)*'設定と出典'!$B$32-(U7+V7+AH7+AI7+AE7)/A7)/AQ7)</x:f>
        <x:v>0</x:v>
      </x:c>
      <x:c r="AU7" s="9" t="n">
        <x:f>IF((T7*(1-'設定と出典'!$B$28-'設定と出典'!$B$32)-(AF7-AE7)-AH7)&lt;=0,"成立せず",(AE7+AI7)/((T7*(1-'設定と出典'!$B$28-'設定と出典'!$B$32)-(AF7-AE7)-AH7)/A7))</x:f>
        <x:v>32.08233073404942</x:v>
      </x:c>
      <x:c r="AV7" s="9" t="n">
        <x:f>'設定と出典'!D51</x:f>
        <x:v>1000</x:v>
      </x:c>
      <x:c r="AW7" s="9" t="n">
        <x:f>IF(1-'設定と出典'!$B$28-'設定と出典'!$B$32-'設定と出典'!$B$33&lt;=0,0,MAX(0,MIN(E7,(AK7/A7-E7*'設定と出典'!$B$33)/(1-'設定と出典'!$B$28-'設定と出典'!$B$32-'設定と出典'!$B$33))))</x:f>
        <x:v>0</x:v>
      </x:c>
      <x:c r="AX7" s="1"/>
      <x:c r="AY7" s="1"/>
      <x:c r="AZ7" s="1"/>
      <x:c r="BA7" s="1"/>
    </x:row>
    <x:row r="8" ht="22" customHeight="1">
      <x:c r="A8" s="1" t="n">
        <x:v>10</x:v>
      </x:c>
      <x:c r="B8" s="1" t="str">
        <x:f>'設定と出典'!A51</x:f>
        <x:v>Starter</x:v>
      </x:c>
      <x:c r="C8" s="1" t="str">
        <x:f>'設定と出典'!A59</x:f>
        <x:v>高位</x:v>
      </x:c>
      <x:c r="D8" s="1" t="n">
        <x:f>'設定と出典'!B51</x:f>
        <x:v>5</x:v>
      </x:c>
      <x:c r="E8" s="1" t="n">
        <x:f>'設定と出典'!C51</x:f>
        <x:v>3000</x:v>
      </x:c>
      <x:c r="F8" s="1" t="n">
        <x:f>'設定と出典'!B59</x:f>
        <x:v>80</x:v>
      </x:c>
      <x:c r="G8" s="1" t="n">
        <x:f>'設定と出典'!C59</x:f>
        <x:v>3</x:v>
      </x:c>
      <x:c r="H8" s="1" t="n">
        <x:f>'設定と出典'!D59</x:f>
        <x:v>50</x:v>
      </x:c>
      <x:c r="I8" s="1" t="n">
        <x:f>'設定と出典'!E59</x:f>
        <x:v>2</x:v>
      </x:c>
      <x:c r="J8" s="1" t="n">
        <x:f>'設定と出典'!F59</x:f>
        <x:v>2.5</x:v>
      </x:c>
      <x:c r="K8" s="1" t="n">
        <x:f>'設定と出典'!G59</x:f>
        <x:v>5</x:v>
      </x:c>
      <x:c r="L8" s="1" t="n">
        <x:f>'設定と出典'!H59</x:f>
        <x:v>20</x:v>
      </x:c>
      <x:c r="M8" s="1" t="n">
        <x:f>A8*D8</x:f>
        <x:v>50</x:v>
      </x:c>
      <x:c r="N8" s="1" t="n">
        <x:f>M8*F8</x:f>
        <x:v>4000</x:v>
      </x:c>
      <x:c r="O8" s="1" t="n">
        <x:f>N8*G8</x:f>
        <x:v>12000</x:v>
      </x:c>
      <x:c r="P8" s="1" t="n">
        <x:f>O8*H8/1024</x:f>
        <x:v>585.9375</x:v>
      </x:c>
      <x:c r="Q8" s="1" t="n">
        <x:f>P8*I8</x:f>
        <x:v>1171.875</x:v>
      </x:c>
      <x:c r="R8" s="1" t="n">
        <x:f>P8*('設定と出典'!$B$34+'設定と出典'!$B$35)/'設定と出典'!$B$7</x:f>
        <x:v>546.875</x:v>
      </x:c>
      <x:c r="S8" s="1" t="n">
        <x:f>O8*K8</x:f>
        <x:v>60000</x:v>
      </x:c>
      <x:c r="T8" s="7" t="n">
        <x:f>A8*E8</x:f>
        <x:v>30000</x:v>
      </x:c>
      <x:c r="U8" s="7" t="n">
        <x:f>A8*'設定と出典'!$B$26</x:f>
        <x:v>500</x:v>
      </x:c>
      <x:c r="V8" s="7" t="n">
        <x:f>M8*'設定と出典'!$B$27</x:f>
        <x:v>100</x:v>
      </x:c>
      <x:c r="W8" s="7" t="n">
        <x:f>(N8*'設定と出典'!$B$36+S8)*('設定と出典'!$B$43*'設定と出典'!$B$8+'設定と出典'!$B$44*'設定と出典'!$B$9)*'設定と出典'!$B$12*'設定と出典'!$B$6</x:f>
        <x:v>249.933023520322</x:v>
      </x:c>
      <x:c r="X8" s="7" t="n">
        <x:f>N8*I8*'設定と出典'!$B$37*('設定と出典'!$B$45*'設定と出典'!$B$8+'設定と出典'!$B$46*'設定と出典'!$B$9)*'設定と出典'!$B$12*'設定と出典'!$B$6</x:f>
        <x:v>6.534196693341752</x:v>
      </x:c>
      <x:c r="Y8" s="7" t="n">
        <x:f>MAX(0,S8*('設定と出典'!$B$13*'設定と出典'!$B$8+'設定と出典'!$B$14*'設定と出典'!$B$9)-MIN(S8,'設定と出典'!$B$7*86400*'設定と出典'!$B$15)*('設定と出典'!$B$13*'設定と出典'!$B$10+'設定と出典'!$B$14*'設定と出典'!$B$11))*'設定と出典'!$B$12*'設定と出典'!$B$6</x:f>
        <x:v>208.17670545167175</x:v>
      </x:c>
      <x:c r="Z8" s="7" t="n">
        <x:f>O8*('設定と出典'!$B$41*'設定と出典'!$B$18+('設定と出典'!$B$42+I8)*'設定と出典'!$B$19)/1000*'設定と出典'!$B$6</x:f>
        <x:v>11.88</x:v>
      </x:c>
      <x:c r="AA8" s="7" t="n">
        <x:f>N8*(1+J8)*'設定と出典'!$B$21</x:f>
        <x:v>1400</x:v>
      </x:c>
      <x:c r="AB8" s="7" t="n">
        <x:f>N8*'設定と出典'!$B$40/1048576*'設定と出典'!$B$20*'設定と出典'!$B$6+N8*'設定と出典'!$B$39/1000000*'設定と出典'!$B$38*'設定と出典'!$B$6</x:f>
        <x:v>5.3532275390625</x:v>
      </x:c>
      <x:c r="AC8" s="7" t="n">
        <x:f>R8*'設定と出典'!$B$16*'設定と出典'!$B$6</x:f>
        <x:v>2050.78125</x:v>
      </x:c>
      <x:c r="AD8" s="7" t="n">
        <x:f>Q8*'設定と出典'!$B$17*'設定と出典'!$B$6</x:f>
        <x:v>21093.75</x:v>
      </x:c>
      <x:c r="AE8" s="7" t="n">
        <x:f>'設定と出典'!B63</x:f>
        <x:v>13628.969418426243</x:v>
      </x:c>
      <x:c r="AF8" s="7" t="n">
        <x:f>SUM(U8:AE8)</x:f>
        <x:v>39255.37782163064</x:v>
      </x:c>
      <x:c r="AG8" s="7" t="n">
        <x:f>T8*'設定と出典'!$B$28</x:f>
        <x:v>1080</x:v>
      </x:c>
      <x:c r="AH8" s="7" t="n">
        <x:f>(A8*L8+M8*'設定と出典'!$B$31)/60*'設定と出典'!$B$29</x:f>
        <x:v>13666.666666666666</x:v>
      </x:c>
      <x:c r="AI8" s="7" t="n">
        <x:f>'設定と出典'!$B$30*'設定と出典'!$B$29</x:f>
        <x:v>8000</x:v>
      </x:c>
      <x:c r="AJ8" s="7" t="n">
        <x:f>T8-SUM(AF8:AI8)</x:f>
        <x:v>-32002.044488297302</x:v>
      </x:c>
      <x:c r="AK8" s="7" t="n">
        <x:f>AJ8-T8*'設定と出典'!$B$32</x:f>
        <x:v>-47002.0444882973</x:v>
      </x:c>
      <x:c r="AL8" s="7" t="n">
        <x:f>AJ8-A8*MIN(E8,AV8)*'設定と出典'!$B$32</x:f>
        <x:v>-37002.0444882973</x:v>
      </x:c>
      <x:c r="AM8" s="8" t="n">
        <x:f>AJ8/T8</x:f>
        <x:v>-1.0667348162765768</x:v>
      </x:c>
      <x:c r="AN8" s="8" t="n">
        <x:f>AK8/T8</x:f>
        <x:v>-1.5667348162765768</x:v>
      </x:c>
      <x:c r="AO8" s="8" t="n">
        <x:f>AJ8/T8</x:f>
        <x:v>-1.0667348162765768</x:v>
      </x:c>
      <x:c r="AP8" s="8" t="n">
        <x:f>AO8-'設定と出典'!$B$33</x:f>
        <x:v>-1.2667348162765768</x:v>
      </x:c>
      <x:c r="AQ8" s="9" t="n">
        <x:f>SUM(W8:AD8)/N8</x:f>
        <x:v>6.256602100801099</x:v>
      </x:c>
      <x:c r="AR8" s="9" t="n">
        <x:f>MAX(0,(E8*(1-'設定と出典'!$B$28-'設定と出典'!$B$32)-(U8+V8+AH8+AI8+AE8)/A8)/AQ8)</x:f>
        <x:v>0</x:v>
      </x:c>
      <x:c r="AS8" s="9" t="n">
        <x:f>MAX(0,(E8*(1-'設定と出典'!$B$28 )-(U8+V8+AH8+AI8+AE8)/A8)/AQ8)</x:f>
        <x:v>0</x:v>
      </x:c>
      <x:c r="AT8" s="9" t="n">
        <x:f>MAX(0,(E8*(1-'設定と出典'!$B$28)-MIN(E8,AV8)*'設定と出典'!$B$32-(U8+V8+AH8+AI8+AE8)/A8)/AQ8)</x:f>
        <x:v>0</x:v>
      </x:c>
      <x:c r="AU8" s="9" t="str">
        <x:f>IF((T8*(1-'設定と出典'!$B$28-'設定と出典'!$B$32)-(AF8-AE8)-AH8)&lt;=0,"成立せず",(AE8+AI8)/((T8*(1-'設定と出典'!$B$28-'設定と出典'!$B$32)-(AF8-AE8)-AH8)/A8))</x:f>
        <x:v>成立せず</x:v>
      </x:c>
      <x:c r="AV8" s="9" t="n">
        <x:f>'設定と出典'!D51</x:f>
        <x:v>1000</x:v>
      </x:c>
      <x:c r="AW8" s="9" t="n">
        <x:f>IF(1-'設定と出典'!$B$28-'設定と出典'!$B$32-'設定と出典'!$B$33&lt;=0,0,MAX(0,MIN(E8,(AK8/A8-E8*'設定と出典'!$B$33)/(1-'設定と出典'!$B$28-'設定と出典'!$B$32-'設定と出典'!$B$33))))</x:f>
        <x:v>0</x:v>
      </x:c>
      <x:c r="AX8" s="1"/>
      <x:c r="AY8" s="1"/>
      <x:c r="AZ8" s="1"/>
      <x:c r="BA8" s="1"/>
    </x:row>
    <x:row r="9" ht="22" customHeight="1">
      <x:c r="A9" s="1" t="n">
        <x:v>10</x:v>
      </x:c>
      <x:c r="B9" s="1" t="str">
        <x:f>'設定と出典'!A52</x:f>
        <x:v>Business</x:v>
      </x:c>
      <x:c r="C9" s="1" t="str">
        <x:f>'設定と出典'!A57</x:f>
        <x:v>低位</x:v>
      </x:c>
      <x:c r="D9" s="1" t="n">
        <x:f>'設定と出典'!B52</x:f>
        <x:v>20</x:v>
      </x:c>
      <x:c r="E9" s="1" t="n">
        <x:f>'設定と出典'!C52</x:f>
        <x:v>5000</x:v>
      </x:c>
      <x:c r="F9" s="1" t="n">
        <x:f>'設定と出典'!B57</x:f>
        <x:v>5</x:v>
      </x:c>
      <x:c r="G9" s="1" t="n">
        <x:f>'設定と出典'!C57</x:f>
        <x:v>1</x:v>
      </x:c>
      <x:c r="H9" s="1" t="n">
        <x:f>'設定と出典'!D57</x:f>
        <x:v>2</x:v>
      </x:c>
      <x:c r="I9" s="1" t="n">
        <x:f>'設定と出典'!E57</x:f>
        <x:v>1</x:v>
      </x:c>
      <x:c r="J9" s="1" t="n">
        <x:f>'設定と出典'!F57</x:f>
        <x:v>1.1</x:v>
      </x:c>
      <x:c r="K9" s="1" t="n">
        <x:f>'設定と出典'!G57</x:f>
        <x:v>1</x:v>
      </x:c>
      <x:c r="L9" s="1" t="n">
        <x:f>'設定と出典'!H57</x:f>
        <x:v>3</x:v>
      </x:c>
      <x:c r="M9" s="1" t="n">
        <x:f>A9*D9</x:f>
        <x:v>200</x:v>
      </x:c>
      <x:c r="N9" s="1" t="n">
        <x:f>M9*F9</x:f>
        <x:v>1000</x:v>
      </x:c>
      <x:c r="O9" s="1" t="n">
        <x:f>N9*G9</x:f>
        <x:v>1000</x:v>
      </x:c>
      <x:c r="P9" s="1" t="n">
        <x:f>O9*H9/1024</x:f>
        <x:v>1.953125</x:v>
      </x:c>
      <x:c r="Q9" s="1" t="n">
        <x:f>P9*I9</x:f>
        <x:v>1.953125</x:v>
      </x:c>
      <x:c r="R9" s="1" t="n">
        <x:f>P9*('設定と出典'!$B$34+'設定と出典'!$B$35)/'設定と出典'!$B$7</x:f>
        <x:v>1.8229166666666667</x:v>
      </x:c>
      <x:c r="S9" s="1" t="n">
        <x:f>O9*K9</x:f>
        <x:v>1000</x:v>
      </x:c>
      <x:c r="T9" s="7" t="n">
        <x:f>A9*E9</x:f>
        <x:v>50000</x:v>
      </x:c>
      <x:c r="U9" s="7" t="n">
        <x:f>A9*'設定と出典'!$B$26</x:f>
        <x:v>500</x:v>
      </x:c>
      <x:c r="V9" s="7" t="n">
        <x:f>M9*'設定と出典'!$B$27</x:f>
        <x:v>400</x:v>
      </x:c>
      <x:c r="W9" s="7" t="n">
        <x:f>(N9*'設定と出典'!$B$36+S9)*('設定と出典'!$B$43*'設定と出典'!$B$8+'設定と出典'!$B$44*'設定と出典'!$B$9)*'設定と出典'!$B$12*'設定と出典'!$B$6</x:f>
        <x:v>5.309034813340173</x:v>
      </x:c>
      <x:c r="X9" s="7" t="n">
        <x:f>N9*I9*'設定と出典'!$B$37*('設定と出典'!$B$45*'設定と出典'!$B$8+'設定と出典'!$B$46*'設定と出典'!$B$9)*'設定と出典'!$B$12*'設定と出典'!$B$6</x:f>
        <x:v>0.816774586667719</x:v>
      </x:c>
      <x:c r="Y9" s="7" t="n">
        <x:f>MAX(0,S9*('設定と出典'!$B$13*'設定と出典'!$B$8+'設定と出典'!$B$14*'設定と出典'!$B$9)-MIN(S9,'設定と出典'!$B$7*86400*'設定と出典'!$B$15)*('設定と出典'!$B$13*'設定と出典'!$B$10+'設定と出典'!$B$14*'設定と出典'!$B$11))*'設定と出典'!$B$12*'設定と出典'!$B$6</x:f>
        <x:v>3.469611757527863</x:v>
      </x:c>
      <x:c r="Z9" s="7" t="n">
        <x:f>O9*('設定と出典'!$B$41*'設定と出典'!$B$18+('設定と出典'!$B$42+I9)*'設定と出典'!$B$19)/1000*'設定と出典'!$B$6</x:f>
        <x:v>0.93</x:v>
      </x:c>
      <x:c r="AA9" s="7" t="n">
        <x:f>N9*(1+J9)*'設定と出典'!$B$21</x:f>
        <x:v>210</x:v>
      </x:c>
      <x:c r="AB9" s="7" t="n">
        <x:f>N9*'設定と出典'!$B$40/1048576*'設定と出典'!$B$20*'設定と出典'!$B$6+N9*'設定と出典'!$B$39/1000000*'設定と出典'!$B$38*'設定と出典'!$B$6</x:f>
        <x:v>1.338306884765625</x:v>
      </x:c>
      <x:c r="AC9" s="7" t="n">
        <x:f>R9*'設定と出典'!$B$16*'設定と出典'!$B$6</x:f>
        <x:v>6.835937500000001</x:v>
      </x:c>
      <x:c r="AD9" s="7" t="n">
        <x:f>Q9*'設定と出典'!$B$17*'設定と出典'!$B$6</x:f>
        <x:v>35.15625</x:v>
      </x:c>
      <x:c r="AE9" s="7" t="n">
        <x:f>'設定と出典'!B63</x:f>
        <x:v>13628.969418426243</x:v>
      </x:c>
      <x:c r="AF9" s="7" t="n">
        <x:f>SUM(U9:AE9)</x:f>
        <x:v>14792.825333968543</x:v>
      </x:c>
      <x:c r="AG9" s="7" t="n">
        <x:f>T9*'設定と出典'!$B$28</x:f>
        <x:v>1799.9999999999998</x:v>
      </x:c>
      <x:c r="AH9" s="7" t="n">
        <x:f>(A9*L9+M9*'設定と出典'!$B$31)/60*'設定と出典'!$B$29</x:f>
        <x:v>3333.3333333333335</x:v>
      </x:c>
      <x:c r="AI9" s="7" t="n">
        <x:f>'設定と出典'!$B$30*'設定と出典'!$B$29</x:f>
        <x:v>8000</x:v>
      </x:c>
      <x:c r="AJ9" s="7" t="n">
        <x:f>T9-SUM(AF9:AI9)</x:f>
        <x:v>22073.841332698124</x:v>
      </x:c>
      <x:c r="AK9" s="7" t="n">
        <x:f>AJ9-T9*'設定と出典'!$B$32</x:f>
        <x:v>-2926.1586673018755</x:v>
      </x:c>
      <x:c r="AL9" s="7" t="n">
        <x:f>AJ9-A9*MIN(E9,AV9)*'設定と出典'!$B$32</x:f>
        <x:v>17073.841332698124</x:v>
      </x:c>
      <x:c r="AM9" s="8" t="n">
        <x:f>AJ9/T9</x:f>
        <x:v>0.4414768266539625</x:v>
      </x:c>
      <x:c r="AN9" s="8" t="n">
        <x:f>AK9/T9</x:f>
        <x:v>-0.05852317334603751</x:v>
      </x:c>
      <x:c r="AO9" s="8" t="n">
        <x:f>AJ9/T9</x:f>
        <x:v>0.4414768266539625</x:v>
      </x:c>
      <x:c r="AP9" s="8" t="n">
        <x:f>AO9-'設定と出典'!$B$33</x:f>
        <x:v>0.24147682665396247</x:v>
      </x:c>
      <x:c r="AQ9" s="9" t="n">
        <x:f>SUM(W9:AD9)/N9</x:f>
        <x:v>0.26385591554230137</x:v>
      </x:c>
      <x:c r="AR9" s="9" t="n">
        <x:f>MAX(0,(E9*(1-'設定と出典'!$B$28-'設定と出典'!$B$32)-(U9+V9+AH9+AI9+AE9)/A9)/AQ9)</x:f>
        <x:v>0</x:v>
      </x:c>
      <x:c r="AS9" s="9" t="n">
        <x:f>MAX(0,(E9*(1-'設定と出典'!$B$28 )-(U9+V9+AH9+AI9+AE9)/A9)/AQ9)</x:f>
        <x:v>8465.869412982422</x:v>
      </x:c>
      <x:c r="AT9" s="9" t="n">
        <x:f>MAX(0,(E9*(1-'設定と出典'!$B$28)-MIN(E9,AV9)*'設定と出典'!$B$32-(U9+V9+AH9+AI9+AE9)/A9)/AQ9)</x:f>
        <x:v>6570.895790835831</x:v>
      </x:c>
      <x:c r="AU9" s="9" t="n">
        <x:f>IF((T9*(1-'設定と出典'!$B$28-'設定と出典'!$B$32)-(AF9-AE9)-AH9)&lt;=0,"成立せず",(AE9+AI9)/((T9*(1-'設定と出典'!$B$28-'設定と出典'!$B$32)-(AF9-AE9)-AH9)/A9))</x:f>
        <x:v>11.56455556666848</x:v>
      </x:c>
      <x:c r="AV9" s="9" t="n">
        <x:f>'設定と出典'!D52</x:f>
        <x:v>1000</x:v>
      </x:c>
      <x:c r="AW9" s="9" t="n">
        <x:f>IF(1-'設定と出典'!$B$28-'設定と出典'!$B$32-'設定と出典'!$B$33&lt;=0,0,MAX(0,MIN(E9,(AK9/A9-E9*'設定と出典'!$B$33)/(1-'設定と出典'!$B$28-'設定と出典'!$B$32-'設定と出典'!$B$33))))</x:f>
        <x:v>0</x:v>
      </x:c>
      <x:c r="AX9" s="1"/>
      <x:c r="AY9" s="1"/>
      <x:c r="AZ9" s="1"/>
      <x:c r="BA9" s="1"/>
    </x:row>
    <x:row r="10" ht="22" customHeight="1">
      <x:c r="A10" s="1" t="n">
        <x:v>10</x:v>
      </x:c>
      <x:c r="B10" s="1" t="str">
        <x:f>'設定と出典'!A52</x:f>
        <x:v>Business</x:v>
      </x:c>
      <x:c r="C10" s="1" t="str">
        <x:f>'設定と出典'!A58</x:f>
        <x:v>標準</x:v>
      </x:c>
      <x:c r="D10" s="1" t="n">
        <x:f>'設定と出典'!B52</x:f>
        <x:v>20</x:v>
      </x:c>
      <x:c r="E10" s="1" t="n">
        <x:f>'設定と出典'!C52</x:f>
        <x:v>5000</x:v>
      </x:c>
      <x:c r="F10" s="1" t="n">
        <x:f>'設定と出典'!B58</x:f>
        <x:v>20</x:v>
      </x:c>
      <x:c r="G10" s="1" t="n">
        <x:f>'設定と出典'!C58</x:f>
        <x:v>2</x:v>
      </x:c>
      <x:c r="H10" s="1" t="n">
        <x:f>'設定と出典'!D58</x:f>
        <x:v>10</x:v>
      </x:c>
      <x:c r="I10" s="1" t="n">
        <x:f>'設定と出典'!E58</x:f>
        <x:v>1.5</x:v>
      </x:c>
      <x:c r="J10" s="1" t="n">
        <x:f>'設定と出典'!F58</x:f>
        <x:v>1.8</x:v>
      </x:c>
      <x:c r="K10" s="1" t="n">
        <x:f>'設定と出典'!G58</x:f>
        <x:v>2</x:v>
      </x:c>
      <x:c r="L10" s="1" t="n">
        <x:f>'設定と出典'!H58</x:f>
        <x:v>8</x:v>
      </x:c>
      <x:c r="M10" s="1" t="n">
        <x:f>A10*D10</x:f>
        <x:v>200</x:v>
      </x:c>
      <x:c r="N10" s="1" t="n">
        <x:f>M10*F10</x:f>
        <x:v>4000</x:v>
      </x:c>
      <x:c r="O10" s="1" t="n">
        <x:f>N10*G10</x:f>
        <x:v>8000</x:v>
      </x:c>
      <x:c r="P10" s="1" t="n">
        <x:f>O10*H10/1024</x:f>
        <x:v>78.125</x:v>
      </x:c>
      <x:c r="Q10" s="1" t="n">
        <x:f>P10*I10</x:f>
        <x:v>117.1875</x:v>
      </x:c>
      <x:c r="R10" s="1" t="n">
        <x:f>P10*('設定と出典'!$B$34+'設定と出典'!$B$35)/'設定と出典'!$B$7</x:f>
        <x:v>72.91666666666667</x:v>
      </x:c>
      <x:c r="S10" s="1" t="n">
        <x:f>O10*K10</x:f>
        <x:v>16000</x:v>
      </x:c>
      <x:c r="T10" s="7" t="n">
        <x:f>A10*E10</x:f>
        <x:v>50000</x:v>
      </x:c>
      <x:c r="U10" s="7" t="n">
        <x:f>A10*'設定と出典'!$B$26</x:f>
        <x:v>500</x:v>
      </x:c>
      <x:c r="V10" s="7" t="n">
        <x:f>M10*'設定と出典'!$B$27</x:f>
        <x:v>400</x:v>
      </x:c>
      <x:c r="W10" s="7" t="n">
        <x:f>(N10*'設定と出典'!$B$36+S10)*('設定と出典'!$B$43*'設定と出典'!$B$8+'設定と出典'!$B$44*'設定と出典'!$B$9)*'設定と出典'!$B$12*'設定と出典'!$B$6</x:f>
        <x:v>70.24261445342383</x:v>
      </x:c>
      <x:c r="X10" s="7" t="n">
        <x:f>N10*I10*'設定と出典'!$B$37*('設定と出典'!$B$45*'設定と出典'!$B$8+'設定と出典'!$B$46*'設定と出典'!$B$9)*'設定と出典'!$B$12*'設定と出典'!$B$6</x:f>
        <x:v>4.900647520006315</x:v>
      </x:c>
      <x:c r="Y10" s="7" t="n">
        <x:f>MAX(0,S10*('設定と出典'!$B$13*'設定と出典'!$B$8+'設定と出典'!$B$14*'設定と出典'!$B$9)-MIN(S10,'設定と出典'!$B$7*86400*'設定と出典'!$B$15)*('設定と出典'!$B$13*'設定と出典'!$B$10+'設定と出典'!$B$14*'設定と出典'!$B$11))*'設定と出典'!$B$12*'設定と出典'!$B$6</x:f>
        <x:v>55.51378812044581</x:v>
      </x:c>
      <x:c r="Z10" s="7" t="n">
        <x:f>O10*('設定と出典'!$B$41*'設定と出典'!$B$18+('設定と出典'!$B$42+I10)*'設定と出典'!$B$19)/1000*'設定と出典'!$B$6</x:f>
        <x:v>7.680000000000001</x:v>
      </x:c>
      <x:c r="AA10" s="7" t="n">
        <x:f>N10*(1+J10)*'設定と出典'!$B$21</x:f>
        <x:v>1120</x:v>
      </x:c>
      <x:c r="AB10" s="7" t="n">
        <x:f>N10*'設定と出典'!$B$40/1048576*'設定と出典'!$B$20*'設定と出典'!$B$6+N10*'設定と出典'!$B$39/1000000*'設定と出典'!$B$38*'設定と出典'!$B$6</x:f>
        <x:v>5.3532275390625</x:v>
      </x:c>
      <x:c r="AC10" s="7" t="n">
        <x:f>R10*'設定と出典'!$B$16*'設定と出典'!$B$6</x:f>
        <x:v>273.43750000000006</x:v>
      </x:c>
      <x:c r="AD10" s="7" t="n">
        <x:f>Q10*'設定と出典'!$B$17*'設定と出典'!$B$6</x:f>
        <x:v>2109.375</x:v>
      </x:c>
      <x:c r="AE10" s="7" t="n">
        <x:f>'設定と出典'!B63</x:f>
        <x:v>13628.969418426243</x:v>
      </x:c>
      <x:c r="AF10" s="7" t="n">
        <x:f>SUM(U10:AE10)</x:f>
        <x:v>18175.47219605918</x:v>
      </x:c>
      <x:c r="AG10" s="7" t="n">
        <x:f>T10*'設定と出典'!$B$28</x:f>
        <x:v>1799.9999999999998</x:v>
      </x:c>
      <x:c r="AH10" s="7" t="n">
        <x:f>(A10*L10+M10*'設定と出典'!$B$31)/60*'設定と出典'!$B$29</x:f>
        <x:v>6666.666666666667</x:v>
      </x:c>
      <x:c r="AI10" s="7" t="n">
        <x:f>'設定と出典'!$B$30*'設定と出典'!$B$29</x:f>
        <x:v>8000</x:v>
      </x:c>
      <x:c r="AJ10" s="7" t="n">
        <x:f>T10-SUM(AF10:AI10)</x:f>
        <x:v>15357.86113727415</x:v>
      </x:c>
      <x:c r="AK10" s="7" t="n">
        <x:f>AJ10-T10*'設定と出典'!$B$32</x:f>
        <x:v>-9642.13886272585</x:v>
      </x:c>
      <x:c r="AL10" s="7" t="n">
        <x:f>AJ10-A10*MIN(E10,AV10)*'設定と出典'!$B$32</x:f>
        <x:v>10357.86113727415</x:v>
      </x:c>
      <x:c r="AM10" s="8" t="n">
        <x:f>AJ10/T10</x:f>
        <x:v>0.307157222745483</x:v>
      </x:c>
      <x:c r="AN10" s="8" t="n">
        <x:f>AK10/T10</x:f>
        <x:v>-0.19284277725451698</x:v>
      </x:c>
      <x:c r="AO10" s="8" t="n">
        <x:f>AJ10/T10</x:f>
        <x:v>0.307157222745483</x:v>
      </x:c>
      <x:c r="AP10" s="8" t="n">
        <x:f>AO10-'設定と出典'!$B$33</x:f>
        <x:v>0.107157222745483</x:v>
      </x:c>
      <x:c r="AQ10" s="9" t="n">
        <x:f>SUM(W10:AD10)/N10</x:f>
        <x:v>0.9116256944082346</x:v>
      </x:c>
      <x:c r="AR10" s="9" t="n">
        <x:f>MAX(0,(E10*(1-'設定と出典'!$B$28-'設定と出典'!$B$32)-(U10+V10+AH10+AI10+AE10)/A10)/AQ10)</x:f>
        <x:v>0</x:v>
      </x:c>
      <x:c r="AS10" s="9" t="n">
        <x:f>MAX(0,(E10*(1-'設定と出典'!$B$28 )-(U10+V10+AH10+AI10+AE10)/A10)/AQ10)</x:f>
        <x:v>2084.6674278134988</x:v>
      </x:c>
      <x:c r="AT10" s="9" t="n">
        <x:f>MAX(0,(E10*(1-'設定と出典'!$B$28)-MIN(E10,AV10)*'設定と出典'!$B$32-(U10+V10+AH10+AI10+AE10)/A10)/AQ10)</x:f>
        <x:v>1536.1967088913361</x:v>
      </x:c>
      <x:c r="AU10" s="9" t="n">
        <x:f>IF((T10*(1-'設定と出典'!$B$28-'設定と出典'!$B$32)-(AF10-AE10)-AH10)&lt;=0,"成立せず",(AE10+AI10)/((T10*(1-'設定と出典'!$B$28-'設定と出典'!$B$32)-(AF10-AE10)-AH10)/A10))</x:f>
        <x:v>18.043943574509345</x:v>
      </x:c>
      <x:c r="AV10" s="9" t="n">
        <x:f>'設定と出典'!D52</x:f>
        <x:v>1000</x:v>
      </x:c>
      <x:c r="AW10" s="9" t="n">
        <x:f>IF(1-'設定と出典'!$B$28-'設定と出典'!$B$32-'設定と出典'!$B$33&lt;=0,0,MAX(0,MIN(E10,(AK10/A10-E10*'設定と出典'!$B$33)/(1-'設定と出典'!$B$28-'設定と出典'!$B$32-'設定と出典'!$B$33))))</x:f>
        <x:v>0</x:v>
      </x:c>
      <x:c r="AX10" s="1"/>
      <x:c r="AY10" s="1"/>
      <x:c r="AZ10" s="1"/>
      <x:c r="BA10" s="1"/>
    </x:row>
    <x:row r="11" ht="22" customHeight="1">
      <x:c r="A11" s="1" t="n">
        <x:v>10</x:v>
      </x:c>
      <x:c r="B11" s="1" t="str">
        <x:f>'設定と出典'!A52</x:f>
        <x:v>Business</x:v>
      </x:c>
      <x:c r="C11" s="1" t="str">
        <x:f>'設定と出典'!A59</x:f>
        <x:v>高位</x:v>
      </x:c>
      <x:c r="D11" s="1" t="n">
        <x:f>'設定と出典'!B52</x:f>
        <x:v>20</x:v>
      </x:c>
      <x:c r="E11" s="1" t="n">
        <x:f>'設定と出典'!C52</x:f>
        <x:v>5000</x:v>
      </x:c>
      <x:c r="F11" s="1" t="n">
        <x:f>'設定と出典'!B59</x:f>
        <x:v>80</x:v>
      </x:c>
      <x:c r="G11" s="1" t="n">
        <x:f>'設定と出典'!C59</x:f>
        <x:v>3</x:v>
      </x:c>
      <x:c r="H11" s="1" t="n">
        <x:f>'設定と出典'!D59</x:f>
        <x:v>50</x:v>
      </x:c>
      <x:c r="I11" s="1" t="n">
        <x:f>'設定と出典'!E59</x:f>
        <x:v>2</x:v>
      </x:c>
      <x:c r="J11" s="1" t="n">
        <x:f>'設定と出典'!F59</x:f>
        <x:v>2.5</x:v>
      </x:c>
      <x:c r="K11" s="1" t="n">
        <x:f>'設定と出典'!G59</x:f>
        <x:v>5</x:v>
      </x:c>
      <x:c r="L11" s="1" t="n">
        <x:f>'設定と出典'!H59</x:f>
        <x:v>20</x:v>
      </x:c>
      <x:c r="M11" s="1" t="n">
        <x:f>A11*D11</x:f>
        <x:v>200</x:v>
      </x:c>
      <x:c r="N11" s="1" t="n">
        <x:f>M11*F11</x:f>
        <x:v>16000</x:v>
      </x:c>
      <x:c r="O11" s="1" t="n">
        <x:f>N11*G11</x:f>
        <x:v>48000</x:v>
      </x:c>
      <x:c r="P11" s="1" t="n">
        <x:f>O11*H11/1024</x:f>
        <x:v>2343.75</x:v>
      </x:c>
      <x:c r="Q11" s="1" t="n">
        <x:f>P11*I11</x:f>
        <x:v>4687.5</x:v>
      </x:c>
      <x:c r="R11" s="1" t="n">
        <x:f>P11*('設定と出典'!$B$34+'設定と出典'!$B$35)/'設定と出典'!$B$7</x:f>
        <x:v>2187.5</x:v>
      </x:c>
      <x:c r="S11" s="1" t="n">
        <x:f>O11*K11</x:f>
        <x:v>240000</x:v>
      </x:c>
      <x:c r="T11" s="7" t="n">
        <x:f>A11*E11</x:f>
        <x:v>50000</x:v>
      </x:c>
      <x:c r="U11" s="7" t="n">
        <x:f>A11*'設定と出典'!$B$26</x:f>
        <x:v>500</x:v>
      </x:c>
      <x:c r="V11" s="7" t="n">
        <x:f>M11*'設定と出典'!$B$27</x:f>
        <x:v>400</x:v>
      </x:c>
      <x:c r="W11" s="7" t="n">
        <x:f>(N11*'設定と出典'!$B$36+S11)*('設定と出典'!$B$43*'設定と出典'!$B$8+'設定と出典'!$B$44*'設定と出典'!$B$9)*'設定と出典'!$B$12*'設定と出典'!$B$6</x:f>
        <x:v>999.732094081288</x:v>
      </x:c>
      <x:c r="X11" s="7" t="n">
        <x:f>N11*I11*'設定と出典'!$B$37*('設定と出典'!$B$45*'設定と出典'!$B$8+'設定と出典'!$B$46*'設定と出典'!$B$9)*'設定と出典'!$B$12*'設定と出典'!$B$6</x:f>
        <x:v>26.136786773367007</x:v>
      </x:c>
      <x:c r="Y11" s="7" t="n">
        <x:f>MAX(0,S11*('設定と出典'!$B$13*'設定と出典'!$B$8+'設定と出典'!$B$14*'設定と出典'!$B$9)-MIN(S11,'設定と出典'!$B$7*86400*'設定と出典'!$B$15)*('設定と出典'!$B$13*'設定と出典'!$B$10+'設定と出典'!$B$14*'設定と出典'!$B$11))*'設定と出典'!$B$12*'設定と出典'!$B$6</x:f>
        <x:v>832.706821806687</x:v>
      </x:c>
      <x:c r="Z11" s="7" t="n">
        <x:f>O11*('設定と出典'!$B$41*'設定と出典'!$B$18+('設定と出典'!$B$42+I11)*'設定と出典'!$B$19)/1000*'設定と出典'!$B$6</x:f>
        <x:v>47.52</x:v>
      </x:c>
      <x:c r="AA11" s="7" t="n">
        <x:f>N11*(1+J11)*'設定と出典'!$B$21</x:f>
        <x:v>5600</x:v>
      </x:c>
      <x:c r="AB11" s="7" t="n">
        <x:f>N11*'設定と出典'!$B$40/1048576*'設定と出典'!$B$20*'設定と出典'!$B$6+N11*'設定と出典'!$B$39/1000000*'設定と出典'!$B$38*'設定と出典'!$B$6</x:f>
        <x:v>21.41291015625</x:v>
      </x:c>
      <x:c r="AC11" s="7" t="n">
        <x:f>R11*'設定と出典'!$B$16*'設定と出典'!$B$6</x:f>
        <x:v>8203.125</x:v>
      </x:c>
      <x:c r="AD11" s="7" t="n">
        <x:f>Q11*'設定と出典'!$B$17*'設定と出典'!$B$6</x:f>
        <x:v>84375</x:v>
      </x:c>
      <x:c r="AE11" s="7" t="n">
        <x:f>'設定と出典'!B63</x:f>
        <x:v>13628.969418426243</x:v>
      </x:c>
      <x:c r="AF11" s="7" t="n">
        <x:f>SUM(U11:AE11)</x:f>
        <x:v>114634.60303124384</x:v>
      </x:c>
      <x:c r="AG11" s="7" t="n">
        <x:f>T11*'設定と出典'!$B$28</x:f>
        <x:v>1799.9999999999998</x:v>
      </x:c>
      <x:c r="AH11" s="7" t="n">
        <x:f>(A11*L11+M11*'設定と出典'!$B$31)/60*'設定と出典'!$B$29</x:f>
        <x:v>14666.666666666666</x:v>
      </x:c>
      <x:c r="AI11" s="7" t="n">
        <x:f>'設定と出典'!$B$30*'設定と出典'!$B$29</x:f>
        <x:v>8000</x:v>
      </x:c>
      <x:c r="AJ11" s="7" t="n">
        <x:f>T11-SUM(AF11:AI11)</x:f>
        <x:v>-89101.2696979105</x:v>
      </x:c>
      <x:c r="AK11" s="7" t="n">
        <x:f>AJ11-T11*'設定と出典'!$B$32</x:f>
        <x:v>-114101.2696979105</x:v>
      </x:c>
      <x:c r="AL11" s="7" t="n">
        <x:f>AJ11-A11*MIN(E11,AV11)*'設定と出典'!$B$32</x:f>
        <x:v>-94101.2696979105</x:v>
      </x:c>
      <x:c r="AM11" s="8" t="n">
        <x:f>AJ11/T11</x:f>
        <x:v>-1.7820253939582098</x:v>
      </x:c>
      <x:c r="AN11" s="8" t="n">
        <x:f>AK11/T11</x:f>
        <x:v>-2.28202539395821</x:v>
      </x:c>
      <x:c r="AO11" s="8" t="n">
        <x:f>AJ11/T11</x:f>
        <x:v>-1.7820253939582098</x:v>
      </x:c>
      <x:c r="AP11" s="8" t="n">
        <x:f>AO11-'設定と出典'!$B$33</x:f>
        <x:v>-1.9820253939582098</x:v>
      </x:c>
      <x:c r="AQ11" s="9" t="n">
        <x:f>SUM(W11:AD11)/N11</x:f>
        <x:v>6.256602100801099</x:v>
      </x:c>
      <x:c r="AR11" s="9" t="n">
        <x:f>MAX(0,(E11*(1-'設定と出典'!$B$28-'設定と出典'!$B$32)-(U11+V11+AH11+AI11+AE11)/A11)/AQ11)</x:f>
        <x:v>0</x:v>
      </x:c>
      <x:c r="AS11" s="9" t="n">
        <x:f>MAX(0,(E11*(1-'設定と出典'!$B$28 )-(U11+V11+AH11+AI11+AE11)/A11)/AQ11)</x:f>
        <x:v>175.88402998327302</x:v>
      </x:c>
      <x:c r="AT11" s="9" t="n">
        <x:f>MAX(0,(E11*(1-'設定と出典'!$B$28)-MIN(E11,AV11)*'設定と出典'!$B$32-(U11+V11+AH11+AI11+AE11)/A11)/AQ11)</x:f>
        <x:v>95.968447700043</x:v>
      </x:c>
      <x:c r="AU11" s="9" t="str">
        <x:f>IF((T11*(1-'設定と出典'!$B$28-'設定と出典'!$B$32)-(AF11-AE11)-AH11)&lt;=0,"成立せず",(AE11+AI11)/((T11*(1-'設定と出典'!$B$28-'設定と出典'!$B$32)-(AF11-AE11)-AH11)/A11))</x:f>
        <x:v>成立せず</x:v>
      </x:c>
      <x:c r="AV11" s="9" t="n">
        <x:f>'設定と出典'!D52</x:f>
        <x:v>1000</x:v>
      </x:c>
      <x:c r="AW11" s="9" t="n">
        <x:f>IF(1-'設定と出典'!$B$28-'設定と出典'!$B$32-'設定と出典'!$B$33&lt;=0,0,MAX(0,MIN(E11,(AK11/A11-E11*'設定と出典'!$B$33)/(1-'設定と出典'!$B$28-'設定と出典'!$B$32-'設定と出典'!$B$33))))</x:f>
        <x:v>0</x:v>
      </x:c>
      <x:c r="AX11" s="1"/>
      <x:c r="AY11" s="1"/>
      <x:c r="AZ11" s="1"/>
      <x:c r="BA11" s="1"/>
    </x:row>
    <x:row r="12" ht="22" customHeight="1">
      <x:c r="A12" s="1" t="n">
        <x:v>10</x:v>
      </x:c>
      <x:c r="B12" s="1" t="str">
        <x:f>'設定と出典'!A53</x:f>
        <x:v>Business Plus</x:v>
      </x:c>
      <x:c r="C12" s="1" t="str">
        <x:f>'設定と出典'!A57</x:f>
        <x:v>低位</x:v>
      </x:c>
      <x:c r="D12" s="1" t="n">
        <x:f>'設定と出典'!B53</x:f>
        <x:v>50</x:v>
      </x:c>
      <x:c r="E12" s="1" t="n">
        <x:f>'設定と出典'!C53</x:f>
        <x:v>8000</x:v>
      </x:c>
      <x:c r="F12" s="1" t="n">
        <x:f>'設定と出典'!B57</x:f>
        <x:v>5</x:v>
      </x:c>
      <x:c r="G12" s="1" t="n">
        <x:f>'設定と出典'!C57</x:f>
        <x:v>1</x:v>
      </x:c>
      <x:c r="H12" s="1" t="n">
        <x:f>'設定と出典'!D57</x:f>
        <x:v>2</x:v>
      </x:c>
      <x:c r="I12" s="1" t="n">
        <x:f>'設定と出典'!E57</x:f>
        <x:v>1</x:v>
      </x:c>
      <x:c r="J12" s="1" t="n">
        <x:f>'設定と出典'!F57</x:f>
        <x:v>1.1</x:v>
      </x:c>
      <x:c r="K12" s="1" t="n">
        <x:f>'設定と出典'!G57</x:f>
        <x:v>1</x:v>
      </x:c>
      <x:c r="L12" s="1" t="n">
        <x:f>'設定と出典'!H57</x:f>
        <x:v>3</x:v>
      </x:c>
      <x:c r="M12" s="1" t="n">
        <x:f>A12*D12</x:f>
        <x:v>500</x:v>
      </x:c>
      <x:c r="N12" s="1" t="n">
        <x:f>M12*F12</x:f>
        <x:v>2500</x:v>
      </x:c>
      <x:c r="O12" s="1" t="n">
        <x:f>N12*G12</x:f>
        <x:v>2500</x:v>
      </x:c>
      <x:c r="P12" s="1" t="n">
        <x:f>O12*H12/1024</x:f>
        <x:v>4.8828125</x:v>
      </x:c>
      <x:c r="Q12" s="1" t="n">
        <x:f>P12*I12</x:f>
        <x:v>4.8828125</x:v>
      </x:c>
      <x:c r="R12" s="1" t="n">
        <x:f>P12*('設定と出典'!$B$34+'設定と出典'!$B$35)/'設定と出典'!$B$7</x:f>
        <x:v>4.557291666666667</x:v>
      </x:c>
      <x:c r="S12" s="1" t="n">
        <x:f>O12*K12</x:f>
        <x:v>2500</x:v>
      </x:c>
      <x:c r="T12" s="7" t="n">
        <x:f>A12*E12</x:f>
        <x:v>80000</x:v>
      </x:c>
      <x:c r="U12" s="7" t="n">
        <x:f>A12*'設定と出典'!$B$26</x:f>
        <x:v>500</x:v>
      </x:c>
      <x:c r="V12" s="7" t="n">
        <x:f>M12*'設定と出典'!$B$27</x:f>
        <x:v>1000</x:v>
      </x:c>
      <x:c r="W12" s="7" t="n">
        <x:f>(N12*'設定と出典'!$B$36+S12)*('設定と出典'!$B$43*'設定と出典'!$B$8+'設定と出典'!$B$44*'設定と出典'!$B$9)*'設定と出典'!$B$12*'設定と出典'!$B$6</x:f>
        <x:v>13.272587033350435</x:v>
      </x:c>
      <x:c r="X12" s="7" t="n">
        <x:f>N12*I12*'設定と出典'!$B$37*('設定と出典'!$B$45*'設定と出典'!$B$8+'設定と出典'!$B$46*'設定と出典'!$B$9)*'設定と出典'!$B$12*'設定と出典'!$B$6</x:f>
        <x:v>2.0419364666692976</x:v>
      </x:c>
      <x:c r="Y12" s="7" t="n">
        <x:f>MAX(0,S12*('設定と出典'!$B$13*'設定と出典'!$B$8+'設定と出典'!$B$14*'設定と出典'!$B$9)-MIN(S12,'設定と出典'!$B$7*86400*'設定と出典'!$B$15)*('設定と出典'!$B$13*'設定と出典'!$B$10+'設定と出典'!$B$14*'設定と出典'!$B$11))*'設定と出典'!$B$12*'設定と出典'!$B$6</x:f>
        <x:v>8.674029393819657</x:v>
      </x:c>
      <x:c r="Z12" s="7" t="n">
        <x:f>O12*('設定と出典'!$B$41*'設定と出典'!$B$18+('設定と出典'!$B$42+I12)*'設定と出典'!$B$19)/1000*'設定と出典'!$B$6</x:f>
        <x:v>2.325</x:v>
      </x:c>
      <x:c r="AA12" s="7" t="n">
        <x:f>N12*(1+J12)*'設定と出典'!$B$21</x:f>
        <x:v>525</x:v>
      </x:c>
      <x:c r="AB12" s="7" t="n">
        <x:f>N12*'設定と出典'!$B$40/1048576*'設定と出典'!$B$20*'設定と出典'!$B$6+N12*'設定と出典'!$B$39/1000000*'設定と出典'!$B$38*'設定と出典'!$B$6</x:f>
        <x:v>3.3457672119140627</x:v>
      </x:c>
      <x:c r="AC12" s="7" t="n">
        <x:f>R12*'設定と出典'!$B$16*'設定と出典'!$B$6</x:f>
        <x:v>17.089843750000004</x:v>
      </x:c>
      <x:c r="AD12" s="7" t="n">
        <x:f>Q12*'設定と出典'!$B$17*'設定と出典'!$B$6</x:f>
        <x:v>87.890625</x:v>
      </x:c>
      <x:c r="AE12" s="7" t="n">
        <x:f>'設定と出典'!B63</x:f>
        <x:v>13628.969418426243</x:v>
      </x:c>
      <x:c r="AF12" s="7" t="n">
        <x:f>SUM(U12:AE12)</x:f>
        <x:v>15788.609207281996</x:v>
      </x:c>
      <x:c r="AG12" s="7" t="n">
        <x:f>T12*'設定と出典'!$B$28</x:f>
        <x:v>2880</x:v>
      </x:c>
      <x:c r="AH12" s="7" t="n">
        <x:f>(A12*L12+M12*'設定と出典'!$B$31)/60*'設定と出典'!$B$29</x:f>
        <x:v>5333.333333333333</x:v>
      </x:c>
      <x:c r="AI12" s="7" t="n">
        <x:f>'設定と出典'!$B$30*'設定と出典'!$B$29</x:f>
        <x:v>8000</x:v>
      </x:c>
      <x:c r="AJ12" s="7" t="n">
        <x:f>T12-SUM(AF12:AI12)</x:f>
        <x:v>47998.05745938467</x:v>
      </x:c>
      <x:c r="AK12" s="7" t="n">
        <x:f>AJ12-T12*'設定と出典'!$B$32</x:f>
        <x:v>7998.057459384669</x:v>
      </x:c>
      <x:c r="AL12" s="7" t="n">
        <x:f>AJ12-A12*MIN(E12,AV12)*'設定と出典'!$B$32</x:f>
        <x:v>42998.05745938467</x:v>
      </x:c>
      <x:c r="AM12" s="8" t="n">
        <x:f>AJ12/T12</x:f>
        <x:v>0.5999757182423083</x:v>
      </x:c>
      <x:c r="AN12" s="8" t="n">
        <x:f>AK12/T12</x:f>
        <x:v>0.09997571824230836</x:v>
      </x:c>
      <x:c r="AO12" s="8" t="n">
        <x:f>AJ12/T12</x:f>
        <x:v>0.5999757182423083</x:v>
      </x:c>
      <x:c r="AP12" s="8" t="n">
        <x:f>AO12-'設定と出典'!$B$33</x:f>
        <x:v>0.3999757182423083</x:v>
      </x:c>
      <x:c r="AQ12" s="9" t="n">
        <x:f>SUM(W12:AD12)/N12</x:f>
        <x:v>0.2638559155423014</x:v>
      </x:c>
      <x:c r="AR12" s="9" t="n">
        <x:f>MAX(0,(E12*(1-'設定と出典'!$B$28-'設定と出典'!$B$32)-(U12+V12+AH12+AI12+AE12)/A12)/AQ12)</x:f>
        <x:v>3281.221582789345</x:v>
      </x:c>
      <x:c r="AS12" s="9" t="n">
        <x:f>MAX(0,(E12*(1-'設定と出典'!$B$28 )-(U12+V12+AH12+AI12+AE12)/A12)/AQ12)</x:f>
        <x:v>18441.010559962077</x:v>
      </x:c>
      <x:c r="AT12" s="9" t="n">
        <x:f>MAX(0,(E12*(1-'設定と出典'!$B$28)-MIN(E12,AV12)*'設定と出典'!$B$32-(U12+V12+AH12+AI12+AE12)/A12)/AQ12)</x:f>
        <x:v>16546.036937815483</x:v>
      </x:c>
      <x:c r="AU12" s="9" t="n">
        <x:f>IF((T12*(1-'設定と出典'!$B$28-'設定と出典'!$B$32)-(AF12-AE12)-AH12)&lt;=0,"成立せず",(AE12+AI12)/((T12*(1-'設定と出典'!$B$28-'設定と出典'!$B$32)-(AF12-AE12)-AH12)/A12))</x:f>
        <x:v>7.300418468457664</x:v>
      </x:c>
      <x:c r="AV12" s="9" t="n">
        <x:f>'設定と出典'!D53</x:f>
        <x:v>1000</x:v>
      </x:c>
      <x:c r="AW12" s="9" t="n">
        <x:f>IF(1-'設定と出典'!$B$28-'設定と出典'!$B$32-'設定と出典'!$B$33&lt;=0,0,MAX(0,MIN(E12,(AK12/A12-E12*'設定と出典'!$B$33)/(1-'設定と出典'!$B$28-'設定と出典'!$B$32-'設定と出典'!$B$33))))</x:f>
        <x:v>0</x:v>
      </x:c>
      <x:c r="AX12" s="1"/>
      <x:c r="AY12" s="1"/>
      <x:c r="AZ12" s="1"/>
      <x:c r="BA12" s="1"/>
    </x:row>
    <x:row r="13" ht="22" customHeight="1">
      <x:c r="A13" s="1" t="n">
        <x:v>10</x:v>
      </x:c>
      <x:c r="B13" s="1" t="str">
        <x:f>'設定と出典'!A53</x:f>
        <x:v>Business Plus</x:v>
      </x:c>
      <x:c r="C13" s="1" t="str">
        <x:f>'設定と出典'!A58</x:f>
        <x:v>標準</x:v>
      </x:c>
      <x:c r="D13" s="1" t="n">
        <x:f>'設定と出典'!B53</x:f>
        <x:v>50</x:v>
      </x:c>
      <x:c r="E13" s="1" t="n">
        <x:f>'設定と出典'!C53</x:f>
        <x:v>8000</x:v>
      </x:c>
      <x:c r="F13" s="1" t="n">
        <x:f>'設定と出典'!B58</x:f>
        <x:v>20</x:v>
      </x:c>
      <x:c r="G13" s="1" t="n">
        <x:f>'設定と出典'!C58</x:f>
        <x:v>2</x:v>
      </x:c>
      <x:c r="H13" s="1" t="n">
        <x:f>'設定と出典'!D58</x:f>
        <x:v>10</x:v>
      </x:c>
      <x:c r="I13" s="1" t="n">
        <x:f>'設定と出典'!E58</x:f>
        <x:v>1.5</x:v>
      </x:c>
      <x:c r="J13" s="1" t="n">
        <x:f>'設定と出典'!F58</x:f>
        <x:v>1.8</x:v>
      </x:c>
      <x:c r="K13" s="1" t="n">
        <x:f>'設定と出典'!G58</x:f>
        <x:v>2</x:v>
      </x:c>
      <x:c r="L13" s="1" t="n">
        <x:f>'設定と出典'!H58</x:f>
        <x:v>8</x:v>
      </x:c>
      <x:c r="M13" s="1" t="n">
        <x:f>A13*D13</x:f>
        <x:v>500</x:v>
      </x:c>
      <x:c r="N13" s="1" t="n">
        <x:f>M13*F13</x:f>
        <x:v>10000</x:v>
      </x:c>
      <x:c r="O13" s="1" t="n">
        <x:f>N13*G13</x:f>
        <x:v>20000</x:v>
      </x:c>
      <x:c r="P13" s="1" t="n">
        <x:f>O13*H13/1024</x:f>
        <x:v>195.3125</x:v>
      </x:c>
      <x:c r="Q13" s="1" t="n">
        <x:f>P13*I13</x:f>
        <x:v>292.96875</x:v>
      </x:c>
      <x:c r="R13" s="1" t="n">
        <x:f>P13*('設定と出典'!$B$34+'設定と出典'!$B$35)/'設定と出典'!$B$7</x:f>
        <x:v>182.29166666666666</x:v>
      </x:c>
      <x:c r="S13" s="1" t="n">
        <x:f>O13*K13</x:f>
        <x:v>40000</x:v>
      </x:c>
      <x:c r="T13" s="7" t="n">
        <x:f>A13*E13</x:f>
        <x:v>80000</x:v>
      </x:c>
      <x:c r="U13" s="7" t="n">
        <x:f>A13*'設定と出典'!$B$26</x:f>
        <x:v>500</x:v>
      </x:c>
      <x:c r="V13" s="7" t="n">
        <x:f>M13*'設定と出典'!$B$27</x:f>
        <x:v>1000</x:v>
      </x:c>
      <x:c r="W13" s="7" t="n">
        <x:f>(N13*'設定と出典'!$B$36+S13)*('設定と出典'!$B$43*'設定と出典'!$B$8+'設定と出典'!$B$44*'設定と出典'!$B$9)*'設定と出典'!$B$12*'設定と出典'!$B$6</x:f>
        <x:v>175.60653613355956</x:v>
      </x:c>
      <x:c r="X13" s="7" t="n">
        <x:f>N13*I13*'設定と出典'!$B$37*('設定と出典'!$B$45*'設定と出典'!$B$8+'設定と出典'!$B$46*'設定と出典'!$B$9)*'設定と出典'!$B$12*'設定と出典'!$B$6</x:f>
        <x:v>12.251618800015784</x:v>
      </x:c>
      <x:c r="Y13" s="7" t="n">
        <x:f>MAX(0,S13*('設定と出典'!$B$13*'設定と出典'!$B$8+'設定と出典'!$B$14*'設定と出典'!$B$9)-MIN(S13,'設定と出典'!$B$7*86400*'設定と出典'!$B$15)*('設定と出典'!$B$13*'設定と出典'!$B$10+'設定と出典'!$B$14*'設定と出典'!$B$11))*'設定と出典'!$B$12*'設定と出典'!$B$6</x:f>
        <x:v>138.7844703011145</x:v>
      </x:c>
      <x:c r="Z13" s="7" t="n">
        <x:f>O13*('設定と出典'!$B$41*'設定と出典'!$B$18+('設定と出典'!$B$42+I13)*'設定と出典'!$B$19)/1000*'設定と出典'!$B$6</x:f>
        <x:v>19.2</x:v>
      </x:c>
      <x:c r="AA13" s="7" t="n">
        <x:f>N13*(1+J13)*'設定と出典'!$B$21</x:f>
        <x:v>2800</x:v>
      </x:c>
      <x:c r="AB13" s="7" t="n">
        <x:f>N13*'設定と出典'!$B$40/1048576*'設定と出典'!$B$20*'設定と出典'!$B$6+N13*'設定と出典'!$B$39/1000000*'設定と出典'!$B$38*'設定と出典'!$B$6</x:f>
        <x:v>13.38306884765625</x:v>
      </x:c>
      <x:c r="AC13" s="7" t="n">
        <x:f>R13*'設定と出典'!$B$16*'設定と出典'!$B$6</x:f>
        <x:v>683.59375</x:v>
      </x:c>
      <x:c r="AD13" s="7" t="n">
        <x:f>Q13*'設定と出典'!$B$17*'設定と出典'!$B$6</x:f>
        <x:v>5273.4375</x:v>
      </x:c>
      <x:c r="AE13" s="7" t="n">
        <x:f>'設定と出典'!B63</x:f>
        <x:v>13628.969418426243</x:v>
      </x:c>
      <x:c r="AF13" s="7" t="n">
        <x:f>SUM(U13:AE13)</x:f>
        <x:v>24245.22636250859</x:v>
      </x:c>
      <x:c r="AG13" s="7" t="n">
        <x:f>T13*'設定と出典'!$B$28</x:f>
        <x:v>2880</x:v>
      </x:c>
      <x:c r="AH13" s="7" t="n">
        <x:f>(A13*L13+M13*'設定と出典'!$B$31)/60*'設定と出典'!$B$29</x:f>
        <x:v>8666.666666666666</x:v>
      </x:c>
      <x:c r="AI13" s="7" t="n">
        <x:f>'設定と出典'!$B$30*'設定と出典'!$B$29</x:f>
        <x:v>8000</x:v>
      </x:c>
      <x:c r="AJ13" s="7" t="n">
        <x:f>T13-SUM(AF13:AI13)</x:f>
        <x:v>36208.106970824745</x:v>
      </x:c>
      <x:c r="AK13" s="7" t="n">
        <x:f>AJ13-T13*'設定と出典'!$B$32</x:f>
        <x:v>-3791.893029175255</x:v>
      </x:c>
      <x:c r="AL13" s="7" t="n">
        <x:f>AJ13-A13*MIN(E13,AV13)*'設定と出典'!$B$32</x:f>
        <x:v>31208.106970824745</x:v>
      </x:c>
      <x:c r="AM13" s="8" t="n">
        <x:f>AJ13/T13</x:f>
        <x:v>0.4526013371353093</x:v>
      </x:c>
      <x:c r="AN13" s="8" t="n">
        <x:f>AK13/T13</x:f>
        <x:v>-0.04739866286469069</x:v>
      </x:c>
      <x:c r="AO13" s="8" t="n">
        <x:f>AJ13/T13</x:f>
        <x:v>0.4526013371353093</x:v>
      </x:c>
      <x:c r="AP13" s="8" t="n">
        <x:f>AO13-'設定と出典'!$B$33</x:f>
        <x:v>0.2526013371353093</x:v>
      </x:c>
      <x:c r="AQ13" s="9" t="n">
        <x:f>SUM(W13:AD13)/N13</x:f>
        <x:v>0.9116256944082346</x:v>
      </x:c>
      <x:c r="AR13" s="9" t="n">
        <x:f>MAX(0,(E13*(1-'設定と出典'!$B$28-'設定と出典'!$B$32)-(U13+V13+AH13+AI13+AE13)/A13)/AQ13)</x:f>
        <x:v>584.0515408424621</x:v>
      </x:c>
      <x:c r="AS13" s="9" t="n">
        <x:f>MAX(0,(E13*(1-'設定と出典'!$B$28 )-(U13+V13+AH13+AI13+AE13)/A13)/AQ13)</x:f>
        <x:v>4971.817292219763</x:v>
      </x:c>
      <x:c r="AT13" s="9" t="n">
        <x:f>MAX(0,(E13*(1-'設定と出典'!$B$28)-MIN(E13,AV13)*'設定と出典'!$B$32-(U13+V13+AH13+AI13+AE13)/A13)/AQ13)</x:f>
        <x:v>4423.3465732976</x:v>
      </x:c>
      <x:c r="AU13" s="9" t="n">
        <x:f>IF((T13*(1-'設定と出典'!$B$28-'設定と出典'!$B$32)-(AF13-AE13)-AH13)&lt;=0,"成立せず",(AE13+AI13)/((T13*(1-'設定と出典'!$B$28-'設定と出典'!$B$32)-(AF13-AE13)-AH13)/A13))</x:f>
        <x:v>12.12584896001249</x:v>
      </x:c>
      <x:c r="AV13" s="9" t="n">
        <x:f>'設定と出典'!D53</x:f>
        <x:v>1000</x:v>
      </x:c>
      <x:c r="AW13" s="9" t="n">
        <x:f>IF(1-'設定と出典'!$B$28-'設定と出典'!$B$32-'設定と出典'!$B$33&lt;=0,0,MAX(0,MIN(E13,(AK13/A13-E13*'設定と出典'!$B$33)/(1-'設定と出典'!$B$28-'設定と出典'!$B$32-'設定と出典'!$B$33))))</x:f>
        <x:v>0</x:v>
      </x:c>
      <x:c r="AX13" s="1"/>
      <x:c r="AY13" s="1"/>
      <x:c r="AZ13" s="1"/>
      <x:c r="BA13" s="1"/>
    </x:row>
    <x:row r="14" ht="22" customHeight="1">
      <x:c r="A14" s="1" t="n">
        <x:v>10</x:v>
      </x:c>
      <x:c r="B14" s="1" t="str">
        <x:f>'設定と出典'!A53</x:f>
        <x:v>Business Plus</x:v>
      </x:c>
      <x:c r="C14" s="1" t="str">
        <x:f>'設定と出典'!A59</x:f>
        <x:v>高位</x:v>
      </x:c>
      <x:c r="D14" s="1" t="n">
        <x:f>'設定と出典'!B53</x:f>
        <x:v>50</x:v>
      </x:c>
      <x:c r="E14" s="1" t="n">
        <x:f>'設定と出典'!C53</x:f>
        <x:v>8000</x:v>
      </x:c>
      <x:c r="F14" s="1" t="n">
        <x:f>'設定と出典'!B59</x:f>
        <x:v>80</x:v>
      </x:c>
      <x:c r="G14" s="1" t="n">
        <x:f>'設定と出典'!C59</x:f>
        <x:v>3</x:v>
      </x:c>
      <x:c r="H14" s="1" t="n">
        <x:f>'設定と出典'!D59</x:f>
        <x:v>50</x:v>
      </x:c>
      <x:c r="I14" s="1" t="n">
        <x:f>'設定と出典'!E59</x:f>
        <x:v>2</x:v>
      </x:c>
      <x:c r="J14" s="1" t="n">
        <x:f>'設定と出典'!F59</x:f>
        <x:v>2.5</x:v>
      </x:c>
      <x:c r="K14" s="1" t="n">
        <x:f>'設定と出典'!G59</x:f>
        <x:v>5</x:v>
      </x:c>
      <x:c r="L14" s="1" t="n">
        <x:f>'設定と出典'!H59</x:f>
        <x:v>20</x:v>
      </x:c>
      <x:c r="M14" s="1" t="n">
        <x:f>A14*D14</x:f>
        <x:v>500</x:v>
      </x:c>
      <x:c r="N14" s="1" t="n">
        <x:f>M14*F14</x:f>
        <x:v>40000</x:v>
      </x:c>
      <x:c r="O14" s="1" t="n">
        <x:f>N14*G14</x:f>
        <x:v>120000</x:v>
      </x:c>
      <x:c r="P14" s="1" t="n">
        <x:f>O14*H14/1024</x:f>
        <x:v>5859.375</x:v>
      </x:c>
      <x:c r="Q14" s="1" t="n">
        <x:f>P14*I14</x:f>
        <x:v>11718.75</x:v>
      </x:c>
      <x:c r="R14" s="1" t="n">
        <x:f>P14*('設定と出典'!$B$34+'設定と出典'!$B$35)/'設定と出典'!$B$7</x:f>
        <x:v>5468.75</x:v>
      </x:c>
      <x:c r="S14" s="1" t="n">
        <x:f>O14*K14</x:f>
        <x:v>600000</x:v>
      </x:c>
      <x:c r="T14" s="7" t="n">
        <x:f>A14*E14</x:f>
        <x:v>80000</x:v>
      </x:c>
      <x:c r="U14" s="7" t="n">
        <x:f>A14*'設定と出典'!$B$26</x:f>
        <x:v>500</x:v>
      </x:c>
      <x:c r="V14" s="7" t="n">
        <x:f>M14*'設定と出典'!$B$27</x:f>
        <x:v>1000</x:v>
      </x:c>
      <x:c r="W14" s="7" t="n">
        <x:f>(N14*'設定と出典'!$B$36+S14)*('設定と出典'!$B$43*'設定と出典'!$B$8+'設定と出典'!$B$44*'設定と出典'!$B$9)*'設定と出典'!$B$12*'設定と出典'!$B$6</x:f>
        <x:v>2499.3302352032197</x:v>
      </x:c>
      <x:c r="X14" s="7" t="n">
        <x:f>N14*I14*'設定と出典'!$B$37*('設定と出典'!$B$45*'設定と出典'!$B$8+'設定と出典'!$B$46*'設定と出典'!$B$9)*'設定と出典'!$B$12*'設定と出典'!$B$6</x:f>
        <x:v>65.34196693341752</x:v>
      </x:c>
      <x:c r="Y14" s="7" t="n">
        <x:f>MAX(0,S14*('設定と出典'!$B$13*'設定と出典'!$B$8+'設定と出典'!$B$14*'設定と出典'!$B$9)-MIN(S14,'設定と出典'!$B$7*86400*'設定と出典'!$B$15)*('設定と出典'!$B$13*'設定と出典'!$B$10+'設定と出典'!$B$14*'設定と出典'!$B$11))*'設定と出典'!$B$12*'設定と出典'!$B$6</x:f>
        <x:v>2081.7670545167175</x:v>
      </x:c>
      <x:c r="Z14" s="7" t="n">
        <x:f>O14*('設定と出典'!$B$41*'設定と出典'!$B$18+('設定と出典'!$B$42+I14)*'設定と出典'!$B$19)/1000*'設定と出典'!$B$6</x:f>
        <x:v>118.80000000000001</x:v>
      </x:c>
      <x:c r="AA14" s="7" t="n">
        <x:f>N14*(1+J14)*'設定と出典'!$B$21</x:f>
        <x:v>14000</x:v>
      </x:c>
      <x:c r="AB14" s="7" t="n">
        <x:f>N14*'設定と出典'!$B$40/1048576*'設定と出典'!$B$20*'設定と出典'!$B$6+N14*'設定と出典'!$B$39/1000000*'設定と出典'!$B$38*'設定と出典'!$B$6</x:f>
        <x:v>53.532275390625</x:v>
      </x:c>
      <x:c r="AC14" s="7" t="n">
        <x:f>R14*'設定と出典'!$B$16*'設定と出典'!$B$6</x:f>
        <x:v>20507.8125</x:v>
      </x:c>
      <x:c r="AD14" s="7" t="n">
        <x:f>Q14*'設定と出典'!$B$17*'設定と出典'!$B$6</x:f>
        <x:v>210937.5</x:v>
      </x:c>
      <x:c r="AE14" s="7" t="n">
        <x:f>'設定と出典'!B63</x:f>
        <x:v>13628.969418426243</x:v>
      </x:c>
      <x:c r="AF14" s="7" t="n">
        <x:f>SUM(U14:AE14)</x:f>
        <x:v>265393.0534504702</x:v>
      </x:c>
      <x:c r="AG14" s="7" t="n">
        <x:f>T14*'設定と出典'!$B$28</x:f>
        <x:v>2880</x:v>
      </x:c>
      <x:c r="AH14" s="7" t="n">
        <x:f>(A14*L14+M14*'設定と出典'!$B$31)/60*'設定と出典'!$B$29</x:f>
        <x:v>16666.666666666668</x:v>
      </x:c>
      <x:c r="AI14" s="7" t="n">
        <x:f>'設定と出典'!$B$30*'設定と出典'!$B$29</x:f>
        <x:v>8000</x:v>
      </x:c>
      <x:c r="AJ14" s="7" t="n">
        <x:f>T14-SUM(AF14:AI14)</x:f>
        <x:v>-212939.7201171369</x:v>
      </x:c>
      <x:c r="AK14" s="7" t="n">
        <x:f>AJ14-T14*'設定と出典'!$B$32</x:f>
        <x:v>-252939.7201171369</x:v>
      </x:c>
      <x:c r="AL14" s="7" t="n">
        <x:f>AJ14-A14*MIN(E14,AV14)*'設定と出典'!$B$32</x:f>
        <x:v>-217939.7201171369</x:v>
      </x:c>
      <x:c r="AM14" s="8" t="n">
        <x:f>AJ14/T14</x:f>
        <x:v>-2.661746501464211</x:v>
      </x:c>
      <x:c r="AN14" s="8" t="n">
        <x:f>AK14/T14</x:f>
        <x:v>-3.161746501464211</x:v>
      </x:c>
      <x:c r="AO14" s="8" t="n">
        <x:f>AJ14/T14</x:f>
        <x:v>-2.661746501464211</x:v>
      </x:c>
      <x:c r="AP14" s="8" t="n">
        <x:f>AO14-'設定と出典'!$B$33</x:f>
        <x:v>-2.861746501464211</x:v>
      </x:c>
      <x:c r="AQ14" s="9" t="n">
        <x:f>SUM(W14:AD14)/N14</x:f>
        <x:v>6.2566021008011</x:v>
      </x:c>
      <x:c r="AR14" s="9" t="n">
        <x:f>MAX(0,(E14*(1-'設定と出典'!$B$28-'設定と出典'!$B$32)-(U14+V14+AH14+AI14+AE14)/A14)/AQ14)</x:f>
        <x:v>0</x:v>
      </x:c>
      <x:c r="AS14" s="9" t="n">
        <x:f>MAX(0,(E14*(1-'設定と出典'!$B$28 )-(U14+V14+AH14+AI14+AE14)/A14)/AQ14)</x:f>
        <x:v>596.5596551221956</x:v>
      </x:c>
      <x:c r="AT14" s="9" t="n">
        <x:f>MAX(0,(E14*(1-'設定と出典'!$B$28)-MIN(E14,AV14)*'設定と出典'!$B$32-(U14+V14+AH14+AI14+AE14)/A14)/AQ14)</x:f>
        <x:v>516.6440728389656</x:v>
      </x:c>
      <x:c r="AU14" s="9" t="str">
        <x:f>IF((T14*(1-'設定と出典'!$B$28-'設定と出典'!$B$32)-(AF14-AE14)-AH14)&lt;=0,"成立せず",(AE14+AI14)/((T14*(1-'設定と出典'!$B$28-'設定と出典'!$B$32)-(AF14-AE14)-AH14)/A14))</x:f>
        <x:v>成立せず</x:v>
      </x:c>
      <x:c r="AV14" s="9" t="n">
        <x:f>'設定と出典'!D53</x:f>
        <x:v>1000</x:v>
      </x:c>
      <x:c r="AW14" s="9" t="n">
        <x:f>IF(1-'設定と出典'!$B$28-'設定と出典'!$B$32-'設定と出典'!$B$33&lt;=0,0,MAX(0,MIN(E14,(AK14/A14-E14*'設定と出典'!$B$33)/(1-'設定と出典'!$B$28-'設定と出典'!$B$32-'設定と出典'!$B$33))))</x:f>
        <x:v>0</x:v>
      </x:c>
      <x:c r="AX14" s="1"/>
      <x:c r="AY14" s="1"/>
      <x:c r="AZ14" s="1"/>
      <x:c r="BA14" s="1"/>
    </x:row>
    <x:row r="15" ht="22" customHeight="1">
      <x:c r="A15" s="1" t="n">
        <x:v>100</x:v>
      </x:c>
      <x:c r="B15" s="1" t="str">
        <x:f>'設定と出典'!A51</x:f>
        <x:v>Starter</x:v>
      </x:c>
      <x:c r="C15" s="1" t="str">
        <x:f>'設定と出典'!A57</x:f>
        <x:v>低位</x:v>
      </x:c>
      <x:c r="D15" s="1" t="n">
        <x:f>'設定と出典'!B51</x:f>
        <x:v>5</x:v>
      </x:c>
      <x:c r="E15" s="1" t="n">
        <x:f>'設定と出典'!C51</x:f>
        <x:v>3000</x:v>
      </x:c>
      <x:c r="F15" s="1" t="n">
        <x:f>'設定と出典'!B57</x:f>
        <x:v>5</x:v>
      </x:c>
      <x:c r="G15" s="1" t="n">
        <x:f>'設定と出典'!C57</x:f>
        <x:v>1</x:v>
      </x:c>
      <x:c r="H15" s="1" t="n">
        <x:f>'設定と出典'!D57</x:f>
        <x:v>2</x:v>
      </x:c>
      <x:c r="I15" s="1" t="n">
        <x:f>'設定と出典'!E57</x:f>
        <x:v>1</x:v>
      </x:c>
      <x:c r="J15" s="1" t="n">
        <x:f>'設定と出典'!F57</x:f>
        <x:v>1.1</x:v>
      </x:c>
      <x:c r="K15" s="1" t="n">
        <x:f>'設定と出典'!G57</x:f>
        <x:v>1</x:v>
      </x:c>
      <x:c r="L15" s="1" t="n">
        <x:f>'設定と出典'!H57</x:f>
        <x:v>3</x:v>
      </x:c>
      <x:c r="M15" s="1" t="n">
        <x:f>A15*D15</x:f>
        <x:v>500</x:v>
      </x:c>
      <x:c r="N15" s="1" t="n">
        <x:f>M15*F15</x:f>
        <x:v>2500</x:v>
      </x:c>
      <x:c r="O15" s="1" t="n">
        <x:f>N15*G15</x:f>
        <x:v>2500</x:v>
      </x:c>
      <x:c r="P15" s="1" t="n">
        <x:f>O15*H15/1024</x:f>
        <x:v>4.8828125</x:v>
      </x:c>
      <x:c r="Q15" s="1" t="n">
        <x:f>P15*I15</x:f>
        <x:v>4.8828125</x:v>
      </x:c>
      <x:c r="R15" s="1" t="n">
        <x:f>P15*('設定と出典'!$B$34+'設定と出典'!$B$35)/'設定と出典'!$B$7</x:f>
        <x:v>4.557291666666667</x:v>
      </x:c>
      <x:c r="S15" s="1" t="n">
        <x:f>O15*K15</x:f>
        <x:v>2500</x:v>
      </x:c>
      <x:c r="T15" s="7" t="n">
        <x:f>A15*E15</x:f>
        <x:v>300000</x:v>
      </x:c>
      <x:c r="U15" s="7" t="n">
        <x:f>A15*'設定と出典'!$B$26</x:f>
        <x:v>5000</x:v>
      </x:c>
      <x:c r="V15" s="7" t="n">
        <x:f>M15*'設定と出典'!$B$27</x:f>
        <x:v>1000</x:v>
      </x:c>
      <x:c r="W15" s="7" t="n">
        <x:f>(N15*'設定と出典'!$B$36+S15)*('設定と出典'!$B$43*'設定と出典'!$B$8+'設定と出典'!$B$44*'設定と出典'!$B$9)*'設定と出典'!$B$12*'設定と出典'!$B$6</x:f>
        <x:v>13.272587033350435</x:v>
      </x:c>
      <x:c r="X15" s="7" t="n">
        <x:f>N15*I15*'設定と出典'!$B$37*('設定と出典'!$B$45*'設定と出典'!$B$8+'設定と出典'!$B$46*'設定と出典'!$B$9)*'設定と出典'!$B$12*'設定と出典'!$B$6</x:f>
        <x:v>2.0419364666692976</x:v>
      </x:c>
      <x:c r="Y15" s="7" t="n">
        <x:f>MAX(0,S15*('設定と出典'!$B$13*'設定と出典'!$B$8+'設定と出典'!$B$14*'設定と出典'!$B$9)-MIN(S15,'設定と出典'!$B$7*86400*'設定と出典'!$B$15)*('設定と出典'!$B$13*'設定と出典'!$B$10+'設定と出典'!$B$14*'設定と出典'!$B$11))*'設定と出典'!$B$12*'設定と出典'!$B$6</x:f>
        <x:v>8.674029393819657</x:v>
      </x:c>
      <x:c r="Z15" s="7" t="n">
        <x:f>O15*('設定と出典'!$B$41*'設定と出典'!$B$18+('設定と出典'!$B$42+I15)*'設定と出典'!$B$19)/1000*'設定と出典'!$B$6</x:f>
        <x:v>2.325</x:v>
      </x:c>
      <x:c r="AA15" s="7" t="n">
        <x:f>N15*(1+J15)*'設定と出典'!$B$21</x:f>
        <x:v>525</x:v>
      </x:c>
      <x:c r="AB15" s="7" t="n">
        <x:f>N15*'設定と出典'!$B$40/1048576*'設定と出典'!$B$20*'設定と出典'!$B$6+N15*'設定と出典'!$B$39/1000000*'設定と出典'!$B$38*'設定と出典'!$B$6</x:f>
        <x:v>3.3457672119140627</x:v>
      </x:c>
      <x:c r="AC15" s="7" t="n">
        <x:f>R15*'設定と出典'!$B$16*'設定と出典'!$B$6</x:f>
        <x:v>17.089843750000004</x:v>
      </x:c>
      <x:c r="AD15" s="7" t="n">
        <x:f>Q15*'設定と出典'!$B$17*'設定と出典'!$B$6</x:f>
        <x:v>87.890625</x:v>
      </x:c>
      <x:c r="AE15" s="7" t="n">
        <x:f>'設定と出典'!B63</x:f>
        <x:v>13628.969418426243</x:v>
      </x:c>
      <x:c r="AF15" s="7" t="n">
        <x:f>SUM(U15:AE15)</x:f>
        <x:v>20288.609207281996</x:v>
      </x:c>
      <x:c r="AG15" s="7" t="n">
        <x:f>T15*'設定と出典'!$B$28</x:f>
        <x:v>10800</x:v>
      </x:c>
      <x:c r="AH15" s="7" t="n">
        <x:f>(A15*L15+M15*'設定と出典'!$B$31)/60*'設定と出典'!$B$29</x:f>
        <x:v>23333.333333333332</x:v>
      </x:c>
      <x:c r="AI15" s="7" t="n">
        <x:f>'設定と出典'!$B$30*'設定と出典'!$B$29</x:f>
        <x:v>8000</x:v>
      </x:c>
      <x:c r="AJ15" s="7" t="n">
        <x:f>T15-SUM(AF15:AI15)</x:f>
        <x:v>237578.05745938467</x:v>
      </x:c>
      <x:c r="AK15" s="7" t="n">
        <x:f>AJ15-T15*'設定と出典'!$B$32</x:f>
        <x:v>87578.05745938467</x:v>
      </x:c>
      <x:c r="AL15" s="7" t="n">
        <x:f>AJ15-A15*MIN(E15,AV15)*'設定と出典'!$B$32</x:f>
        <x:v>187578.05745938467</x:v>
      </x:c>
      <x:c r="AM15" s="8" t="n">
        <x:f>AJ15/T15</x:f>
        <x:v>0.791926858197949</x:v>
      </x:c>
      <x:c r="AN15" s="8" t="n">
        <x:f>AK15/T15</x:f>
        <x:v>0.2919268581979489</x:v>
      </x:c>
      <x:c r="AO15" s="8" t="n">
        <x:f>AJ15/T15</x:f>
        <x:v>0.791926858197949</x:v>
      </x:c>
      <x:c r="AP15" s="8" t="n">
        <x:f>AO15-'設定と出典'!$B$33</x:f>
        <x:v>0.5919268581979489</x:v>
      </x:c>
      <x:c r="AQ15" s="9" t="n">
        <x:f>SUM(W15:AD15)/N15</x:f>
        <x:v>0.2638559155423014</x:v>
      </x:c>
      <x:c r="AR15" s="9" t="n">
        <x:f>MAX(0,(E15*(1-'設定と出典'!$B$28-'設定と出典'!$B$32)-(U15+V15+AH15+AI15+AE15)/A15)/AQ15)</x:f>
        <x:v>3344.16217528745</x:v>
      </x:c>
      <x:c r="AS15" s="9" t="n">
        <x:f>MAX(0,(E15*(1-'設定と出典'!$B$28 )-(U15+V15+AH15+AI15+AE15)/A15)/AQ15)</x:f>
        <x:v>9029.083041727223</x:v>
      </x:c>
      <x:c r="AT15" s="9" t="n">
        <x:f>MAX(0,(E15*(1-'設定と出典'!$B$28)-MIN(E15,AV15)*'設定と出典'!$B$32-(U15+V15+AH15+AI15+AE15)/A15)/AQ15)</x:f>
        <x:v>7134.109419580632</x:v>
      </x:c>
      <x:c r="AU15" s="9" t="n">
        <x:f>IF((T15*(1-'設定と出典'!$B$28-'設定と出典'!$B$32)-(AF15-AE15)-AH15)&lt;=0,"成立せず",(AE15+AI15)/((T15*(1-'設定と出典'!$B$28-'設定と出典'!$B$32)-(AF15-AE15)-AH15)/A15))</x:f>
        <x:v>19.805474095203017</x:v>
      </x:c>
      <x:c r="AV15" s="9" t="n">
        <x:f>'設定と出典'!D51</x:f>
        <x:v>1000</x:v>
      </x:c>
      <x:c r="AW15" s="9" t="n">
        <x:f>IF(1-'設定と出典'!$B$28-'設定と出典'!$B$32-'設定と出典'!$B$33&lt;=0,0,MAX(0,MIN(E15,(AK15/A15-E15*'設定と出典'!$B$33)/(1-'設定と出典'!$B$28-'設定と出典'!$B$32-'設定と出典'!$B$33))))</x:f>
        <x:v>1044.623388613056</x:v>
      </x:c>
      <x:c r="AX15" s="1"/>
      <x:c r="AY15" s="1"/>
      <x:c r="AZ15" s="1"/>
      <x:c r="BA15" s="1"/>
    </x:row>
    <x:row r="16" ht="22" customHeight="1">
      <x:c r="A16" s="1" t="n">
        <x:v>100</x:v>
      </x:c>
      <x:c r="B16" s="1" t="str">
        <x:f>'設定と出典'!A51</x:f>
        <x:v>Starter</x:v>
      </x:c>
      <x:c r="C16" s="1" t="str">
        <x:f>'設定と出典'!A58</x:f>
        <x:v>標準</x:v>
      </x:c>
      <x:c r="D16" s="1" t="n">
        <x:f>'設定と出典'!B51</x:f>
        <x:v>5</x:v>
      </x:c>
      <x:c r="E16" s="1" t="n">
        <x:f>'設定と出典'!C51</x:f>
        <x:v>3000</x:v>
      </x:c>
      <x:c r="F16" s="1" t="n">
        <x:f>'設定と出典'!B58</x:f>
        <x:v>20</x:v>
      </x:c>
      <x:c r="G16" s="1" t="n">
        <x:f>'設定と出典'!C58</x:f>
        <x:v>2</x:v>
      </x:c>
      <x:c r="H16" s="1" t="n">
        <x:f>'設定と出典'!D58</x:f>
        <x:v>10</x:v>
      </x:c>
      <x:c r="I16" s="1" t="n">
        <x:f>'設定と出典'!E58</x:f>
        <x:v>1.5</x:v>
      </x:c>
      <x:c r="J16" s="1" t="n">
        <x:f>'設定と出典'!F58</x:f>
        <x:v>1.8</x:v>
      </x:c>
      <x:c r="K16" s="1" t="n">
        <x:f>'設定と出典'!G58</x:f>
        <x:v>2</x:v>
      </x:c>
      <x:c r="L16" s="1" t="n">
        <x:f>'設定と出典'!H58</x:f>
        <x:v>8</x:v>
      </x:c>
      <x:c r="M16" s="1" t="n">
        <x:f>A16*D16</x:f>
        <x:v>500</x:v>
      </x:c>
      <x:c r="N16" s="1" t="n">
        <x:f>M16*F16</x:f>
        <x:v>10000</x:v>
      </x:c>
      <x:c r="O16" s="1" t="n">
        <x:f>N16*G16</x:f>
        <x:v>20000</x:v>
      </x:c>
      <x:c r="P16" s="1" t="n">
        <x:f>O16*H16/1024</x:f>
        <x:v>195.3125</x:v>
      </x:c>
      <x:c r="Q16" s="1" t="n">
        <x:f>P16*I16</x:f>
        <x:v>292.96875</x:v>
      </x:c>
      <x:c r="R16" s="1" t="n">
        <x:f>P16*('設定と出典'!$B$34+'設定と出典'!$B$35)/'設定と出典'!$B$7</x:f>
        <x:v>182.29166666666666</x:v>
      </x:c>
      <x:c r="S16" s="1" t="n">
        <x:f>O16*K16</x:f>
        <x:v>40000</x:v>
      </x:c>
      <x:c r="T16" s="7" t="n">
        <x:f>A16*E16</x:f>
        <x:v>300000</x:v>
      </x:c>
      <x:c r="U16" s="7" t="n">
        <x:f>A16*'設定と出典'!$B$26</x:f>
        <x:v>5000</x:v>
      </x:c>
      <x:c r="V16" s="7" t="n">
        <x:f>M16*'設定と出典'!$B$27</x:f>
        <x:v>1000</x:v>
      </x:c>
      <x:c r="W16" s="7" t="n">
        <x:f>(N16*'設定と出典'!$B$36+S16)*('設定と出典'!$B$43*'設定と出典'!$B$8+'設定と出典'!$B$44*'設定と出典'!$B$9)*'設定と出典'!$B$12*'設定と出典'!$B$6</x:f>
        <x:v>175.60653613355956</x:v>
      </x:c>
      <x:c r="X16" s="7" t="n">
        <x:f>N16*I16*'設定と出典'!$B$37*('設定と出典'!$B$45*'設定と出典'!$B$8+'設定と出典'!$B$46*'設定と出典'!$B$9)*'設定と出典'!$B$12*'設定と出典'!$B$6</x:f>
        <x:v>12.251618800015784</x:v>
      </x:c>
      <x:c r="Y16" s="7" t="n">
        <x:f>MAX(0,S16*('設定と出典'!$B$13*'設定と出典'!$B$8+'設定と出典'!$B$14*'設定と出典'!$B$9)-MIN(S16,'設定と出典'!$B$7*86400*'設定と出典'!$B$15)*('設定と出典'!$B$13*'設定と出典'!$B$10+'設定と出典'!$B$14*'設定と出典'!$B$11))*'設定と出典'!$B$12*'設定と出典'!$B$6</x:f>
        <x:v>138.7844703011145</x:v>
      </x:c>
      <x:c r="Z16" s="7" t="n">
        <x:f>O16*('設定と出典'!$B$41*'設定と出典'!$B$18+('設定と出典'!$B$42+I16)*'設定と出典'!$B$19)/1000*'設定と出典'!$B$6</x:f>
        <x:v>19.2</x:v>
      </x:c>
      <x:c r="AA16" s="7" t="n">
        <x:f>N16*(1+J16)*'設定と出典'!$B$21</x:f>
        <x:v>2800</x:v>
      </x:c>
      <x:c r="AB16" s="7" t="n">
        <x:f>N16*'設定と出典'!$B$40/1048576*'設定と出典'!$B$20*'設定と出典'!$B$6+N16*'設定と出典'!$B$39/1000000*'設定と出典'!$B$38*'設定と出典'!$B$6</x:f>
        <x:v>13.38306884765625</x:v>
      </x:c>
      <x:c r="AC16" s="7" t="n">
        <x:f>R16*'設定と出典'!$B$16*'設定と出典'!$B$6</x:f>
        <x:v>683.59375</x:v>
      </x:c>
      <x:c r="AD16" s="7" t="n">
        <x:f>Q16*'設定と出典'!$B$17*'設定と出典'!$B$6</x:f>
        <x:v>5273.4375</x:v>
      </x:c>
      <x:c r="AE16" s="7" t="n">
        <x:f>'設定と出典'!B63</x:f>
        <x:v>13628.969418426243</x:v>
      </x:c>
      <x:c r="AF16" s="7" t="n">
        <x:f>SUM(U16:AE16)</x:f>
        <x:v>28745.226362508587</x:v>
      </x:c>
      <x:c r="AG16" s="7" t="n">
        <x:f>T16*'設定と出典'!$B$28</x:f>
        <x:v>10800</x:v>
      </x:c>
      <x:c r="AH16" s="7" t="n">
        <x:f>(A16*L16+M16*'設定と出典'!$B$31)/60*'設定と出典'!$B$29</x:f>
        <x:v>56666.666666666664</x:v>
      </x:c>
      <x:c r="AI16" s="7" t="n">
        <x:f>'設定と出典'!$B$30*'設定と出典'!$B$29</x:f>
        <x:v>8000</x:v>
      </x:c>
      <x:c r="AJ16" s="7" t="n">
        <x:f>T16-SUM(AF16:AI16)</x:f>
        <x:v>195788.10697082474</x:v>
      </x:c>
      <x:c r="AK16" s="7" t="n">
        <x:f>AJ16-T16*'設定と出典'!$B$32</x:f>
        <x:v>45788.10697082474</x:v>
      </x:c>
      <x:c r="AL16" s="7" t="n">
        <x:f>AJ16-A16*MIN(E16,AV16)*'設定と出典'!$B$32</x:f>
        <x:v>145788.10697082474</x:v>
      </x:c>
      <x:c r="AM16" s="8" t="n">
        <x:f>AJ16/T16</x:f>
        <x:v>0.6526270232360825</x:v>
      </x:c>
      <x:c r="AN16" s="8" t="n">
        <x:f>AK16/T16</x:f>
        <x:v>0.15262702323608246</x:v>
      </x:c>
      <x:c r="AO16" s="8" t="n">
        <x:f>AJ16/T16</x:f>
        <x:v>0.6526270232360825</x:v>
      </x:c>
      <x:c r="AP16" s="8" t="n">
        <x:f>AO16-'設定と出典'!$B$33</x:f>
        <x:v>0.45262702323608245</x:v>
      </x:c>
      <x:c r="AQ16" s="9" t="n">
        <x:f>SUM(W16:AD16)/N16</x:f>
        <x:v>0.9116256944082346</x:v>
      </x:c>
      <x:c r="AR16" s="9" t="n">
        <x:f>MAX(0,(E16*(1-'設定と出典'!$B$28-'設定と出典'!$B$32)-(U16+V16+AH16+AI16+AE16)/A16)/AQ16)</x:f>
        <x:v>602.2687189674625</x:v>
      </x:c>
      <x:c r="AS16" s="9" t="n">
        <x:f>MAX(0,(E16*(1-'設定と出典'!$B$28 )-(U16+V16+AH16+AI16+AE16)/A16)/AQ16)</x:f>
        <x:v>2247.68087573395</x:v>
      </x:c>
      <x:c r="AT16" s="9" t="n">
        <x:f>MAX(0,(E16*(1-'設定と出典'!$B$28)-MIN(E16,AV16)*'設定と出典'!$B$32-(U16+V16+AH16+AI16+AE16)/A16)/AQ16)</x:f>
        <x:v>1699.2101568117876</x:v>
      </x:c>
      <x:c r="AU16" s="9" t="n">
        <x:f>IF((T16*(1-'設定と出典'!$B$28-'設定と出典'!$B$32)-(AF16-AE16)-AH16)&lt;=0,"成立せず",(AE16+AI16)/((T16*(1-'設定と出典'!$B$28-'設定と出典'!$B$32)-(AF16-AE16)-AH16)/A16))</x:f>
        <x:v>32.082330734049414</x:v>
      </x:c>
      <x:c r="AV16" s="9" t="n">
        <x:f>'設定と出典'!D51</x:f>
        <x:v>1000</x:v>
      </x:c>
      <x:c r="AW16" s="9" t="n">
        <x:f>IF(1-'設定と出典'!$B$28-'設定と出典'!$B$32-'設定と出典'!$B$33&lt;=0,0,MAX(0,MIN(E16,(AK16/A16-E16*'設定と出典'!$B$33)/(1-'設定と出典'!$B$28-'設定と出典'!$B$32-'設定と出典'!$B$33))))</x:f>
        <x:v>0</x:v>
      </x:c>
      <x:c r="AX16" s="1"/>
      <x:c r="AY16" s="1"/>
      <x:c r="AZ16" s="1"/>
      <x:c r="BA16" s="1"/>
    </x:row>
    <x:row r="17" ht="22" customHeight="1">
      <x:c r="A17" s="1" t="n">
        <x:v>100</x:v>
      </x:c>
      <x:c r="B17" s="1" t="str">
        <x:f>'設定と出典'!A51</x:f>
        <x:v>Starter</x:v>
      </x:c>
      <x:c r="C17" s="1" t="str">
        <x:f>'設定と出典'!A59</x:f>
        <x:v>高位</x:v>
      </x:c>
      <x:c r="D17" s="1" t="n">
        <x:f>'設定と出典'!B51</x:f>
        <x:v>5</x:v>
      </x:c>
      <x:c r="E17" s="1" t="n">
        <x:f>'設定と出典'!C51</x:f>
        <x:v>3000</x:v>
      </x:c>
      <x:c r="F17" s="1" t="n">
        <x:f>'設定と出典'!B59</x:f>
        <x:v>80</x:v>
      </x:c>
      <x:c r="G17" s="1" t="n">
        <x:f>'設定と出典'!C59</x:f>
        <x:v>3</x:v>
      </x:c>
      <x:c r="H17" s="1" t="n">
        <x:f>'設定と出典'!D59</x:f>
        <x:v>50</x:v>
      </x:c>
      <x:c r="I17" s="1" t="n">
        <x:f>'設定と出典'!E59</x:f>
        <x:v>2</x:v>
      </x:c>
      <x:c r="J17" s="1" t="n">
        <x:f>'設定と出典'!F59</x:f>
        <x:v>2.5</x:v>
      </x:c>
      <x:c r="K17" s="1" t="n">
        <x:f>'設定と出典'!G59</x:f>
        <x:v>5</x:v>
      </x:c>
      <x:c r="L17" s="1" t="n">
        <x:f>'設定と出典'!H59</x:f>
        <x:v>20</x:v>
      </x:c>
      <x:c r="M17" s="1" t="n">
        <x:f>A17*D17</x:f>
        <x:v>500</x:v>
      </x:c>
      <x:c r="N17" s="1" t="n">
        <x:f>M17*F17</x:f>
        <x:v>40000</x:v>
      </x:c>
      <x:c r="O17" s="1" t="n">
        <x:f>N17*G17</x:f>
        <x:v>120000</x:v>
      </x:c>
      <x:c r="P17" s="1" t="n">
        <x:f>O17*H17/1024</x:f>
        <x:v>5859.375</x:v>
      </x:c>
      <x:c r="Q17" s="1" t="n">
        <x:f>P17*I17</x:f>
        <x:v>11718.75</x:v>
      </x:c>
      <x:c r="R17" s="1" t="n">
        <x:f>P17*('設定と出典'!$B$34+'設定と出典'!$B$35)/'設定と出典'!$B$7</x:f>
        <x:v>5468.75</x:v>
      </x:c>
      <x:c r="S17" s="1" t="n">
        <x:f>O17*K17</x:f>
        <x:v>600000</x:v>
      </x:c>
      <x:c r="T17" s="7" t="n">
        <x:f>A17*E17</x:f>
        <x:v>300000</x:v>
      </x:c>
      <x:c r="U17" s="7" t="n">
        <x:f>A17*'設定と出典'!$B$26</x:f>
        <x:v>5000</x:v>
      </x:c>
      <x:c r="V17" s="7" t="n">
        <x:f>M17*'設定と出典'!$B$27</x:f>
        <x:v>1000</x:v>
      </x:c>
      <x:c r="W17" s="7" t="n">
        <x:f>(N17*'設定と出典'!$B$36+S17)*('設定と出典'!$B$43*'設定と出典'!$B$8+'設定と出典'!$B$44*'設定と出典'!$B$9)*'設定と出典'!$B$12*'設定と出典'!$B$6</x:f>
        <x:v>2499.3302352032197</x:v>
      </x:c>
      <x:c r="X17" s="7" t="n">
        <x:f>N17*I17*'設定と出典'!$B$37*('設定と出典'!$B$45*'設定と出典'!$B$8+'設定と出典'!$B$46*'設定と出典'!$B$9)*'設定と出典'!$B$12*'設定と出典'!$B$6</x:f>
        <x:v>65.34196693341752</x:v>
      </x:c>
      <x:c r="Y17" s="7" t="n">
        <x:f>MAX(0,S17*('設定と出典'!$B$13*'設定と出典'!$B$8+'設定と出典'!$B$14*'設定と出典'!$B$9)-MIN(S17,'設定と出典'!$B$7*86400*'設定と出典'!$B$15)*('設定と出典'!$B$13*'設定と出典'!$B$10+'設定と出典'!$B$14*'設定と出典'!$B$11))*'設定と出典'!$B$12*'設定と出典'!$B$6</x:f>
        <x:v>2081.7670545167175</x:v>
      </x:c>
      <x:c r="Z17" s="7" t="n">
        <x:f>O17*('設定と出典'!$B$41*'設定と出典'!$B$18+('設定と出典'!$B$42+I17)*'設定と出典'!$B$19)/1000*'設定と出典'!$B$6</x:f>
        <x:v>118.80000000000001</x:v>
      </x:c>
      <x:c r="AA17" s="7" t="n">
        <x:f>N17*(1+J17)*'設定と出典'!$B$21</x:f>
        <x:v>14000</x:v>
      </x:c>
      <x:c r="AB17" s="7" t="n">
        <x:f>N17*'設定と出典'!$B$40/1048576*'設定と出典'!$B$20*'設定と出典'!$B$6+N17*'設定と出典'!$B$39/1000000*'設定と出典'!$B$38*'設定と出典'!$B$6</x:f>
        <x:v>53.532275390625</x:v>
      </x:c>
      <x:c r="AC17" s="7" t="n">
        <x:f>R17*'設定と出典'!$B$16*'設定と出典'!$B$6</x:f>
        <x:v>20507.8125</x:v>
      </x:c>
      <x:c r="AD17" s="7" t="n">
        <x:f>Q17*'設定と出典'!$B$17*'設定と出典'!$B$6</x:f>
        <x:v>210937.5</x:v>
      </x:c>
      <x:c r="AE17" s="7" t="n">
        <x:f>'設定と出典'!B63</x:f>
        <x:v>13628.969418426243</x:v>
      </x:c>
      <x:c r="AF17" s="7" t="n">
        <x:f>SUM(U17:AE17)</x:f>
        <x:v>269893.0534504702</x:v>
      </x:c>
      <x:c r="AG17" s="7" t="n">
        <x:f>T17*'設定と出典'!$B$28</x:f>
        <x:v>10800</x:v>
      </x:c>
      <x:c r="AH17" s="7" t="n">
        <x:f>(A17*L17+M17*'設定と出典'!$B$31)/60*'設定と出典'!$B$29</x:f>
        <x:v>136666.66666666666</x:v>
      </x:c>
      <x:c r="AI17" s="7" t="n">
        <x:f>'設定と出典'!$B$30*'設定と出典'!$B$29</x:f>
        <x:v>8000</x:v>
      </x:c>
      <x:c r="AJ17" s="7" t="n">
        <x:f>T17-SUM(AF17:AI17)</x:f>
        <x:v>-125359.72011713684</x:v>
      </x:c>
      <x:c r="AK17" s="7" t="n">
        <x:f>AJ17-T17*'設定と出典'!$B$32</x:f>
        <x:v>-275359.72011713684</x:v>
      </x:c>
      <x:c r="AL17" s="7" t="n">
        <x:f>AJ17-A17*MIN(E17,AV17)*'設定と出典'!$B$32</x:f>
        <x:v>-175359.72011713684</x:v>
      </x:c>
      <x:c r="AM17" s="8" t="n">
        <x:f>AJ17/T17</x:f>
        <x:v>-0.41786573372378943</x:v>
      </x:c>
      <x:c r="AN17" s="8" t="n">
        <x:f>AK17/T17</x:f>
        <x:v>-0.9178657337237894</x:v>
      </x:c>
      <x:c r="AO17" s="8" t="n">
        <x:f>AJ17/T17</x:f>
        <x:v>-0.41786573372378943</x:v>
      </x:c>
      <x:c r="AP17" s="8" t="n">
        <x:f>AO17-'設定と出典'!$B$33</x:f>
        <x:v>-0.6178657337237894</x:v>
      </x:c>
      <x:c r="AQ17" s="9" t="n">
        <x:f>SUM(W17:AD17)/N17</x:f>
        <x:v>6.2566021008011</x:v>
      </x:c>
      <x:c r="AR17" s="9" t="n">
        <x:f>MAX(0,(E17*(1-'設定と出典'!$B$28-'設定と出典'!$B$32)-(U17+V17+AH17+AI17+AE17)/A17)/AQ17)</x:f>
        <x:v>0</x:v>
      </x:c>
      <x:c r="AS17" s="9" t="n">
        <x:f>MAX(0,(E17*(1-'設定と出典'!$B$28 )-(U17+V17+AH17+AI17+AE17)/A17)/AQ17)</x:f>
        <x:v>199.63609943952525</x:v>
      </x:c>
      <x:c r="AT17" s="9" t="n">
        <x:f>MAX(0,(E17*(1-'設定と出典'!$B$28)-MIN(E17,AV17)*'設定と出典'!$B$32-(U17+V17+AH17+AI17+AE17)/A17)/AQ17)</x:f>
        <x:v>119.72051715629524</x:v>
      </x:c>
      <x:c r="AU17" s="9" t="str">
        <x:f>IF((T17*(1-'設定と出典'!$B$28-'設定と出典'!$B$32)-(AF17-AE17)-AH17)&lt;=0,"成立せず",(AE17+AI17)/((T17*(1-'設定と出典'!$B$28-'設定と出典'!$B$32)-(AF17-AE17)-AH17)/A17))</x:f>
        <x:v>成立せず</x:v>
      </x:c>
      <x:c r="AV17" s="9" t="n">
        <x:f>'設定と出典'!D51</x:f>
        <x:v>1000</x:v>
      </x:c>
      <x:c r="AW17" s="9" t="n">
        <x:f>IF(1-'設定と出典'!$B$28-'設定と出典'!$B$32-'設定と出典'!$B$33&lt;=0,0,MAX(0,MIN(E17,(AK17/A17-E17*'設定と出典'!$B$33)/(1-'設定と出典'!$B$28-'設定と出典'!$B$32-'設定と出典'!$B$33))))</x:f>
        <x:v>0</x:v>
      </x:c>
      <x:c r="AX17" s="1"/>
      <x:c r="AY17" s="1"/>
      <x:c r="AZ17" s="1"/>
      <x:c r="BA17" s="1"/>
    </x:row>
    <x:row r="18" ht="22" customHeight="1">
      <x:c r="A18" s="1" t="n">
        <x:v>100</x:v>
      </x:c>
      <x:c r="B18" s="1" t="str">
        <x:f>'設定と出典'!A52</x:f>
        <x:v>Business</x:v>
      </x:c>
      <x:c r="C18" s="1" t="str">
        <x:f>'設定と出典'!A57</x:f>
        <x:v>低位</x:v>
      </x:c>
      <x:c r="D18" s="1" t="n">
        <x:f>'設定と出典'!B52</x:f>
        <x:v>20</x:v>
      </x:c>
      <x:c r="E18" s="1" t="n">
        <x:f>'設定と出典'!C52</x:f>
        <x:v>5000</x:v>
      </x:c>
      <x:c r="F18" s="1" t="n">
        <x:f>'設定と出典'!B57</x:f>
        <x:v>5</x:v>
      </x:c>
      <x:c r="G18" s="1" t="n">
        <x:f>'設定と出典'!C57</x:f>
        <x:v>1</x:v>
      </x:c>
      <x:c r="H18" s="1" t="n">
        <x:f>'設定と出典'!D57</x:f>
        <x:v>2</x:v>
      </x:c>
      <x:c r="I18" s="1" t="n">
        <x:f>'設定と出典'!E57</x:f>
        <x:v>1</x:v>
      </x:c>
      <x:c r="J18" s="1" t="n">
        <x:f>'設定と出典'!F57</x:f>
        <x:v>1.1</x:v>
      </x:c>
      <x:c r="K18" s="1" t="n">
        <x:f>'設定と出典'!G57</x:f>
        <x:v>1</x:v>
      </x:c>
      <x:c r="L18" s="1" t="n">
        <x:f>'設定と出典'!H57</x:f>
        <x:v>3</x:v>
      </x:c>
      <x:c r="M18" s="1" t="n">
        <x:f>A18*D18</x:f>
        <x:v>2000</x:v>
      </x:c>
      <x:c r="N18" s="1" t="n">
        <x:f>M18*F18</x:f>
        <x:v>10000</x:v>
      </x:c>
      <x:c r="O18" s="1" t="n">
        <x:f>N18*G18</x:f>
        <x:v>10000</x:v>
      </x:c>
      <x:c r="P18" s="1" t="n">
        <x:f>O18*H18/1024</x:f>
        <x:v>19.53125</x:v>
      </x:c>
      <x:c r="Q18" s="1" t="n">
        <x:f>P18*I18</x:f>
        <x:v>19.53125</x:v>
      </x:c>
      <x:c r="R18" s="1" t="n">
        <x:f>P18*('設定と出典'!$B$34+'設定と出典'!$B$35)/'設定と出典'!$B$7</x:f>
        <x:v>18.229166666666668</x:v>
      </x:c>
      <x:c r="S18" s="1" t="n">
        <x:f>O18*K18</x:f>
        <x:v>10000</x:v>
      </x:c>
      <x:c r="T18" s="7" t="n">
        <x:f>A18*E18</x:f>
        <x:v>500000</x:v>
      </x:c>
      <x:c r="U18" s="7" t="n">
        <x:f>A18*'設定と出典'!$B$26</x:f>
        <x:v>5000</x:v>
      </x:c>
      <x:c r="V18" s="7" t="n">
        <x:f>M18*'設定と出典'!$B$27</x:f>
        <x:v>4000</x:v>
      </x:c>
      <x:c r="W18" s="7" t="n">
        <x:f>(N18*'設定と出典'!$B$36+S18)*('設定と出典'!$B$43*'設定と出典'!$B$8+'設定と出典'!$B$44*'設定と出典'!$B$9)*'設定と出典'!$B$12*'設定と出典'!$B$6</x:f>
        <x:v>53.09034813340174</x:v>
      </x:c>
      <x:c r="X18" s="7" t="n">
        <x:f>N18*I18*'設定と出典'!$B$37*('設定と出典'!$B$45*'設定と出典'!$B$8+'設定と出典'!$B$46*'設定と出典'!$B$9)*'設定と出典'!$B$12*'設定と出典'!$B$6</x:f>
        <x:v>8.16774586667719</x:v>
      </x:c>
      <x:c r="Y18" s="7" t="n">
        <x:f>MAX(0,S18*('設定と出典'!$B$13*'設定と出典'!$B$8+'設定と出典'!$B$14*'設定と出典'!$B$9)-MIN(S18,'設定と出典'!$B$7*86400*'設定と出典'!$B$15)*('設定と出典'!$B$13*'設定と出典'!$B$10+'設定と出典'!$B$14*'設定と出典'!$B$11))*'設定と出典'!$B$12*'設定と出典'!$B$6</x:f>
        <x:v>34.69611757527863</x:v>
      </x:c>
      <x:c r="Z18" s="7" t="n">
        <x:f>O18*('設定と出典'!$B$41*'設定と出典'!$B$18+('設定と出典'!$B$42+I18)*'設定と出典'!$B$19)/1000*'設定と出典'!$B$6</x:f>
        <x:v>9.3</x:v>
      </x:c>
      <x:c r="AA18" s="7" t="n">
        <x:f>N18*(1+J18)*'設定と出典'!$B$21</x:f>
        <x:v>2100</x:v>
      </x:c>
      <x:c r="AB18" s="7" t="n">
        <x:f>N18*'設定と出典'!$B$40/1048576*'設定と出典'!$B$20*'設定と出典'!$B$6+N18*'設定と出典'!$B$39/1000000*'設定と出典'!$B$38*'設定と出典'!$B$6</x:f>
        <x:v>13.38306884765625</x:v>
      </x:c>
      <x:c r="AC18" s="7" t="n">
        <x:f>R18*'設定と出典'!$B$16*'設定と出典'!$B$6</x:f>
        <x:v>68.35937500000001</x:v>
      </x:c>
      <x:c r="AD18" s="7" t="n">
        <x:f>Q18*'設定と出典'!$B$17*'設定と出典'!$B$6</x:f>
        <x:v>351.5625</x:v>
      </x:c>
      <x:c r="AE18" s="7" t="n">
        <x:f>'設定と出典'!B63</x:f>
        <x:v>13628.969418426243</x:v>
      </x:c>
      <x:c r="AF18" s="7" t="n">
        <x:f>SUM(U18:AE18)</x:f>
        <x:v>25267.528573849253</x:v>
      </x:c>
      <x:c r="AG18" s="7" t="n">
        <x:f>T18*'設定と出典'!$B$28</x:f>
        <x:v>18000</x:v>
      </x:c>
      <x:c r="AH18" s="7" t="n">
        <x:f>(A18*L18+M18*'設定と出典'!$B$31)/60*'設定と出典'!$B$29</x:f>
        <x:v>33333.333333333336</x:v>
      </x:c>
      <x:c r="AI18" s="7" t="n">
        <x:f>'設定と出典'!$B$30*'設定と出典'!$B$29</x:f>
        <x:v>8000</x:v>
      </x:c>
      <x:c r="AJ18" s="7" t="n">
        <x:f>T18-SUM(AF18:AI18)</x:f>
        <x:v>415399.1380928174</x:v>
      </x:c>
      <x:c r="AK18" s="7" t="n">
        <x:f>AJ18-T18*'設定と出典'!$B$32</x:f>
        <x:v>165399.1380928174</x:v>
      </x:c>
      <x:c r="AL18" s="7" t="n">
        <x:f>AJ18-A18*MIN(E18,AV18)*'設定と出典'!$B$32</x:f>
        <x:v>365399.1380928174</x:v>
      </x:c>
      <x:c r="AM18" s="8" t="n">
        <x:f>AJ18/T18</x:f>
        <x:v>0.8307982761856347</x:v>
      </x:c>
      <x:c r="AN18" s="8" t="n">
        <x:f>AK18/T18</x:f>
        <x:v>0.3307982761856348</x:v>
      </x:c>
      <x:c r="AO18" s="8" t="n">
        <x:f>AJ18/T18</x:f>
        <x:v>0.8307982761856347</x:v>
      </x:c>
      <x:c r="AP18" s="8" t="n">
        <x:f>AO18-'設定と出典'!$B$33</x:f>
        <x:v>0.6307982761856348</x:v>
      </x:c>
      <x:c r="AQ18" s="9" t="n">
        <x:f>SUM(W18:AD18)/N18</x:f>
        <x:v>0.2638559155423014</x:v>
      </x:c>
      <x:c r="AR18" s="9" t="n">
        <x:f>MAX(0,(E18*(1-'設定と出典'!$B$28-'設定と出典'!$B$32)-(U18+V18+AH18+AI18+AE18)/A18)/AQ18)</x:f>
        <x:v>6368.540076233409</x:v>
      </x:c>
      <x:c r="AS18" s="9" t="n">
        <x:f>MAX(0,(E18*(1-'設定と出典'!$B$28 )-(U18+V18+AH18+AI18+AE18)/A18)/AQ18)</x:f>
        <x:v>15843.408186966366</x:v>
      </x:c>
      <x:c r="AT18" s="9" t="n">
        <x:f>MAX(0,(E18*(1-'設定と出典'!$B$28)-MIN(E18,AV18)*'設定と出典'!$B$32-(U18+V18+AH18+AI18+AE18)/A18)/AQ18)</x:f>
        <x:v>13948.434564819774</x:v>
      </x:c>
      <x:c r="AU18" s="9" t="n">
        <x:f>IF((T18*(1-'設定と出典'!$B$28-'設定と出典'!$B$32)-(AF18-AE18)-AH18)&lt;=0,"成立せず",(AE18+AI18)/((T18*(1-'設定と出典'!$B$28-'設定と出典'!$B$32)-(AF18-AE18)-AH18)/A18))</x:f>
        <x:v>11.564555566668485</x:v>
      </x:c>
      <x:c r="AV18" s="9" t="n">
        <x:f>'設定と出典'!D52</x:f>
        <x:v>1000</x:v>
      </x:c>
      <x:c r="AW18" s="9" t="n">
        <x:f>IF(1-'設定と出典'!$B$28-'設定と出典'!$B$32-'設定と出典'!$B$33&lt;=0,0,MAX(0,MIN(E18,(AK18/A18-E18*'設定と出典'!$B$33)/(1-'設定と出典'!$B$28-'設定と出典'!$B$32-'設定と出典'!$B$33))))</x:f>
        <x:v>2477.240079273386</x:v>
      </x:c>
      <x:c r="AX18" s="1"/>
      <x:c r="AY18" s="1"/>
      <x:c r="AZ18" s="1"/>
      <x:c r="BA18" s="1"/>
    </x:row>
    <x:row r="19" ht="22" customHeight="1">
      <x:c r="A19" s="1" t="n">
        <x:v>100</x:v>
      </x:c>
      <x:c r="B19" s="1" t="str">
        <x:f>'設定と出典'!A52</x:f>
        <x:v>Business</x:v>
      </x:c>
      <x:c r="C19" s="1" t="str">
        <x:f>'設定と出典'!A58</x:f>
        <x:v>標準</x:v>
      </x:c>
      <x:c r="D19" s="1" t="n">
        <x:f>'設定と出典'!B52</x:f>
        <x:v>20</x:v>
      </x:c>
      <x:c r="E19" s="1" t="n">
        <x:f>'設定と出典'!C52</x:f>
        <x:v>5000</x:v>
      </x:c>
      <x:c r="F19" s="1" t="n">
        <x:f>'設定と出典'!B58</x:f>
        <x:v>20</x:v>
      </x:c>
      <x:c r="G19" s="1" t="n">
        <x:f>'設定と出典'!C58</x:f>
        <x:v>2</x:v>
      </x:c>
      <x:c r="H19" s="1" t="n">
        <x:f>'設定と出典'!D58</x:f>
        <x:v>10</x:v>
      </x:c>
      <x:c r="I19" s="1" t="n">
        <x:f>'設定と出典'!E58</x:f>
        <x:v>1.5</x:v>
      </x:c>
      <x:c r="J19" s="1" t="n">
        <x:f>'設定と出典'!F58</x:f>
        <x:v>1.8</x:v>
      </x:c>
      <x:c r="K19" s="1" t="n">
        <x:f>'設定と出典'!G58</x:f>
        <x:v>2</x:v>
      </x:c>
      <x:c r="L19" s="1" t="n">
        <x:f>'設定と出典'!H58</x:f>
        <x:v>8</x:v>
      </x:c>
      <x:c r="M19" s="1" t="n">
        <x:f>A19*D19</x:f>
        <x:v>2000</x:v>
      </x:c>
      <x:c r="N19" s="1" t="n">
        <x:f>M19*F19</x:f>
        <x:v>40000</x:v>
      </x:c>
      <x:c r="O19" s="1" t="n">
        <x:f>N19*G19</x:f>
        <x:v>80000</x:v>
      </x:c>
      <x:c r="P19" s="1" t="n">
        <x:f>O19*H19/1024</x:f>
        <x:v>781.25</x:v>
      </x:c>
      <x:c r="Q19" s="1" t="n">
        <x:f>P19*I19</x:f>
        <x:v>1171.875</x:v>
      </x:c>
      <x:c r="R19" s="1" t="n">
        <x:f>P19*('設定と出典'!$B$34+'設定と出典'!$B$35)/'設定と出典'!$B$7</x:f>
        <x:v>729.1666666666666</x:v>
      </x:c>
      <x:c r="S19" s="1" t="n">
        <x:f>O19*K19</x:f>
        <x:v>160000</x:v>
      </x:c>
      <x:c r="T19" s="7" t="n">
        <x:f>A19*E19</x:f>
        <x:v>500000</x:v>
      </x:c>
      <x:c r="U19" s="7" t="n">
        <x:f>A19*'設定と出典'!$B$26</x:f>
        <x:v>5000</x:v>
      </x:c>
      <x:c r="V19" s="7" t="n">
        <x:f>M19*'設定と出典'!$B$27</x:f>
        <x:v>4000</x:v>
      </x:c>
      <x:c r="W19" s="7" t="n">
        <x:f>(N19*'設定と出典'!$B$36+S19)*('設定と出典'!$B$43*'設定と出典'!$B$8+'設定と出典'!$B$44*'設定と出典'!$B$9)*'設定と出典'!$B$12*'設定と出典'!$B$6</x:f>
        <x:v>702.4261445342382</x:v>
      </x:c>
      <x:c r="X19" s="7" t="n">
        <x:f>N19*I19*'設定と出典'!$B$37*('設定と出典'!$B$45*'設定と出典'!$B$8+'設定と出典'!$B$46*'設定と出典'!$B$9)*'設定と出典'!$B$12*'設定と出典'!$B$6</x:f>
        <x:v>49.006475200063136</x:v>
      </x:c>
      <x:c r="Y19" s="7" t="n">
        <x:f>MAX(0,S19*('設定と出典'!$B$13*'設定と出典'!$B$8+'設定と出典'!$B$14*'設定と出典'!$B$9)-MIN(S19,'設定と出典'!$B$7*86400*'設定と出典'!$B$15)*('設定と出典'!$B$13*'設定と出典'!$B$10+'設定と出典'!$B$14*'設定と出典'!$B$11))*'設定と出典'!$B$12*'設定と出典'!$B$6</x:f>
        <x:v>555.137881204458</x:v>
      </x:c>
      <x:c r="Z19" s="7" t="n">
        <x:f>O19*('設定と出典'!$B$41*'設定と出典'!$B$18+('設定と出典'!$B$42+I19)*'設定と出典'!$B$19)/1000*'設定と出典'!$B$6</x:f>
        <x:v>76.8</x:v>
      </x:c>
      <x:c r="AA19" s="7" t="n">
        <x:f>N19*(1+J19)*'設定と出典'!$B$21</x:f>
        <x:v>11200</x:v>
      </x:c>
      <x:c r="AB19" s="7" t="n">
        <x:f>N19*'設定と出典'!$B$40/1048576*'設定と出典'!$B$20*'設定と出典'!$B$6+N19*'設定と出典'!$B$39/1000000*'設定と出典'!$B$38*'設定と出典'!$B$6</x:f>
        <x:v>53.532275390625</x:v>
      </x:c>
      <x:c r="AC19" s="7" t="n">
        <x:f>R19*'設定と出典'!$B$16*'設定と出典'!$B$6</x:f>
        <x:v>2734.375</x:v>
      </x:c>
      <x:c r="AD19" s="7" t="n">
        <x:f>Q19*'設定と出典'!$B$17*'設定と出典'!$B$6</x:f>
        <x:v>21093.75</x:v>
      </x:c>
      <x:c r="AE19" s="7" t="n">
        <x:f>'設定と出典'!B63</x:f>
        <x:v>13628.969418426243</x:v>
      </x:c>
      <x:c r="AF19" s="7" t="n">
        <x:f>SUM(U19:AE19)</x:f>
        <x:v>59093.997194755626</x:v>
      </x:c>
      <x:c r="AG19" s="7" t="n">
        <x:f>T19*'設定と出典'!$B$28</x:f>
        <x:v>18000</x:v>
      </x:c>
      <x:c r="AH19" s="7" t="n">
        <x:f>(A19*L19+M19*'設定と出典'!$B$31)/60*'設定と出典'!$B$29</x:f>
        <x:v>66666.66666666667</x:v>
      </x:c>
      <x:c r="AI19" s="7" t="n">
        <x:f>'設定と出典'!$B$30*'設定と出典'!$B$29</x:f>
        <x:v>8000</x:v>
      </x:c>
      <x:c r="AJ19" s="7" t="n">
        <x:f>T19-SUM(AF19:AI19)</x:f>
        <x:v>348239.3361385777</x:v>
      </x:c>
      <x:c r="AK19" s="7" t="n">
        <x:f>AJ19-T19*'設定と出典'!$B$32</x:f>
        <x:v>98239.33613857772</x:v>
      </x:c>
      <x:c r="AL19" s="7" t="n">
        <x:f>AJ19-A19*MIN(E19,AV19)*'設定と出典'!$B$32</x:f>
        <x:v>298239.3361385777</x:v>
      </x:c>
      <x:c r="AM19" s="8" t="n">
        <x:f>AJ19/T19</x:f>
        <x:v>0.6964786722771554</x:v>
      </x:c>
      <x:c r="AN19" s="8" t="n">
        <x:f>AK19/T19</x:f>
        <x:v>0.19647867227715546</x:v>
      </x:c>
      <x:c r="AO19" s="8" t="n">
        <x:f>AJ19/T19</x:f>
        <x:v>0.6964786722771554</x:v>
      </x:c>
      <x:c r="AP19" s="8" t="n">
        <x:f>AO19-'設定と出典'!$B$33</x:f>
        <x:v>0.4964786722771554</x:v>
      </x:c>
      <x:c r="AQ19" s="9" t="n">
        <x:f>SUM(W19:AD19)/N19</x:f>
        <x:v>0.9116256944082346</x:v>
      </x:c>
      <x:c r="AR19" s="9" t="n">
        <x:f>MAX(0,(E19*(1-'設定と出典'!$B$28-'設定と出典'!$B$32)-(U19+V19+AH19+AI19+AE19)/A19)/AQ19)</x:f>
        <x:v>1477.6279863672335</x:v>
      </x:c>
      <x:c r="AS19" s="9" t="n">
        <x:f>MAX(0,(E19*(1-'設定と出典'!$B$28 )-(U19+V19+AH19+AI19+AE19)/A19)/AQ19)</x:f>
        <x:v>4219.981580978046</x:v>
      </x:c>
      <x:c r="AT19" s="9" t="n">
        <x:f>MAX(0,(E19*(1-'設定と出典'!$B$28)-MIN(E19,AV19)*'設定と出典'!$B$32-(U19+V19+AH19+AI19+AE19)/A19)/AQ19)</x:f>
        <x:v>3671.5108620558835</x:v>
      </x:c>
      <x:c r="AU19" s="9" t="n">
        <x:f>IF((T19*(1-'設定と出典'!$B$28-'設定と出典'!$B$32)-(AF19-AE19)-AH19)&lt;=0,"成立せず",(AE19+AI19)/((T19*(1-'設定と出典'!$B$28-'設定と出典'!$B$32)-(AF19-AE19)-AH19)/A19))</x:f>
        <x:v>18.043943574509353</x:v>
      </x:c>
      <x:c r="AV19" s="9" t="n">
        <x:f>'設定と出典'!D52</x:f>
        <x:v>1000</x:v>
      </x:c>
      <x:c r="AW19" s="9" t="n">
        <x:f>IF(1-'設定と出典'!$B$28-'設定と出典'!$B$32-'設定と出典'!$B$33&lt;=0,0,MAX(0,MIN(E19,(AK19/A19-E19*'設定と出典'!$B$33)/(1-'設定と出典'!$B$28-'設定と出典'!$B$32-'設定と出典'!$B$33))))</x:f>
        <x:v>0</x:v>
      </x:c>
      <x:c r="AX19" s="1"/>
      <x:c r="AY19" s="1"/>
      <x:c r="AZ19" s="1"/>
      <x:c r="BA19" s="1"/>
    </x:row>
    <x:row r="20" ht="22" customHeight="1">
      <x:c r="A20" s="1" t="n">
        <x:v>100</x:v>
      </x:c>
      <x:c r="B20" s="1" t="str">
        <x:f>'設定と出典'!A52</x:f>
        <x:v>Business</x:v>
      </x:c>
      <x:c r="C20" s="1" t="str">
        <x:f>'設定と出典'!A59</x:f>
        <x:v>高位</x:v>
      </x:c>
      <x:c r="D20" s="1" t="n">
        <x:f>'設定と出典'!B52</x:f>
        <x:v>20</x:v>
      </x:c>
      <x:c r="E20" s="1" t="n">
        <x:f>'設定と出典'!C52</x:f>
        <x:v>5000</x:v>
      </x:c>
      <x:c r="F20" s="1" t="n">
        <x:f>'設定と出典'!B59</x:f>
        <x:v>80</x:v>
      </x:c>
      <x:c r="G20" s="1" t="n">
        <x:f>'設定と出典'!C59</x:f>
        <x:v>3</x:v>
      </x:c>
      <x:c r="H20" s="1" t="n">
        <x:f>'設定と出典'!D59</x:f>
        <x:v>50</x:v>
      </x:c>
      <x:c r="I20" s="1" t="n">
        <x:f>'設定と出典'!E59</x:f>
        <x:v>2</x:v>
      </x:c>
      <x:c r="J20" s="1" t="n">
        <x:f>'設定と出典'!F59</x:f>
        <x:v>2.5</x:v>
      </x:c>
      <x:c r="K20" s="1" t="n">
        <x:f>'設定と出典'!G59</x:f>
        <x:v>5</x:v>
      </x:c>
      <x:c r="L20" s="1" t="n">
        <x:f>'設定と出典'!H59</x:f>
        <x:v>20</x:v>
      </x:c>
      <x:c r="M20" s="1" t="n">
        <x:f>A20*D20</x:f>
        <x:v>2000</x:v>
      </x:c>
      <x:c r="N20" s="1" t="n">
        <x:f>M20*F20</x:f>
        <x:v>160000</x:v>
      </x:c>
      <x:c r="O20" s="1" t="n">
        <x:f>N20*G20</x:f>
        <x:v>480000</x:v>
      </x:c>
      <x:c r="P20" s="1" t="n">
        <x:f>O20*H20/1024</x:f>
        <x:v>23437.5</x:v>
      </x:c>
      <x:c r="Q20" s="1" t="n">
        <x:f>P20*I20</x:f>
        <x:v>46875</x:v>
      </x:c>
      <x:c r="R20" s="1" t="n">
        <x:f>P20*('設定と出典'!$B$34+'設定と出典'!$B$35)/'設定と出典'!$B$7</x:f>
        <x:v>21875</x:v>
      </x:c>
      <x:c r="S20" s="1" t="n">
        <x:f>O20*K20</x:f>
        <x:v>2400000</x:v>
      </x:c>
      <x:c r="T20" s="7" t="n">
        <x:f>A20*E20</x:f>
        <x:v>500000</x:v>
      </x:c>
      <x:c r="U20" s="7" t="n">
        <x:f>A20*'設定と出典'!$B$26</x:f>
        <x:v>5000</x:v>
      </x:c>
      <x:c r="V20" s="7" t="n">
        <x:f>M20*'設定と出典'!$B$27</x:f>
        <x:v>4000</x:v>
      </x:c>
      <x:c r="W20" s="7" t="n">
        <x:f>(N20*'設定と出典'!$B$36+S20)*('設定と出典'!$B$43*'設定と出典'!$B$8+'設定と出典'!$B$44*'設定と出典'!$B$9)*'設定と出典'!$B$12*'設定と出典'!$B$6</x:f>
        <x:v>9997.320940812879</x:v>
      </x:c>
      <x:c r="X20" s="7" t="n">
        <x:f>N20*I20*'設定と出典'!$B$37*('設定と出典'!$B$45*'設定と出典'!$B$8+'設定と出典'!$B$46*'設定と出典'!$B$9)*'設定と出典'!$B$12*'設定と出典'!$B$6</x:f>
        <x:v>261.3678677336701</x:v>
      </x:c>
      <x:c r="Y20" s="7" t="n">
        <x:f>MAX(0,S20*('設定と出典'!$B$13*'設定と出典'!$B$8+'設定と出典'!$B$14*'設定と出典'!$B$9)-MIN(S20,'設定と出典'!$B$7*86400*'設定と出典'!$B$15)*('設定と出典'!$B$13*'設定と出典'!$B$10+'設定と出典'!$B$14*'設定と出典'!$B$11))*'設定と出典'!$B$12*'設定と出典'!$B$6</x:f>
        <x:v>8327.06821806687</x:v>
      </x:c>
      <x:c r="Z20" s="7" t="n">
        <x:f>O20*('設定と出典'!$B$41*'設定と出典'!$B$18+('設定と出典'!$B$42+I20)*'設定と出典'!$B$19)/1000*'設定と出典'!$B$6</x:f>
        <x:v>475.20000000000005</x:v>
      </x:c>
      <x:c r="AA20" s="7" t="n">
        <x:f>N20*(1+J20)*'設定と出典'!$B$21</x:f>
        <x:v>56000</x:v>
      </x:c>
      <x:c r="AB20" s="7" t="n">
        <x:f>N20*'設定と出典'!$B$40/1048576*'設定と出典'!$B$20*'設定と出典'!$B$6+N20*'設定と出典'!$B$39/1000000*'設定と出典'!$B$38*'設定と出典'!$B$6</x:f>
        <x:v>214.1291015625</x:v>
      </x:c>
      <x:c r="AC20" s="7" t="n">
        <x:f>R20*'設定と出典'!$B$16*'設定と出典'!$B$6</x:f>
        <x:v>82031.25</x:v>
      </x:c>
      <x:c r="AD20" s="7" t="n">
        <x:f>Q20*'設定と出典'!$B$17*'設定と出典'!$B$6</x:f>
        <x:v>843750</x:v>
      </x:c>
      <x:c r="AE20" s="7" t="n">
        <x:f>'設定と出典'!B63</x:f>
        <x:v>13628.969418426243</x:v>
      </x:c>
      <x:c r="AF20" s="7" t="n">
        <x:f>SUM(U20:AE20)</x:f>
        <x:v>1023685.3055466022</x:v>
      </x:c>
      <x:c r="AG20" s="7" t="n">
        <x:f>T20*'設定と出典'!$B$28</x:f>
        <x:v>18000</x:v>
      </x:c>
      <x:c r="AH20" s="7" t="n">
        <x:f>(A20*L20+M20*'設定と出典'!$B$31)/60*'設定と出典'!$B$29</x:f>
        <x:v>146666.66666666666</x:v>
      </x:c>
      <x:c r="AI20" s="7" t="n">
        <x:f>'設定と出典'!$B$30*'設定と出典'!$B$29</x:f>
        <x:v>8000</x:v>
      </x:c>
      <x:c r="AJ20" s="7" t="n">
        <x:f>T20-SUM(AF20:AI20)</x:f>
        <x:v>-696351.972213269</x:v>
      </x:c>
      <x:c r="AK20" s="7" t="n">
        <x:f>AJ20-T20*'設定と出典'!$B$32</x:f>
        <x:v>-946351.972213269</x:v>
      </x:c>
      <x:c r="AL20" s="7" t="n">
        <x:f>AJ20-A20*MIN(E20,AV20)*'設定と出典'!$B$32</x:f>
        <x:v>-746351.972213269</x:v>
      </x:c>
      <x:c r="AM20" s="8" t="n">
        <x:f>AJ20/T20</x:f>
        <x:v>-1.3927039444265379</x:v>
      </x:c>
      <x:c r="AN20" s="8" t="n">
        <x:f>AK20/T20</x:f>
        <x:v>-1.8927039444265379</x:v>
      </x:c>
      <x:c r="AO20" s="8" t="n">
        <x:f>AJ20/T20</x:f>
        <x:v>-1.3927039444265379</x:v>
      </x:c>
      <x:c r="AP20" s="8" t="n">
        <x:f>AO20-'設定と出典'!$B$33</x:f>
        <x:v>-1.5927039444265378</x:v>
      </x:c>
      <x:c r="AQ20" s="9" t="n">
        <x:f>SUM(W20:AD20)/N20</x:f>
        <x:v>6.2566021008011</x:v>
      </x:c>
      <x:c r="AR20" s="9" t="n">
        <x:f>MAX(0,(E20*(1-'設定と出典'!$B$28-'設定と出典'!$B$32)-(U20+V20+AH20+AI20+AE20)/A20)/AQ20)</x:f>
        <x:v>87.43462191387032</x:v>
      </x:c>
      <x:c r="AS20" s="9" t="n">
        <x:f>MAX(0,(E20*(1-'設定と出典'!$B$28 )-(U20+V20+AH20+AI20+AE20)/A20)/AQ20)</x:f>
        <x:v>487.0125333300204</x:v>
      </x:c>
      <x:c r="AT20" s="9" t="n">
        <x:f>MAX(0,(E20*(1-'設定と出典'!$B$28)-MIN(E20,AV20)*'設定と出典'!$B$32-(U20+V20+AH20+AI20+AE20)/A20)/AQ20)</x:f>
        <x:v>407.09695104679037</x:v>
      </x:c>
      <x:c r="AU20" s="9" t="str">
        <x:f>IF((T20*(1-'設定と出典'!$B$28-'設定と出典'!$B$32)-(AF20-AE20)-AH20)&lt;=0,"成立せず",(AE20+AI20)/((T20*(1-'設定と出典'!$B$28-'設定と出典'!$B$32)-(AF20-AE20)-AH20)/A20))</x:f>
        <x:v>成立せず</x:v>
      </x:c>
      <x:c r="AV20" s="9" t="n">
        <x:f>'設定と出典'!D52</x:f>
        <x:v>1000</x:v>
      </x:c>
      <x:c r="AW20" s="9" t="n">
        <x:f>IF(1-'設定と出典'!$B$28-'設定と出典'!$B$32-'設定と出典'!$B$33&lt;=0,0,MAX(0,MIN(E20,(AK20/A20-E20*'設定と出典'!$B$33)/(1-'設定と出典'!$B$28-'設定と出典'!$B$32-'設定と出典'!$B$33))))</x:f>
        <x:v>0</x:v>
      </x:c>
      <x:c r="AX20" s="1"/>
      <x:c r="AY20" s="1"/>
      <x:c r="AZ20" s="1"/>
      <x:c r="BA20" s="1"/>
    </x:row>
    <x:row r="21" ht="22" customHeight="1">
      <x:c r="A21" s="1" t="n">
        <x:v>100</x:v>
      </x:c>
      <x:c r="B21" s="1" t="str">
        <x:f>'設定と出典'!A53</x:f>
        <x:v>Business Plus</x:v>
      </x:c>
      <x:c r="C21" s="1" t="str">
        <x:f>'設定と出典'!A57</x:f>
        <x:v>低位</x:v>
      </x:c>
      <x:c r="D21" s="1" t="n">
        <x:f>'設定と出典'!B53</x:f>
        <x:v>50</x:v>
      </x:c>
      <x:c r="E21" s="1" t="n">
        <x:f>'設定と出典'!C53</x:f>
        <x:v>8000</x:v>
      </x:c>
      <x:c r="F21" s="1" t="n">
        <x:f>'設定と出典'!B57</x:f>
        <x:v>5</x:v>
      </x:c>
      <x:c r="G21" s="1" t="n">
        <x:f>'設定と出典'!C57</x:f>
        <x:v>1</x:v>
      </x:c>
      <x:c r="H21" s="1" t="n">
        <x:f>'設定と出典'!D57</x:f>
        <x:v>2</x:v>
      </x:c>
      <x:c r="I21" s="1" t="n">
        <x:f>'設定と出典'!E57</x:f>
        <x:v>1</x:v>
      </x:c>
      <x:c r="J21" s="1" t="n">
        <x:f>'設定と出典'!F57</x:f>
        <x:v>1.1</x:v>
      </x:c>
      <x:c r="K21" s="1" t="n">
        <x:f>'設定と出典'!G57</x:f>
        <x:v>1</x:v>
      </x:c>
      <x:c r="L21" s="1" t="n">
        <x:f>'設定と出典'!H57</x:f>
        <x:v>3</x:v>
      </x:c>
      <x:c r="M21" s="1" t="n">
        <x:f>A21*D21</x:f>
        <x:v>5000</x:v>
      </x:c>
      <x:c r="N21" s="1" t="n">
        <x:f>M21*F21</x:f>
        <x:v>25000</x:v>
      </x:c>
      <x:c r="O21" s="1" t="n">
        <x:f>N21*G21</x:f>
        <x:v>25000</x:v>
      </x:c>
      <x:c r="P21" s="1" t="n">
        <x:f>O21*H21/1024</x:f>
        <x:v>48.828125</x:v>
      </x:c>
      <x:c r="Q21" s="1" t="n">
        <x:f>P21*I21</x:f>
        <x:v>48.828125</x:v>
      </x:c>
      <x:c r="R21" s="1" t="n">
        <x:f>P21*('設定と出典'!$B$34+'設定と出典'!$B$35)/'設定と出典'!$B$7</x:f>
        <x:v>45.572916666666664</x:v>
      </x:c>
      <x:c r="S21" s="1" t="n">
        <x:f>O21*K21</x:f>
        <x:v>25000</x:v>
      </x:c>
      <x:c r="T21" s="7" t="n">
        <x:f>A21*E21</x:f>
        <x:v>800000</x:v>
      </x:c>
      <x:c r="U21" s="7" t="n">
        <x:f>A21*'設定と出典'!$B$26</x:f>
        <x:v>5000</x:v>
      </x:c>
      <x:c r="V21" s="7" t="n">
        <x:f>M21*'設定と出典'!$B$27</x:f>
        <x:v>10000</x:v>
      </x:c>
      <x:c r="W21" s="7" t="n">
        <x:f>(N21*'設定と出典'!$B$36+S21)*('設定と出典'!$B$43*'設定と出典'!$B$8+'設定と出典'!$B$44*'設定と出典'!$B$9)*'設定と出典'!$B$12*'設定と出典'!$B$6</x:f>
        <x:v>132.72587033350433</x:v>
      </x:c>
      <x:c r="X21" s="7" t="n">
        <x:f>N21*I21*'設定と出典'!$B$37*('設定と出典'!$B$45*'設定と出典'!$B$8+'設定と出典'!$B$46*'設定と出典'!$B$9)*'設定と出典'!$B$12*'設定と出典'!$B$6</x:f>
        <x:v>20.41936466669297</x:v>
      </x:c>
      <x:c r="Y21" s="7" t="n">
        <x:f>MAX(0,S21*('設定と出典'!$B$13*'設定と出典'!$B$8+'設定と出典'!$B$14*'設定と出典'!$B$9)-MIN(S21,'設定と出典'!$B$7*86400*'設定と出典'!$B$15)*('設定と出典'!$B$13*'設定と出典'!$B$10+'設定と出典'!$B$14*'設定と出典'!$B$11))*'設定と出典'!$B$12*'設定と出典'!$B$6</x:f>
        <x:v>86.74029393819656</x:v>
      </x:c>
      <x:c r="Z21" s="7" t="n">
        <x:f>O21*('設定と出典'!$B$41*'設定と出典'!$B$18+('設定と出典'!$B$42+I21)*'設定と出典'!$B$19)/1000*'設定と出典'!$B$6</x:f>
        <x:v>23.250000000000004</x:v>
      </x:c>
      <x:c r="AA21" s="7" t="n">
        <x:f>N21*(1+J21)*'設定と出典'!$B$21</x:f>
        <x:v>5250</x:v>
      </x:c>
      <x:c r="AB21" s="7" t="n">
        <x:f>N21*'設定と出典'!$B$40/1048576*'設定と出典'!$B$20*'設定と出典'!$B$6+N21*'設定と出典'!$B$39/1000000*'設定と出典'!$B$38*'設定と出典'!$B$6</x:f>
        <x:v>33.457672119140625</x:v>
      </x:c>
      <x:c r="AC21" s="7" t="n">
        <x:f>R21*'設定と出典'!$B$16*'設定と出典'!$B$6</x:f>
        <x:v>170.8984375</x:v>
      </x:c>
      <x:c r="AD21" s="7" t="n">
        <x:f>Q21*'設定と出典'!$B$17*'設定と出典'!$B$6</x:f>
        <x:v>878.90625</x:v>
      </x:c>
      <x:c r="AE21" s="7" t="n">
        <x:f>'設定と出典'!B63</x:f>
        <x:v>13628.969418426243</x:v>
      </x:c>
      <x:c r="AF21" s="7" t="n">
        <x:f>SUM(U21:AE21)</x:f>
        <x:v>35225.367306983775</x:v>
      </x:c>
      <x:c r="AG21" s="7" t="n">
        <x:f>T21*'設定と出典'!$B$28</x:f>
        <x:v>28799.999999999996</x:v>
      </x:c>
      <x:c r="AH21" s="7" t="n">
        <x:f>(A21*L21+M21*'設定と出典'!$B$31)/60*'設定と出典'!$B$29</x:f>
        <x:v>53333.333333333336</x:v>
      </x:c>
      <x:c r="AI21" s="7" t="n">
        <x:f>'設定と出典'!$B$30*'設定と出典'!$B$29</x:f>
        <x:v>8000</x:v>
      </x:c>
      <x:c r="AJ21" s="7" t="n">
        <x:f>T21-SUM(AF21:AI21)</x:f>
        <x:v>674641.299359683</x:v>
      </x:c>
      <x:c r="AK21" s="7" t="n">
        <x:f>AJ21-T21*'設定と出典'!$B$32</x:f>
        <x:v>274641.29935968295</x:v>
      </x:c>
      <x:c r="AL21" s="7" t="n">
        <x:f>AJ21-A21*MIN(E21,AV21)*'設定と出典'!$B$32</x:f>
        <x:v>624641.299359683</x:v>
      </x:c>
      <x:c r="AM21" s="8" t="n">
        <x:f>AJ21/T21</x:f>
        <x:v>0.8433016241996036</x:v>
      </x:c>
      <x:c r="AN21" s="8" t="n">
        <x:f>AK21/T21</x:f>
        <x:v>0.3433016241996037</x:v>
      </x:c>
      <x:c r="AO21" s="8" t="n">
        <x:f>AJ21/T21</x:f>
        <x:v>0.8433016241996036</x:v>
      </x:c>
      <x:c r="AP21" s="8" t="n">
        <x:f>AO21-'設定と出典'!$B$33</x:f>
        <x:v>0.6433016241996037</x:v>
      </x:c>
      <x:c r="AQ21" s="9" t="n">
        <x:f>SUM(W21:AD21)/N21</x:f>
        <x:v>0.26385591554230137</x:v>
      </x:c>
      <x:c r="AR21" s="9" t="n">
        <x:f>MAX(0,(E21*(1-'設定と出典'!$B$28-'設定と出典'!$B$32)-(U21+V21+AH21+AI21+AE21)/A21)/AQ21)</x:f>
        <x:v>10658.760356773291</x:v>
      </x:c>
      <x:c r="AS21" s="9" t="n">
        <x:f>MAX(0,(E21*(1-'設定と出典'!$B$28 )-(U21+V21+AH21+AI21+AE21)/A21)/AQ21)</x:f>
        <x:v>25818.549333946026</x:v>
      </x:c>
      <x:c r="AT21" s="9" t="n">
        <x:f>MAX(0,(E21*(1-'設定と出典'!$B$28)-MIN(E21,AV21)*'設定と出典'!$B$32-(U21+V21+AH21+AI21+AE21)/A21)/AQ21)</x:f>
        <x:v>23923.575711799436</x:v>
      </x:c>
      <x:c r="AU21" s="9" t="n">
        <x:f>IF((T21*(1-'設定と出典'!$B$28-'設定と出典'!$B$32)-(AF21-AE21)-AH21)&lt;=0,"成立せず",(AE21+AI21)/((T21*(1-'設定と出典'!$B$28-'設定と出典'!$B$32)-(AF21-AE21)-AH21)/A21))</x:f>
        <x:v>7.300418468457663</x:v>
      </x:c>
      <x:c r="AV21" s="9" t="n">
        <x:f>'設定と出典'!D53</x:f>
        <x:v>1000</x:v>
      </x:c>
      <x:c r="AW21" s="9" t="n">
        <x:f>IF(1-'設定と出典'!$B$28-'設定と出典'!$B$32-'設定と出典'!$B$33&lt;=0,0,MAX(0,MIN(E21,(AK21/A21-E21*'設定と出典'!$B$33)/(1-'設定と出典'!$B$28-'設定と出典'!$B$32-'設定と出典'!$B$33))))</x:f>
        <x:v>4342.473460594051</x:v>
      </x:c>
      <x:c r="AX21" s="1"/>
      <x:c r="AY21" s="1"/>
      <x:c r="AZ21" s="1"/>
      <x:c r="BA21" s="1"/>
    </x:row>
    <x:row r="22" ht="22" customHeight="1">
      <x:c r="A22" s="1" t="n">
        <x:v>100</x:v>
      </x:c>
      <x:c r="B22" s="1" t="str">
        <x:f>'設定と出典'!A53</x:f>
        <x:v>Business Plus</x:v>
      </x:c>
      <x:c r="C22" s="1" t="str">
        <x:f>'設定と出典'!A58</x:f>
        <x:v>標準</x:v>
      </x:c>
      <x:c r="D22" s="1" t="n">
        <x:f>'設定と出典'!B53</x:f>
        <x:v>50</x:v>
      </x:c>
      <x:c r="E22" s="1" t="n">
        <x:f>'設定と出典'!C53</x:f>
        <x:v>8000</x:v>
      </x:c>
      <x:c r="F22" s="1" t="n">
        <x:f>'設定と出典'!B58</x:f>
        <x:v>20</x:v>
      </x:c>
      <x:c r="G22" s="1" t="n">
        <x:f>'設定と出典'!C58</x:f>
        <x:v>2</x:v>
      </x:c>
      <x:c r="H22" s="1" t="n">
        <x:f>'設定と出典'!D58</x:f>
        <x:v>10</x:v>
      </x:c>
      <x:c r="I22" s="1" t="n">
        <x:f>'設定と出典'!E58</x:f>
        <x:v>1.5</x:v>
      </x:c>
      <x:c r="J22" s="1" t="n">
        <x:f>'設定と出典'!F58</x:f>
        <x:v>1.8</x:v>
      </x:c>
      <x:c r="K22" s="1" t="n">
        <x:f>'設定と出典'!G58</x:f>
        <x:v>2</x:v>
      </x:c>
      <x:c r="L22" s="1" t="n">
        <x:f>'設定と出典'!H58</x:f>
        <x:v>8</x:v>
      </x:c>
      <x:c r="M22" s="1" t="n">
        <x:f>A22*D22</x:f>
        <x:v>5000</x:v>
      </x:c>
      <x:c r="N22" s="1" t="n">
        <x:f>M22*F22</x:f>
        <x:v>100000</x:v>
      </x:c>
      <x:c r="O22" s="1" t="n">
        <x:f>N22*G22</x:f>
        <x:v>200000</x:v>
      </x:c>
      <x:c r="P22" s="1" t="n">
        <x:f>O22*H22/1024</x:f>
        <x:v>1953.125</x:v>
      </x:c>
      <x:c r="Q22" s="1" t="n">
        <x:f>P22*I22</x:f>
        <x:v>2929.6875</x:v>
      </x:c>
      <x:c r="R22" s="1" t="n">
        <x:f>P22*('設定と出典'!$B$34+'設定と出典'!$B$35)/'設定と出典'!$B$7</x:f>
        <x:v>1822.9166666666667</x:v>
      </x:c>
      <x:c r="S22" s="1" t="n">
        <x:f>O22*K22</x:f>
        <x:v>400000</x:v>
      </x:c>
      <x:c r="T22" s="7" t="n">
        <x:f>A22*E22</x:f>
        <x:v>800000</x:v>
      </x:c>
      <x:c r="U22" s="7" t="n">
        <x:f>A22*'設定と出典'!$B$26</x:f>
        <x:v>5000</x:v>
      </x:c>
      <x:c r="V22" s="7" t="n">
        <x:f>M22*'設定と出典'!$B$27</x:f>
        <x:v>10000</x:v>
      </x:c>
      <x:c r="W22" s="7" t="n">
        <x:f>(N22*'設定と出典'!$B$36+S22)*('設定と出典'!$B$43*'設定と出典'!$B$8+'設定と出典'!$B$44*'設定と出典'!$B$9)*'設定と出典'!$B$12*'設定と出典'!$B$6</x:f>
        <x:v>1756.065361335596</x:v>
      </x:c>
      <x:c r="X22" s="7" t="n">
        <x:f>N22*I22*'設定と出典'!$B$37*('設定と出典'!$B$45*'設定と出典'!$B$8+'設定と出典'!$B$46*'設定と出典'!$B$9)*'設定と出典'!$B$12*'設定と出典'!$B$6</x:f>
        <x:v>122.51618800015784</x:v>
      </x:c>
      <x:c r="Y22" s="7" t="n">
        <x:f>MAX(0,S22*('設定と出典'!$B$13*'設定と出典'!$B$8+'設定と出典'!$B$14*'設定と出典'!$B$9)-MIN(S22,'設定と出典'!$B$7*86400*'設定と出典'!$B$15)*('設定と出典'!$B$13*'設定と出典'!$B$10+'設定と出典'!$B$14*'設定と出典'!$B$11))*'設定と出典'!$B$12*'設定と出典'!$B$6</x:f>
        <x:v>1387.844703011145</x:v>
      </x:c>
      <x:c r="Z22" s="7" t="n">
        <x:f>O22*('設定と出典'!$B$41*'設定と出典'!$B$18+('設定と出典'!$B$42+I22)*'設定と出典'!$B$19)/1000*'設定と出典'!$B$6</x:f>
        <x:v>192</x:v>
      </x:c>
      <x:c r="AA22" s="7" t="n">
        <x:f>N22*(1+J22)*'設定と出典'!$B$21</x:f>
        <x:v>28000</x:v>
      </x:c>
      <x:c r="AB22" s="7" t="n">
        <x:f>N22*'設定と出典'!$B$40/1048576*'設定と出典'!$B$20*'設定と出典'!$B$6+N22*'設定と出典'!$B$39/1000000*'設定と出典'!$B$38*'設定と出典'!$B$6</x:f>
        <x:v>133.8306884765625</x:v>
      </x:c>
      <x:c r="AC22" s="7" t="n">
        <x:f>R22*'設定と出典'!$B$16*'設定と出典'!$B$6</x:f>
        <x:v>6835.937500000001</x:v>
      </x:c>
      <x:c r="AD22" s="7" t="n">
        <x:f>Q22*'設定と出典'!$B$17*'設定と出典'!$B$6</x:f>
        <x:v>52734.375</x:v>
      </x:c>
      <x:c r="AE22" s="7" t="n">
        <x:f>'設定と出典'!B63</x:f>
        <x:v>13628.969418426243</x:v>
      </x:c>
      <x:c r="AF22" s="7" t="n">
        <x:f>SUM(U22:AE22)</x:f>
        <x:v>119791.5388592497</x:v>
      </x:c>
      <x:c r="AG22" s="7" t="n">
        <x:f>T22*'設定と出典'!$B$28</x:f>
        <x:v>28799.999999999996</x:v>
      </x:c>
      <x:c r="AH22" s="7" t="n">
        <x:f>(A22*L22+M22*'設定と出典'!$B$31)/60*'設定と出典'!$B$29</x:f>
        <x:v>86666.66666666667</x:v>
      </x:c>
      <x:c r="AI22" s="7" t="n">
        <x:f>'設定と出典'!$B$30*'設定と出典'!$B$29</x:f>
        <x:v>8000</x:v>
      </x:c>
      <x:c r="AJ22" s="7" t="n">
        <x:f>T22-SUM(AF22:AI22)</x:f>
        <x:v>556741.7944740837</x:v>
      </x:c>
      <x:c r="AK22" s="7" t="n">
        <x:f>AJ22-T22*'設定と出典'!$B$32</x:f>
        <x:v>156741.7944740837</x:v>
      </x:c>
      <x:c r="AL22" s="7" t="n">
        <x:f>AJ22-A22*MIN(E22,AV22)*'設定と出典'!$B$32</x:f>
        <x:v>506741.7944740837</x:v>
      </x:c>
      <x:c r="AM22" s="8" t="n">
        <x:f>AJ22/T22</x:f>
        <x:v>0.6959272430926047</x:v>
      </x:c>
      <x:c r="AN22" s="8" t="n">
        <x:f>AK22/T22</x:f>
        <x:v>0.19592724309260462</x:v>
      </x:c>
      <x:c r="AO22" s="8" t="n">
        <x:f>AJ22/T22</x:f>
        <x:v>0.6959272430926047</x:v>
      </x:c>
      <x:c r="AP22" s="8" t="n">
        <x:f>AO22-'設定と出典'!$B$33</x:f>
        <x:v>0.49592724309260466</x:v>
      </x:c>
      <x:c r="AQ22" s="9" t="n">
        <x:f>SUM(W22:AD22)/N22</x:f>
        <x:v>0.9116256944082346</x:v>
      </x:c>
      <x:c r="AR22" s="9" t="n">
        <x:f>MAX(0,(E22*(1-'設定と出典'!$B$28-'設定と出典'!$B$32)-(U22+V22+AH22+AI22+AE22)/A22)/AQ22)</x:f>
        <x:v>2719.3656940070086</x:v>
      </x:c>
      <x:c r="AS22" s="9" t="n">
        <x:f>MAX(0,(E22*(1-'設定と出典'!$B$28 )-(U22+V22+AH22+AI22+AE22)/A22)/AQ22)</x:f>
        <x:v>7107.13144538431</x:v>
      </x:c>
      <x:c r="AT22" s="9" t="n">
        <x:f>MAX(0,(E22*(1-'設定と出典'!$B$28)-MIN(E22,AV22)*'設定と出典'!$B$32-(U22+V22+AH22+AI22+AE22)/A22)/AQ22)</x:f>
        <x:v>6558.660726462147</x:v>
      </x:c>
      <x:c r="AU22" s="9" t="n">
        <x:f>IF((T22*(1-'設定と出典'!$B$28-'設定と出典'!$B$32)-(AF22-AE22)-AH22)&lt;=0,"成立せず",(AE22+AI22)/((T22*(1-'設定と出典'!$B$28-'設定と出典'!$B$32)-(AF22-AE22)-AH22)/A22))</x:f>
        <x:v>12.12584896001249</x:v>
      </x:c>
      <x:c r="AV22" s="9" t="n">
        <x:f>'設定と出典'!D53</x:f>
        <x:v>1000</x:v>
      </x:c>
      <x:c r="AW22" s="9" t="n">
        <x:f>IF(1-'設定と出典'!$B$28-'設定と出典'!$B$32-'設定と出典'!$B$33&lt;=0,0,MAX(0,MIN(E22,(AK22/A22-E22*'設定と出典'!$B$33)/(1-'設定と出典'!$B$28-'設定と出典'!$B$32-'設定と出典'!$B$33))))</x:f>
        <x:v>0</x:v>
      </x:c>
      <x:c r="AX22" s="1"/>
      <x:c r="AY22" s="1"/>
      <x:c r="AZ22" s="1"/>
      <x:c r="BA22" s="1"/>
    </x:row>
    <x:row r="23" ht="22" customHeight="1">
      <x:c r="A23" s="1" t="n">
        <x:v>100</x:v>
      </x:c>
      <x:c r="B23" s="1" t="str">
        <x:f>'設定と出典'!A53</x:f>
        <x:v>Business Plus</x:v>
      </x:c>
      <x:c r="C23" s="1" t="str">
        <x:f>'設定と出典'!A59</x:f>
        <x:v>高位</x:v>
      </x:c>
      <x:c r="D23" s="1" t="n">
        <x:f>'設定と出典'!B53</x:f>
        <x:v>50</x:v>
      </x:c>
      <x:c r="E23" s="1" t="n">
        <x:f>'設定と出典'!C53</x:f>
        <x:v>8000</x:v>
      </x:c>
      <x:c r="F23" s="1" t="n">
        <x:f>'設定と出典'!B59</x:f>
        <x:v>80</x:v>
      </x:c>
      <x:c r="G23" s="1" t="n">
        <x:f>'設定と出典'!C59</x:f>
        <x:v>3</x:v>
      </x:c>
      <x:c r="H23" s="1" t="n">
        <x:f>'設定と出典'!D59</x:f>
        <x:v>50</x:v>
      </x:c>
      <x:c r="I23" s="1" t="n">
        <x:f>'設定と出典'!E59</x:f>
        <x:v>2</x:v>
      </x:c>
      <x:c r="J23" s="1" t="n">
        <x:f>'設定と出典'!F59</x:f>
        <x:v>2.5</x:v>
      </x:c>
      <x:c r="K23" s="1" t="n">
        <x:f>'設定と出典'!G59</x:f>
        <x:v>5</x:v>
      </x:c>
      <x:c r="L23" s="1" t="n">
        <x:f>'設定と出典'!H59</x:f>
        <x:v>20</x:v>
      </x:c>
      <x:c r="M23" s="1" t="n">
        <x:f>A23*D23</x:f>
        <x:v>5000</x:v>
      </x:c>
      <x:c r="N23" s="1" t="n">
        <x:f>M23*F23</x:f>
        <x:v>400000</x:v>
      </x:c>
      <x:c r="O23" s="1" t="n">
        <x:f>N23*G23</x:f>
        <x:v>1200000</x:v>
      </x:c>
      <x:c r="P23" s="1" t="n">
        <x:f>O23*H23/1024</x:f>
        <x:v>58593.75</x:v>
      </x:c>
      <x:c r="Q23" s="1" t="n">
        <x:f>P23*I23</x:f>
        <x:v>117187.5</x:v>
      </x:c>
      <x:c r="R23" s="1" t="n">
        <x:f>P23*('設定と出典'!$B$34+'設定と出典'!$B$35)/'設定と出典'!$B$7</x:f>
        <x:v>54687.5</x:v>
      </x:c>
      <x:c r="S23" s="1" t="n">
        <x:f>O23*K23</x:f>
        <x:v>6000000</x:v>
      </x:c>
      <x:c r="T23" s="7" t="n">
        <x:f>A23*E23</x:f>
        <x:v>800000</x:v>
      </x:c>
      <x:c r="U23" s="7" t="n">
        <x:f>A23*'設定と出典'!$B$26</x:f>
        <x:v>5000</x:v>
      </x:c>
      <x:c r="V23" s="7" t="n">
        <x:f>M23*'設定と出典'!$B$27</x:f>
        <x:v>10000</x:v>
      </x:c>
      <x:c r="W23" s="7" t="n">
        <x:f>(N23*'設定と出典'!$B$36+S23)*('設定と出典'!$B$43*'設定と出典'!$B$8+'設定と出典'!$B$44*'設定と出典'!$B$9)*'設定と出典'!$B$12*'設定と出典'!$B$6</x:f>
        <x:v>24993.302352032202</x:v>
      </x:c>
      <x:c r="X23" s="7" t="n">
        <x:f>N23*I23*'設定と出典'!$B$37*('設定と出典'!$B$45*'設定と出典'!$B$8+'設定と出典'!$B$46*'設定と出典'!$B$9)*'設定と出典'!$B$12*'設定と出典'!$B$6</x:f>
        <x:v>653.4196693341751</x:v>
      </x:c>
      <x:c r="Y23" s="7" t="n">
        <x:f>MAX(0,S23*('設定と出典'!$B$13*'設定と出典'!$B$8+'設定と出典'!$B$14*'設定と出典'!$B$9)-MIN(S23,'設定と出典'!$B$7*86400*'設定と出典'!$B$15)*('設定と出典'!$B$13*'設定と出典'!$B$10+'設定と出典'!$B$14*'設定と出典'!$B$11))*'設定と出典'!$B$12*'設定と出典'!$B$6</x:f>
        <x:v>24931.685891616493</x:v>
      </x:c>
      <x:c r="Z23" s="7" t="n">
        <x:f>O23*('設定と出典'!$B$41*'設定と出典'!$B$18+('設定と出典'!$B$42+I23)*'設定と出典'!$B$19)/1000*'設定と出典'!$B$6</x:f>
        <x:v>1188</x:v>
      </x:c>
      <x:c r="AA23" s="7" t="n">
        <x:f>N23*(1+J23)*'設定と出典'!$B$21</x:f>
        <x:v>140000</x:v>
      </x:c>
      <x:c r="AB23" s="7" t="n">
        <x:f>N23*'設定と出典'!$B$40/1048576*'設定と出典'!$B$20*'設定と出典'!$B$6+N23*'設定と出典'!$B$39/1000000*'設定と出典'!$B$38*'設定と出典'!$B$6</x:f>
        <x:v>535.32275390625</x:v>
      </x:c>
      <x:c r="AC23" s="7" t="n">
        <x:f>R23*'設定と出典'!$B$16*'設定と出典'!$B$6</x:f>
        <x:v>205078.125</x:v>
      </x:c>
      <x:c r="AD23" s="7" t="n">
        <x:f>Q23*'設定と出典'!$B$17*'設定と出典'!$B$6</x:f>
        <x:v>2109375</x:v>
      </x:c>
      <x:c r="AE23" s="7" t="n">
        <x:f>'設定と出典'!B63</x:f>
        <x:v>13628.969418426243</x:v>
      </x:c>
      <x:c r="AF23" s="7" t="n">
        <x:f>SUM(U23:AE23)</x:f>
        <x:v>2535383.825085315</x:v>
      </x:c>
      <x:c r="AG23" s="7" t="n">
        <x:f>T23*'設定と出典'!$B$28</x:f>
        <x:v>28799.999999999996</x:v>
      </x:c>
      <x:c r="AH23" s="7" t="n">
        <x:f>(A23*L23+M23*'設定と出典'!$B$31)/60*'設定と出典'!$B$29</x:f>
        <x:v>166666.66666666666</x:v>
      </x:c>
      <x:c r="AI23" s="7" t="n">
        <x:f>'設定と出典'!$B$30*'設定と出典'!$B$29</x:f>
        <x:v>8000</x:v>
      </x:c>
      <x:c r="AJ23" s="7" t="n">
        <x:f>T23-SUM(AF23:AI23)</x:f>
        <x:v>-1938850.4917519814</x:v>
      </x:c>
      <x:c r="AK23" s="7" t="n">
        <x:f>AJ23-T23*'設定と出典'!$B$32</x:f>
        <x:v>-2338850.4917519814</x:v>
      </x:c>
      <x:c r="AL23" s="7" t="n">
        <x:f>AJ23-A23*MIN(E23,AV23)*'設定と出典'!$B$32</x:f>
        <x:v>-1988850.4917519814</x:v>
      </x:c>
      <x:c r="AM23" s="8" t="n">
        <x:f>AJ23/T23</x:f>
        <x:v>-2.4235631146899768</x:v>
      </x:c>
      <x:c r="AN23" s="8" t="n">
        <x:f>AK23/T23</x:f>
        <x:v>-2.9235631146899768</x:v>
      </x:c>
      <x:c r="AO23" s="8" t="n">
        <x:f>AJ23/T23</x:f>
        <x:v>-2.4235631146899768</x:v>
      </x:c>
      <x:c r="AP23" s="8" t="n">
        <x:f>AO23-'設定と出典'!$B$33</x:f>
        <x:v>-2.623563114689977</x:v>
      </x:c>
      <x:c r="AQ23" s="9" t="n">
        <x:f>SUM(W23:AD23)/N23</x:f>
        <x:v>6.266887139167222</x:v>
      </x:c>
      <x:c r="AR23" s="9" t="n">
        <x:f>MAX(0,(E23*(1-'設定と出典'!$B$28-'設定と出典'!$B$32)-(U23+V23+AH23+AI23+AE23)/A23)/AQ23)</x:f>
        <x:v>267.9230695978659</x:v>
      </x:c>
      <x:c r="AS23" s="9" t="n">
        <x:f>MAX(0,(E23*(1-'設定と出典'!$B$28 )-(U23+V23+AH23+AI23+AE23)/A23)/AQ23)</x:f>
        <x:v>906.1984862717239</x:v>
      </x:c>
      <x:c r="AT23" s="9" t="n">
        <x:f>MAX(0,(E23*(1-'設定と出典'!$B$28)-MIN(E23,AV23)*'設定と出典'!$B$32-(U23+V23+AH23+AI23+AE23)/A23)/AQ23)</x:f>
        <x:v>826.4140591874917</x:v>
      </x:c>
      <x:c r="AU23" s="9" t="str">
        <x:f>IF((T23*(1-'設定と出典'!$B$28-'設定と出典'!$B$32)-(AF23-AE23)-AH23)&lt;=0,"成立せず",(AE23+AI23)/((T23*(1-'設定と出典'!$B$28-'設定と出典'!$B$32)-(AF23-AE23)-AH23)/A23))</x:f>
        <x:v>成立せず</x:v>
      </x:c>
      <x:c r="AV23" s="9" t="n">
        <x:f>'設定と出典'!D53</x:f>
        <x:v>1000</x:v>
      </x:c>
      <x:c r="AW23" s="9" t="n">
        <x:f>IF(1-'設定と出典'!$B$28-'設定と出典'!$B$32-'設定と出典'!$B$33&lt;=0,0,MAX(0,MIN(E23,(AK23/A23-E23*'設定と出典'!$B$33)/(1-'設定と出典'!$B$28-'設定と出典'!$B$32-'設定と出典'!$B$33))))</x:f>
        <x:v>0</x:v>
      </x:c>
      <x:c r="AX23" s="1"/>
      <x:c r="AY23" s="1"/>
      <x:c r="AZ23" s="1"/>
      <x:c r="BA23" s="1"/>
    </x:row>
    <x:row r="24" ht="22" customHeight="1">
      <x:c r="A24" s="1" t="n">
        <x:v>500</x:v>
      </x:c>
      <x:c r="B24" s="1" t="str">
        <x:f>'設定と出典'!A51</x:f>
        <x:v>Starter</x:v>
      </x:c>
      <x:c r="C24" s="1" t="str">
        <x:f>'設定と出典'!A57</x:f>
        <x:v>低位</x:v>
      </x:c>
      <x:c r="D24" s="1" t="n">
        <x:f>'設定と出典'!B51</x:f>
        <x:v>5</x:v>
      </x:c>
      <x:c r="E24" s="1" t="n">
        <x:f>'設定と出典'!C51</x:f>
        <x:v>3000</x:v>
      </x:c>
      <x:c r="F24" s="1" t="n">
        <x:f>'設定と出典'!B57</x:f>
        <x:v>5</x:v>
      </x:c>
      <x:c r="G24" s="1" t="n">
        <x:f>'設定と出典'!C57</x:f>
        <x:v>1</x:v>
      </x:c>
      <x:c r="H24" s="1" t="n">
        <x:f>'設定と出典'!D57</x:f>
        <x:v>2</x:v>
      </x:c>
      <x:c r="I24" s="1" t="n">
        <x:f>'設定と出典'!E57</x:f>
        <x:v>1</x:v>
      </x:c>
      <x:c r="J24" s="1" t="n">
        <x:f>'設定と出典'!F57</x:f>
        <x:v>1.1</x:v>
      </x:c>
      <x:c r="K24" s="1" t="n">
        <x:f>'設定と出典'!G57</x:f>
        <x:v>1</x:v>
      </x:c>
      <x:c r="L24" s="1" t="n">
        <x:f>'設定と出典'!H57</x:f>
        <x:v>3</x:v>
      </x:c>
      <x:c r="M24" s="1" t="n">
        <x:f>A24*D24</x:f>
        <x:v>2500</x:v>
      </x:c>
      <x:c r="N24" s="1" t="n">
        <x:f>M24*F24</x:f>
        <x:v>12500</x:v>
      </x:c>
      <x:c r="O24" s="1" t="n">
        <x:f>N24*G24</x:f>
        <x:v>12500</x:v>
      </x:c>
      <x:c r="P24" s="1" t="n">
        <x:f>O24*H24/1024</x:f>
        <x:v>24.4140625</x:v>
      </x:c>
      <x:c r="Q24" s="1" t="n">
        <x:f>P24*I24</x:f>
        <x:v>24.4140625</x:v>
      </x:c>
      <x:c r="R24" s="1" t="n">
        <x:f>P24*('設定と出典'!$B$34+'設定と出典'!$B$35)/'設定と出典'!$B$7</x:f>
        <x:v>22.786458333333332</x:v>
      </x:c>
      <x:c r="S24" s="1" t="n">
        <x:f>O24*K24</x:f>
        <x:v>12500</x:v>
      </x:c>
      <x:c r="T24" s="7" t="n">
        <x:f>A24*E24</x:f>
        <x:v>1500000</x:v>
      </x:c>
      <x:c r="U24" s="7" t="n">
        <x:f>A24*'設定と出典'!$B$26</x:f>
        <x:v>25000</x:v>
      </x:c>
      <x:c r="V24" s="7" t="n">
        <x:f>M24*'設定と出典'!$B$27</x:f>
        <x:v>5000</x:v>
      </x:c>
      <x:c r="W24" s="7" t="n">
        <x:f>(N24*'設定と出典'!$B$36+S24)*('設定と出典'!$B$43*'設定と出典'!$B$8+'設定と出典'!$B$44*'設定と出典'!$B$9)*'設定と出典'!$B$12*'設定と出典'!$B$6</x:f>
        <x:v>66.36293516675217</x:v>
      </x:c>
      <x:c r="X24" s="7" t="n">
        <x:f>N24*I24*'設定と出典'!$B$37*('設定と出典'!$B$45*'設定と出典'!$B$8+'設定と出典'!$B$46*'設定と出典'!$B$9)*'設定と出典'!$B$12*'設定と出典'!$B$6</x:f>
        <x:v>10.209682333346485</x:v>
      </x:c>
      <x:c r="Y24" s="7" t="n">
        <x:f>MAX(0,S24*('設定と出典'!$B$13*'設定と出典'!$B$8+'設定と出典'!$B$14*'設定と出典'!$B$9)-MIN(S24,'設定と出典'!$B$7*86400*'設定と出典'!$B$15)*('設定と出典'!$B$13*'設定と出典'!$B$10+'設定と出典'!$B$14*'設定と出典'!$B$11))*'設定と出典'!$B$12*'設定と出典'!$B$6</x:f>
        <x:v>43.37014696909828</x:v>
      </x:c>
      <x:c r="Z24" s="7" t="n">
        <x:f>O24*('設定と出典'!$B$41*'設定と出典'!$B$18+('設定と出典'!$B$42+I24)*'設定と出典'!$B$19)/1000*'設定と出典'!$B$6</x:f>
        <x:v>11.625000000000002</x:v>
      </x:c>
      <x:c r="AA24" s="7" t="n">
        <x:f>N24*(1+J24)*'設定と出典'!$B$21</x:f>
        <x:v>2625</x:v>
      </x:c>
      <x:c r="AB24" s="7" t="n">
        <x:f>N24*'設定と出典'!$B$40/1048576*'設定と出典'!$B$20*'設定と出典'!$B$6+N24*'設定と出典'!$B$39/1000000*'設定と出典'!$B$38*'設定と出典'!$B$6</x:f>
        <x:v>16.728836059570312</x:v>
      </x:c>
      <x:c r="AC24" s="7" t="n">
        <x:f>R24*'設定と出典'!$B$16*'設定と出典'!$B$6</x:f>
        <x:v>85.44921875</x:v>
      </x:c>
      <x:c r="AD24" s="7" t="n">
        <x:f>Q24*'設定と出典'!$B$17*'設定と出典'!$B$6</x:f>
        <x:v>439.453125</x:v>
      </x:c>
      <x:c r="AE24" s="7" t="n">
        <x:f>'設定と出典'!B63</x:f>
        <x:v>13628.969418426243</x:v>
      </x:c>
      <x:c r="AF24" s="7" t="n">
        <x:f>SUM(U24:AE24)</x:f>
        <x:v>46927.168362705</x:v>
      </x:c>
      <x:c r="AG24" s="7" t="n">
        <x:f>T24*'設定と出典'!$B$28</x:f>
        <x:v>53999.99999999999</x:v>
      </x:c>
      <x:c r="AH24" s="7" t="n">
        <x:f>(A24*L24+M24*'設定と出典'!$B$31)/60*'設定と出典'!$B$29</x:f>
        <x:v>116666.66666666667</x:v>
      </x:c>
      <x:c r="AI24" s="7" t="n">
        <x:f>'設定と出典'!$B$30*'設定と出典'!$B$29</x:f>
        <x:v>8000</x:v>
      </x:c>
      <x:c r="AJ24" s="7" t="n">
        <x:f>T24-SUM(AF24:AI24)</x:f>
        <x:v>1274406.1649706285</x:v>
      </x:c>
      <x:c r="AK24" s="7" t="n">
        <x:f>AJ24-T24*'設定と出典'!$B$32</x:f>
        <x:v>524406.1649706285</x:v>
      </x:c>
      <x:c r="AL24" s="7" t="n">
        <x:f>AJ24-A24*MIN(E24,AV24)*'設定と出典'!$B$32</x:f>
        <x:v>1024406.1649706285</x:v>
      </x:c>
      <x:c r="AM24" s="8" t="n">
        <x:f>AJ24/T24</x:f>
        <x:v>0.849604109980419</x:v>
      </x:c>
      <x:c r="AN24" s="8" t="n">
        <x:f>AK24/T24</x:f>
        <x:v>0.34960410998041896</x:v>
      </x:c>
      <x:c r="AO24" s="8" t="n">
        <x:f>AJ24/T24</x:f>
        <x:v>0.849604109980419</x:v>
      </x:c>
      <x:c r="AP24" s="8" t="n">
        <x:f>AO24-'設定と出典'!$B$33</x:f>
        <x:v>0.6496041099804191</x:v>
      </x:c>
      <x:c r="AQ24" s="9" t="n">
        <x:f>SUM(W24:AD24)/N24</x:f>
        <x:v>0.26385591554230137</x:v>
      </x:c>
      <x:c r="AR24" s="9" t="n">
        <x:f>MAX(0,(E24*(1-'設定と出典'!$B$28-'設定と出典'!$B$32)-(U24+V24+AH24+AI24+AE24)/A24)/AQ24)</x:f>
        <x:v>3999.9433996415783</x:v>
      </x:c>
      <x:c r="AS24" s="9" t="n">
        <x:f>MAX(0,(E24*(1-'設定と出典'!$B$28 )-(U24+V24+AH24+AI24+AE24)/A24)/AQ24)</x:f>
        <x:v>9684.864266081355</x:v>
      </x:c>
      <x:c r="AT24" s="9" t="n">
        <x:f>MAX(0,(E24*(1-'設定と出典'!$B$28)-MIN(E24,AV24)*'設定と出典'!$B$32-(U24+V24+AH24+AI24+AE24)/A24)/AQ24)</x:f>
        <x:v>7789.890643934763</x:v>
      </x:c>
      <x:c r="AU24" s="9" t="n">
        <x:f>IF((T24*(1-'設定と出典'!$B$28-'設定と出典'!$B$32)-(AF24-AE24)-AH24)&lt;=0,"成立せず",(AE24+AI24)/((T24*(1-'設定と出典'!$B$28-'設定と出典'!$B$32)-(AF24-AE24)-AH24)/A24))</x:f>
        <x:v>19.805474095203017</x:v>
      </x:c>
      <x:c r="AV24" s="9" t="n">
        <x:f>'設定と出典'!D51</x:f>
        <x:v>1000</x:v>
      </x:c>
      <x:c r="AW24" s="9" t="n">
        <x:f>IF(1-'設定と出典'!$B$28-'設定と出典'!$B$32-'設定と出典'!$B$33&lt;=0,0,MAX(0,MIN(E24,(AK24/A24-E24*'設定と出典'!$B$33)/(1-'設定と出典'!$B$28-'設定と出典'!$B$32-'設定と出典'!$B$33))))</x:f>
        <x:v>1700.0467043229428</x:v>
      </x:c>
      <x:c r="AX24" s="1"/>
      <x:c r="AY24" s="1"/>
      <x:c r="AZ24" s="1"/>
      <x:c r="BA24" s="1"/>
    </x:row>
    <x:row r="25" ht="22" customHeight="1">
      <x:c r="A25" s="1" t="n">
        <x:v>500</x:v>
      </x:c>
      <x:c r="B25" s="1" t="str">
        <x:f>'設定と出典'!A51</x:f>
        <x:v>Starter</x:v>
      </x:c>
      <x:c r="C25" s="1" t="str">
        <x:f>'設定と出典'!A58</x:f>
        <x:v>標準</x:v>
      </x:c>
      <x:c r="D25" s="1" t="n">
        <x:f>'設定と出典'!B51</x:f>
        <x:v>5</x:v>
      </x:c>
      <x:c r="E25" s="1" t="n">
        <x:f>'設定と出典'!C51</x:f>
        <x:v>3000</x:v>
      </x:c>
      <x:c r="F25" s="1" t="n">
        <x:f>'設定と出典'!B58</x:f>
        <x:v>20</x:v>
      </x:c>
      <x:c r="G25" s="1" t="n">
        <x:f>'設定と出典'!C58</x:f>
        <x:v>2</x:v>
      </x:c>
      <x:c r="H25" s="1" t="n">
        <x:f>'設定と出典'!D58</x:f>
        <x:v>10</x:v>
      </x:c>
      <x:c r="I25" s="1" t="n">
        <x:f>'設定と出典'!E58</x:f>
        <x:v>1.5</x:v>
      </x:c>
      <x:c r="J25" s="1" t="n">
        <x:f>'設定と出典'!F58</x:f>
        <x:v>1.8</x:v>
      </x:c>
      <x:c r="K25" s="1" t="n">
        <x:f>'設定と出典'!G58</x:f>
        <x:v>2</x:v>
      </x:c>
      <x:c r="L25" s="1" t="n">
        <x:f>'設定と出典'!H58</x:f>
        <x:v>8</x:v>
      </x:c>
      <x:c r="M25" s="1" t="n">
        <x:f>A25*D25</x:f>
        <x:v>2500</x:v>
      </x:c>
      <x:c r="N25" s="1" t="n">
        <x:f>M25*F25</x:f>
        <x:v>50000</x:v>
      </x:c>
      <x:c r="O25" s="1" t="n">
        <x:f>N25*G25</x:f>
        <x:v>100000</x:v>
      </x:c>
      <x:c r="P25" s="1" t="n">
        <x:f>O25*H25/1024</x:f>
        <x:v>976.5625</x:v>
      </x:c>
      <x:c r="Q25" s="1" t="n">
        <x:f>P25*I25</x:f>
        <x:v>1464.84375</x:v>
      </x:c>
      <x:c r="R25" s="1" t="n">
        <x:f>P25*('設定と出典'!$B$34+'設定と出典'!$B$35)/'設定と出典'!$B$7</x:f>
        <x:v>911.4583333333334</x:v>
      </x:c>
      <x:c r="S25" s="1" t="n">
        <x:f>O25*K25</x:f>
        <x:v>200000</x:v>
      </x:c>
      <x:c r="T25" s="7" t="n">
        <x:f>A25*E25</x:f>
        <x:v>1500000</x:v>
      </x:c>
      <x:c r="U25" s="7" t="n">
        <x:f>A25*'設定と出典'!$B$26</x:f>
        <x:v>25000</x:v>
      </x:c>
      <x:c r="V25" s="7" t="n">
        <x:f>M25*'設定と出典'!$B$27</x:f>
        <x:v>5000</x:v>
      </x:c>
      <x:c r="W25" s="7" t="n">
        <x:f>(N25*'設定と出典'!$B$36+S25)*('設定と出典'!$B$43*'設定と出典'!$B$8+'設定と出典'!$B$44*'設定と出典'!$B$9)*'設定と出典'!$B$12*'設定と出典'!$B$6</x:f>
        <x:v>878.032680667798</x:v>
      </x:c>
      <x:c r="X25" s="7" t="n">
        <x:f>N25*I25*'設定と出典'!$B$37*('設定と出典'!$B$45*'設定と出典'!$B$8+'設定と出典'!$B$46*'設定と出典'!$B$9)*'設定と出典'!$B$12*'設定と出典'!$B$6</x:f>
        <x:v>61.25809400007892</x:v>
      </x:c>
      <x:c r="Y25" s="7" t="n">
        <x:f>MAX(0,S25*('設定と出典'!$B$13*'設定と出典'!$B$8+'設定と出典'!$B$14*'設定と出典'!$B$9)-MIN(S25,'設定と出典'!$B$7*86400*'設定と出典'!$B$15)*('設定と出典'!$B$13*'設定と出典'!$B$10+'設定と出典'!$B$14*'設定と出典'!$B$11))*'設定と出典'!$B$12*'設定と出典'!$B$6</x:f>
        <x:v>693.9223515055725</x:v>
      </x:c>
      <x:c r="Z25" s="7" t="n">
        <x:f>O25*('設定と出典'!$B$41*'設定と出典'!$B$18+('設定と出典'!$B$42+I25)*'設定と出典'!$B$19)/1000*'設定と出典'!$B$6</x:f>
        <x:v>96</x:v>
      </x:c>
      <x:c r="AA25" s="7" t="n">
        <x:f>N25*(1+J25)*'設定と出典'!$B$21</x:f>
        <x:v>14000</x:v>
      </x:c>
      <x:c r="AB25" s="7" t="n">
        <x:f>N25*'設定と出典'!$B$40/1048576*'設定と出典'!$B$20*'設定と出典'!$B$6+N25*'設定と出典'!$B$39/1000000*'設定と出典'!$B$38*'設定と出典'!$B$6</x:f>
        <x:v>66.91534423828125</x:v>
      </x:c>
      <x:c r="AC25" s="7" t="n">
        <x:f>R25*'設定と出典'!$B$16*'設定と出典'!$B$6</x:f>
        <x:v>3417.9687500000005</x:v>
      </x:c>
      <x:c r="AD25" s="7" t="n">
        <x:f>Q25*'設定と出典'!$B$17*'設定と出典'!$B$6</x:f>
        <x:v>26367.1875</x:v>
      </x:c>
      <x:c r="AE25" s="7" t="n">
        <x:f>'設定と出典'!B63</x:f>
        <x:v>13628.969418426243</x:v>
      </x:c>
      <x:c r="AF25" s="7" t="n">
        <x:f>SUM(U25:AE25)</x:f>
        <x:v>89210.25413883798</x:v>
      </x:c>
      <x:c r="AG25" s="7" t="n">
        <x:f>T25*'設定と出典'!$B$28</x:f>
        <x:v>53999.99999999999</x:v>
      </x:c>
      <x:c r="AH25" s="7" t="n">
        <x:f>(A25*L25+M25*'設定と出典'!$B$31)/60*'設定と出典'!$B$29</x:f>
        <x:v>283333.3333333333</x:v>
      </x:c>
      <x:c r="AI25" s="7" t="n">
        <x:f>'設定と出典'!$B$30*'設定と出典'!$B$29</x:f>
        <x:v>8000</x:v>
      </x:c>
      <x:c r="AJ25" s="7" t="n">
        <x:f>T25-SUM(AF25:AI25)</x:f>
        <x:v>1065456.4125278287</x:v>
      </x:c>
      <x:c r="AK25" s="7" t="n">
        <x:f>AJ25-T25*'設定と出典'!$B$32</x:f>
        <x:v>315456.4125278287</x:v>
      </x:c>
      <x:c r="AL25" s="7" t="n">
        <x:f>AJ25-A25*MIN(E25,AV25)*'設定と出典'!$B$32</x:f>
        <x:v>815456.4125278287</x:v>
      </x:c>
      <x:c r="AM25" s="8" t="n">
        <x:f>AJ25/T25</x:f>
        <x:v>0.7103042750185524</x:v>
      </x:c>
      <x:c r="AN25" s="8" t="n">
        <x:f>AK25/T25</x:f>
        <x:v>0.21030427501855248</x:v>
      </x:c>
      <x:c r="AO25" s="8" t="n">
        <x:f>AJ25/T25</x:f>
        <x:v>0.7103042750185524</x:v>
      </x:c>
      <x:c r="AP25" s="8" t="n">
        <x:f>AO25-'設定と出典'!$B$33</x:f>
        <x:v>0.5103042750185525</x:v>
      </x:c>
      <x:c r="AQ25" s="9" t="n">
        <x:f>SUM(W25:AD25)/N25</x:f>
        <x:v>0.9116256944082346</x:v>
      </x:c>
      <x:c r="AR25" s="9" t="n">
        <x:f>MAX(0,(E25*(1-'設定と出典'!$B$28-'設定と出典'!$B$32)-(U25+V25+AH25+AI25+AE25)/A25)/AQ25)</x:f>
        <x:v>792.074421470978</x:v>
      </x:c>
      <x:c r="AS25" s="9" t="n">
        <x:f>MAX(0,(E25*(1-'設定と出典'!$B$28 )-(U25+V25+AH25+AI25+AE25)/A25)/AQ25)</x:f>
        <x:v>2437.486578237465</x:v>
      </x:c>
      <x:c r="AT25" s="9" t="n">
        <x:f>MAX(0,(E25*(1-'設定と出典'!$B$28)-MIN(E25,AV25)*'設定と出典'!$B$32-(U25+V25+AH25+AI25+AE25)/A25)/AQ25)</x:f>
        <x:v>1889.0158593153028</x:v>
      </x:c>
      <x:c r="AU25" s="9" t="n">
        <x:f>IF((T25*(1-'設定と出典'!$B$28-'設定と出典'!$B$32)-(AF25-AE25)-AH25)&lt;=0,"成立せず",(AE25+AI25)/((T25*(1-'設定と出典'!$B$28-'設定と出典'!$B$32)-(AF25-AE25)-AH25)/A25))</x:f>
        <x:v>32.082330734049414</x:v>
      </x:c>
      <x:c r="AV25" s="9" t="n">
        <x:f>'設定と出典'!D51</x:f>
        <x:v>1000</x:v>
      </x:c>
      <x:c r="AW25" s="9" t="n">
        <x:f>IF(1-'設定と出典'!$B$28-'設定と出典'!$B$32-'設定と出典'!$B$33&lt;=0,0,MAX(0,MIN(E25,(AK25/A25-E25*'設定と出典'!$B$33)/(1-'設定と出典'!$B$28-'設定と出典'!$B$32-'設定と出典'!$B$33))))</x:f>
        <x:v>117.09403430173273</x:v>
      </x:c>
      <x:c r="AX25" s="1"/>
      <x:c r="AY25" s="1"/>
      <x:c r="AZ25" s="1"/>
      <x:c r="BA25" s="1"/>
    </x:row>
    <x:row r="26" ht="22" customHeight="1">
      <x:c r="A26" s="1" t="n">
        <x:v>500</x:v>
      </x:c>
      <x:c r="B26" s="1" t="str">
        <x:f>'設定と出典'!A51</x:f>
        <x:v>Starter</x:v>
      </x:c>
      <x:c r="C26" s="1" t="str">
        <x:f>'設定と出典'!A59</x:f>
        <x:v>高位</x:v>
      </x:c>
      <x:c r="D26" s="1" t="n">
        <x:f>'設定と出典'!B51</x:f>
        <x:v>5</x:v>
      </x:c>
      <x:c r="E26" s="1" t="n">
        <x:f>'設定と出典'!C51</x:f>
        <x:v>3000</x:v>
      </x:c>
      <x:c r="F26" s="1" t="n">
        <x:f>'設定と出典'!B59</x:f>
        <x:v>80</x:v>
      </x:c>
      <x:c r="G26" s="1" t="n">
        <x:f>'設定と出典'!C59</x:f>
        <x:v>3</x:v>
      </x:c>
      <x:c r="H26" s="1" t="n">
        <x:f>'設定と出典'!D59</x:f>
        <x:v>50</x:v>
      </x:c>
      <x:c r="I26" s="1" t="n">
        <x:f>'設定と出典'!E59</x:f>
        <x:v>2</x:v>
      </x:c>
      <x:c r="J26" s="1" t="n">
        <x:f>'設定と出典'!F59</x:f>
        <x:v>2.5</x:v>
      </x:c>
      <x:c r="K26" s="1" t="n">
        <x:f>'設定と出典'!G59</x:f>
        <x:v>5</x:v>
      </x:c>
      <x:c r="L26" s="1" t="n">
        <x:f>'設定と出典'!H59</x:f>
        <x:v>20</x:v>
      </x:c>
      <x:c r="M26" s="1" t="n">
        <x:f>A26*D26</x:f>
        <x:v>2500</x:v>
      </x:c>
      <x:c r="N26" s="1" t="n">
        <x:f>M26*F26</x:f>
        <x:v>200000</x:v>
      </x:c>
      <x:c r="O26" s="1" t="n">
        <x:f>N26*G26</x:f>
        <x:v>600000</x:v>
      </x:c>
      <x:c r="P26" s="1" t="n">
        <x:f>O26*H26/1024</x:f>
        <x:v>29296.875</x:v>
      </x:c>
      <x:c r="Q26" s="1" t="n">
        <x:f>P26*I26</x:f>
        <x:v>58593.75</x:v>
      </x:c>
      <x:c r="R26" s="1" t="n">
        <x:f>P26*('設定と出典'!$B$34+'設定と出典'!$B$35)/'設定と出典'!$B$7</x:f>
        <x:v>27343.75</x:v>
      </x:c>
      <x:c r="S26" s="1" t="n">
        <x:f>O26*K26</x:f>
        <x:v>3000000</x:v>
      </x:c>
      <x:c r="T26" s="7" t="n">
        <x:f>A26*E26</x:f>
        <x:v>1500000</x:v>
      </x:c>
      <x:c r="U26" s="7" t="n">
        <x:f>A26*'設定と出典'!$B$26</x:f>
        <x:v>25000</x:v>
      </x:c>
      <x:c r="V26" s="7" t="n">
        <x:f>M26*'設定と出典'!$B$27</x:f>
        <x:v>5000</x:v>
      </x:c>
      <x:c r="W26" s="7" t="n">
        <x:f>(N26*'設定と出典'!$B$36+S26)*('設定と出典'!$B$43*'設定と出典'!$B$8+'設定と出典'!$B$44*'設定と出典'!$B$9)*'設定と出典'!$B$12*'設定と出典'!$B$6</x:f>
        <x:v>12496.651176016101</x:v>
      </x:c>
      <x:c r="X26" s="7" t="n">
        <x:f>N26*I26*'設定と出典'!$B$37*('設定と出典'!$B$45*'設定と出典'!$B$8+'設定と出典'!$B$46*'設定と出典'!$B$9)*'設定と出典'!$B$12*'設定と出典'!$B$6</x:f>
        <x:v>326.70983466708753</x:v>
      </x:c>
      <x:c r="Y26" s="7" t="n">
        <x:f>MAX(0,S26*('設定と出典'!$B$13*'設定と出典'!$B$8+'設定と出典'!$B$14*'設定と出典'!$B$9)-MIN(S26,'設定と出典'!$B$7*86400*'設定と出典'!$B$15)*('設定と出典'!$B$13*'設定と出典'!$B$10+'設定と出典'!$B$14*'設定と出典'!$B$11))*'設定と出典'!$B$12*'設定と出典'!$B$6</x:f>
        <x:v>10901.358236595128</x:v>
      </x:c>
      <x:c r="Z26" s="7" t="n">
        <x:f>O26*('設定と出典'!$B$41*'設定と出典'!$B$18+('設定と出典'!$B$42+I26)*'設定と出典'!$B$19)/1000*'設定と出典'!$B$6</x:f>
        <x:v>594</x:v>
      </x:c>
      <x:c r="AA26" s="7" t="n">
        <x:f>N26*(1+J26)*'設定と出典'!$B$21</x:f>
        <x:v>70000</x:v>
      </x:c>
      <x:c r="AB26" s="7" t="n">
        <x:f>N26*'設定と出典'!$B$40/1048576*'設定と出典'!$B$20*'設定と出典'!$B$6+N26*'設定と出典'!$B$39/1000000*'設定と出典'!$B$38*'設定と出典'!$B$6</x:f>
        <x:v>267.661376953125</x:v>
      </x:c>
      <x:c r="AC26" s="7" t="n">
        <x:f>R26*'設定と出典'!$B$16*'設定と出典'!$B$6</x:f>
        <x:v>102539.0625</x:v>
      </x:c>
      <x:c r="AD26" s="7" t="n">
        <x:f>Q26*'設定と出典'!$B$17*'設定と出典'!$B$6</x:f>
        <x:v>1054687.5</x:v>
      </x:c>
      <x:c r="AE26" s="7" t="n">
        <x:f>'設定と出典'!B63</x:f>
        <x:v>13628.969418426243</x:v>
      </x:c>
      <x:c r="AF26" s="7" t="n">
        <x:f>SUM(U26:AE26)</x:f>
        <x:v>1295441.9125426577</x:v>
      </x:c>
      <x:c r="AG26" s="7" t="n">
        <x:f>T26*'設定と出典'!$B$28</x:f>
        <x:v>53999.99999999999</x:v>
      </x:c>
      <x:c r="AH26" s="7" t="n">
        <x:f>(A26*L26+M26*'設定と出典'!$B$31)/60*'設定と出典'!$B$29</x:f>
        <x:v>683333.3333333334</x:v>
      </x:c>
      <x:c r="AI26" s="7" t="n">
        <x:f>'設定と出典'!$B$30*'設定と出典'!$B$29</x:f>
        <x:v>8000</x:v>
      </x:c>
      <x:c r="AJ26" s="7" t="n">
        <x:f>T26-SUM(AF26:AI26)</x:f>
        <x:v>-540775.245875991</x:v>
      </x:c>
      <x:c r="AK26" s="7" t="n">
        <x:f>AJ26-T26*'設定と出典'!$B$32</x:f>
        <x:v>-1290775.245875991</x:v>
      </x:c>
      <x:c r="AL26" s="7" t="n">
        <x:f>AJ26-A26*MIN(E26,AV26)*'設定と出典'!$B$32</x:f>
        <x:v>-790775.245875991</x:v>
      </x:c>
      <x:c r="AM26" s="8" t="n">
        <x:f>AJ26/T26</x:f>
        <x:v>-0.360516830583994</x:v>
      </x:c>
      <x:c r="AN26" s="8" t="n">
        <x:f>AK26/T26</x:f>
        <x:v>-0.860516830583994</x:v>
      </x:c>
      <x:c r="AO26" s="8" t="n">
        <x:f>AJ26/T26</x:f>
        <x:v>-0.360516830583994</x:v>
      </x:c>
      <x:c r="AP26" s="8" t="n">
        <x:f>AO26-'設定と出典'!$B$33</x:f>
        <x:v>-0.560516830583994</x:v>
      </x:c>
      <x:c r="AQ26" s="9" t="n">
        <x:f>SUM(W26:AD26)/N26</x:f>
        <x:v>6.259064715621157</x:v>
      </x:c>
      <x:c r="AR26" s="9" t="n">
        <x:f>MAX(0,(E26*(1-'設定と出典'!$B$28-'設定と出典'!$B$32)-(U26+V26+AH26+AI26+AE26)/A26)/AQ26)</x:f>
        <x:v>0</x:v>
      </x:c>
      <x:c r="AS26" s="9" t="n">
        <x:f>MAX(0,(E26*(1-'設定と出典'!$B$28 )-(U26+V26+AH26+AI26+AE26)/A26)/AQ26)</x:f>
        <x:v>227.20253889487898</x:v>
      </x:c>
      <x:c r="AT26" s="9" t="n">
        <x:f>MAX(0,(E26*(1-'設定と出典'!$B$28)-MIN(E26,AV26)*'設定と出典'!$B$32-(U26+V26+AH26+AI26+AE26)/A26)/AQ26)</x:f>
        <x:v>147.31839921629134</x:v>
      </x:c>
      <x:c r="AU26" s="9" t="str">
        <x:f>IF((T26*(1-'設定と出典'!$B$28-'設定と出典'!$B$32)-(AF26-AE26)-AH26)&lt;=0,"成立せず",(AE26+AI26)/((T26*(1-'設定と出典'!$B$28-'設定と出典'!$B$32)-(AF26-AE26)-AH26)/A26))</x:f>
        <x:v>成立せず</x:v>
      </x:c>
      <x:c r="AV26" s="9" t="n">
        <x:f>'設定と出典'!D51</x:f>
        <x:v>1000</x:v>
      </x:c>
      <x:c r="AW26" s="9" t="n">
        <x:f>IF(1-'設定と出典'!$B$28-'設定と出典'!$B$32-'設定と出典'!$B$33&lt;=0,0,MAX(0,MIN(E26,(AK26/A26-E26*'設定と出典'!$B$33)/(1-'設定と出典'!$B$28-'設定と出典'!$B$32-'設定と出典'!$B$33))))</x:f>
        <x:v>0</x:v>
      </x:c>
      <x:c r="AX26" s="1"/>
      <x:c r="AY26" s="1"/>
      <x:c r="AZ26" s="1"/>
      <x:c r="BA26" s="1"/>
    </x:row>
    <x:row r="27" ht="22" customHeight="1">
      <x:c r="A27" s="1" t="n">
        <x:v>500</x:v>
      </x:c>
      <x:c r="B27" s="1" t="str">
        <x:f>'設定と出典'!A52</x:f>
        <x:v>Business</x:v>
      </x:c>
      <x:c r="C27" s="1" t="str">
        <x:f>'設定と出典'!A57</x:f>
        <x:v>低位</x:v>
      </x:c>
      <x:c r="D27" s="1" t="n">
        <x:f>'設定と出典'!B52</x:f>
        <x:v>20</x:v>
      </x:c>
      <x:c r="E27" s="1" t="n">
        <x:f>'設定と出典'!C52</x:f>
        <x:v>5000</x:v>
      </x:c>
      <x:c r="F27" s="1" t="n">
        <x:f>'設定と出典'!B57</x:f>
        <x:v>5</x:v>
      </x:c>
      <x:c r="G27" s="1" t="n">
        <x:f>'設定と出典'!C57</x:f>
        <x:v>1</x:v>
      </x:c>
      <x:c r="H27" s="1" t="n">
        <x:f>'設定と出典'!D57</x:f>
        <x:v>2</x:v>
      </x:c>
      <x:c r="I27" s="1" t="n">
        <x:f>'設定と出典'!E57</x:f>
        <x:v>1</x:v>
      </x:c>
      <x:c r="J27" s="1" t="n">
        <x:f>'設定と出典'!F57</x:f>
        <x:v>1.1</x:v>
      </x:c>
      <x:c r="K27" s="1" t="n">
        <x:f>'設定と出典'!G57</x:f>
        <x:v>1</x:v>
      </x:c>
      <x:c r="L27" s="1" t="n">
        <x:f>'設定と出典'!H57</x:f>
        <x:v>3</x:v>
      </x:c>
      <x:c r="M27" s="1" t="n">
        <x:f>A27*D27</x:f>
        <x:v>10000</x:v>
      </x:c>
      <x:c r="N27" s="1" t="n">
        <x:f>M27*F27</x:f>
        <x:v>50000</x:v>
      </x:c>
      <x:c r="O27" s="1" t="n">
        <x:f>N27*G27</x:f>
        <x:v>50000</x:v>
      </x:c>
      <x:c r="P27" s="1" t="n">
        <x:f>O27*H27/1024</x:f>
        <x:v>97.65625</x:v>
      </x:c>
      <x:c r="Q27" s="1" t="n">
        <x:f>P27*I27</x:f>
        <x:v>97.65625</x:v>
      </x:c>
      <x:c r="R27" s="1" t="n">
        <x:f>P27*('設定と出典'!$B$34+'設定と出典'!$B$35)/'設定と出典'!$B$7</x:f>
        <x:v>91.14583333333333</x:v>
      </x:c>
      <x:c r="S27" s="1" t="n">
        <x:f>O27*K27</x:f>
        <x:v>50000</x:v>
      </x:c>
      <x:c r="T27" s="7" t="n">
        <x:f>A27*E27</x:f>
        <x:v>2500000</x:v>
      </x:c>
      <x:c r="U27" s="7" t="n">
        <x:f>A27*'設定と出典'!$B$26</x:f>
        <x:v>25000</x:v>
      </x:c>
      <x:c r="V27" s="7" t="n">
        <x:f>M27*'設定と出典'!$B$27</x:f>
        <x:v>20000</x:v>
      </x:c>
      <x:c r="W27" s="7" t="n">
        <x:f>(N27*'設定と出典'!$B$36+S27)*('設定と出典'!$B$43*'設定と出典'!$B$8+'設定と出典'!$B$44*'設定と出典'!$B$9)*'設定と出典'!$B$12*'設定と出典'!$B$6</x:f>
        <x:v>265.45174066700866</x:v>
      </x:c>
      <x:c r="X27" s="7" t="n">
        <x:f>N27*I27*'設定と出典'!$B$37*('設定と出典'!$B$45*'設定と出典'!$B$8+'設定と出典'!$B$46*'設定と出典'!$B$9)*'設定と出典'!$B$12*'設定と出典'!$B$6</x:f>
        <x:v>40.83872933338594</x:v>
      </x:c>
      <x:c r="Y27" s="7" t="n">
        <x:f>MAX(0,S27*('設定と出典'!$B$13*'設定と出典'!$B$8+'設定と出典'!$B$14*'設定と出典'!$B$9)-MIN(S27,'設定と出典'!$B$7*86400*'設定と出典'!$B$15)*('設定と出典'!$B$13*'設定と出典'!$B$10+'設定と出典'!$B$14*'設定と出典'!$B$11))*'設定と出典'!$B$12*'設定と出典'!$B$6</x:f>
        <x:v>173.48058787639312</x:v>
      </x:c>
      <x:c r="Z27" s="7" t="n">
        <x:f>O27*('設定と出典'!$B$41*'設定と出典'!$B$18+('設定と出典'!$B$42+I27)*'設定と出典'!$B$19)/1000*'設定と出典'!$B$6</x:f>
        <x:v>46.50000000000001</x:v>
      </x:c>
      <x:c r="AA27" s="7" t="n">
        <x:f>N27*(1+J27)*'設定と出典'!$B$21</x:f>
        <x:v>10500</x:v>
      </x:c>
      <x:c r="AB27" s="7" t="n">
        <x:f>N27*'設定と出典'!$B$40/1048576*'設定と出典'!$B$20*'設定と出典'!$B$6+N27*'設定と出典'!$B$39/1000000*'設定と出典'!$B$38*'設定と出典'!$B$6</x:f>
        <x:v>66.91534423828125</x:v>
      </x:c>
      <x:c r="AC27" s="7" t="n">
        <x:f>R27*'設定と出典'!$B$16*'設定と出典'!$B$6</x:f>
        <x:v>341.796875</x:v>
      </x:c>
      <x:c r="AD27" s="7" t="n">
        <x:f>Q27*'設定と出典'!$B$17*'設定と出典'!$B$6</x:f>
        <x:v>1757.8125</x:v>
      </x:c>
      <x:c r="AE27" s="7" t="n">
        <x:f>'設定と出典'!B63</x:f>
        <x:v>13628.969418426243</x:v>
      </x:c>
      <x:c r="AF27" s="7" t="n">
        <x:f>SUM(U27:AE27)</x:f>
        <x:v>71821.76519554132</x:v>
      </x:c>
      <x:c r="AG27" s="7" t="n">
        <x:f>T27*'設定と出典'!$B$28</x:f>
        <x:v>90000</x:v>
      </x:c>
      <x:c r="AH27" s="7" t="n">
        <x:f>(A27*L27+M27*'設定と出典'!$B$31)/60*'設定と出典'!$B$29</x:f>
        <x:v>166666.66666666666</x:v>
      </x:c>
      <x:c r="AI27" s="7" t="n">
        <x:f>'設定と出典'!$B$30*'設定と出典'!$B$29</x:f>
        <x:v>8000</x:v>
      </x:c>
      <x:c r="AJ27" s="7" t="n">
        <x:f>T27-SUM(AF27:AI27)</x:f>
        <x:v>2163511.568137792</x:v>
      </x:c>
      <x:c r="AK27" s="7" t="n">
        <x:f>AJ27-T27*'設定と出典'!$B$32</x:f>
        <x:v>913511.5681377919</x:v>
      </x:c>
      <x:c r="AL27" s="7" t="n">
        <x:f>AJ27-A27*MIN(E27,AV27)*'設定と出典'!$B$32</x:f>
        <x:v>1913511.568137792</x:v>
      </x:c>
      <x:c r="AM27" s="8" t="n">
        <x:f>AJ27/T27</x:f>
        <x:v>0.8654046272551168</x:v>
      </x:c>
      <x:c r="AN27" s="8" t="n">
        <x:f>AK27/T27</x:f>
        <x:v>0.3654046272551168</x:v>
      </x:c>
      <x:c r="AO27" s="8" t="n">
        <x:f>AJ27/T27</x:f>
        <x:v>0.8654046272551168</x:v>
      </x:c>
      <x:c r="AP27" s="8" t="n">
        <x:f>AO27-'設定と出典'!$B$33</x:f>
        <x:v>0.6654046272551168</x:v>
      </x:c>
      <x:c r="AQ27" s="9" t="n">
        <x:f>SUM(W27:AD27)/N27</x:f>
        <x:v>0.26385591554230137</x:v>
      </x:c>
      <x:c r="AR27" s="9" t="n">
        <x:f>MAX(0,(E27*(1-'設定と出典'!$B$28-'設定と出典'!$B$32)-(U27+V27+AH27+AI27+AE27)/A27)/AQ27)</x:f>
        <x:v>7024.32130058754</x:v>
      </x:c>
      <x:c r="AS27" s="9" t="n">
        <x:f>MAX(0,(E27*(1-'設定と出典'!$B$28 )-(U27+V27+AH27+AI27+AE27)/A27)/AQ27)</x:f>
        <x:v>16499.189411320498</x:v>
      </x:c>
      <x:c r="AT27" s="9" t="n">
        <x:f>MAX(0,(E27*(1-'設定と出典'!$B$28)-MIN(E27,AV27)*'設定と出典'!$B$32-(U27+V27+AH27+AI27+AE27)/A27)/AQ27)</x:f>
        <x:v>14604.215789173906</x:v>
      </x:c>
      <x:c r="AU27" s="9" t="n">
        <x:f>IF((T27*(1-'設定と出典'!$B$28-'設定と出典'!$B$32)-(AF27-AE27)-AH27)&lt;=0,"成立せず",(AE27+AI27)/((T27*(1-'設定と出典'!$B$28-'設定と出典'!$B$32)-(AF27-AE27)-AH27)/A27))</x:f>
        <x:v>11.564555566668481</x:v>
      </x:c>
      <x:c r="AV27" s="9" t="n">
        <x:f>'設定と出典'!D52</x:f>
        <x:v>1000</x:v>
      </x:c>
      <x:c r="AW27" s="9" t="n">
        <x:f>IF(1-'設定と出典'!$B$28-'設定と出典'!$B$32-'設定と出典'!$B$33&lt;=0,0,MAX(0,MIN(E27,(AK27/A27-E27*'設定と出典'!$B$33)/(1-'設定と出典'!$B$28-'設定と出典'!$B$32-'設定と出典'!$B$33))))</x:f>
        <x:v>3132.663394983273</x:v>
      </x:c>
      <x:c r="AX27" s="1"/>
      <x:c r="AY27" s="1"/>
      <x:c r="AZ27" s="1"/>
      <x:c r="BA27" s="1"/>
    </x:row>
    <x:row r="28" ht="22" customHeight="1">
      <x:c r="A28" s="1" t="n">
        <x:v>500</x:v>
      </x:c>
      <x:c r="B28" s="1" t="str">
        <x:f>'設定と出典'!A52</x:f>
        <x:v>Business</x:v>
      </x:c>
      <x:c r="C28" s="1" t="str">
        <x:f>'設定と出典'!A58</x:f>
        <x:v>標準</x:v>
      </x:c>
      <x:c r="D28" s="1" t="n">
        <x:f>'設定と出典'!B52</x:f>
        <x:v>20</x:v>
      </x:c>
      <x:c r="E28" s="1" t="n">
        <x:f>'設定と出典'!C52</x:f>
        <x:v>5000</x:v>
      </x:c>
      <x:c r="F28" s="1" t="n">
        <x:f>'設定と出典'!B58</x:f>
        <x:v>20</x:v>
      </x:c>
      <x:c r="G28" s="1" t="n">
        <x:f>'設定と出典'!C58</x:f>
        <x:v>2</x:v>
      </x:c>
      <x:c r="H28" s="1" t="n">
        <x:f>'設定と出典'!D58</x:f>
        <x:v>10</x:v>
      </x:c>
      <x:c r="I28" s="1" t="n">
        <x:f>'設定と出典'!E58</x:f>
        <x:v>1.5</x:v>
      </x:c>
      <x:c r="J28" s="1" t="n">
        <x:f>'設定と出典'!F58</x:f>
        <x:v>1.8</x:v>
      </x:c>
      <x:c r="K28" s="1" t="n">
        <x:f>'設定と出典'!G58</x:f>
        <x:v>2</x:v>
      </x:c>
      <x:c r="L28" s="1" t="n">
        <x:f>'設定と出典'!H58</x:f>
        <x:v>8</x:v>
      </x:c>
      <x:c r="M28" s="1" t="n">
        <x:f>A28*D28</x:f>
        <x:v>10000</x:v>
      </x:c>
      <x:c r="N28" s="1" t="n">
        <x:f>M28*F28</x:f>
        <x:v>200000</x:v>
      </x:c>
      <x:c r="O28" s="1" t="n">
        <x:f>N28*G28</x:f>
        <x:v>400000</x:v>
      </x:c>
      <x:c r="P28" s="1" t="n">
        <x:f>O28*H28/1024</x:f>
        <x:v>3906.25</x:v>
      </x:c>
      <x:c r="Q28" s="1" t="n">
        <x:f>P28*I28</x:f>
        <x:v>5859.375</x:v>
      </x:c>
      <x:c r="R28" s="1" t="n">
        <x:f>P28*('設定と出典'!$B$34+'設定と出典'!$B$35)/'設定と出典'!$B$7</x:f>
        <x:v>3645.8333333333335</x:v>
      </x:c>
      <x:c r="S28" s="1" t="n">
        <x:f>O28*K28</x:f>
        <x:v>800000</x:v>
      </x:c>
      <x:c r="T28" s="7" t="n">
        <x:f>A28*E28</x:f>
        <x:v>2500000</x:v>
      </x:c>
      <x:c r="U28" s="7" t="n">
        <x:f>A28*'設定と出典'!$B$26</x:f>
        <x:v>25000</x:v>
      </x:c>
      <x:c r="V28" s="7" t="n">
        <x:f>M28*'設定と出典'!$B$27</x:f>
        <x:v>20000</x:v>
      </x:c>
      <x:c r="W28" s="7" t="n">
        <x:f>(N28*'設定と出典'!$B$36+S28)*('設定と出典'!$B$43*'設定と出典'!$B$8+'設定と出典'!$B$44*'設定と出典'!$B$9)*'設定と出典'!$B$12*'設定と出典'!$B$6</x:f>
        <x:v>3512.130722671192</x:v>
      </x:c>
      <x:c r="X28" s="7" t="n">
        <x:f>N28*I28*'設定と出典'!$B$37*('設定と出典'!$B$45*'設定と出典'!$B$8+'設定と出典'!$B$46*'設定と出典'!$B$9)*'設定と出典'!$B$12*'設定と出典'!$B$6</x:f>
        <x:v>245.03237600031568</x:v>
      </x:c>
      <x:c r="Y28" s="7" t="n">
        <x:f>MAX(0,S28*('設定と出典'!$B$13*'設定と出典'!$B$8+'設定と出典'!$B$14*'設定と出典'!$B$9)-MIN(S28,'設定と出典'!$B$7*86400*'設定と出典'!$B$15)*('設定と出典'!$B$13*'設定と出典'!$B$10+'設定と出典'!$B$14*'設定と出典'!$B$11))*'設定と出典'!$B$12*'設定と出典'!$B$6</x:f>
        <x:v>2775.68940602229</x:v>
      </x:c>
      <x:c r="Z28" s="7" t="n">
        <x:f>O28*('設定と出典'!$B$41*'設定と出典'!$B$18+('設定と出典'!$B$42+I28)*'設定と出典'!$B$19)/1000*'設定と出典'!$B$6</x:f>
        <x:v>384</x:v>
      </x:c>
      <x:c r="AA28" s="7" t="n">
        <x:f>N28*(1+J28)*'設定と出典'!$B$21</x:f>
        <x:v>56000</x:v>
      </x:c>
      <x:c r="AB28" s="7" t="n">
        <x:f>N28*'設定と出典'!$B$40/1048576*'設定と出典'!$B$20*'設定と出典'!$B$6+N28*'設定と出典'!$B$39/1000000*'設定と出典'!$B$38*'設定と出典'!$B$6</x:f>
        <x:v>267.661376953125</x:v>
      </x:c>
      <x:c r="AC28" s="7" t="n">
        <x:f>R28*'設定と出典'!$B$16*'設定と出典'!$B$6</x:f>
        <x:v>13671.875000000002</x:v>
      </x:c>
      <x:c r="AD28" s="7" t="n">
        <x:f>Q28*'設定と出典'!$B$17*'設定と出典'!$B$6</x:f>
        <x:v>105468.75</x:v>
      </x:c>
      <x:c r="AE28" s="7" t="n">
        <x:f>'設定と出典'!B63</x:f>
        <x:v>13628.969418426243</x:v>
      </x:c>
      <x:c r="AF28" s="7" t="n">
        <x:f>SUM(U28:AE28)</x:f>
        <x:v>240954.10830007316</x:v>
      </x:c>
      <x:c r="AG28" s="7" t="n">
        <x:f>T28*'設定と出典'!$B$28</x:f>
        <x:v>90000</x:v>
      </x:c>
      <x:c r="AH28" s="7" t="n">
        <x:f>(A28*L28+M28*'設定と出典'!$B$31)/60*'設定と出典'!$B$29</x:f>
        <x:v>333333.3333333333</x:v>
      </x:c>
      <x:c r="AI28" s="7" t="n">
        <x:f>'設定と出典'!$B$30*'設定と出典'!$B$29</x:f>
        <x:v>8000</x:v>
      </x:c>
      <x:c r="AJ28" s="7" t="n">
        <x:f>T28-SUM(AF28:AI28)</x:f>
        <x:v>1827712.5583665934</x:v>
      </x:c>
      <x:c r="AK28" s="7" t="n">
        <x:f>AJ28-T28*'設定と出典'!$B$32</x:f>
        <x:v>577712.5583665934</x:v>
      </x:c>
      <x:c r="AL28" s="7" t="n">
        <x:f>AJ28-A28*MIN(E28,AV28)*'設定と出典'!$B$32</x:f>
        <x:v>1577712.5583665934</x:v>
      </x:c>
      <x:c r="AM28" s="8" t="n">
        <x:f>AJ28/T28</x:f>
        <x:v>0.7310850233466374</x:v>
      </x:c>
      <x:c r="AN28" s="8" t="n">
        <x:f>AK28/T28</x:f>
        <x:v>0.23108502334663739</x:v>
      </x:c>
      <x:c r="AO28" s="8" t="n">
        <x:f>AJ28/T28</x:f>
        <x:v>0.7310850233466374</x:v>
      </x:c>
      <x:c r="AP28" s="8" t="n">
        <x:f>AO28-'設定と出典'!$B$33</x:f>
        <x:v>0.5310850233466373</x:v>
      </x:c>
      <x:c r="AQ28" s="9" t="n">
        <x:f>SUM(W28:AD28)/N28</x:f>
        <x:v>0.9116256944082346</x:v>
      </x:c>
      <x:c r="AR28" s="9" t="n">
        <x:f>MAX(0,(E28*(1-'設定と出典'!$B$28-'設定と出典'!$B$32)-(U28+V28+AH28+AI28+AE28)/A28)/AQ28)</x:f>
        <x:v>1667.4336888707492</x:v>
      </x:c>
      <x:c r="AS28" s="9" t="n">
        <x:f>MAX(0,(E28*(1-'設定と出典'!$B$28 )-(U28+V28+AH28+AI28+AE28)/A28)/AQ28)</x:f>
        <x:v>4409.787283481562</x:v>
      </x:c>
      <x:c r="AT28" s="9" t="n">
        <x:f>MAX(0,(E28*(1-'設定と出典'!$B$28)-MIN(E28,AV28)*'設定と出典'!$B$32-(U28+V28+AH28+AI28+AE28)/A28)/AQ28)</x:f>
        <x:v>3861.316564559399</x:v>
      </x:c>
      <x:c r="AU28" s="9" t="n">
        <x:f>IF((T28*(1-'設定と出典'!$B$28-'設定と出典'!$B$32)-(AF28-AE28)-AH28)&lt;=0,"成立せず",(AE28+AI28)/((T28*(1-'設定と出典'!$B$28-'設定と出典'!$B$32)-(AF28-AE28)-AH28)/A28))</x:f>
        <x:v>18.043943574509345</x:v>
      </x:c>
      <x:c r="AV28" s="9" t="n">
        <x:f>'設定と出典'!D52</x:f>
        <x:v>1000</x:v>
      </x:c>
      <x:c r="AW28" s="9" t="n">
        <x:f>IF(1-'設定と出典'!$B$28-'設定と出典'!$B$32-'設定と出典'!$B$33&lt;=0,0,MAX(0,MIN(E28,(AK28/A28-E28*'設定と出典'!$B$33)/(1-'設定と出典'!$B$28-'設定と出典'!$B$32-'設定と出典'!$B$33))))</x:f>
        <x:v>588.7315027772227</x:v>
      </x:c>
      <x:c r="AX28" s="1"/>
      <x:c r="AY28" s="1"/>
      <x:c r="AZ28" s="1"/>
      <x:c r="BA28" s="1"/>
    </x:row>
    <x:row r="29" ht="22" customHeight="1">
      <x:c r="A29" s="1" t="n">
        <x:v>500</x:v>
      </x:c>
      <x:c r="B29" s="1" t="str">
        <x:f>'設定と出典'!A52</x:f>
        <x:v>Business</x:v>
      </x:c>
      <x:c r="C29" s="1" t="str">
        <x:f>'設定と出典'!A59</x:f>
        <x:v>高位</x:v>
      </x:c>
      <x:c r="D29" s="1" t="n">
        <x:f>'設定と出典'!B52</x:f>
        <x:v>20</x:v>
      </x:c>
      <x:c r="E29" s="1" t="n">
        <x:f>'設定と出典'!C52</x:f>
        <x:v>5000</x:v>
      </x:c>
      <x:c r="F29" s="1" t="n">
        <x:f>'設定と出典'!B59</x:f>
        <x:v>80</x:v>
      </x:c>
      <x:c r="G29" s="1" t="n">
        <x:f>'設定と出典'!C59</x:f>
        <x:v>3</x:v>
      </x:c>
      <x:c r="H29" s="1" t="n">
        <x:f>'設定と出典'!D59</x:f>
        <x:v>50</x:v>
      </x:c>
      <x:c r="I29" s="1" t="n">
        <x:f>'設定と出典'!E59</x:f>
        <x:v>2</x:v>
      </x:c>
      <x:c r="J29" s="1" t="n">
        <x:f>'設定と出典'!F59</x:f>
        <x:v>2.5</x:v>
      </x:c>
      <x:c r="K29" s="1" t="n">
        <x:f>'設定と出典'!G59</x:f>
        <x:v>5</x:v>
      </x:c>
      <x:c r="L29" s="1" t="n">
        <x:f>'設定と出典'!H59</x:f>
        <x:v>20</x:v>
      </x:c>
      <x:c r="M29" s="1" t="n">
        <x:f>A29*D29</x:f>
        <x:v>10000</x:v>
      </x:c>
      <x:c r="N29" s="1" t="n">
        <x:f>M29*F29</x:f>
        <x:v>800000</x:v>
      </x:c>
      <x:c r="O29" s="1" t="n">
        <x:f>N29*G29</x:f>
        <x:v>2400000</x:v>
      </x:c>
      <x:c r="P29" s="1" t="n">
        <x:f>O29*H29/1024</x:f>
        <x:v>117187.5</x:v>
      </x:c>
      <x:c r="Q29" s="1" t="n">
        <x:f>P29*I29</x:f>
        <x:v>234375</x:v>
      </x:c>
      <x:c r="R29" s="1" t="n">
        <x:f>P29*('設定と出典'!$B$34+'設定と出典'!$B$35)/'設定と出典'!$B$7</x:f>
        <x:v>109375</x:v>
      </x:c>
      <x:c r="S29" s="1" t="n">
        <x:f>O29*K29</x:f>
        <x:v>12000000</x:v>
      </x:c>
      <x:c r="T29" s="7" t="n">
        <x:f>A29*E29</x:f>
        <x:v>2500000</x:v>
      </x:c>
      <x:c r="U29" s="7" t="n">
        <x:f>A29*'設定と出典'!$B$26</x:f>
        <x:v>25000</x:v>
      </x:c>
      <x:c r="V29" s="7" t="n">
        <x:f>M29*'設定と出典'!$B$27</x:f>
        <x:v>20000</x:v>
      </x:c>
      <x:c r="W29" s="7" t="n">
        <x:f>(N29*'設定と出典'!$B$36+S29)*('設定と出典'!$B$43*'設定と出典'!$B$8+'設定と出典'!$B$44*'設定と出典'!$B$9)*'設定と出典'!$B$12*'設定と出典'!$B$6</x:f>
        <x:v>49986.604704064404</x:v>
      </x:c>
      <x:c r="X29" s="7" t="n">
        <x:f>N29*I29*'設定と出典'!$B$37*('設定と出典'!$B$45*'設定と出典'!$B$8+'設定と出典'!$B$46*'設定と出典'!$B$9)*'設定と出典'!$B$12*'設定と出典'!$B$6</x:f>
        <x:v>1306.8393386683501</x:v>
      </x:c>
      <x:c r="Y29" s="7" t="n">
        <x:f>MAX(0,S29*('設定と出典'!$B$13*'設定と出典'!$B$8+'設定と出典'!$B$14*'設定と出典'!$B$9)-MIN(S29,'設定と出典'!$B$7*86400*'設定と出典'!$B$15)*('設定と出典'!$B$13*'設定と出典'!$B$10+'設定と出典'!$B$14*'設定と出典'!$B$11))*'設定と出典'!$B$12*'設定と出典'!$B$6</x:f>
        <x:v>52992.34120165924</x:v>
      </x:c>
      <x:c r="Z29" s="7" t="n">
        <x:f>O29*('設定と出典'!$B$41*'設定と出典'!$B$18+('設定と出典'!$B$42+I29)*'設定と出典'!$B$19)/1000*'設定と出典'!$B$6</x:f>
        <x:v>2376</x:v>
      </x:c>
      <x:c r="AA29" s="7" t="n">
        <x:f>N29*(1+J29)*'設定と出典'!$B$21</x:f>
        <x:v>280000</x:v>
      </x:c>
      <x:c r="AB29" s="7" t="n">
        <x:f>N29*'設定と出典'!$B$40/1048576*'設定と出典'!$B$20*'設定と出典'!$B$6+N29*'設定と出典'!$B$39/1000000*'設定と出典'!$B$38*'設定と出典'!$B$6</x:f>
        <x:v>1070.6455078125</x:v>
      </x:c>
      <x:c r="AC29" s="7" t="n">
        <x:f>R29*'設定と出典'!$B$16*'設定と出典'!$B$6</x:f>
        <x:v>410156.25</x:v>
      </x:c>
      <x:c r="AD29" s="7" t="n">
        <x:f>Q29*'設定と出典'!$B$17*'設定と出典'!$B$6</x:f>
        <x:v>4218750</x:v>
      </x:c>
      <x:c r="AE29" s="7" t="n">
        <x:f>'設定と出典'!B63</x:f>
        <x:v>13628.969418426243</x:v>
      </x:c>
      <x:c r="AF29" s="7" t="n">
        <x:f>SUM(U29:AE29)</x:f>
        <x:v>5075267.650170631</x:v>
      </x:c>
      <x:c r="AG29" s="7" t="n">
        <x:f>T29*'設定と出典'!$B$28</x:f>
        <x:v>90000</x:v>
      </x:c>
      <x:c r="AH29" s="7" t="n">
        <x:f>(A29*L29+M29*'設定と出典'!$B$31)/60*'設定と出典'!$B$29</x:f>
        <x:v>733333.3333333334</x:v>
      </x:c>
      <x:c r="AI29" s="7" t="n">
        <x:f>'設定と出典'!$B$30*'設定と出典'!$B$29</x:f>
        <x:v>8000</x:v>
      </x:c>
      <x:c r="AJ29" s="7" t="n">
        <x:f>T29-SUM(AF29:AI29)</x:f>
        <x:v>-3406600.983503964</x:v>
      </x:c>
      <x:c r="AK29" s="7" t="n">
        <x:f>AJ29-T29*'設定と出典'!$B$32</x:f>
        <x:v>-4656600.983503964</x:v>
      </x:c>
      <x:c r="AL29" s="7" t="n">
        <x:f>AJ29-A29*MIN(E29,AV29)*'設定と出典'!$B$32</x:f>
        <x:v>-3656600.983503964</x:v>
      </x:c>
      <x:c r="AM29" s="8" t="n">
        <x:f>AJ29/T29</x:f>
        <x:v>-1.3626403934015856</x:v>
      </x:c>
      <x:c r="AN29" s="8" t="n">
        <x:f>AK29/T29</x:f>
        <x:v>-1.8626403934015856</x:v>
      </x:c>
      <x:c r="AO29" s="8" t="n">
        <x:f>AJ29/T29</x:f>
        <x:v>-1.3626403934015856</x:v>
      </x:c>
      <x:c r="AP29" s="8" t="n">
        <x:f>AO29-'設定と出典'!$B$33</x:f>
        <x:v>-1.5626403934015856</x:v>
      </x:c>
      <x:c r="AQ29" s="9" t="n">
        <x:f>SUM(W29:AD29)/N29</x:f>
        <x:v>6.270798350940256</x:v>
      </x:c>
      <x:c r="AR29" s="9" t="n">
        <x:f>MAX(0,(E29*(1-'設定と出典'!$B$28-'設定と出典'!$B$32)-(U29+V29+AH29+AI29+AE29)/A29)/AQ29)</x:f>
        <x:v>114.82993937901242</x:v>
      </x:c>
      <x:c r="AS29" s="9" t="n">
        <x:f>MAX(0,(E29*(1-'設定と出典'!$B$28 )-(U29+V29+AH29+AI29+AE29)/A29)/AQ29)</x:f>
        <x:v>513.5032597585691</x:v>
      </x:c>
      <x:c r="AT29" s="9" t="n">
        <x:f>MAX(0,(E29*(1-'設定と出典'!$B$28)-MIN(E29,AV29)*'設定と出典'!$B$32-(U29+V29+AH29+AI29+AE29)/A29)/AQ29)</x:f>
        <x:v>433.76859568265775</x:v>
      </x:c>
      <x:c r="AU29" s="9" t="str">
        <x:f>IF((T29*(1-'設定と出典'!$B$28-'設定と出典'!$B$32)-(AF29-AE29)-AH29)&lt;=0,"成立せず",(AE29+AI29)/((T29*(1-'設定と出典'!$B$28-'設定と出典'!$B$32)-(AF29-AE29)-AH29)/A29))</x:f>
        <x:v>成立せず</x:v>
      </x:c>
      <x:c r="AV29" s="9" t="n">
        <x:f>'設定と出典'!D52</x:f>
        <x:v>1000</x:v>
      </x:c>
      <x:c r="AW29" s="9" t="n">
        <x:f>IF(1-'設定と出典'!$B$28-'設定と出典'!$B$32-'設定と出典'!$B$33&lt;=0,0,MAX(0,MIN(E29,(AK29/A29-E29*'設定と出典'!$B$33)/(1-'設定と出典'!$B$28-'設定と出典'!$B$32-'設定と出典'!$B$33))))</x:f>
        <x:v>0</x:v>
      </x:c>
      <x:c r="AX29" s="1"/>
      <x:c r="AY29" s="1"/>
      <x:c r="AZ29" s="1"/>
      <x:c r="BA29" s="1"/>
    </x:row>
    <x:row r="30" ht="22" customHeight="1">
      <x:c r="A30" s="1" t="n">
        <x:v>500</x:v>
      </x:c>
      <x:c r="B30" s="1" t="str">
        <x:f>'設定と出典'!A53</x:f>
        <x:v>Business Plus</x:v>
      </x:c>
      <x:c r="C30" s="1" t="str">
        <x:f>'設定と出典'!A57</x:f>
        <x:v>低位</x:v>
      </x:c>
      <x:c r="D30" s="1" t="n">
        <x:f>'設定と出典'!B53</x:f>
        <x:v>50</x:v>
      </x:c>
      <x:c r="E30" s="1" t="n">
        <x:f>'設定と出典'!C53</x:f>
        <x:v>8000</x:v>
      </x:c>
      <x:c r="F30" s="1" t="n">
        <x:f>'設定と出典'!B57</x:f>
        <x:v>5</x:v>
      </x:c>
      <x:c r="G30" s="1" t="n">
        <x:f>'設定と出典'!C57</x:f>
        <x:v>1</x:v>
      </x:c>
      <x:c r="H30" s="1" t="n">
        <x:f>'設定と出典'!D57</x:f>
        <x:v>2</x:v>
      </x:c>
      <x:c r="I30" s="1" t="n">
        <x:f>'設定と出典'!E57</x:f>
        <x:v>1</x:v>
      </x:c>
      <x:c r="J30" s="1" t="n">
        <x:f>'設定と出典'!F57</x:f>
        <x:v>1.1</x:v>
      </x:c>
      <x:c r="K30" s="1" t="n">
        <x:f>'設定と出典'!G57</x:f>
        <x:v>1</x:v>
      </x:c>
      <x:c r="L30" s="1" t="n">
        <x:f>'設定と出典'!H57</x:f>
        <x:v>3</x:v>
      </x:c>
      <x:c r="M30" s="1" t="n">
        <x:f>A30*D30</x:f>
        <x:v>25000</x:v>
      </x:c>
      <x:c r="N30" s="1" t="n">
        <x:f>M30*F30</x:f>
        <x:v>125000</x:v>
      </x:c>
      <x:c r="O30" s="1" t="n">
        <x:f>N30*G30</x:f>
        <x:v>125000</x:v>
      </x:c>
      <x:c r="P30" s="1" t="n">
        <x:f>O30*H30/1024</x:f>
        <x:v>244.140625</x:v>
      </x:c>
      <x:c r="Q30" s="1" t="n">
        <x:f>P30*I30</x:f>
        <x:v>244.140625</x:v>
      </x:c>
      <x:c r="R30" s="1" t="n">
        <x:f>P30*('設定と出典'!$B$34+'設定と出典'!$B$35)/'設定と出典'!$B$7</x:f>
        <x:v>227.86458333333334</x:v>
      </x:c>
      <x:c r="S30" s="1" t="n">
        <x:f>O30*K30</x:f>
        <x:v>125000</x:v>
      </x:c>
      <x:c r="T30" s="7" t="n">
        <x:f>A30*E30</x:f>
        <x:v>4000000</x:v>
      </x:c>
      <x:c r="U30" s="7" t="n">
        <x:f>A30*'設定と出典'!$B$26</x:f>
        <x:v>25000</x:v>
      </x:c>
      <x:c r="V30" s="7" t="n">
        <x:f>M30*'設定と出典'!$B$27</x:f>
        <x:v>50000</x:v>
      </x:c>
      <x:c r="W30" s="7" t="n">
        <x:f>(N30*'設定と出典'!$B$36+S30)*('設定と出典'!$B$43*'設定と出典'!$B$8+'設定と出典'!$B$44*'設定と出典'!$B$9)*'設定と出典'!$B$12*'設定と出典'!$B$6</x:f>
        <x:v>663.6293516675216</x:v>
      </x:c>
      <x:c r="X30" s="7" t="n">
        <x:f>N30*I30*'設定と出典'!$B$37*('設定と出典'!$B$45*'設定と出典'!$B$8+'設定と出典'!$B$46*'設定と出典'!$B$9)*'設定と出典'!$B$12*'設定と出典'!$B$6</x:f>
        <x:v>102.09682333346487</x:v>
      </x:c>
      <x:c r="Y30" s="7" t="n">
        <x:f>MAX(0,S30*('設定と出典'!$B$13*'設定と出典'!$B$8+'設定と出典'!$B$14*'設定と出典'!$B$9)-MIN(S30,'設定と出典'!$B$7*86400*'設定と出典'!$B$15)*('設定と出典'!$B$13*'設定と出典'!$B$10+'設定と出典'!$B$14*'設定と出典'!$B$11))*'設定と出典'!$B$12*'設定と出典'!$B$6</x:f>
        <x:v>433.70146969098283</x:v>
      </x:c>
      <x:c r="Z30" s="7" t="n">
        <x:f>O30*('設定と出典'!$B$41*'設定と出典'!$B$18+('設定と出典'!$B$42+I30)*'設定と出典'!$B$19)/1000*'設定と出典'!$B$6</x:f>
        <x:v>116.25000000000001</x:v>
      </x:c>
      <x:c r="AA30" s="7" t="n">
        <x:f>N30*(1+J30)*'設定と出典'!$B$21</x:f>
        <x:v>26250</x:v>
      </x:c>
      <x:c r="AB30" s="7" t="n">
        <x:f>N30*'設定と出典'!$B$40/1048576*'設定と出典'!$B$20*'設定と出典'!$B$6+N30*'設定と出典'!$B$39/1000000*'設定と出典'!$B$38*'設定と出典'!$B$6</x:f>
        <x:v>167.28836059570312</x:v>
      </x:c>
      <x:c r="AC30" s="7" t="n">
        <x:f>R30*'設定と出典'!$B$16*'設定と出典'!$B$6</x:f>
        <x:v>854.4921875000001</x:v>
      </x:c>
      <x:c r="AD30" s="7" t="n">
        <x:f>Q30*'設定と出典'!$B$17*'設定と出典'!$B$6</x:f>
        <x:v>4394.53125</x:v>
      </x:c>
      <x:c r="AE30" s="7" t="n">
        <x:f>'設定と出典'!B63</x:f>
        <x:v>13628.969418426243</x:v>
      </x:c>
      <x:c r="AF30" s="7" t="n">
        <x:f>SUM(U30:AE30)</x:f>
        <x:v>121610.95886121393</x:v>
      </x:c>
      <x:c r="AG30" s="7" t="n">
        <x:f>T30*'設定と出典'!$B$28</x:f>
        <x:v>144000</x:v>
      </x:c>
      <x:c r="AH30" s="7" t="n">
        <x:f>(A30*L30+M30*'設定と出典'!$B$31)/60*'設定と出典'!$B$29</x:f>
        <x:v>266666.6666666667</x:v>
      </x:c>
      <x:c r="AI30" s="7" t="n">
        <x:f>'設定と出典'!$B$30*'設定と出典'!$B$29</x:f>
        <x:v>8000</x:v>
      </x:c>
      <x:c r="AJ30" s="7" t="n">
        <x:f>T30-SUM(AF30:AI30)</x:f>
        <x:v>3459722.3744721194</x:v>
      </x:c>
      <x:c r="AK30" s="7" t="n">
        <x:f>AJ30-T30*'設定と出典'!$B$32</x:f>
        <x:v>1459722.3744721194</x:v>
      </x:c>
      <x:c r="AL30" s="7" t="n">
        <x:f>AJ30-A30*MIN(E30,AV30)*'設定と出典'!$B$32</x:f>
        <x:v>3209722.3744721194</x:v>
      </x:c>
      <x:c r="AM30" s="8" t="n">
        <x:f>AJ30/T30</x:f>
        <x:v>0.8649305936180298</x:v>
      </x:c>
      <x:c r="AN30" s="8" t="n">
        <x:f>AK30/T30</x:f>
        <x:v>0.3649305936180298</x:v>
      </x:c>
      <x:c r="AO30" s="8" t="n">
        <x:f>AJ30/T30</x:f>
        <x:v>0.8649305936180298</x:v>
      </x:c>
      <x:c r="AP30" s="8" t="n">
        <x:f>AO30-'設定と出典'!$B$33</x:f>
        <x:v>0.6649305936180299</x:v>
      </x:c>
      <x:c r="AQ30" s="9" t="n">
        <x:f>SUM(W30:AD30)/N30</x:f>
        <x:v>0.26385591554230137</x:v>
      </x:c>
      <x:c r="AR30" s="9" t="n">
        <x:f>MAX(0,(E30*(1-'設定と出典'!$B$28-'設定と出典'!$B$32)-(U30+V30+AH30+AI30+AE30)/A30)/AQ30)</x:f>
        <x:v>11314.541581127422</x:v>
      </x:c>
      <x:c r="AS30" s="9" t="n">
        <x:f>MAX(0,(E30*(1-'設定と出典'!$B$28 )-(U30+V30+AH30+AI30+AE30)/A30)/AQ30)</x:f>
        <x:v>26474.330558300157</x:v>
      </x:c>
      <x:c r="AT30" s="9" t="n">
        <x:f>MAX(0,(E30*(1-'設定と出典'!$B$28)-MIN(E30,AV30)*'設定と出典'!$B$32-(U30+V30+AH30+AI30+AE30)/A30)/AQ30)</x:f>
        <x:v>24579.356936153563</x:v>
      </x:c>
      <x:c r="AU30" s="9" t="n">
        <x:f>IF((T30*(1-'設定と出典'!$B$28-'設定と出典'!$B$32)-(AF30-AE30)-AH30)&lt;=0,"成立せず",(AE30+AI30)/((T30*(1-'設定と出典'!$B$28-'設定と出典'!$B$32)-(AF30-AE30)-AH30)/A30))</x:f>
        <x:v>7.300418468457666</x:v>
      </x:c>
      <x:c r="AV30" s="9" t="n">
        <x:f>'設定と出典'!D53</x:f>
        <x:v>1000</x:v>
      </x:c>
      <x:c r="AW30" s="9" t="n">
        <x:f>IF(1-'設定と出典'!$B$28-'設定と出典'!$B$32-'設定と出典'!$B$33&lt;=0,0,MAX(0,MIN(E30,(AK30/A30-E30*'設定と出典'!$B$33)/(1-'設定と出典'!$B$28-'設定と出典'!$B$32-'設定と出典'!$B$33))))</x:f>
        <x:v>4997.896776303935</x:v>
      </x:c>
      <x:c r="AX30" s="1"/>
      <x:c r="AY30" s="1"/>
      <x:c r="AZ30" s="1"/>
      <x:c r="BA30" s="1"/>
    </x:row>
    <x:row r="31" ht="22" customHeight="1">
      <x:c r="A31" s="1" t="n">
        <x:v>500</x:v>
      </x:c>
      <x:c r="B31" s="1" t="str">
        <x:f>'設定と出典'!A53</x:f>
        <x:v>Business Plus</x:v>
      </x:c>
      <x:c r="C31" s="1" t="str">
        <x:f>'設定と出典'!A58</x:f>
        <x:v>標準</x:v>
      </x:c>
      <x:c r="D31" s="1" t="n">
        <x:f>'設定と出典'!B53</x:f>
        <x:v>50</x:v>
      </x:c>
      <x:c r="E31" s="1" t="n">
        <x:f>'設定と出典'!C53</x:f>
        <x:v>8000</x:v>
      </x:c>
      <x:c r="F31" s="1" t="n">
        <x:f>'設定と出典'!B58</x:f>
        <x:v>20</x:v>
      </x:c>
      <x:c r="G31" s="1" t="n">
        <x:f>'設定と出典'!C58</x:f>
        <x:v>2</x:v>
      </x:c>
      <x:c r="H31" s="1" t="n">
        <x:f>'設定と出典'!D58</x:f>
        <x:v>10</x:v>
      </x:c>
      <x:c r="I31" s="1" t="n">
        <x:f>'設定と出典'!E58</x:f>
        <x:v>1.5</x:v>
      </x:c>
      <x:c r="J31" s="1" t="n">
        <x:f>'設定と出典'!F58</x:f>
        <x:v>1.8</x:v>
      </x:c>
      <x:c r="K31" s="1" t="n">
        <x:f>'設定と出典'!G58</x:f>
        <x:v>2</x:v>
      </x:c>
      <x:c r="L31" s="1" t="n">
        <x:f>'設定と出典'!H58</x:f>
        <x:v>8</x:v>
      </x:c>
      <x:c r="M31" s="1" t="n">
        <x:f>A31*D31</x:f>
        <x:v>25000</x:v>
      </x:c>
      <x:c r="N31" s="1" t="n">
        <x:f>M31*F31</x:f>
        <x:v>500000</x:v>
      </x:c>
      <x:c r="O31" s="1" t="n">
        <x:f>N31*G31</x:f>
        <x:v>1000000</x:v>
      </x:c>
      <x:c r="P31" s="1" t="n">
        <x:f>O31*H31/1024</x:f>
        <x:v>9765.625</x:v>
      </x:c>
      <x:c r="Q31" s="1" t="n">
        <x:f>P31*I31</x:f>
        <x:v>14648.4375</x:v>
      </x:c>
      <x:c r="R31" s="1" t="n">
        <x:f>P31*('設定と出典'!$B$34+'設定と出典'!$B$35)/'設定と出典'!$B$7</x:f>
        <x:v>9114.583333333334</x:v>
      </x:c>
      <x:c r="S31" s="1" t="n">
        <x:f>O31*K31</x:f>
        <x:v>2000000</x:v>
      </x:c>
      <x:c r="T31" s="7" t="n">
        <x:f>A31*E31</x:f>
        <x:v>4000000</x:v>
      </x:c>
      <x:c r="U31" s="7" t="n">
        <x:f>A31*'設定と出典'!$B$26</x:f>
        <x:v>25000</x:v>
      </x:c>
      <x:c r="V31" s="7" t="n">
        <x:f>M31*'設定と出典'!$B$27</x:f>
        <x:v>50000</x:v>
      </x:c>
      <x:c r="W31" s="7" t="n">
        <x:f>(N31*'設定と出典'!$B$36+S31)*('設定と出典'!$B$43*'設定と出典'!$B$8+'設定と出典'!$B$44*'設定と出典'!$B$9)*'設定と出典'!$B$12*'設定と出典'!$B$6</x:f>
        <x:v>8780.32680667798</x:v>
      </x:c>
      <x:c r="X31" s="7" t="n">
        <x:f>N31*I31*'設定と出典'!$B$37*('設定と出典'!$B$45*'設定と出典'!$B$8+'設定と出典'!$B$46*'設定と出典'!$B$9)*'設定と出典'!$B$12*'設定と出典'!$B$6</x:f>
        <x:v>612.5809400007893</x:v>
      </x:c>
      <x:c r="Y31" s="7" t="n">
        <x:f>MAX(0,S31*('設定と出典'!$B$13*'設定と出典'!$B$8+'設定と出典'!$B$14*'設定と出典'!$B$9)-MIN(S31,'設定と出典'!$B$7*86400*'設定と出典'!$B$15)*('設定と出典'!$B$13*'設定と出典'!$B$10+'設定と出典'!$B$14*'設定と出典'!$B$11))*'設定と出典'!$B$12*'設定と出典'!$B$6</x:f>
        <x:v>6939.223515055725</x:v>
      </x:c>
      <x:c r="Z31" s="7" t="n">
        <x:f>O31*('設定と出典'!$B$41*'設定と出典'!$B$18+('設定と出典'!$B$42+I31)*'設定と出典'!$B$19)/1000*'設定と出典'!$B$6</x:f>
        <x:v>960</x:v>
      </x:c>
      <x:c r="AA31" s="7" t="n">
        <x:f>N31*(1+J31)*'設定と出典'!$B$21</x:f>
        <x:v>140000</x:v>
      </x:c>
      <x:c r="AB31" s="7" t="n">
        <x:f>N31*'設定と出典'!$B$40/1048576*'設定と出典'!$B$20*'設定と出典'!$B$6+N31*'設定と出典'!$B$39/1000000*'設定と出典'!$B$38*'設定と出典'!$B$6</x:f>
        <x:v>669.1534423828125</x:v>
      </x:c>
      <x:c r="AC31" s="7" t="n">
        <x:f>R31*'設定と出典'!$B$16*'設定と出典'!$B$6</x:f>
        <x:v>34179.68750000001</x:v>
      </x:c>
      <x:c r="AD31" s="7" t="n">
        <x:f>Q31*'設定と出典'!$B$17*'設定と出典'!$B$6</x:f>
        <x:v>263671.875</x:v>
      </x:c>
      <x:c r="AE31" s="7" t="n">
        <x:f>'設定と出典'!B63</x:f>
        <x:v>13628.969418426243</x:v>
      </x:c>
      <x:c r="AF31" s="7" t="n">
        <x:f>SUM(U31:AE31)</x:f>
        <x:v>544441.8166225436</x:v>
      </x:c>
      <x:c r="AG31" s="7" t="n">
        <x:f>T31*'設定と出典'!$B$28</x:f>
        <x:v>144000</x:v>
      </x:c>
      <x:c r="AH31" s="7" t="n">
        <x:f>(A31*L31+M31*'設定と出典'!$B$31)/60*'設定と出典'!$B$29</x:f>
        <x:v>433333.3333333333</x:v>
      </x:c>
      <x:c r="AI31" s="7" t="n">
        <x:f>'設定と出典'!$B$30*'設定と出典'!$B$29</x:f>
        <x:v>8000</x:v>
      </x:c>
      <x:c r="AJ31" s="7" t="n">
        <x:f>T31-SUM(AF31:AI31)</x:f>
        <x:v>2870224.850044123</x:v>
      </x:c>
      <x:c r="AK31" s="7" t="n">
        <x:f>AJ31-T31*'設定と出典'!$B$32</x:f>
        <x:v>870224.8500441229</x:v>
      </x:c>
      <x:c r="AL31" s="7" t="n">
        <x:f>AJ31-A31*MIN(E31,AV31)*'設定と出典'!$B$32</x:f>
        <x:v>2620224.850044123</x:v>
      </x:c>
      <x:c r="AM31" s="8" t="n">
        <x:f>AJ31/T31</x:f>
        <x:v>0.7175562125110307</x:v>
      </x:c>
      <x:c r="AN31" s="8" t="n">
        <x:f>AK31/T31</x:f>
        <x:v>0.21755621251103072</x:v>
      </x:c>
      <x:c r="AO31" s="8" t="n">
        <x:f>AJ31/T31</x:f>
        <x:v>0.7175562125110307</x:v>
      </x:c>
      <x:c r="AP31" s="8" t="n">
        <x:f>AO31-'設定と出典'!$B$33</x:f>
        <x:v>0.5175562125110307</x:v>
      </x:c>
      <x:c r="AQ31" s="9" t="n">
        <x:f>SUM(W31:AD31)/N31</x:f>
        <x:v>0.9116256944082347</x:v>
      </x:c>
      <x:c r="AR31" s="9" t="n">
        <x:f>MAX(0,(E31*(1-'設定と出典'!$B$28-'設定と出典'!$B$32)-(U31+V31+AH31+AI31+AE31)/A31)/AQ31)</x:f>
        <x:v>2909.171396510524</x:v>
      </x:c>
      <x:c r="AS31" s="9" t="n">
        <x:f>MAX(0,(E31*(1-'設定と出典'!$B$28 )-(U31+V31+AH31+AI31+AE31)/A31)/AQ31)</x:f>
        <x:v>7296.937147887824</x:v>
      </x:c>
      <x:c r="AT31" s="9" t="n">
        <x:f>MAX(0,(E31*(1-'設定と出典'!$B$28)-MIN(E31,AV31)*'設定と出典'!$B$32-(U31+V31+AH31+AI31+AE31)/A31)/AQ31)</x:f>
        <x:v>6748.466428965661</x:v>
      </x:c>
      <x:c r="AU31" s="9" t="n">
        <x:f>IF((T31*(1-'設定と出典'!$B$28-'設定と出典'!$B$32)-(AF31-AE31)-AH31)&lt;=0,"成立せず",(AE31+AI31)/((T31*(1-'設定と出典'!$B$28-'設定と出典'!$B$32)-(AF31-AE31)-AH31)/A31))</x:f>
        <x:v>12.125848960012492</x:v>
      </x:c>
      <x:c r="AV31" s="9" t="n">
        <x:f>'設定と出典'!D53</x:f>
        <x:v>1000</x:v>
      </x:c>
      <x:c r="AW31" s="9" t="n">
        <x:f>IF(1-'設定と出典'!$B$28-'設定と出典'!$B$32-'設定と出典'!$B$33&lt;=0,0,MAX(0,MIN(E31,(AK31/A31-E31*'設定と出典'!$B$33)/(1-'設定と出典'!$B$28-'設定と出典'!$B$32-'設定と出典'!$B$33))))</x:f>
        <x:v>532.0064397282042</x:v>
      </x:c>
      <x:c r="AX31" s="1"/>
      <x:c r="AY31" s="1"/>
      <x:c r="AZ31" s="1"/>
      <x:c r="BA31" s="1"/>
    </x:row>
    <x:row r="32" ht="22" customHeight="1">
      <x:c r="A32" s="1" t="n">
        <x:v>500</x:v>
      </x:c>
      <x:c r="B32" s="1" t="str">
        <x:f>'設定と出典'!A53</x:f>
        <x:v>Business Plus</x:v>
      </x:c>
      <x:c r="C32" s="1" t="str">
        <x:f>'設定と出典'!A59</x:f>
        <x:v>高位</x:v>
      </x:c>
      <x:c r="D32" s="1" t="n">
        <x:f>'設定と出典'!B53</x:f>
        <x:v>50</x:v>
      </x:c>
      <x:c r="E32" s="1" t="n">
        <x:f>'設定と出典'!C53</x:f>
        <x:v>8000</x:v>
      </x:c>
      <x:c r="F32" s="1" t="n">
        <x:f>'設定と出典'!B59</x:f>
        <x:v>80</x:v>
      </x:c>
      <x:c r="G32" s="1" t="n">
        <x:f>'設定と出典'!C59</x:f>
        <x:v>3</x:v>
      </x:c>
      <x:c r="H32" s="1" t="n">
        <x:f>'設定と出典'!D59</x:f>
        <x:v>50</x:v>
      </x:c>
      <x:c r="I32" s="1" t="n">
        <x:f>'設定と出典'!E59</x:f>
        <x:v>2</x:v>
      </x:c>
      <x:c r="J32" s="1" t="n">
        <x:f>'設定と出典'!F59</x:f>
        <x:v>2.5</x:v>
      </x:c>
      <x:c r="K32" s="1" t="n">
        <x:f>'設定と出典'!G59</x:f>
        <x:v>5</x:v>
      </x:c>
      <x:c r="L32" s="1" t="n">
        <x:f>'設定と出典'!H59</x:f>
        <x:v>20</x:v>
      </x:c>
      <x:c r="M32" s="1" t="n">
        <x:f>A32*D32</x:f>
        <x:v>25000</x:v>
      </x:c>
      <x:c r="N32" s="1" t="n">
        <x:f>M32*F32</x:f>
        <x:v>2000000</x:v>
      </x:c>
      <x:c r="O32" s="1" t="n">
        <x:f>N32*G32</x:f>
        <x:v>6000000</x:v>
      </x:c>
      <x:c r="P32" s="1" t="n">
        <x:f>O32*H32/1024</x:f>
        <x:v>292968.75</x:v>
      </x:c>
      <x:c r="Q32" s="1" t="n">
        <x:f>P32*I32</x:f>
        <x:v>585937.5</x:v>
      </x:c>
      <x:c r="R32" s="1" t="n">
        <x:f>P32*('設定と出典'!$B$34+'設定と出典'!$B$35)/'設定と出典'!$B$7</x:f>
        <x:v>273437.5</x:v>
      </x:c>
      <x:c r="S32" s="1" t="n">
        <x:f>O32*K32</x:f>
        <x:v>30000000</x:v>
      </x:c>
      <x:c r="T32" s="7" t="n">
        <x:f>A32*E32</x:f>
        <x:v>4000000</x:v>
      </x:c>
      <x:c r="U32" s="7" t="n">
        <x:f>A32*'設定と出典'!$B$26</x:f>
        <x:v>25000</x:v>
      </x:c>
      <x:c r="V32" s="7" t="n">
        <x:f>M32*'設定と出典'!$B$27</x:f>
        <x:v>50000</x:v>
      </x:c>
      <x:c r="W32" s="7" t="n">
        <x:f>(N32*'設定と出典'!$B$36+S32)*('設定と出典'!$B$43*'設定と出典'!$B$8+'設定と出典'!$B$44*'設定と出典'!$B$9)*'設定と出典'!$B$12*'設定と出典'!$B$6</x:f>
        <x:v>124966.511760161</x:v>
      </x:c>
      <x:c r="X32" s="7" t="n">
        <x:f>N32*I32*'設定と出典'!$B$37*('設定と出典'!$B$45*'設定と出典'!$B$8+'設定と出典'!$B$46*'設定と出典'!$B$9)*'設定と出典'!$B$12*'設定と出典'!$B$6</x:f>
        <x:v>3267.098346670876</x:v>
      </x:c>
      <x:c r="Y32" s="7" t="n">
        <x:f>MAX(0,S32*('設定と出典'!$B$13*'設定と出典'!$B$8+'設定と出典'!$B$14*'設定と出典'!$B$9)-MIN(S32,'設定と出典'!$B$7*86400*'設定と出典'!$B$15)*('設定と出典'!$B$13*'設定と出典'!$B$10+'設定と出典'!$B$14*'設定と出典'!$B$11))*'設定と出典'!$B$12*'設定と出典'!$B$6</x:f>
        <x:v>137174.30713178744</x:v>
      </x:c>
      <x:c r="Z32" s="7" t="n">
        <x:f>O32*('設定と出典'!$B$41*'設定と出典'!$B$18+('設定と出典'!$B$42+I32)*'設定と出典'!$B$19)/1000*'設定と出典'!$B$6</x:f>
        <x:v>5940</x:v>
      </x:c>
      <x:c r="AA32" s="7" t="n">
        <x:f>N32*(1+J32)*'設定と出典'!$B$21</x:f>
        <x:v>700000</x:v>
      </x:c>
      <x:c r="AB32" s="7" t="n">
        <x:f>N32*'設定と出典'!$B$40/1048576*'設定と出典'!$B$20*'設定と出典'!$B$6+N32*'設定と出典'!$B$39/1000000*'設定と出典'!$B$38*'設定と出典'!$B$6</x:f>
        <x:v>2676.61376953125</x:v>
      </x:c>
      <x:c r="AC32" s="7" t="n">
        <x:f>R32*'設定と出典'!$B$16*'設定と出典'!$B$6</x:f>
        <x:v>1025390.625</x:v>
      </x:c>
      <x:c r="AD32" s="7" t="n">
        <x:f>Q32*'設定と出典'!$B$17*'設定と出典'!$B$6</x:f>
        <x:v>10546875</x:v>
      </x:c>
      <x:c r="AE32" s="7" t="n">
        <x:f>'設定と出典'!B63</x:f>
        <x:v>13628.969418426243</x:v>
      </x:c>
      <x:c r="AF32" s="7" t="n">
        <x:f>SUM(U32:AE32)</x:f>
        <x:v>12634919.125426577</x:v>
      </x:c>
      <x:c r="AG32" s="7" t="n">
        <x:f>T32*'設定と出典'!$B$28</x:f>
        <x:v>144000</x:v>
      </x:c>
      <x:c r="AH32" s="7" t="n">
        <x:f>(A32*L32+M32*'設定と出典'!$B$31)/60*'設定と出典'!$B$29</x:f>
        <x:v>833333.3333333334</x:v>
      </x:c>
      <x:c r="AI32" s="7" t="n">
        <x:f>'設定と出典'!$B$30*'設定と出典'!$B$29</x:f>
        <x:v>8000</x:v>
      </x:c>
      <x:c r="AJ32" s="7" t="n">
        <x:f>T32-SUM(AF32:AI32)</x:f>
        <x:v>-9620252.458759911</x:v>
      </x:c>
      <x:c r="AK32" s="7" t="n">
        <x:f>AJ32-T32*'設定と出典'!$B$32</x:f>
        <x:v>-11620252.458759911</x:v>
      </x:c>
      <x:c r="AL32" s="7" t="n">
        <x:f>AJ32-A32*MIN(E32,AV32)*'設定と出典'!$B$32</x:f>
        <x:v>-9870252.458759911</x:v>
      </x:c>
      <x:c r="AM32" s="8" t="n">
        <x:f>AJ32/T32</x:f>
        <x:v>-2.4050631146899777</x:v>
      </x:c>
      <x:c r="AN32" s="8" t="n">
        <x:f>AK32/T32</x:f>
        <x:v>-2.9050631146899777</x:v>
      </x:c>
      <x:c r="AO32" s="8" t="n">
        <x:f>AJ32/T32</x:f>
        <x:v>-2.4050631146899777</x:v>
      </x:c>
      <x:c r="AP32" s="8" t="n">
        <x:f>AO32-'設定と出典'!$B$33</x:f>
        <x:v>-2.605063114689978</x:v>
      </x:c>
      <x:c r="AQ32" s="9" t="n">
        <x:f>SUM(W32:AD32)/N32</x:f>
        <x:v>6.273145078004076</x:v>
      </x:c>
      <x:c r="AR32" s="9" t="n">
        <x:f>MAX(0,(E32*(1-'設定と出典'!$B$28-'設定と出典'!$B$32)-(U32+V32+AH32+AI32+AE32)/A32)/AQ32)</x:f>
        <x:v>295.2387313646753</x:v>
      </x:c>
      <x:c r="AS32" s="9" t="n">
        <x:f>MAX(0,(E32*(1-'設定と出典'!$B$28 )-(U32+V32+AH32+AI32+AE32)/A32)/AQ32)</x:f>
        <x:v>932.8774198154578</x:v>
      </x:c>
      <x:c r="AT32" s="9" t="n">
        <x:f>MAX(0,(E32*(1-'設定と出典'!$B$28)-MIN(E32,AV32)*'設定と出典'!$B$32-(U32+V32+AH32+AI32+AE32)/A32)/AQ32)</x:f>
        <x:v>853.17258375911</x:v>
      </x:c>
      <x:c r="AU32" s="9" t="str">
        <x:f>IF((T32*(1-'設定と出典'!$B$28-'設定と出典'!$B$32)-(AF32-AE32)-AH32)&lt;=0,"成立せず",(AE32+AI32)/((T32*(1-'設定と出典'!$B$28-'設定と出典'!$B$32)-(AF32-AE32)-AH32)/A32))</x:f>
        <x:v>成立せず</x:v>
      </x:c>
      <x:c r="AV32" s="9" t="n">
        <x:f>'設定と出典'!D53</x:f>
        <x:v>1000</x:v>
      </x:c>
      <x:c r="AW32" s="9" t="n">
        <x:f>IF(1-'設定と出典'!$B$28-'設定と出典'!$B$32-'設定と出典'!$B$33&lt;=0,0,MAX(0,MIN(E32,(AK32/A32-E32*'設定と出典'!$B$33)/(1-'設定と出典'!$B$28-'設定と出典'!$B$32-'設定と出典'!$B$33))))</x:f>
        <x:v>0</x:v>
      </x:c>
      <x:c r="AX32" s="1"/>
      <x:c r="AY32" s="1"/>
      <x:c r="AZ32" s="1"/>
      <x:c r="BA32" s="1"/>
    </x:row>
    <x:row r="33" ht="22" customHeight="1">
      <x:c r="A33" s="1" t="n">
        <x:v>1000</x:v>
      </x:c>
      <x:c r="B33" s="1" t="str">
        <x:f>'設定と出典'!A51</x:f>
        <x:v>Starter</x:v>
      </x:c>
      <x:c r="C33" s="1" t="str">
        <x:f>'設定と出典'!A57</x:f>
        <x:v>低位</x:v>
      </x:c>
      <x:c r="D33" s="1" t="n">
        <x:f>'設定と出典'!B51</x:f>
        <x:v>5</x:v>
      </x:c>
      <x:c r="E33" s="1" t="n">
        <x:f>'設定と出典'!C51</x:f>
        <x:v>3000</x:v>
      </x:c>
      <x:c r="F33" s="1" t="n">
        <x:f>'設定と出典'!B57</x:f>
        <x:v>5</x:v>
      </x:c>
      <x:c r="G33" s="1" t="n">
        <x:f>'設定と出典'!C57</x:f>
        <x:v>1</x:v>
      </x:c>
      <x:c r="H33" s="1" t="n">
        <x:f>'設定と出典'!D57</x:f>
        <x:v>2</x:v>
      </x:c>
      <x:c r="I33" s="1" t="n">
        <x:f>'設定と出典'!E57</x:f>
        <x:v>1</x:v>
      </x:c>
      <x:c r="J33" s="1" t="n">
        <x:f>'設定と出典'!F57</x:f>
        <x:v>1.1</x:v>
      </x:c>
      <x:c r="K33" s="1" t="n">
        <x:f>'設定と出典'!G57</x:f>
        <x:v>1</x:v>
      </x:c>
      <x:c r="L33" s="1" t="n">
        <x:f>'設定と出典'!H57</x:f>
        <x:v>3</x:v>
      </x:c>
      <x:c r="M33" s="1" t="n">
        <x:f>A33*D33</x:f>
        <x:v>5000</x:v>
      </x:c>
      <x:c r="N33" s="1" t="n">
        <x:f>M33*F33</x:f>
        <x:v>25000</x:v>
      </x:c>
      <x:c r="O33" s="1" t="n">
        <x:f>N33*G33</x:f>
        <x:v>25000</x:v>
      </x:c>
      <x:c r="P33" s="1" t="n">
        <x:f>O33*H33/1024</x:f>
        <x:v>48.828125</x:v>
      </x:c>
      <x:c r="Q33" s="1" t="n">
        <x:f>P33*I33</x:f>
        <x:v>48.828125</x:v>
      </x:c>
      <x:c r="R33" s="1" t="n">
        <x:f>P33*('設定と出典'!$B$34+'設定と出典'!$B$35)/'設定と出典'!$B$7</x:f>
        <x:v>45.572916666666664</x:v>
      </x:c>
      <x:c r="S33" s="1" t="n">
        <x:f>O33*K33</x:f>
        <x:v>25000</x:v>
      </x:c>
      <x:c r="T33" s="7" t="n">
        <x:f>A33*E33</x:f>
        <x:v>3000000</x:v>
      </x:c>
      <x:c r="U33" s="7" t="n">
        <x:f>A33*'設定と出典'!$B$26</x:f>
        <x:v>50000</x:v>
      </x:c>
      <x:c r="V33" s="7" t="n">
        <x:f>M33*'設定と出典'!$B$27</x:f>
        <x:v>10000</x:v>
      </x:c>
      <x:c r="W33" s="7" t="n">
        <x:f>(N33*'設定と出典'!$B$36+S33)*('設定と出典'!$B$43*'設定と出典'!$B$8+'設定と出典'!$B$44*'設定と出典'!$B$9)*'設定と出典'!$B$12*'設定と出典'!$B$6</x:f>
        <x:v>132.72587033350433</x:v>
      </x:c>
      <x:c r="X33" s="7" t="n">
        <x:f>N33*I33*'設定と出典'!$B$37*('設定と出典'!$B$45*'設定と出典'!$B$8+'設定と出典'!$B$46*'設定と出典'!$B$9)*'設定と出典'!$B$12*'設定と出典'!$B$6</x:f>
        <x:v>20.41936466669297</x:v>
      </x:c>
      <x:c r="Y33" s="7" t="n">
        <x:f>MAX(0,S33*('設定と出典'!$B$13*'設定と出典'!$B$8+'設定と出典'!$B$14*'設定と出典'!$B$9)-MIN(S33,'設定と出典'!$B$7*86400*'設定と出典'!$B$15)*('設定と出典'!$B$13*'設定と出典'!$B$10+'設定と出典'!$B$14*'設定と出典'!$B$11))*'設定と出典'!$B$12*'設定と出典'!$B$6</x:f>
        <x:v>86.74029393819656</x:v>
      </x:c>
      <x:c r="Z33" s="7" t="n">
        <x:f>O33*('設定と出典'!$B$41*'設定と出典'!$B$18+('設定と出典'!$B$42+I33)*'設定と出典'!$B$19)/1000*'設定と出典'!$B$6</x:f>
        <x:v>23.250000000000004</x:v>
      </x:c>
      <x:c r="AA33" s="7" t="n">
        <x:f>N33*(1+J33)*'設定と出典'!$B$21</x:f>
        <x:v>5250</x:v>
      </x:c>
      <x:c r="AB33" s="7" t="n">
        <x:f>N33*'設定と出典'!$B$40/1048576*'設定と出典'!$B$20*'設定と出典'!$B$6+N33*'設定と出典'!$B$39/1000000*'設定と出典'!$B$38*'設定と出典'!$B$6</x:f>
        <x:v>33.457672119140625</x:v>
      </x:c>
      <x:c r="AC33" s="7" t="n">
        <x:f>R33*'設定と出典'!$B$16*'設定と出典'!$B$6</x:f>
        <x:v>170.8984375</x:v>
      </x:c>
      <x:c r="AD33" s="7" t="n">
        <x:f>Q33*'設定と出典'!$B$17*'設定と出典'!$B$6</x:f>
        <x:v>878.90625</x:v>
      </x:c>
      <x:c r="AE33" s="7" t="n">
        <x:f>'設定と出典'!B63</x:f>
        <x:v>13628.969418426243</x:v>
      </x:c>
      <x:c r="AF33" s="7" t="n">
        <x:f>SUM(U33:AE33)</x:f>
        <x:v>80225.36730698377</x:v>
      </x:c>
      <x:c r="AG33" s="7" t="n">
        <x:f>T33*'設定と出典'!$B$28</x:f>
        <x:v>107999.99999999999</x:v>
      </x:c>
      <x:c r="AH33" s="7" t="n">
        <x:f>(A33*L33+M33*'設定と出典'!$B$31)/60*'設定と出典'!$B$29</x:f>
        <x:v>233333.33333333334</x:v>
      </x:c>
      <x:c r="AI33" s="7" t="n">
        <x:f>'設定と出典'!$B$30*'設定と出典'!$B$29</x:f>
        <x:v>8000</x:v>
      </x:c>
      <x:c r="AJ33" s="7" t="n">
        <x:f>T33-SUM(AF33:AI33)</x:f>
        <x:v>2570441.299359683</x:v>
      </x:c>
      <x:c r="AK33" s="7" t="n">
        <x:f>AJ33-T33*'設定と出典'!$B$32</x:f>
        <x:v>1070441.299359683</x:v>
      </x:c>
      <x:c r="AL33" s="7" t="n">
        <x:f>AJ33-A33*MIN(E33,AV33)*'設定と出典'!$B$32</x:f>
        <x:v>2070441.299359683</x:v>
      </x:c>
      <x:c r="AM33" s="8" t="n">
        <x:f>AJ33/T33</x:f>
        <x:v>0.8568137664532276</x:v>
      </x:c>
      <x:c r="AN33" s="8" t="n">
        <x:f>AK33/T33</x:f>
        <x:v>0.35681376645322765</x:v>
      </x:c>
      <x:c r="AO33" s="8" t="n">
        <x:f>AJ33/T33</x:f>
        <x:v>0.8568137664532276</x:v>
      </x:c>
      <x:c r="AP33" s="8" t="n">
        <x:f>AO33-'設定と出典'!$B$33</x:f>
        <x:v>0.6568137664532276</x:v>
      </x:c>
      <x:c r="AQ33" s="9" t="n">
        <x:f>SUM(W33:AD33)/N33</x:f>
        <x:v>0.26385591554230137</x:v>
      </x:c>
      <x:c r="AR33" s="9" t="n">
        <x:f>MAX(0,(E33*(1-'設定と出典'!$B$28-'設定と出典'!$B$32)-(U33+V33+AH33+AI33+AE33)/A33)/AQ33)</x:f>
        <x:v>4081.9160526858445</x:v>
      </x:c>
      <x:c r="AS33" s="9" t="n">
        <x:f>MAX(0,(E33*(1-'設定と出典'!$B$28 )-(U33+V33+AH33+AI33+AE33)/A33)/AQ33)</x:f>
        <x:v>9766.83691912562</x:v>
      </x:c>
      <x:c r="AT33" s="9" t="n">
        <x:f>MAX(0,(E33*(1-'設定と出典'!$B$28)-MIN(E33,AV33)*'設定と出典'!$B$32-(U33+V33+AH33+AI33+AE33)/A33)/AQ33)</x:f>
        <x:v>7871.863296979028</x:v>
      </x:c>
      <x:c r="AU33" s="9" t="n">
        <x:f>IF((T33*(1-'設定と出典'!$B$28-'設定と出典'!$B$32)-(AF33-AE33)-AH33)&lt;=0,"成立せず",(AE33+AI33)/((T33*(1-'設定と出典'!$B$28-'設定と出典'!$B$32)-(AF33-AE33)-AH33)/A33))</x:f>
        <x:v>19.805474095203017</x:v>
      </x:c>
      <x:c r="AV33" s="9" t="n">
        <x:f>'設定と出典'!D51</x:f>
        <x:v>1000</x:v>
      </x:c>
      <x:c r="AW33" s="9" t="n">
        <x:f>IF(1-'設定と出典'!$B$28-'設定と出典'!$B$32-'設定と出典'!$B$33&lt;=0,0,MAX(0,MIN(E33,(AK33/A33-E33*'設定と出典'!$B$33)/(1-'設定と出典'!$B$28-'設定と出典'!$B$32-'設定と出典'!$B$33))))</x:f>
        <x:v>1781.974618786678</x:v>
      </x:c>
      <x:c r="AX33" s="1"/>
      <x:c r="AY33" s="1"/>
      <x:c r="AZ33" s="1"/>
      <x:c r="BA33" s="1"/>
    </x:row>
    <x:row r="34" ht="22" customHeight="1">
      <x:c r="A34" s="1" t="n">
        <x:v>1000</x:v>
      </x:c>
      <x:c r="B34" s="1" t="str">
        <x:f>'設定と出典'!A51</x:f>
        <x:v>Starter</x:v>
      </x:c>
      <x:c r="C34" s="1" t="str">
        <x:f>'設定と出典'!A58</x:f>
        <x:v>標準</x:v>
      </x:c>
      <x:c r="D34" s="1" t="n">
        <x:f>'設定と出典'!B51</x:f>
        <x:v>5</x:v>
      </x:c>
      <x:c r="E34" s="1" t="n">
        <x:f>'設定と出典'!C51</x:f>
        <x:v>3000</x:v>
      </x:c>
      <x:c r="F34" s="1" t="n">
        <x:f>'設定と出典'!B58</x:f>
        <x:v>20</x:v>
      </x:c>
      <x:c r="G34" s="1" t="n">
        <x:f>'設定と出典'!C58</x:f>
        <x:v>2</x:v>
      </x:c>
      <x:c r="H34" s="1" t="n">
        <x:f>'設定と出典'!D58</x:f>
        <x:v>10</x:v>
      </x:c>
      <x:c r="I34" s="1" t="n">
        <x:f>'設定と出典'!E58</x:f>
        <x:v>1.5</x:v>
      </x:c>
      <x:c r="J34" s="1" t="n">
        <x:f>'設定と出典'!F58</x:f>
        <x:v>1.8</x:v>
      </x:c>
      <x:c r="K34" s="1" t="n">
        <x:f>'設定と出典'!G58</x:f>
        <x:v>2</x:v>
      </x:c>
      <x:c r="L34" s="1" t="n">
        <x:f>'設定と出典'!H58</x:f>
        <x:v>8</x:v>
      </x:c>
      <x:c r="M34" s="1" t="n">
        <x:f>A34*D34</x:f>
        <x:v>5000</x:v>
      </x:c>
      <x:c r="N34" s="1" t="n">
        <x:f>M34*F34</x:f>
        <x:v>100000</x:v>
      </x:c>
      <x:c r="O34" s="1" t="n">
        <x:f>N34*G34</x:f>
        <x:v>200000</x:v>
      </x:c>
      <x:c r="P34" s="1" t="n">
        <x:f>O34*H34/1024</x:f>
        <x:v>1953.125</x:v>
      </x:c>
      <x:c r="Q34" s="1" t="n">
        <x:f>P34*I34</x:f>
        <x:v>2929.6875</x:v>
      </x:c>
      <x:c r="R34" s="1" t="n">
        <x:f>P34*('設定と出典'!$B$34+'設定と出典'!$B$35)/'設定と出典'!$B$7</x:f>
        <x:v>1822.9166666666667</x:v>
      </x:c>
      <x:c r="S34" s="1" t="n">
        <x:f>O34*K34</x:f>
        <x:v>400000</x:v>
      </x:c>
      <x:c r="T34" s="7" t="n">
        <x:f>A34*E34</x:f>
        <x:v>3000000</x:v>
      </x:c>
      <x:c r="U34" s="7" t="n">
        <x:f>A34*'設定と出典'!$B$26</x:f>
        <x:v>50000</x:v>
      </x:c>
      <x:c r="V34" s="7" t="n">
        <x:f>M34*'設定と出典'!$B$27</x:f>
        <x:v>10000</x:v>
      </x:c>
      <x:c r="W34" s="7" t="n">
        <x:f>(N34*'設定と出典'!$B$36+S34)*('設定と出典'!$B$43*'設定と出典'!$B$8+'設定と出典'!$B$44*'設定と出典'!$B$9)*'設定と出典'!$B$12*'設定と出典'!$B$6</x:f>
        <x:v>1756.065361335596</x:v>
      </x:c>
      <x:c r="X34" s="7" t="n">
        <x:f>N34*I34*'設定と出典'!$B$37*('設定と出典'!$B$45*'設定と出典'!$B$8+'設定と出典'!$B$46*'設定と出典'!$B$9)*'設定と出典'!$B$12*'設定と出典'!$B$6</x:f>
        <x:v>122.51618800015784</x:v>
      </x:c>
      <x:c r="Y34" s="7" t="n">
        <x:f>MAX(0,S34*('設定と出典'!$B$13*'設定と出典'!$B$8+'設定と出典'!$B$14*'設定と出典'!$B$9)-MIN(S34,'設定と出典'!$B$7*86400*'設定と出典'!$B$15)*('設定と出典'!$B$13*'設定と出典'!$B$10+'設定と出典'!$B$14*'設定と出典'!$B$11))*'設定と出典'!$B$12*'設定と出典'!$B$6</x:f>
        <x:v>1387.844703011145</x:v>
      </x:c>
      <x:c r="Z34" s="7" t="n">
        <x:f>O34*('設定と出典'!$B$41*'設定と出典'!$B$18+('設定と出典'!$B$42+I34)*'設定と出典'!$B$19)/1000*'設定と出典'!$B$6</x:f>
        <x:v>192</x:v>
      </x:c>
      <x:c r="AA34" s="7" t="n">
        <x:f>N34*(1+J34)*'設定と出典'!$B$21</x:f>
        <x:v>28000</x:v>
      </x:c>
      <x:c r="AB34" s="7" t="n">
        <x:f>N34*'設定と出典'!$B$40/1048576*'設定と出典'!$B$20*'設定と出典'!$B$6+N34*'設定と出典'!$B$39/1000000*'設定と出典'!$B$38*'設定と出典'!$B$6</x:f>
        <x:v>133.8306884765625</x:v>
      </x:c>
      <x:c r="AC34" s="7" t="n">
        <x:f>R34*'設定と出典'!$B$16*'設定と出典'!$B$6</x:f>
        <x:v>6835.937500000001</x:v>
      </x:c>
      <x:c r="AD34" s="7" t="n">
        <x:f>Q34*'設定と出典'!$B$17*'設定と出典'!$B$6</x:f>
        <x:v>52734.375</x:v>
      </x:c>
      <x:c r="AE34" s="7" t="n">
        <x:f>'設定と出典'!B63</x:f>
        <x:v>13628.969418426243</x:v>
      </x:c>
      <x:c r="AF34" s="7" t="n">
        <x:f>SUM(U34:AE34)</x:f>
        <x:v>164791.5388592497</x:v>
      </x:c>
      <x:c r="AG34" s="7" t="n">
        <x:f>T34*'設定と出典'!$B$28</x:f>
        <x:v>107999.99999999999</x:v>
      </x:c>
      <x:c r="AH34" s="7" t="n">
        <x:f>(A34*L34+M34*'設定と出典'!$B$31)/60*'設定と出典'!$B$29</x:f>
        <x:v>566666.6666666666</x:v>
      </x:c>
      <x:c r="AI34" s="7" t="n">
        <x:f>'設定と出典'!$B$30*'設定と出典'!$B$29</x:f>
        <x:v>8000</x:v>
      </x:c>
      <x:c r="AJ34" s="7" t="n">
        <x:f>T34-SUM(AF34:AI34)</x:f>
        <x:v>2152541.794474084</x:v>
      </x:c>
      <x:c r="AK34" s="7" t="n">
        <x:f>AJ34-T34*'設定と出典'!$B$32</x:f>
        <x:v>652541.7944740839</x:v>
      </x:c>
      <x:c r="AL34" s="7" t="n">
        <x:f>AJ34-A34*MIN(E34,AV34)*'設定と出典'!$B$32</x:f>
        <x:v>1652541.794474084</x:v>
      </x:c>
      <x:c r="AM34" s="8" t="n">
        <x:f>AJ34/T34</x:f>
        <x:v>0.7175139314913613</x:v>
      </x:c>
      <x:c r="AN34" s="8" t="n">
        <x:f>AK34/T34</x:f>
        <x:v>0.2175139314913613</x:v>
      </x:c>
      <x:c r="AO34" s="8" t="n">
        <x:f>AJ34/T34</x:f>
        <x:v>0.7175139314913613</x:v>
      </x:c>
      <x:c r="AP34" s="8" t="n">
        <x:f>AO34-'設定と出典'!$B$33</x:f>
        <x:v>0.5175139314913613</x:v>
      </x:c>
      <x:c r="AQ34" s="9" t="n">
        <x:f>SUM(W34:AD34)/N34</x:f>
        <x:v>0.9116256944082346</x:v>
      </x:c>
      <x:c r="AR34" s="9" t="n">
        <x:f>MAX(0,(E34*(1-'設定と出典'!$B$28-'設定と出典'!$B$32)-(U34+V34+AH34+AI34+AE34)/A34)/AQ34)</x:f>
        <x:v>815.8001342839171</x:v>
      </x:c>
      <x:c r="AS34" s="9" t="n">
        <x:f>MAX(0,(E34*(1-'設定と出典'!$B$28 )-(U34+V34+AH34+AI34+AE34)/A34)/AQ34)</x:f>
        <x:v>2461.2122910504045</x:v>
      </x:c>
      <x:c r="AT34" s="9" t="n">
        <x:f>MAX(0,(E34*(1-'設定と出典'!$B$28)-MIN(E34,AV34)*'設定と出典'!$B$32-(U34+V34+AH34+AI34+AE34)/A34)/AQ34)</x:f>
        <x:v>1912.741572128242</x:v>
      </x:c>
      <x:c r="AU34" s="9" t="n">
        <x:f>IF((T34*(1-'設定と出典'!$B$28-'設定と出典'!$B$32)-(AF34-AE34)-AH34)&lt;=0,"成立せず",(AE34+AI34)/((T34*(1-'設定と出典'!$B$28-'設定と出典'!$B$32)-(AF34-AE34)-AH34)/A34))</x:f>
        <x:v>32.082330734049414</x:v>
      </x:c>
      <x:c r="AV34" s="9" t="n">
        <x:f>'設定と出典'!D51</x:f>
        <x:v>1000</x:v>
      </x:c>
      <x:c r="AW34" s="9" t="n">
        <x:f>IF(1-'設定と出典'!$B$28-'設定と出典'!$B$32-'設定と出典'!$B$33&lt;=0,0,MAX(0,MIN(E34,(AK34/A34-E34*'設定と出典'!$B$33)/(1-'設定と出典'!$B$28-'設定と出典'!$B$32-'設定と出典'!$B$33))))</x:f>
        <x:v>199.0219487654697</x:v>
      </x:c>
      <x:c r="AX34" s="1"/>
      <x:c r="AY34" s="1"/>
      <x:c r="AZ34" s="1"/>
      <x:c r="BA34" s="1"/>
    </x:row>
    <x:row r="35" ht="22" customHeight="1">
      <x:c r="A35" s="1" t="n">
        <x:v>1000</x:v>
      </x:c>
      <x:c r="B35" s="1" t="str">
        <x:f>'設定と出典'!A51</x:f>
        <x:v>Starter</x:v>
      </x:c>
      <x:c r="C35" s="1" t="str">
        <x:f>'設定と出典'!A59</x:f>
        <x:v>高位</x:v>
      </x:c>
      <x:c r="D35" s="1" t="n">
        <x:f>'設定と出典'!B51</x:f>
        <x:v>5</x:v>
      </x:c>
      <x:c r="E35" s="1" t="n">
        <x:f>'設定と出典'!C51</x:f>
        <x:v>3000</x:v>
      </x:c>
      <x:c r="F35" s="1" t="n">
        <x:f>'設定と出典'!B59</x:f>
        <x:v>80</x:v>
      </x:c>
      <x:c r="G35" s="1" t="n">
        <x:f>'設定と出典'!C59</x:f>
        <x:v>3</x:v>
      </x:c>
      <x:c r="H35" s="1" t="n">
        <x:f>'設定と出典'!D59</x:f>
        <x:v>50</x:v>
      </x:c>
      <x:c r="I35" s="1" t="n">
        <x:f>'設定と出典'!E59</x:f>
        <x:v>2</x:v>
      </x:c>
      <x:c r="J35" s="1" t="n">
        <x:f>'設定と出典'!F59</x:f>
        <x:v>2.5</x:v>
      </x:c>
      <x:c r="K35" s="1" t="n">
        <x:f>'設定と出典'!G59</x:f>
        <x:v>5</x:v>
      </x:c>
      <x:c r="L35" s="1" t="n">
        <x:f>'設定と出典'!H59</x:f>
        <x:v>20</x:v>
      </x:c>
      <x:c r="M35" s="1" t="n">
        <x:f>A35*D35</x:f>
        <x:v>5000</x:v>
      </x:c>
      <x:c r="N35" s="1" t="n">
        <x:f>M35*F35</x:f>
        <x:v>400000</x:v>
      </x:c>
      <x:c r="O35" s="1" t="n">
        <x:f>N35*G35</x:f>
        <x:v>1200000</x:v>
      </x:c>
      <x:c r="P35" s="1" t="n">
        <x:f>O35*H35/1024</x:f>
        <x:v>58593.75</x:v>
      </x:c>
      <x:c r="Q35" s="1" t="n">
        <x:f>P35*I35</x:f>
        <x:v>117187.5</x:v>
      </x:c>
      <x:c r="R35" s="1" t="n">
        <x:f>P35*('設定と出典'!$B$34+'設定と出典'!$B$35)/'設定と出典'!$B$7</x:f>
        <x:v>54687.5</x:v>
      </x:c>
      <x:c r="S35" s="1" t="n">
        <x:f>O35*K35</x:f>
        <x:v>6000000</x:v>
      </x:c>
      <x:c r="T35" s="7" t="n">
        <x:f>A35*E35</x:f>
        <x:v>3000000</x:v>
      </x:c>
      <x:c r="U35" s="7" t="n">
        <x:f>A35*'設定と出典'!$B$26</x:f>
        <x:v>50000</x:v>
      </x:c>
      <x:c r="V35" s="7" t="n">
        <x:f>M35*'設定と出典'!$B$27</x:f>
        <x:v>10000</x:v>
      </x:c>
      <x:c r="W35" s="7" t="n">
        <x:f>(N35*'設定と出典'!$B$36+S35)*('設定と出典'!$B$43*'設定と出典'!$B$8+'設定と出典'!$B$44*'設定と出典'!$B$9)*'設定と出典'!$B$12*'設定と出典'!$B$6</x:f>
        <x:v>24993.302352032202</x:v>
      </x:c>
      <x:c r="X35" s="7" t="n">
        <x:f>N35*I35*'設定と出典'!$B$37*('設定と出典'!$B$45*'設定と出典'!$B$8+'設定と出典'!$B$46*'設定と出典'!$B$9)*'設定と出典'!$B$12*'設定と出典'!$B$6</x:f>
        <x:v>653.4196693341751</x:v>
      </x:c>
      <x:c r="Y35" s="7" t="n">
        <x:f>MAX(0,S35*('設定と出典'!$B$13*'設定と出典'!$B$8+'設定と出典'!$B$14*'設定と出典'!$B$9)-MIN(S35,'設定と出典'!$B$7*86400*'設定と出典'!$B$15)*('設定と出典'!$B$13*'設定と出典'!$B$10+'設定と出典'!$B$14*'設定と出典'!$B$11))*'設定と出典'!$B$12*'設定と出典'!$B$6</x:f>
        <x:v>24931.685891616493</x:v>
      </x:c>
      <x:c r="Z35" s="7" t="n">
        <x:f>O35*('設定と出典'!$B$41*'設定と出典'!$B$18+('設定と出典'!$B$42+I35)*'設定と出典'!$B$19)/1000*'設定と出典'!$B$6</x:f>
        <x:v>1188</x:v>
      </x:c>
      <x:c r="AA35" s="7" t="n">
        <x:f>N35*(1+J35)*'設定と出典'!$B$21</x:f>
        <x:v>140000</x:v>
      </x:c>
      <x:c r="AB35" s="7" t="n">
        <x:f>N35*'設定と出典'!$B$40/1048576*'設定と出典'!$B$20*'設定と出典'!$B$6+N35*'設定と出典'!$B$39/1000000*'設定と出典'!$B$38*'設定と出典'!$B$6</x:f>
        <x:v>535.32275390625</x:v>
      </x:c>
      <x:c r="AC35" s="7" t="n">
        <x:f>R35*'設定と出典'!$B$16*'設定と出典'!$B$6</x:f>
        <x:v>205078.125</x:v>
      </x:c>
      <x:c r="AD35" s="7" t="n">
        <x:f>Q35*'設定と出典'!$B$17*'設定と出典'!$B$6</x:f>
        <x:v>2109375</x:v>
      </x:c>
      <x:c r="AE35" s="7" t="n">
        <x:f>'設定と出典'!B63</x:f>
        <x:v>13628.969418426243</x:v>
      </x:c>
      <x:c r="AF35" s="7" t="n">
        <x:f>SUM(U35:AE35)</x:f>
        <x:v>2580383.825085315</x:v>
      </x:c>
      <x:c r="AG35" s="7" t="n">
        <x:f>T35*'設定と出典'!$B$28</x:f>
        <x:v>107999.99999999999</x:v>
      </x:c>
      <x:c r="AH35" s="7" t="n">
        <x:f>(A35*L35+M35*'設定と出典'!$B$31)/60*'設定と出典'!$B$29</x:f>
        <x:v>1366666.6666666667</x:v>
      </x:c>
      <x:c r="AI35" s="7" t="n">
        <x:f>'設定と出典'!$B$30*'設定と出典'!$B$29</x:f>
        <x:v>8000</x:v>
      </x:c>
      <x:c r="AJ35" s="7" t="n">
        <x:f>T35-SUM(AF35:AI35)</x:f>
        <x:v>-1063050.491751982</x:v>
      </x:c>
      <x:c r="AK35" s="7" t="n">
        <x:f>AJ35-T35*'設定と出典'!$B$32</x:f>
        <x:v>-2563050.491751982</x:v>
      </x:c>
      <x:c r="AL35" s="7" t="n">
        <x:f>AJ35-A35*MIN(E35,AV35)*'設定と出典'!$B$32</x:f>
        <x:v>-1563050.491751982</x:v>
      </x:c>
      <x:c r="AM35" s="8" t="n">
        <x:f>AJ35/T35</x:f>
        <x:v>-0.3543501639173273</x:v>
      </x:c>
      <x:c r="AN35" s="8" t="n">
        <x:f>AK35/T35</x:f>
        <x:v>-0.8543501639173273</x:v>
      </x:c>
      <x:c r="AO35" s="8" t="n">
        <x:f>AJ35/T35</x:f>
        <x:v>-0.3543501639173273</x:v>
      </x:c>
      <x:c r="AP35" s="8" t="n">
        <x:f>AO35-'設定と出典'!$B$33</x:f>
        <x:v>-0.5543501639173274</x:v>
      </x:c>
      <x:c r="AQ35" s="9" t="n">
        <x:f>SUM(W35:AD35)/N35</x:f>
        <x:v>6.266887139167222</x:v>
      </x:c>
      <x:c r="AR35" s="9" t="n">
        <x:f>MAX(0,(E35*(1-'設定と出典'!$B$28-'設定と出典'!$B$32)-(U35+V35+AH35+AI35+AE35)/A35)/AQ35)</x:f>
        <x:v>0</x:v>
      </x:c>
      <x:c r="AS35" s="9" t="n">
        <x:f>MAX(0,(E35*(1-'設定と出典'!$B$28 )-(U35+V35+AH35+AI35+AE35)/A35)/AQ35)</x:f>
        <x:v>230.37025110791353</x:v>
      </x:c>
      <x:c r="AT35" s="9" t="n">
        <x:f>MAX(0,(E35*(1-'設定と出典'!$B$28)-MIN(E35,AV35)*'設定と出典'!$B$32-(U35+V35+AH35+AI35+AE35)/A35)/AQ35)</x:f>
        <x:v>150.5858240236813</x:v>
      </x:c>
      <x:c r="AU35" s="9" t="str">
        <x:f>IF((T35*(1-'設定と出典'!$B$28-'設定と出典'!$B$32)-(AF35-AE35)-AH35)&lt;=0,"成立せず",(AE35+AI35)/((T35*(1-'設定と出典'!$B$28-'設定と出典'!$B$32)-(AF35-AE35)-AH35)/A35))</x:f>
        <x:v>成立せず</x:v>
      </x:c>
      <x:c r="AV35" s="9" t="n">
        <x:f>'設定と出典'!D51</x:f>
        <x:v>1000</x:v>
      </x:c>
      <x:c r="AW35" s="9" t="n">
        <x:f>IF(1-'設定と出典'!$B$28-'設定と出典'!$B$32-'設定と出典'!$B$33&lt;=0,0,MAX(0,MIN(E35,(AK35/A35-E35*'設定と出典'!$B$33)/(1-'設定と出典'!$B$28-'設定と出典'!$B$32-'設定と出典'!$B$33))))</x:f>
        <x:v>0</x:v>
      </x:c>
      <x:c r="AX35" s="1"/>
      <x:c r="AY35" s="1"/>
      <x:c r="AZ35" s="1"/>
      <x:c r="BA35" s="1"/>
    </x:row>
    <x:row r="36" ht="22" customHeight="1">
      <x:c r="A36" s="1" t="n">
        <x:v>1000</x:v>
      </x:c>
      <x:c r="B36" s="1" t="str">
        <x:f>'設定と出典'!A52</x:f>
        <x:v>Business</x:v>
      </x:c>
      <x:c r="C36" s="1" t="str">
        <x:f>'設定と出典'!A57</x:f>
        <x:v>低位</x:v>
      </x:c>
      <x:c r="D36" s="1" t="n">
        <x:f>'設定と出典'!B52</x:f>
        <x:v>20</x:v>
      </x:c>
      <x:c r="E36" s="1" t="n">
        <x:f>'設定と出典'!C52</x:f>
        <x:v>5000</x:v>
      </x:c>
      <x:c r="F36" s="1" t="n">
        <x:f>'設定と出典'!B57</x:f>
        <x:v>5</x:v>
      </x:c>
      <x:c r="G36" s="1" t="n">
        <x:f>'設定と出典'!C57</x:f>
        <x:v>1</x:v>
      </x:c>
      <x:c r="H36" s="1" t="n">
        <x:f>'設定と出典'!D57</x:f>
        <x:v>2</x:v>
      </x:c>
      <x:c r="I36" s="1" t="n">
        <x:f>'設定と出典'!E57</x:f>
        <x:v>1</x:v>
      </x:c>
      <x:c r="J36" s="1" t="n">
        <x:f>'設定と出典'!F57</x:f>
        <x:v>1.1</x:v>
      </x:c>
      <x:c r="K36" s="1" t="n">
        <x:f>'設定と出典'!G57</x:f>
        <x:v>1</x:v>
      </x:c>
      <x:c r="L36" s="1" t="n">
        <x:f>'設定と出典'!H57</x:f>
        <x:v>3</x:v>
      </x:c>
      <x:c r="M36" s="1" t="n">
        <x:f>A36*D36</x:f>
        <x:v>20000</x:v>
      </x:c>
      <x:c r="N36" s="1" t="n">
        <x:f>M36*F36</x:f>
        <x:v>100000</x:v>
      </x:c>
      <x:c r="O36" s="1" t="n">
        <x:f>N36*G36</x:f>
        <x:v>100000</x:v>
      </x:c>
      <x:c r="P36" s="1" t="n">
        <x:f>O36*H36/1024</x:f>
        <x:v>195.3125</x:v>
      </x:c>
      <x:c r="Q36" s="1" t="n">
        <x:f>P36*I36</x:f>
        <x:v>195.3125</x:v>
      </x:c>
      <x:c r="R36" s="1" t="n">
        <x:f>P36*('設定と出典'!$B$34+'設定と出典'!$B$35)/'設定と出典'!$B$7</x:f>
        <x:v>182.29166666666666</x:v>
      </x:c>
      <x:c r="S36" s="1" t="n">
        <x:f>O36*K36</x:f>
        <x:v>100000</x:v>
      </x:c>
      <x:c r="T36" s="7" t="n">
        <x:f>A36*E36</x:f>
        <x:v>5000000</x:v>
      </x:c>
      <x:c r="U36" s="7" t="n">
        <x:f>A36*'設定と出典'!$B$26</x:f>
        <x:v>50000</x:v>
      </x:c>
      <x:c r="V36" s="7" t="n">
        <x:f>M36*'設定と出典'!$B$27</x:f>
        <x:v>40000</x:v>
      </x:c>
      <x:c r="W36" s="7" t="n">
        <x:f>(N36*'設定と出典'!$B$36+S36)*('設定と出典'!$B$43*'設定と出典'!$B$8+'設定と出典'!$B$44*'設定と出典'!$B$9)*'設定と出典'!$B$12*'設定と出典'!$B$6</x:f>
        <x:v>530.9034813340173</x:v>
      </x:c>
      <x:c r="X36" s="7" t="n">
        <x:f>N36*I36*'設定と出典'!$B$37*('設定と出典'!$B$45*'設定と出典'!$B$8+'設定と出典'!$B$46*'設定と出典'!$B$9)*'設定と出典'!$B$12*'設定と出典'!$B$6</x:f>
        <x:v>81.67745866677188</x:v>
      </x:c>
      <x:c r="Y36" s="7" t="n">
        <x:f>MAX(0,S36*('設定と出典'!$B$13*'設定と出典'!$B$8+'設定と出典'!$B$14*'設定と出典'!$B$9)-MIN(S36,'設定と出典'!$B$7*86400*'設定と出典'!$B$15)*('設定と出典'!$B$13*'設定と出典'!$B$10+'設定と出典'!$B$14*'設定と出典'!$B$11))*'設定と出典'!$B$12*'設定と出典'!$B$6</x:f>
        <x:v>346.96117575278623</x:v>
      </x:c>
      <x:c r="Z36" s="7" t="n">
        <x:f>O36*('設定と出典'!$B$41*'設定と出典'!$B$18+('設定と出典'!$B$42+I36)*'設定と出典'!$B$19)/1000*'設定と出典'!$B$6</x:f>
        <x:v>93.00000000000001</x:v>
      </x:c>
      <x:c r="AA36" s="7" t="n">
        <x:f>N36*(1+J36)*'設定と出典'!$B$21</x:f>
        <x:v>21000</x:v>
      </x:c>
      <x:c r="AB36" s="7" t="n">
        <x:f>N36*'設定と出典'!$B$40/1048576*'設定と出典'!$B$20*'設定と出典'!$B$6+N36*'設定と出典'!$B$39/1000000*'設定と出典'!$B$38*'設定と出典'!$B$6</x:f>
        <x:v>133.8306884765625</x:v>
      </x:c>
      <x:c r="AC36" s="7" t="n">
        <x:f>R36*'設定と出典'!$B$16*'設定と出典'!$B$6</x:f>
        <x:v>683.59375</x:v>
      </x:c>
      <x:c r="AD36" s="7" t="n">
        <x:f>Q36*'設定と出典'!$B$17*'設定と出典'!$B$6</x:f>
        <x:v>3515.625</x:v>
      </x:c>
      <x:c r="AE36" s="7" t="n">
        <x:f>'設定と出典'!B63</x:f>
        <x:v>13628.969418426243</x:v>
      </x:c>
      <x:c r="AF36" s="7" t="n">
        <x:f>SUM(U36:AE36)</x:f>
        <x:v>130014.56097265639</x:v>
      </x:c>
      <x:c r="AG36" s="7" t="n">
        <x:f>T36*'設定と出典'!$B$28</x:f>
        <x:v>180000</x:v>
      </x:c>
      <x:c r="AH36" s="7" t="n">
        <x:f>(A36*L36+M36*'設定と出典'!$B$31)/60*'設定と出典'!$B$29</x:f>
        <x:v>333333.3333333333</x:v>
      </x:c>
      <x:c r="AI36" s="7" t="n">
        <x:f>'設定と出典'!$B$30*'設定と出典'!$B$29</x:f>
        <x:v>8000</x:v>
      </x:c>
      <x:c r="AJ36" s="7" t="n">
        <x:f>T36-SUM(AF36:AI36)</x:f>
        <x:v>4348652.105694011</x:v>
      </x:c>
      <x:c r="AK36" s="7" t="n">
        <x:f>AJ36-T36*'設定と出典'!$B$32</x:f>
        <x:v>1848652.1056940109</x:v>
      </x:c>
      <x:c r="AL36" s="7" t="n">
        <x:f>AJ36-A36*MIN(E36,AV36)*'設定と出典'!$B$32</x:f>
        <x:v>3848652.105694011</x:v>
      </x:c>
      <x:c r="AM36" s="8" t="n">
        <x:f>AJ36/T36</x:f>
        <x:v>0.8697304211388022</x:v>
      </x:c>
      <x:c r="AN36" s="8" t="n">
        <x:f>AK36/T36</x:f>
        <x:v>0.36973042113880217</x:v>
      </x:c>
      <x:c r="AO36" s="8" t="n">
        <x:f>AJ36/T36</x:f>
        <x:v>0.8697304211388022</x:v>
      </x:c>
      <x:c r="AP36" s="8" t="n">
        <x:f>AO36-'設定と出典'!$B$33</x:f>
        <x:v>0.6697304211388022</x:v>
      </x:c>
      <x:c r="AQ36" s="9" t="n">
        <x:f>SUM(W36:AD36)/N36</x:f>
        <x:v>0.26385591554230137</x:v>
      </x:c>
      <x:c r="AR36" s="9" t="n">
        <x:f>MAX(0,(E36*(1-'設定と出典'!$B$28-'設定と出典'!$B$32)-(U36+V36+AH36+AI36+AE36)/A36)/AQ36)</x:f>
        <x:v>7106.293953631805</x:v>
      </x:c>
      <x:c r="AS36" s="9" t="n">
        <x:f>MAX(0,(E36*(1-'設定と出典'!$B$28 )-(U36+V36+AH36+AI36+AE36)/A36)/AQ36)</x:f>
        <x:v>16581.162064364766</x:v>
      </x:c>
      <x:c r="AT36" s="9" t="n">
        <x:f>MAX(0,(E36*(1-'設定と出典'!$B$28)-MIN(E36,AV36)*'設定と出典'!$B$32-(U36+V36+AH36+AI36+AE36)/A36)/AQ36)</x:f>
        <x:v>14686.188442218172</x:v>
      </x:c>
      <x:c r="AU36" s="9" t="n">
        <x:f>IF((T36*(1-'設定と出典'!$B$28-'設定と出典'!$B$32)-(AF36-AE36)-AH36)&lt;=0,"成立せず",(AE36+AI36)/((T36*(1-'設定と出典'!$B$28-'設定と出典'!$B$32)-(AF36-AE36)-AH36)/A36))</x:f>
        <x:v>11.564555566668481</x:v>
      </x:c>
      <x:c r="AV36" s="9" t="n">
        <x:f>'設定と出典'!D52</x:f>
        <x:v>1000</x:v>
      </x:c>
      <x:c r="AW36" s="9" t="n">
        <x:f>IF(1-'設定と出典'!$B$28-'設定と出典'!$B$32-'設定と出典'!$B$33&lt;=0,0,MAX(0,MIN(E36,(AK36/A36-E36*'設定と出典'!$B$33)/(1-'設定と出典'!$B$28-'設定と出典'!$B$32-'設定と出典'!$B$33))))</x:f>
        <x:v>3214.591309447011</x:v>
      </x:c>
      <x:c r="AX36" s="1"/>
      <x:c r="AY36" s="1"/>
      <x:c r="AZ36" s="1"/>
      <x:c r="BA36" s="1"/>
    </x:row>
    <x:row r="37" ht="22" customHeight="1">
      <x:c r="A37" s="1" t="n">
        <x:v>1000</x:v>
      </x:c>
      <x:c r="B37" s="1" t="str">
        <x:f>'設定と出典'!A52</x:f>
        <x:v>Business</x:v>
      </x:c>
      <x:c r="C37" s="1" t="str">
        <x:f>'設定と出典'!A58</x:f>
        <x:v>標準</x:v>
      </x:c>
      <x:c r="D37" s="1" t="n">
        <x:f>'設定と出典'!B52</x:f>
        <x:v>20</x:v>
      </x:c>
      <x:c r="E37" s="1" t="n">
        <x:f>'設定と出典'!C52</x:f>
        <x:v>5000</x:v>
      </x:c>
      <x:c r="F37" s="1" t="n">
        <x:f>'設定と出典'!B58</x:f>
        <x:v>20</x:v>
      </x:c>
      <x:c r="G37" s="1" t="n">
        <x:f>'設定と出典'!C58</x:f>
        <x:v>2</x:v>
      </x:c>
      <x:c r="H37" s="1" t="n">
        <x:f>'設定と出典'!D58</x:f>
        <x:v>10</x:v>
      </x:c>
      <x:c r="I37" s="1" t="n">
        <x:f>'設定と出典'!E58</x:f>
        <x:v>1.5</x:v>
      </x:c>
      <x:c r="J37" s="1" t="n">
        <x:f>'設定と出典'!F58</x:f>
        <x:v>1.8</x:v>
      </x:c>
      <x:c r="K37" s="1" t="n">
        <x:f>'設定と出典'!G58</x:f>
        <x:v>2</x:v>
      </x:c>
      <x:c r="L37" s="1" t="n">
        <x:f>'設定と出典'!H58</x:f>
        <x:v>8</x:v>
      </x:c>
      <x:c r="M37" s="1" t="n">
        <x:f>A37*D37</x:f>
        <x:v>20000</x:v>
      </x:c>
      <x:c r="N37" s="1" t="n">
        <x:f>M37*F37</x:f>
        <x:v>400000</x:v>
      </x:c>
      <x:c r="O37" s="1" t="n">
        <x:f>N37*G37</x:f>
        <x:v>800000</x:v>
      </x:c>
      <x:c r="P37" s="1" t="n">
        <x:f>O37*H37/1024</x:f>
        <x:v>7812.5</x:v>
      </x:c>
      <x:c r="Q37" s="1" t="n">
        <x:f>P37*I37</x:f>
        <x:v>11718.75</x:v>
      </x:c>
      <x:c r="R37" s="1" t="n">
        <x:f>P37*('設定と出典'!$B$34+'設定と出典'!$B$35)/'設定と出典'!$B$7</x:f>
        <x:v>7291.666666666667</x:v>
      </x:c>
      <x:c r="S37" s="1" t="n">
        <x:f>O37*K37</x:f>
        <x:v>1600000</x:v>
      </x:c>
      <x:c r="T37" s="7" t="n">
        <x:f>A37*E37</x:f>
        <x:v>5000000</x:v>
      </x:c>
      <x:c r="U37" s="7" t="n">
        <x:f>A37*'設定と出典'!$B$26</x:f>
        <x:v>50000</x:v>
      </x:c>
      <x:c r="V37" s="7" t="n">
        <x:f>M37*'設定と出典'!$B$27</x:f>
        <x:v>40000</x:v>
      </x:c>
      <x:c r="W37" s="7" t="n">
        <x:f>(N37*'設定と出典'!$B$36+S37)*('設定と出典'!$B$43*'設定と出典'!$B$8+'設定と出典'!$B$44*'設定と出典'!$B$9)*'設定と出典'!$B$12*'設定と出典'!$B$6</x:f>
        <x:v>7024.261445342384</x:v>
      </x:c>
      <x:c r="X37" s="7" t="n">
        <x:f>N37*I37*'設定と出典'!$B$37*('設定と出典'!$B$45*'設定と出典'!$B$8+'設定と出典'!$B$46*'設定と出典'!$B$9)*'設定と出典'!$B$12*'設定と出典'!$B$6</x:f>
        <x:v>490.06475200063136</x:v>
      </x:c>
      <x:c r="Y37" s="7" t="n">
        <x:f>MAX(0,S37*('設定と出典'!$B$13*'設定と出典'!$B$8+'設定と出典'!$B$14*'設定と出典'!$B$9)-MIN(S37,'設定と出典'!$B$7*86400*'設定と出典'!$B$15)*('設定と出典'!$B$13*'設定と出典'!$B$10+'設定と出典'!$B$14*'設定と出典'!$B$11))*'設定と出典'!$B$12*'設定と出典'!$B$6</x:f>
        <x:v>5551.37881204458</x:v>
      </x:c>
      <x:c r="Z37" s="7" t="n">
        <x:f>O37*('設定と出典'!$B$41*'設定と出典'!$B$18+('設定と出典'!$B$42+I37)*'設定と出典'!$B$19)/1000*'設定と出典'!$B$6</x:f>
        <x:v>768</x:v>
      </x:c>
      <x:c r="AA37" s="7" t="n">
        <x:f>N37*(1+J37)*'設定と出典'!$B$21</x:f>
        <x:v>112000</x:v>
      </x:c>
      <x:c r="AB37" s="7" t="n">
        <x:f>N37*'設定と出典'!$B$40/1048576*'設定と出典'!$B$20*'設定と出典'!$B$6+N37*'設定と出典'!$B$39/1000000*'設定と出典'!$B$38*'設定と出典'!$B$6</x:f>
        <x:v>535.32275390625</x:v>
      </x:c>
      <x:c r="AC37" s="7" t="n">
        <x:f>R37*'設定と出典'!$B$16*'設定と出典'!$B$6</x:f>
        <x:v>27343.750000000004</x:v>
      </x:c>
      <x:c r="AD37" s="7" t="n">
        <x:f>Q37*'設定と出典'!$B$17*'設定と出典'!$B$6</x:f>
        <x:v>210937.5</x:v>
      </x:c>
      <x:c r="AE37" s="7" t="n">
        <x:f>'設定と出典'!B63</x:f>
        <x:v>13628.969418426243</x:v>
      </x:c>
      <x:c r="AF37" s="7" t="n">
        <x:f>SUM(U37:AE37)</x:f>
        <x:v>468279.24718172004</x:v>
      </x:c>
      <x:c r="AG37" s="7" t="n">
        <x:f>T37*'設定と出典'!$B$28</x:f>
        <x:v>180000</x:v>
      </x:c>
      <x:c r="AH37" s="7" t="n">
        <x:f>(A37*L37+M37*'設定と出典'!$B$31)/60*'設定と出典'!$B$29</x:f>
        <x:v>666666.6666666666</x:v>
      </x:c>
      <x:c r="AI37" s="7" t="n">
        <x:f>'設定と出典'!$B$30*'設定と出典'!$B$29</x:f>
        <x:v>8000</x:v>
      </x:c>
      <x:c r="AJ37" s="7" t="n">
        <x:f>T37-SUM(AF37:AI37)</x:f>
        <x:v>3677054.0861516134</x:v>
      </x:c>
      <x:c r="AK37" s="7" t="n">
        <x:f>AJ37-T37*'設定と出典'!$B$32</x:f>
        <x:v>1177054.0861516134</x:v>
      </x:c>
      <x:c r="AL37" s="7" t="n">
        <x:f>AJ37-A37*MIN(E37,AV37)*'設定と出典'!$B$32</x:f>
        <x:v>3177054.0861516134</x:v>
      </x:c>
      <x:c r="AM37" s="8" t="n">
        <x:f>AJ37/T37</x:f>
        <x:v>0.7354108172303226</x:v>
      </x:c>
      <x:c r="AN37" s="8" t="n">
        <x:f>AK37/T37</x:f>
        <x:v>0.23541081723032267</x:v>
      </x:c>
      <x:c r="AO37" s="8" t="n">
        <x:f>AJ37/T37</x:f>
        <x:v>0.7354108172303226</x:v>
      </x:c>
      <x:c r="AP37" s="8" t="n">
        <x:f>AO37-'設定と出典'!$B$33</x:f>
        <x:v>0.5354108172303227</x:v>
      </x:c>
      <x:c r="AQ37" s="9" t="n">
        <x:f>SUM(W37:AD37)/N37</x:f>
        <x:v>0.9116256944082346</x:v>
      </x:c>
      <x:c r="AR37" s="9" t="n">
        <x:f>MAX(0,(E37*(1-'設定と出典'!$B$28-'設定と出典'!$B$32)-(U37+V37+AH37+AI37+AE37)/A37)/AQ37)</x:f>
        <x:v>1691.1594016836884</x:v>
      </x:c>
      <x:c r="AS37" s="9" t="n">
        <x:f>MAX(0,(E37*(1-'設定と出典'!$B$28 )-(U37+V37+AH37+AI37+AE37)/A37)/AQ37)</x:f>
        <x:v>4433.5129962945</x:v>
      </x:c>
      <x:c r="AT37" s="9" t="n">
        <x:f>MAX(0,(E37*(1-'設定と出典'!$B$28)-MIN(E37,AV37)*'設定と出典'!$B$32-(U37+V37+AH37+AI37+AE37)/A37)/AQ37)</x:f>
        <x:v>3885.042277372338</x:v>
      </x:c>
      <x:c r="AU37" s="9" t="n">
        <x:f>IF((T37*(1-'設定と出典'!$B$28-'設定と出典'!$B$32)-(AF37-AE37)-AH37)&lt;=0,"成立せず",(AE37+AI37)/((T37*(1-'設定と出典'!$B$28-'設定と出典'!$B$32)-(AF37-AE37)-AH37)/A37))</x:f>
        <x:v>18.043943574509345</x:v>
      </x:c>
      <x:c r="AV37" s="9" t="n">
        <x:f>'設定と出典'!D52</x:f>
        <x:v>1000</x:v>
      </x:c>
      <x:c r="AW37" s="9" t="n">
        <x:f>IF(1-'設定と出典'!$B$28-'設定と出典'!$B$32-'設定と出典'!$B$33&lt;=0,0,MAX(0,MIN(E37,(AK37/A37-E37*'設定と出典'!$B$33)/(1-'設定と出典'!$B$28-'設定と出典'!$B$32-'設定と出典'!$B$33))))</x:f>
        <x:v>670.6594172409597</x:v>
      </x:c>
      <x:c r="AX37" s="1"/>
      <x:c r="AY37" s="1"/>
      <x:c r="AZ37" s="1"/>
      <x:c r="BA37" s="1"/>
    </x:row>
    <x:row r="38" ht="22" customHeight="1">
      <x:c r="A38" s="1" t="n">
        <x:v>1000</x:v>
      </x:c>
      <x:c r="B38" s="1" t="str">
        <x:f>'設定と出典'!A52</x:f>
        <x:v>Business</x:v>
      </x:c>
      <x:c r="C38" s="1" t="str">
        <x:f>'設定と出典'!A59</x:f>
        <x:v>高位</x:v>
      </x:c>
      <x:c r="D38" s="1" t="n">
        <x:f>'設定と出典'!B52</x:f>
        <x:v>20</x:v>
      </x:c>
      <x:c r="E38" s="1" t="n">
        <x:f>'設定と出典'!C52</x:f>
        <x:v>5000</x:v>
      </x:c>
      <x:c r="F38" s="1" t="n">
        <x:f>'設定と出典'!B59</x:f>
        <x:v>80</x:v>
      </x:c>
      <x:c r="G38" s="1" t="n">
        <x:f>'設定と出典'!C59</x:f>
        <x:v>3</x:v>
      </x:c>
      <x:c r="H38" s="1" t="n">
        <x:f>'設定と出典'!D59</x:f>
        <x:v>50</x:v>
      </x:c>
      <x:c r="I38" s="1" t="n">
        <x:f>'設定と出典'!E59</x:f>
        <x:v>2</x:v>
      </x:c>
      <x:c r="J38" s="1" t="n">
        <x:f>'設定と出典'!F59</x:f>
        <x:v>2.5</x:v>
      </x:c>
      <x:c r="K38" s="1" t="n">
        <x:f>'設定と出典'!G59</x:f>
        <x:v>5</x:v>
      </x:c>
      <x:c r="L38" s="1" t="n">
        <x:f>'設定と出典'!H59</x:f>
        <x:v>20</x:v>
      </x:c>
      <x:c r="M38" s="1" t="n">
        <x:f>A38*D38</x:f>
        <x:v>20000</x:v>
      </x:c>
      <x:c r="N38" s="1" t="n">
        <x:f>M38*F38</x:f>
        <x:v>1600000</x:v>
      </x:c>
      <x:c r="O38" s="1" t="n">
        <x:f>N38*G38</x:f>
        <x:v>4800000</x:v>
      </x:c>
      <x:c r="P38" s="1" t="n">
        <x:f>O38*H38/1024</x:f>
        <x:v>234375</x:v>
      </x:c>
      <x:c r="Q38" s="1" t="n">
        <x:f>P38*I38</x:f>
        <x:v>468750</x:v>
      </x:c>
      <x:c r="R38" s="1" t="n">
        <x:f>P38*('設定と出典'!$B$34+'設定と出典'!$B$35)/'設定と出典'!$B$7</x:f>
        <x:v>218750</x:v>
      </x:c>
      <x:c r="S38" s="1" t="n">
        <x:f>O38*K38</x:f>
        <x:v>24000000</x:v>
      </x:c>
      <x:c r="T38" s="7" t="n">
        <x:f>A38*E38</x:f>
        <x:v>5000000</x:v>
      </x:c>
      <x:c r="U38" s="7" t="n">
        <x:f>A38*'設定と出典'!$B$26</x:f>
        <x:v>50000</x:v>
      </x:c>
      <x:c r="V38" s="7" t="n">
        <x:f>M38*'設定と出典'!$B$27</x:f>
        <x:v>40000</x:v>
      </x:c>
      <x:c r="W38" s="7" t="n">
        <x:f>(N38*'設定と出典'!$B$36+S38)*('設定と出典'!$B$43*'設定と出典'!$B$8+'設定と出典'!$B$44*'設定と出典'!$B$9)*'設定と出典'!$B$12*'設定と出典'!$B$6</x:f>
        <x:v>99973.20940812881</x:v>
      </x:c>
      <x:c r="X38" s="7" t="n">
        <x:f>N38*I38*'設定と出典'!$B$37*('設定と出典'!$B$45*'設定と出典'!$B$8+'設定と出典'!$B$46*'設定と出典'!$B$9)*'設定と出典'!$B$12*'設定と出典'!$B$6</x:f>
        <x:v>2613.6786773367003</x:v>
      </x:c>
      <x:c r="Y38" s="7" t="n">
        <x:f>MAX(0,S38*('設定と出典'!$B$13*'設定と出典'!$B$8+'設定と出典'!$B$14*'設定と出典'!$B$9)-MIN(S38,'設定と出典'!$B$7*86400*'設定と出典'!$B$15)*('設定と出典'!$B$13*'設定と出典'!$B$10+'設定と出典'!$B$14*'設定と出典'!$B$11))*'設定と出典'!$B$12*'設定と出典'!$B$6</x:f>
        <x:v>109113.6518217447</x:v>
      </x:c>
      <x:c r="Z38" s="7" t="n">
        <x:f>O38*('設定と出典'!$B$41*'設定と出典'!$B$18+('設定と出典'!$B$42+I38)*'設定と出典'!$B$19)/1000*'設定と出典'!$B$6</x:f>
        <x:v>4752</x:v>
      </x:c>
      <x:c r="AA38" s="7" t="n">
        <x:f>N38*(1+J38)*'設定と出典'!$B$21</x:f>
        <x:v>560000</x:v>
      </x:c>
      <x:c r="AB38" s="7" t="n">
        <x:f>N38*'設定と出典'!$B$40/1048576*'設定と出典'!$B$20*'設定と出典'!$B$6+N38*'設定と出典'!$B$39/1000000*'設定と出典'!$B$38*'設定と出典'!$B$6</x:f>
        <x:v>2141.291015625</x:v>
      </x:c>
      <x:c r="AC38" s="7" t="n">
        <x:f>R38*'設定と出典'!$B$16*'設定と出典'!$B$6</x:f>
        <x:v>820312.5</x:v>
      </x:c>
      <x:c r="AD38" s="7" t="n">
        <x:f>Q38*'設定と出典'!$B$17*'設定と出典'!$B$6</x:f>
        <x:v>8437500</x:v>
      </x:c>
      <x:c r="AE38" s="7" t="n">
        <x:f>'設定と出典'!B63</x:f>
        <x:v>13628.969418426243</x:v>
      </x:c>
      <x:c r="AF38" s="7" t="n">
        <x:f>SUM(U38:AE38)</x:f>
        <x:v>10140035.300341262</x:v>
      </x:c>
      <x:c r="AG38" s="7" t="n">
        <x:f>T38*'設定と出典'!$B$28</x:f>
        <x:v>180000</x:v>
      </x:c>
      <x:c r="AH38" s="7" t="n">
        <x:f>(A38*L38+M38*'設定と出典'!$B$31)/60*'設定と出典'!$B$29</x:f>
        <x:v>1466666.6666666667</x:v>
      </x:c>
      <x:c r="AI38" s="7" t="n">
        <x:f>'設定と出典'!$B$30*'設定と出典'!$B$29</x:f>
        <x:v>8000</x:v>
      </x:c>
      <x:c r="AJ38" s="7" t="n">
        <x:f>T38-SUM(AF38:AI38)</x:f>
        <x:v>-6794701.967007928</x:v>
      </x:c>
      <x:c r="AK38" s="7" t="n">
        <x:f>AJ38-T38*'設定と出典'!$B$32</x:f>
        <x:v>-9294701.967007928</x:v>
      </x:c>
      <x:c r="AL38" s="7" t="n">
        <x:f>AJ38-A38*MIN(E38,AV38)*'設定と出典'!$B$32</x:f>
        <x:v>-7294701.967007928</x:v>
      </x:c>
      <x:c r="AM38" s="8" t="n">
        <x:f>AJ38/T38</x:f>
        <x:v>-1.3589403934015856</x:v>
      </x:c>
      <x:c r="AN38" s="8" t="n">
        <x:f>AK38/T38</x:f>
        <x:v>-1.8589403934015856</x:v>
      </x:c>
      <x:c r="AO38" s="8" t="n">
        <x:f>AJ38/T38</x:f>
        <x:v>-1.3589403934015856</x:v>
      </x:c>
      <x:c r="AP38" s="8" t="n">
        <x:f>AO38-'設定と出典'!$B$33</x:f>
        <x:v>-1.5589403934015855</x:v>
      </x:c>
      <x:c r="AQ38" s="9" t="n">
        <x:f>SUM(W38:AD38)/N38</x:f>
        <x:v>6.272753956826771</x:v>
      </x:c>
      <x:c r="AR38" s="9" t="n">
        <x:f>MAX(0,(E38*(1-'設定と出典'!$B$28-'設定と出典'!$B$32)-(U38+V38+AH38+AI38+AE38)/A38)/AQ38)</x:f>
        <x:v>118.24222168122732</x:v>
      </x:c>
      <x:c r="AS38" s="9" t="n">
        <x:f>MAX(0,(E38*(1-'設定と出典'!$B$28 )-(U38+V38+AH38+AI38+AE38)/A38)/AQ38)</x:f>
        <x:v>516.7912508965685</x:v>
      </x:c>
      <x:c r="AT38" s="9" t="n">
        <x:f>MAX(0,(E38*(1-'設定と出典'!$B$28)-MIN(E38,AV38)*'設定と出典'!$B$32-(U38+V38+AH38+AI38+AE38)/A38)/AQ38)</x:f>
        <x:v>437.08144505350026</x:v>
      </x:c>
      <x:c r="AU38" s="9" t="str">
        <x:f>IF((T38*(1-'設定と出典'!$B$28-'設定と出典'!$B$32)-(AF38-AE38)-AH38)&lt;=0,"成立せず",(AE38+AI38)/((T38*(1-'設定と出典'!$B$28-'設定と出典'!$B$32)-(AF38-AE38)-AH38)/A38))</x:f>
        <x:v>成立せず</x:v>
      </x:c>
      <x:c r="AV38" s="9" t="n">
        <x:f>'設定と出典'!D52</x:f>
        <x:v>1000</x:v>
      </x:c>
      <x:c r="AW38" s="9" t="n">
        <x:f>IF(1-'設定と出典'!$B$28-'設定と出典'!$B$32-'設定と出典'!$B$33&lt;=0,0,MAX(0,MIN(E38,(AK38/A38-E38*'設定と出典'!$B$33)/(1-'設定と出典'!$B$28-'設定と出典'!$B$32-'設定と出典'!$B$33))))</x:f>
        <x:v>0</x:v>
      </x:c>
      <x:c r="AX38" s="1"/>
      <x:c r="AY38" s="1"/>
      <x:c r="AZ38" s="1"/>
      <x:c r="BA38" s="1"/>
    </x:row>
    <x:row r="39" ht="22" customHeight="1">
      <x:c r="A39" s="1" t="n">
        <x:v>1000</x:v>
      </x:c>
      <x:c r="B39" s="1" t="str">
        <x:f>'設定と出典'!A53</x:f>
        <x:v>Business Plus</x:v>
      </x:c>
      <x:c r="C39" s="1" t="str">
        <x:f>'設定と出典'!A57</x:f>
        <x:v>低位</x:v>
      </x:c>
      <x:c r="D39" s="1" t="n">
        <x:f>'設定と出典'!B53</x:f>
        <x:v>50</x:v>
      </x:c>
      <x:c r="E39" s="1" t="n">
        <x:f>'設定と出典'!C53</x:f>
        <x:v>8000</x:v>
      </x:c>
      <x:c r="F39" s="1" t="n">
        <x:f>'設定と出典'!B57</x:f>
        <x:v>5</x:v>
      </x:c>
      <x:c r="G39" s="1" t="n">
        <x:f>'設定と出典'!C57</x:f>
        <x:v>1</x:v>
      </x:c>
      <x:c r="H39" s="1" t="n">
        <x:f>'設定と出典'!D57</x:f>
        <x:v>2</x:v>
      </x:c>
      <x:c r="I39" s="1" t="n">
        <x:f>'設定と出典'!E57</x:f>
        <x:v>1</x:v>
      </x:c>
      <x:c r="J39" s="1" t="n">
        <x:f>'設定と出典'!F57</x:f>
        <x:v>1.1</x:v>
      </x:c>
      <x:c r="K39" s="1" t="n">
        <x:f>'設定と出典'!G57</x:f>
        <x:v>1</x:v>
      </x:c>
      <x:c r="L39" s="1" t="n">
        <x:f>'設定と出典'!H57</x:f>
        <x:v>3</x:v>
      </x:c>
      <x:c r="M39" s="1" t="n">
        <x:f>A39*D39</x:f>
        <x:v>50000</x:v>
      </x:c>
      <x:c r="N39" s="1" t="n">
        <x:f>M39*F39</x:f>
        <x:v>250000</x:v>
      </x:c>
      <x:c r="O39" s="1" t="n">
        <x:f>N39*G39</x:f>
        <x:v>250000</x:v>
      </x:c>
      <x:c r="P39" s="1" t="n">
        <x:f>O39*H39/1024</x:f>
        <x:v>488.28125</x:v>
      </x:c>
      <x:c r="Q39" s="1" t="n">
        <x:f>P39*I39</x:f>
        <x:v>488.28125</x:v>
      </x:c>
      <x:c r="R39" s="1" t="n">
        <x:f>P39*('設定と出典'!$B$34+'設定と出典'!$B$35)/'設定と出典'!$B$7</x:f>
        <x:v>455.7291666666667</x:v>
      </x:c>
      <x:c r="S39" s="1" t="n">
        <x:f>O39*K39</x:f>
        <x:v>250000</x:v>
      </x:c>
      <x:c r="T39" s="7" t="n">
        <x:f>A39*E39</x:f>
        <x:v>8000000</x:v>
      </x:c>
      <x:c r="U39" s="7" t="n">
        <x:f>A39*'設定と出典'!$B$26</x:f>
        <x:v>50000</x:v>
      </x:c>
      <x:c r="V39" s="7" t="n">
        <x:f>M39*'設定と出典'!$B$27</x:f>
        <x:v>100000</x:v>
      </x:c>
      <x:c r="W39" s="7" t="n">
        <x:f>(N39*'設定と出典'!$B$36+S39)*('設定と出典'!$B$43*'設定と出典'!$B$8+'設定と出典'!$B$44*'設定と出典'!$B$9)*'設定と出典'!$B$12*'設定と出典'!$B$6</x:f>
        <x:v>1327.2587033350433</x:v>
      </x:c>
      <x:c r="X39" s="7" t="n">
        <x:f>N39*I39*'設定と出典'!$B$37*('設定と出典'!$B$45*'設定と出典'!$B$8+'設定と出典'!$B$46*'設定と出典'!$B$9)*'設定と出典'!$B$12*'設定と出典'!$B$6</x:f>
        <x:v>204.19364666692974</x:v>
      </x:c>
      <x:c r="Y39" s="7" t="n">
        <x:f>MAX(0,S39*('設定と出典'!$B$13*'設定と出典'!$B$8+'設定と出典'!$B$14*'設定と出典'!$B$9)-MIN(S39,'設定と出典'!$B$7*86400*'設定と出典'!$B$15)*('設定と出典'!$B$13*'設定と出典'!$B$10+'設定と出典'!$B$14*'設定と出典'!$B$11))*'設定と出典'!$B$12*'設定と出典'!$B$6</x:f>
        <x:v>867.4029393819657</x:v>
      </x:c>
      <x:c r="Z39" s="7" t="n">
        <x:f>O39*('設定と出典'!$B$41*'設定と出典'!$B$18+('設定と出典'!$B$42+I39)*'設定と出典'!$B$19)/1000*'設定と出典'!$B$6</x:f>
        <x:v>232.50000000000003</x:v>
      </x:c>
      <x:c r="AA39" s="7" t="n">
        <x:f>N39*(1+J39)*'設定と出典'!$B$21</x:f>
        <x:v>52500</x:v>
      </x:c>
      <x:c r="AB39" s="7" t="n">
        <x:f>N39*'設定と出典'!$B$40/1048576*'設定と出典'!$B$20*'設定と出典'!$B$6+N39*'設定と出典'!$B$39/1000000*'設定と出典'!$B$38*'設定と出典'!$B$6</x:f>
        <x:v>334.57672119140625</x:v>
      </x:c>
      <x:c r="AC39" s="7" t="n">
        <x:f>R39*'設定と出典'!$B$16*'設定と出典'!$B$6</x:f>
        <x:v>1708.9843750000002</x:v>
      </x:c>
      <x:c r="AD39" s="7" t="n">
        <x:f>Q39*'設定と出典'!$B$17*'設定と出典'!$B$6</x:f>
        <x:v>8789.0625</x:v>
      </x:c>
      <x:c r="AE39" s="7" t="n">
        <x:f>'設定と出典'!B63</x:f>
        <x:v>13628.969418426243</x:v>
      </x:c>
      <x:c r="AF39" s="7" t="n">
        <x:f>SUM(U39:AE39)</x:f>
        <x:v>229592.94830400162</x:v>
      </x:c>
      <x:c r="AG39" s="7" t="n">
        <x:f>T39*'設定と出典'!$B$28</x:f>
        <x:v>288000</x:v>
      </x:c>
      <x:c r="AH39" s="7" t="n">
        <x:f>(A39*L39+M39*'設定と出典'!$B$31)/60*'設定と出典'!$B$29</x:f>
        <x:v>533333.3333333334</x:v>
      </x:c>
      <x:c r="AI39" s="7" t="n">
        <x:f>'設定と出典'!$B$30*'設定と出典'!$B$29</x:f>
        <x:v>8000</x:v>
      </x:c>
      <x:c r="AJ39" s="7" t="n">
        <x:f>T39-SUM(AF39:AI39)</x:f>
        <x:v>6941073.718362665</x:v>
      </x:c>
      <x:c r="AK39" s="7" t="n">
        <x:f>AJ39-T39*'設定と出典'!$B$32</x:f>
        <x:v>2941073.718362665</x:v>
      </x:c>
      <x:c r="AL39" s="7" t="n">
        <x:f>AJ39-A39*MIN(E39,AV39)*'設定と出典'!$B$32</x:f>
        <x:v>6441073.718362665</x:v>
      </x:c>
      <x:c r="AM39" s="8" t="n">
        <x:f>AJ39/T39</x:f>
        <x:v>0.8676342147953331</x:v>
      </x:c>
      <x:c r="AN39" s="8" t="n">
        <x:f>AK39/T39</x:f>
        <x:v>0.3676342147953331</x:v>
      </x:c>
      <x:c r="AO39" s="8" t="n">
        <x:f>AJ39/T39</x:f>
        <x:v>0.8676342147953331</x:v>
      </x:c>
      <x:c r="AP39" s="8" t="n">
        <x:f>AO39-'設定と出典'!$B$33</x:f>
        <x:v>0.6676342147953331</x:v>
      </x:c>
      <x:c r="AQ39" s="9" t="n">
        <x:f>SUM(W39:AD39)/N39</x:f>
        <x:v>0.26385591554230137</x:v>
      </x:c>
      <x:c r="AR39" s="9" t="n">
        <x:f>MAX(0,(E39*(1-'設定と出典'!$B$28-'設定と出典'!$B$32)-(U39+V39+AH39+AI39+AE39)/A39)/AQ39)</x:f>
        <x:v>11396.514234171687</x:v>
      </x:c>
      <x:c r="AS39" s="9" t="n">
        <x:f>MAX(0,(E39*(1-'設定と出典'!$B$28 )-(U39+V39+AH39+AI39+AE39)/A39)/AQ39)</x:f>
        <x:v>26556.30321134442</x:v>
      </x:c>
      <x:c r="AT39" s="9" t="n">
        <x:f>MAX(0,(E39*(1-'設定と出典'!$B$28)-MIN(E39,AV39)*'設定と出典'!$B$32-(U39+V39+AH39+AI39+AE39)/A39)/AQ39)</x:f>
        <x:v>24661.32958919783</x:v>
      </x:c>
      <x:c r="AU39" s="9" t="n">
        <x:f>IF((T39*(1-'設定と出典'!$B$28-'設定と出典'!$B$32)-(AF39-AE39)-AH39)&lt;=0,"成立せず",(AE39+AI39)/((T39*(1-'設定と出典'!$B$28-'設定と出典'!$B$32)-(AF39-AE39)-AH39)/A39))</x:f>
        <x:v>7.300418468457666</x:v>
      </x:c>
      <x:c r="AV39" s="9" t="n">
        <x:f>'設定と出典'!D53</x:f>
        <x:v>1000</x:v>
      </x:c>
      <x:c r="AW39" s="9" t="n">
        <x:f>IF(1-'設定と出典'!$B$28-'設定と出典'!$B$32-'設定と出典'!$B$33&lt;=0,0,MAX(0,MIN(E39,(AK39/A39-E39*'設定と出典'!$B$33)/(1-'設定と出典'!$B$28-'設定と出典'!$B$32-'設定と出典'!$B$33))))</x:f>
        <x:v>5079.82469076767</x:v>
      </x:c>
      <x:c r="AX39" s="1"/>
      <x:c r="AY39" s="1"/>
      <x:c r="AZ39" s="1"/>
      <x:c r="BA39" s="1"/>
    </x:row>
    <x:row r="40" ht="22" customHeight="1">
      <x:c r="A40" s="1" t="n">
        <x:v>1000</x:v>
      </x:c>
      <x:c r="B40" s="1" t="str">
        <x:f>'設定と出典'!A53</x:f>
        <x:v>Business Plus</x:v>
      </x:c>
      <x:c r="C40" s="1" t="str">
        <x:f>'設定と出典'!A58</x:f>
        <x:v>標準</x:v>
      </x:c>
      <x:c r="D40" s="1" t="n">
        <x:f>'設定と出典'!B53</x:f>
        <x:v>50</x:v>
      </x:c>
      <x:c r="E40" s="1" t="n">
        <x:f>'設定と出典'!C53</x:f>
        <x:v>8000</x:v>
      </x:c>
      <x:c r="F40" s="1" t="n">
        <x:f>'設定と出典'!B58</x:f>
        <x:v>20</x:v>
      </x:c>
      <x:c r="G40" s="1" t="n">
        <x:f>'設定と出典'!C58</x:f>
        <x:v>2</x:v>
      </x:c>
      <x:c r="H40" s="1" t="n">
        <x:f>'設定と出典'!D58</x:f>
        <x:v>10</x:v>
      </x:c>
      <x:c r="I40" s="1" t="n">
        <x:f>'設定と出典'!E58</x:f>
        <x:v>1.5</x:v>
      </x:c>
      <x:c r="J40" s="1" t="n">
        <x:f>'設定と出典'!F58</x:f>
        <x:v>1.8</x:v>
      </x:c>
      <x:c r="K40" s="1" t="n">
        <x:f>'設定と出典'!G58</x:f>
        <x:v>2</x:v>
      </x:c>
      <x:c r="L40" s="1" t="n">
        <x:f>'設定と出典'!H58</x:f>
        <x:v>8</x:v>
      </x:c>
      <x:c r="M40" s="1" t="n">
        <x:f>A40*D40</x:f>
        <x:v>50000</x:v>
      </x:c>
      <x:c r="N40" s="1" t="n">
        <x:f>M40*F40</x:f>
        <x:v>1000000</x:v>
      </x:c>
      <x:c r="O40" s="1" t="n">
        <x:f>N40*G40</x:f>
        <x:v>2000000</x:v>
      </x:c>
      <x:c r="P40" s="1" t="n">
        <x:f>O40*H40/1024</x:f>
        <x:v>19531.25</x:v>
      </x:c>
      <x:c r="Q40" s="1" t="n">
        <x:f>P40*I40</x:f>
        <x:v>29296.875</x:v>
      </x:c>
      <x:c r="R40" s="1" t="n">
        <x:f>P40*('設定と出典'!$B$34+'設定と出典'!$B$35)/'設定と出典'!$B$7</x:f>
        <x:v>18229.166666666668</x:v>
      </x:c>
      <x:c r="S40" s="1" t="n">
        <x:f>O40*K40</x:f>
        <x:v>4000000</x:v>
      </x:c>
      <x:c r="T40" s="7" t="n">
        <x:f>A40*E40</x:f>
        <x:v>8000000</x:v>
      </x:c>
      <x:c r="U40" s="7" t="n">
        <x:f>A40*'設定と出典'!$B$26</x:f>
        <x:v>50000</x:v>
      </x:c>
      <x:c r="V40" s="7" t="n">
        <x:f>M40*'設定と出典'!$B$27</x:f>
        <x:v>100000</x:v>
      </x:c>
      <x:c r="W40" s="7" t="n">
        <x:f>(N40*'設定と出典'!$B$36+S40)*('設定と出典'!$B$43*'設定と出典'!$B$8+'設定と出典'!$B$44*'設定と出典'!$B$9)*'設定と出典'!$B$12*'設定と出典'!$B$6</x:f>
        <x:v>17560.65361335596</x:v>
      </x:c>
      <x:c r="X40" s="7" t="n">
        <x:f>N40*I40*'設定と出典'!$B$37*('設定と出典'!$B$45*'設定と出典'!$B$8+'設定と出典'!$B$46*'設定と出典'!$B$9)*'設定と出典'!$B$12*'設定と出典'!$B$6</x:f>
        <x:v>1225.1618800015785</x:v>
      </x:c>
      <x:c r="Y40" s="7" t="n">
        <x:f>MAX(0,S40*('設定と出典'!$B$13*'設定と出典'!$B$8+'設定と出典'!$B$14*'設定と出典'!$B$9)-MIN(S40,'設定と出典'!$B$7*86400*'設定と出典'!$B$15)*('設定と出典'!$B$13*'設定と出典'!$B$10+'設定と出典'!$B$14*'設定と出典'!$B$11))*'設定と出典'!$B$12*'設定と出典'!$B$6</x:f>
        <x:v>15578.13412160225</x:v>
      </x:c>
      <x:c r="Z40" s="7" t="n">
        <x:f>O40*('設定と出典'!$B$41*'設定と出典'!$B$18+('設定と出典'!$B$42+I40)*'設定と出典'!$B$19)/1000*'設定と出典'!$B$6</x:f>
        <x:v>1920</x:v>
      </x:c>
      <x:c r="AA40" s="7" t="n">
        <x:f>N40*(1+J40)*'設定と出典'!$B$21</x:f>
        <x:v>280000</x:v>
      </x:c>
      <x:c r="AB40" s="7" t="n">
        <x:f>N40*'設定と出典'!$B$40/1048576*'設定と出典'!$B$20*'設定と出典'!$B$6+N40*'設定と出典'!$B$39/1000000*'設定と出典'!$B$38*'設定と出典'!$B$6</x:f>
        <x:v>1338.306884765625</x:v>
      </x:c>
      <x:c r="AC40" s="7" t="n">
        <x:f>R40*'設定と出典'!$B$16*'設定と出典'!$B$6</x:f>
        <x:v>68359.37500000001</x:v>
      </x:c>
      <x:c r="AD40" s="7" t="n">
        <x:f>Q40*'設定と出典'!$B$17*'設定と出典'!$B$6</x:f>
        <x:v>527343.75</x:v>
      </x:c>
      <x:c r="AE40" s="7" t="n">
        <x:f>'設定と出典'!B63</x:f>
        <x:v>13628.969418426243</x:v>
      </x:c>
      <x:c r="AF40" s="7" t="n">
        <x:f>SUM(U40:AE40)</x:f>
        <x:v>1076954.3509181517</x:v>
      </x:c>
      <x:c r="AG40" s="7" t="n">
        <x:f>T40*'設定と出典'!$B$28</x:f>
        <x:v>288000</x:v>
      </x:c>
      <x:c r="AH40" s="7" t="n">
        <x:f>(A40*L40+M40*'設定と出典'!$B$31)/60*'設定と出典'!$B$29</x:f>
        <x:v>866666.6666666666</x:v>
      </x:c>
      <x:c r="AI40" s="7" t="n">
        <x:f>'設定と出典'!$B$30*'設定と出典'!$B$29</x:f>
        <x:v>8000</x:v>
      </x:c>
      <x:c r="AJ40" s="7" t="n">
        <x:f>T40-SUM(AF40:AI40)</x:f>
        <x:v>5760378.982415182</x:v>
      </x:c>
      <x:c r="AK40" s="7" t="n">
        <x:f>AJ40-T40*'設定と出典'!$B$32</x:f>
        <x:v>1760378.9824151816</x:v>
      </x:c>
      <x:c r="AL40" s="7" t="n">
        <x:f>AJ40-A40*MIN(E40,AV40)*'設定と出典'!$B$32</x:f>
        <x:v>5260378.982415182</x:v>
      </x:c>
      <x:c r="AM40" s="8" t="n">
        <x:f>AJ40/T40</x:f>
        <x:v>0.7200473728018977</x:v>
      </x:c>
      <x:c r="AN40" s="8" t="n">
        <x:f>AK40/T40</x:f>
        <x:v>0.2200473728018977</x:v>
      </x:c>
      <x:c r="AO40" s="8" t="n">
        <x:f>AJ40/T40</x:f>
        <x:v>0.7200473728018977</x:v>
      </x:c>
      <x:c r="AP40" s="8" t="n">
        <x:f>AO40-'設定と出典'!$B$33</x:f>
        <x:v>0.5200473728018977</x:v>
      </x:c>
      <x:c r="AQ40" s="9" t="n">
        <x:f>SUM(W40:AD40)/N40</x:f>
        <x:v>0.9133253814997254</x:v>
      </x:c>
      <x:c r="AR40" s="9" t="n">
        <x:f>MAX(0,(E40*(1-'設定と出典'!$B$28-'設定と出典'!$B$32)-(U40+V40+AH40+AI40+AE40)/A40)/AQ40)</x:f>
        <x:v>2927.4390245506506</x:v>
      </x:c>
      <x:c r="AS40" s="9" t="n">
        <x:f>MAX(0,(E40*(1-'設定と出典'!$B$28 )-(U40+V40+AH40+AI40+AE40)/A40)/AQ40)</x:f>
        <x:v>7307.039198841003</x:v>
      </x:c>
      <x:c r="AT40" s="9" t="n">
        <x:f>MAX(0,(E40*(1-'設定と出典'!$B$28)-MIN(E40,AV40)*'設定と出典'!$B$32-(U40+V40+AH40+AI40+AE40)/A40)/AQ40)</x:f>
        <x:v>6759.589177054709</x:v>
      </x:c>
      <x:c r="AU40" s="9" t="n">
        <x:f>IF((T40*(1-'設定と出典'!$B$28-'設定と出典'!$B$32)-(AF40-AE40)-AH40)&lt;=0,"成立せず",(AE40+AI40)/((T40*(1-'設定と出典'!$B$28-'設定と出典'!$B$32)-(AF40-AE40)-AH40)/A40))</x:f>
        <x:v>12.13741464855473</x:v>
      </x:c>
      <x:c r="AV40" s="9" t="n">
        <x:f>'設定と出典'!D53</x:f>
        <x:v>1000</x:v>
      </x:c>
      <x:c r="AW40" s="9" t="n">
        <x:f>IF(1-'設定と出典'!$B$28-'設定と出典'!$B$32-'設定と出典'!$B$33&lt;=0,0,MAX(0,MIN(E40,(AK40/A40-E40*'設定と出典'!$B$33)/(1-'設定と出典'!$B$28-'設定と出典'!$B$32-'設定と出典'!$B$33))))</x:f>
        <x:v>607.4961455120514</x:v>
      </x:c>
      <x:c r="AX40" s="1"/>
      <x:c r="AY40" s="1"/>
      <x:c r="AZ40" s="1"/>
      <x:c r="BA40" s="1"/>
    </x:row>
    <x:row r="41" ht="22" customHeight="1">
      <x:c r="A41" s="1" t="n">
        <x:v>1000</x:v>
      </x:c>
      <x:c r="B41" s="1" t="str">
        <x:f>'設定と出典'!A53</x:f>
        <x:v>Business Plus</x:v>
      </x:c>
      <x:c r="C41" s="1" t="str">
        <x:f>'設定と出典'!A59</x:f>
        <x:v>高位</x:v>
      </x:c>
      <x:c r="D41" s="1" t="n">
        <x:f>'設定と出典'!B53</x:f>
        <x:v>50</x:v>
      </x:c>
      <x:c r="E41" s="1" t="n">
        <x:f>'設定と出典'!C53</x:f>
        <x:v>8000</x:v>
      </x:c>
      <x:c r="F41" s="1" t="n">
        <x:f>'設定と出典'!B59</x:f>
        <x:v>80</x:v>
      </x:c>
      <x:c r="G41" s="1" t="n">
        <x:f>'設定と出典'!C59</x:f>
        <x:v>3</x:v>
      </x:c>
      <x:c r="H41" s="1" t="n">
        <x:f>'設定と出典'!D59</x:f>
        <x:v>50</x:v>
      </x:c>
      <x:c r="I41" s="1" t="n">
        <x:f>'設定と出典'!E59</x:f>
        <x:v>2</x:v>
      </x:c>
      <x:c r="J41" s="1" t="n">
        <x:f>'設定と出典'!F59</x:f>
        <x:v>2.5</x:v>
      </x:c>
      <x:c r="K41" s="1" t="n">
        <x:f>'設定と出典'!G59</x:f>
        <x:v>5</x:v>
      </x:c>
      <x:c r="L41" s="1" t="n">
        <x:f>'設定と出典'!H59</x:f>
        <x:v>20</x:v>
      </x:c>
      <x:c r="M41" s="1" t="n">
        <x:f>A41*D41</x:f>
        <x:v>50000</x:v>
      </x:c>
      <x:c r="N41" s="1" t="n">
        <x:f>M41*F41</x:f>
        <x:v>4000000</x:v>
      </x:c>
      <x:c r="O41" s="1" t="n">
        <x:f>N41*G41</x:f>
        <x:v>12000000</x:v>
      </x:c>
      <x:c r="P41" s="1" t="n">
        <x:f>O41*H41/1024</x:f>
        <x:v>585937.5</x:v>
      </x:c>
      <x:c r="Q41" s="1" t="n">
        <x:f>P41*I41</x:f>
        <x:v>1171875</x:v>
      </x:c>
      <x:c r="R41" s="1" t="n">
        <x:f>P41*('設定と出典'!$B$34+'設定と出典'!$B$35)/'設定と出典'!$B$7</x:f>
        <x:v>546875</x:v>
      </x:c>
      <x:c r="S41" s="1" t="n">
        <x:f>O41*K41</x:f>
        <x:v>60000000</x:v>
      </x:c>
      <x:c r="T41" s="7" t="n">
        <x:f>A41*E41</x:f>
        <x:v>8000000</x:v>
      </x:c>
      <x:c r="U41" s="7" t="n">
        <x:f>A41*'設定と出典'!$B$26</x:f>
        <x:v>50000</x:v>
      </x:c>
      <x:c r="V41" s="7" t="n">
        <x:f>M41*'設定と出典'!$B$27</x:f>
        <x:v>100000</x:v>
      </x:c>
      <x:c r="W41" s="7" t="n">
        <x:f>(N41*'設定と出典'!$B$36+S41)*('設定と出典'!$B$43*'設定と出典'!$B$8+'設定と出典'!$B$44*'設定と出典'!$B$9)*'設定と出典'!$B$12*'設定と出典'!$B$6</x:f>
        <x:v>249933.023520322</x:v>
      </x:c>
      <x:c r="X41" s="7" t="n">
        <x:f>N41*I41*'設定と出典'!$B$37*('設定と出典'!$B$45*'設定と出典'!$B$8+'設定と出典'!$B$46*'設定と出典'!$B$9)*'設定と出典'!$B$12*'設定と出典'!$B$6</x:f>
        <x:v>6534.196693341752</x:v>
      </x:c>
      <x:c r="Y41" s="7" t="n">
        <x:f>MAX(0,S41*('設定と出典'!$B$13*'設定と出典'!$B$8+'設定と出典'!$B$14*'設定と出典'!$B$9)-MIN(S41,'設定と出典'!$B$7*86400*'設定と出典'!$B$15)*('設定と出典'!$B$13*'設定と出典'!$B$10+'設定と出典'!$B$14*'設定と出典'!$B$11))*'設定と出典'!$B$12*'設定と出典'!$B$6</x:f>
        <x:v>277477.5836820011</x:v>
      </x:c>
      <x:c r="Z41" s="7" t="n">
        <x:f>O41*('設定と出典'!$B$41*'設定と出典'!$B$18+('設定と出典'!$B$42+I41)*'設定と出典'!$B$19)/1000*'設定と出典'!$B$6</x:f>
        <x:v>11880</x:v>
      </x:c>
      <x:c r="AA41" s="7" t="n">
        <x:f>N41*(1+J41)*'設定と出典'!$B$21</x:f>
        <x:v>1400000</x:v>
      </x:c>
      <x:c r="AB41" s="7" t="n">
        <x:f>N41*'設定と出典'!$B$40/1048576*'設定と出典'!$B$20*'設定と出典'!$B$6+N41*'設定と出典'!$B$39/1000000*'設定と出典'!$B$38*'設定と出典'!$B$6</x:f>
        <x:v>5353.2275390625</x:v>
      </x:c>
      <x:c r="AC41" s="7" t="n">
        <x:f>R41*'設定と出典'!$B$16*'設定と出典'!$B$6</x:f>
        <x:v>2050781.25</x:v>
      </x:c>
      <x:c r="AD41" s="7" t="n">
        <x:f>Q41*'設定と出典'!$B$17*'設定と出典'!$B$6</x:f>
        <x:v>21093750</x:v>
      </x:c>
      <x:c r="AE41" s="7" t="n">
        <x:f>'設定と出典'!B63</x:f>
        <x:v>13628.969418426243</x:v>
      </x:c>
      <x:c r="AF41" s="7" t="n">
        <x:f>SUM(U41:AE41)</x:f>
        <x:v>25259338.25085315</x:v>
      </x:c>
      <x:c r="AG41" s="7" t="n">
        <x:f>T41*'設定と出典'!$B$28</x:f>
        <x:v>288000</x:v>
      </x:c>
      <x:c r="AH41" s="7" t="n">
        <x:f>(A41*L41+M41*'設定と出典'!$B$31)/60*'設定と出典'!$B$29</x:f>
        <x:v>1666666.6666666667</x:v>
      </x:c>
      <x:c r="AI41" s="7" t="n">
        <x:f>'設定と出典'!$B$30*'設定と出典'!$B$29</x:f>
        <x:v>8000</x:v>
      </x:c>
      <x:c r="AJ41" s="7" t="n">
        <x:f>T41-SUM(AF41:AI41)</x:f>
        <x:v>-19222004.91751982</x:v>
      </x:c>
      <x:c r="AK41" s="7" t="n">
        <x:f>AJ41-T41*'設定と出典'!$B$32</x:f>
        <x:v>-23222004.91751982</x:v>
      </x:c>
      <x:c r="AL41" s="7" t="n">
        <x:f>AJ41-A41*MIN(E41,AV41)*'設定と出典'!$B$32</x:f>
        <x:v>-19722004.91751982</x:v>
      </x:c>
      <x:c r="AM41" s="8" t="n">
        <x:f>AJ41/T41</x:f>
        <x:v>-2.4027506146899773</x:v>
      </x:c>
      <x:c r="AN41" s="8" t="n">
        <x:f>AK41/T41</x:f>
        <x:v>-2.9027506146899773</x:v>
      </x:c>
      <x:c r="AO41" s="8" t="n">
        <x:f>AJ41/T41</x:f>
        <x:v>-2.4027506146899773</x:v>
      </x:c>
      <x:c r="AP41" s="8" t="n">
        <x:f>AO41-'設定と出典'!$B$33</x:f>
        <x:v>-2.6027506146899775</x:v>
      </x:c>
      <x:c r="AQ41" s="9" t="n">
        <x:f>SUM(W41:AD41)/N41</x:f>
        <x:v>6.273927320358681</x:v>
      </x:c>
      <x:c r="AR41" s="9" t="n">
        <x:f>MAX(0,(E41*(1-'設定と出典'!$B$28-'設定と出典'!$B$32)-(U41+V41+AH41+AI41+AE41)/A41)/AQ41)</x:f>
        <x:v>298.64935760967444</x:v>
      </x:c>
      <x:c r="AS41" s="9" t="n">
        <x:f>MAX(0,(E41*(1-'設定と出典'!$B$28 )-(U41+V41+AH41+AI41+AE41)/A41)/AQ41)</x:f>
        <x:v>936.2085443442954</x:v>
      </x:c>
      <x:c r="AT41" s="9" t="n">
        <x:f>MAX(0,(E41*(1-'設定と出典'!$B$28)-MIN(E41,AV41)*'設定と出典'!$B$32-(U41+V41+AH41+AI41+AE41)/A41)/AQ41)</x:f>
        <x:v>856.5136460024678</x:v>
      </x:c>
      <x:c r="AU41" s="9" t="str">
        <x:f>IF((T41*(1-'設定と出典'!$B$28-'設定と出典'!$B$32)-(AF41-AE41)-AH41)&lt;=0,"成立せず",(AE41+AI41)/((T41*(1-'設定と出典'!$B$28-'設定と出典'!$B$32)-(AF41-AE41)-AH41)/A41))</x:f>
        <x:v>成立せず</x:v>
      </x:c>
      <x:c r="AV41" s="9" t="n">
        <x:f>'設定と出典'!D53</x:f>
        <x:v>1000</x:v>
      </x:c>
      <x:c r="AW41" s="9" t="n">
        <x:f>IF(1-'設定と出典'!$B$28-'設定と出典'!$B$32-'設定と出典'!$B$33&lt;=0,0,MAX(0,MIN(E41,(AK41/A41-E41*'設定と出典'!$B$33)/(1-'設定と出典'!$B$28-'設定と出典'!$B$32-'設定と出典'!$B$33))))</x:f>
        <x:v>0</x:v>
      </x:c>
      <x:c r="AX41" s="1"/>
      <x:c r="AY41" s="1"/>
      <x:c r="AZ41" s="1"/>
      <x:c r="BA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</x:row>
  </x:sheetData>
  <x:conditionalFormatting sqref="AJ6:AL41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7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</x:row>
    <x:row r="2" ht="22" customHeight="1">
      <x:c r="A2" s="10" t="str">
        <x:v>実績取得状況 2026-10-18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</x:row>
    <x:row r="3" ht="22" customHeight="1">
      <x:c r="A3" s="1" t="str">
        <x:v>7〜9月は四半期合計のみ取得。月別へ分割しない。10月は請求反映時点不明の途中値。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</x:row>
    <x:row r="5" ht="34" customHeight="1">
      <x:c r="A5" s="4" t="str">
        <x:v>対象</x:v>
      </x:c>
      <x:c r="B5" s="4" t="str">
        <x:v>2026-07</x:v>
      </x:c>
      <x:c r="C5" s="4" t="str">
        <x:v>2026-08</x:v>
      </x:c>
      <x:c r="D5" s="4" t="str">
        <x:v>2026-09</x:v>
      </x:c>
      <x:c r="E5" s="4" t="str">
        <x:v>取得経路・制約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</x:row>
    <x:row r="6" ht="22" customHeight="1">
      <x:c r="A6" s="1" t="str">
        <x:v>Cloud Run upload費用</x:v>
      </x:c>
      <x:c r="B6" s="1" t="str">
        <x:v>未取得</x:v>
      </x:c>
      <x:c r="C6" s="1" t="str">
        <x:v>未取得</x:v>
      </x:c>
      <x:c r="D6" s="1" t="str">
        <x:v>未取得</x:v>
      </x:c>
      <x:c r="E6" s="1" t="str">
        <x:v>共有請求取得済・サービス別帰属未確定。四半期合計は下表。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</x:row>
    <x:row r="7" ht="22" customHeight="1">
      <x:c r="A7" s="1" t="str">
        <x:v>Cloud Run download費用</x:v>
      </x:c>
      <x:c r="B7" s="1" t="str">
        <x:v>未取得</x:v>
      </x:c>
      <x:c r="C7" s="1" t="str">
        <x:v>未取得</x:v>
      </x:c>
      <x:c r="D7" s="1" t="str">
        <x:v>未取得</x:v>
      </x:c>
      <x:c r="E7" s="1" t="str">
        <x:v>共有請求取得済・サービス別帰属未確定。四半期合計は下表。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</x:row>
    <x:row r="8" ht="22" customHeight="1">
      <x:c r="A8" s="1" t="str">
        <x:v>Cloud Run scan費用</x:v>
      </x:c>
      <x:c r="B8" s="1" t="str">
        <x:v>未取得</x:v>
      </x:c>
      <x:c r="C8" s="1" t="str">
        <x:v>未取得</x:v>
      </x:c>
      <x:c r="D8" s="1" t="str">
        <x:v>未取得</x:v>
      </x:c>
      <x:c r="E8" s="1" t="str">
        <x:v>共有請求取得済・サービス別帰属未確定。四半期合計は下表。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</x:row>
    <x:row r="9" ht="22" customHeight="1">
      <x:c r="A9" s="1" t="str">
        <x:v>Cloud Storage保存費</x:v>
      </x:c>
      <x:c r="B9" s="1" t="str">
        <x:v>未取得</x:v>
      </x:c>
      <x:c r="C9" s="1" t="str">
        <x:v>未取得</x:v>
      </x:c>
      <x:c r="D9" s="1" t="str">
        <x:v>未取得</x:v>
      </x:c>
      <x:c r="E9" s="1" t="str">
        <x:v>共有請求取得済・サービス別帰属未確定。四半期合計は下表。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</x:row>
    <x:row r="10" ht="22" customHeight="1">
      <x:c r="A10" s="1" t="str">
        <x:v>Cloud Storage通信費</x:v>
      </x:c>
      <x:c r="B10" s="1" t="str">
        <x:v>未取得</x:v>
      </x:c>
      <x:c r="C10" s="1" t="str">
        <x:v>未取得</x:v>
      </x:c>
      <x:c r="D10" s="1" t="str">
        <x:v>未取得</x:v>
      </x:c>
      <x:c r="E10" s="1" t="str">
        <x:v>共有請求取得済・サービス別帰属未確定。四半期合計は下表。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</x:row>
    <x:row r="11" ht="22" customHeight="1">
      <x:c r="A11" s="1" t="str">
        <x:v>Cloud SQL配賦費</x:v>
      </x:c>
      <x:c r="B11" s="1" t="str">
        <x:v>未取得</x:v>
      </x:c>
      <x:c r="C11" s="1" t="str">
        <x:v>未取得</x:v>
      </x:c>
      <x:c r="D11" s="1" t="str">
        <x:v>未取得</x:v>
      </x:c>
      <x:c r="E11" s="1" t="str">
        <x:v>共有請求取得済・サービス別帰属未確定。四半期合計は下表。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</x:row>
    <x:row r="12" ht="22" customHeight="1">
      <x:c r="A12" s="1" t="str">
        <x:v>LB/IAP配賦費</x:v>
      </x:c>
      <x:c r="B12" s="1" t="str">
        <x:v>未取得</x:v>
      </x:c>
      <x:c r="C12" s="1" t="str">
        <x:v>未取得</x:v>
      </x:c>
      <x:c r="D12" s="1" t="str">
        <x:v>未取得</x:v>
      </x:c>
      <x:c r="E12" s="1" t="str">
        <x:v>共有請求取得済・サービス別帰属未確定。四半期合計は下表。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</x:row>
    <x:row r="13" ht="22" customHeight="1">
      <x:c r="A13" s="1" t="str">
        <x:v>メール費</x:v>
      </x:c>
      <x:c r="B13" s="1" t="str">
        <x:v>未取得</x:v>
      </x:c>
      <x:c r="C13" s="1" t="str">
        <x:v>未取得</x:v>
      </x:c>
      <x:c r="D13" s="1" t="str">
        <x:v>未取得</x:v>
      </x:c>
      <x:c r="E13" s="1" t="str">
        <x:v>メール費は未取得。Google Cloud CSVに外部SMTP料金は含まれない。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</x:row>
    <x:row r="14" ht="22" customHeight="1">
      <x:c r="A14" s="1" t="str">
        <x:v>Logging/Monitoring費</x:v>
      </x:c>
      <x:c r="B14" s="1" t="str">
        <x:v>未取得</x:v>
      </x:c>
      <x:c r="C14" s="1" t="str">
        <x:v>未取得</x:v>
      </x:c>
      <x:c r="D14" s="1" t="str">
        <x:v>未取得</x:v>
      </x:c>
      <x:c r="E14" s="1" t="str">
        <x:v>共有請求取得済・サービス別帰属未確定。四半期合計は下表。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</x:row>
    <x:row r="15" ht="22" customHeight="1">
      <x:c r="A15" s="1" t="str">
        <x:v>Secret/Build/Registry等</x:v>
      </x:c>
      <x:c r="B15" s="1" t="str">
        <x:v>未取得</x:v>
      </x:c>
      <x:c r="C15" s="1" t="str">
        <x:v>未取得</x:v>
      </x:c>
      <x:c r="D15" s="1" t="str">
        <x:v>未取得</x:v>
      </x:c>
      <x:c r="E15" s="1" t="str">
        <x:v>共有請求取得済・サービス別帰属未確定。四半期合計は下表。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</x:row>
    <x:row r="16" ht="22" customHeight="1">
      <x:c r="A16" s="1" t="str">
        <x:v>送信グループ数</x:v>
      </x:c>
      <x:c r="B16" s="1" t="str">
        <x:v>未取得</x:v>
      </x:c>
      <x:c r="C16" s="1" t="str">
        <x:v>未取得</x:v>
      </x:c>
      <x:c r="D16" s="1" t="str">
        <x:v>未取得</x:v>
      </x:c>
      <x:c r="E16" s="1" t="str">
        <x:v>DB匿名集計/メトリクス未取得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</x:row>
    <x:row r="17" ht="22" customHeight="1">
      <x:c r="A17" s="1" t="str">
        <x:v>ファイル数</x:v>
      </x:c>
      <x:c r="B17" s="1" t="str">
        <x:v>未取得</x:v>
      </x:c>
      <x:c r="C17" s="1" t="str">
        <x:v>未取得</x:v>
      </x:c>
      <x:c r="D17" s="1" t="str">
        <x:v>未取得</x:v>
      </x:c>
      <x:c r="E17" s="1" t="str">
        <x:v>DB匿名集計/メトリクス未取得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</x:row>
    <x:row r="18" ht="22" customHeight="1">
      <x:c r="A18" s="1" t="str">
        <x:v>DL認可件数</x:v>
      </x:c>
      <x:c r="B18" s="1" t="str">
        <x:v>未取得</x:v>
      </x:c>
      <x:c r="C18" s="1" t="str">
        <x:v>未取得</x:v>
      </x:c>
      <x:c r="D18" s="1" t="str">
        <x:v>未取得</x:v>
      </x:c>
      <x:c r="E18" s="1" t="str">
        <x:v>DB匿名集計/メトリクス未取得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</x:row>
    <x:row r="19" ht="22" customHeight="1">
      <x:c r="A19" s="1" t="str">
        <x:v>実DL総容量</x:v>
      </x:c>
      <x:c r="B19" s="1" t="str">
        <x:v>未取得</x:v>
      </x:c>
      <x:c r="C19" s="1" t="str">
        <x:v>未取得</x:v>
      </x:c>
      <x:c r="D19" s="1" t="str">
        <x:v>未取得</x:v>
      </x:c>
      <x:c r="E19" s="1" t="str">
        <x:v>DB匿名集計/メトリクス未取得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</x:row>
    <x:row r="20" ht="22" customHeight="1">
      <x:c r="A20" s="1" t="str">
        <x:v>平均/中央値/p95サイズ</x:v>
      </x:c>
      <x:c r="B20" s="1" t="str">
        <x:v>未取得</x:v>
      </x:c>
      <x:c r="C20" s="1" t="str">
        <x:v>未取得</x:v>
      </x:c>
      <x:c r="D20" s="1" t="str">
        <x:v>未取得</x:v>
      </x:c>
      <x:c r="E20" s="1" t="str">
        <x:v>DB匿名集計/メトリクス未取得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</x:row>
    <x:row r="21" ht="22" customHeight="1">
      <x:c r="A21" s="1" t="str">
        <x:v>アップロード総量</x:v>
      </x:c>
      <x:c r="B21" s="1" t="str">
        <x:v>未取得</x:v>
      </x:c>
      <x:c r="C21" s="1" t="str">
        <x:v>未取得</x:v>
      </x:c>
      <x:c r="D21" s="1" t="str">
        <x:v>未取得</x:v>
      </x:c>
      <x:c r="E21" s="1" t="str">
        <x:v>DB匿名集計/メトリクス未取得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</x:row>
    <x:row r="22" ht="22" customHeight="1">
      <x:c r="A22" s="1" t="str">
        <x:v>物理平均保存期間</x:v>
      </x:c>
      <x:c r="B22" s="1" t="str">
        <x:v>未取得</x:v>
      </x:c>
      <x:c r="C22" s="1" t="str">
        <x:v>未取得</x:v>
      </x:c>
      <x:c r="D22" s="1" t="str">
        <x:v>未取得</x:v>
      </x:c>
      <x:c r="E22" s="1" t="str">
        <x:v>DB匿名集計/メトリクス未取得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</x:row>
    <x:row r="23" ht="22" customHeight="1">
      <x:c r="A23" s="1" t="str">
        <x:v>同時UL/DLピーク</x:v>
      </x:c>
      <x:c r="B23" s="1" t="str">
        <x:v>未取得</x:v>
      </x:c>
      <x:c r="C23" s="1" t="str">
        <x:v>未取得</x:v>
      </x:c>
      <x:c r="D23" s="1" t="str">
        <x:v>未取得</x:v>
      </x:c>
      <x:c r="E23" s="1" t="str">
        <x:v>DB匿名集計/メトリクス未取得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</x:row>
    <x:row r="24" ht="22" customHeight="1">
      <x:c r="A24" s="1" t="str">
        <x:v>scan純処理時間</x:v>
      </x:c>
      <x:c r="B24" s="1" t="str">
        <x:v>未取得</x:v>
      </x:c>
      <x:c r="C24" s="1" t="str">
        <x:v>未取得</x:v>
      </x:c>
      <x:c r="D24" s="1" t="str">
        <x:v>未取得</x:v>
      </x:c>
      <x:c r="E24" s="1" t="str">
        <x:v>DB匿名集計/メトリクス未取得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</x:row>
    <x:row r="25" ht="22" customHeight="1">
      <x:c r="A25" s="1" t="str">
        <x:v>OTP送信成功数</x:v>
      </x:c>
      <x:c r="B25" s="1" t="str">
        <x:v>未取得</x:v>
      </x:c>
      <x:c r="C25" s="1" t="str">
        <x:v>未取得</x:v>
      </x:c>
      <x:c r="D25" s="1" t="str">
        <x:v>未取得</x:v>
      </x:c>
      <x:c r="E25" s="1" t="str">
        <x:v>DB匿名集計/メトリクス未取得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</x:row>
    <x:row r="28" ht="22" customHeight="1">
      <x:c r="A28" s="1" t="str">
        <x:v>Monitoring取得済: upload/download/scan、GCS、共有SQL。業務SQL集計は未取得。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</x:row>
    <x:row r="31" ht="30" customHeight="1">
      <x:c r="A31" s="12" t="str">
        <x:v>共有請求・円</x:v>
      </x:c>
      <x:c r="B31" s="12" t="str">
        <x:v>7〜9月削減前</x:v>
      </x:c>
      <x:c r="C31" s="12" t="str">
        <x:v>7〜9月削減後</x:v>
      </x:c>
      <x:c r="D31" s="12" t="str">
        <x:v>10月途中削減後</x:v>
      </x:c>
      <x:c r="E31" s="12" t="str">
        <x:v>区分・出典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</x:row>
    <x:row r="32" ht="36" customHeight="1">
      <x:c r="A32" s="1" t="str">
        <x:v>Compute Engine</x:v>
      </x:c>
      <x:c r="B32" s="13" t="n">
        <x:v>50602</x:v>
      </x:c>
      <x:c r="C32" s="13" t="n">
        <x:v>24432.66044800001</x:v>
      </x:c>
      <x:c r="D32" s="13" t="n">
        <x:v>12688.418686</x:v>
      </x:c>
      <x:c r="E32" s="14" t="str">
        <x:v>共有実績・Secure Send配賦前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</x:row>
    <x:row r="33" ht="36" customHeight="1">
      <x:c r="A33" s="1" t="str">
        <x:v>Cloud Monitoring</x:v>
      </x:c>
      <x:c r="B33" s="13" t="n">
        <x:v>8125</x:v>
      </x:c>
      <x:c r="C33" s="13" t="n">
        <x:v>5080.545401</x:v>
      </x:c>
      <x:c r="D33" s="13" t="str">
        <x:v>未掲載</x:v>
      </x:c>
      <x:c r="E33" s="14" t="str">
        <x:v>共有実績・Secure Send配賦前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</x:row>
    <x:row r="34" ht="36" customHeight="1">
      <x:c r="A34" s="1" t="str">
        <x:v>Networking</x:v>
      </x:c>
      <x:c r="B34" s="13" t="n">
        <x:v>18041</x:v>
      </x:c>
      <x:c r="C34" s="13" t="n">
        <x:v>3857.1839500000006</x:v>
      </x:c>
      <x:c r="D34" s="13" t="n">
        <x:v>1521.672566</x:v>
      </x:c>
      <x:c r="E34" s="14" t="str">
        <x:v>共有実績・Secure Send配賦前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</x:row>
    <x:row r="35" ht="36" customHeight="1">
      <x:c r="A35" s="1" t="str">
        <x:v>Cloud Run</x:v>
      </x:c>
      <x:c r="B35" s="13" t="n">
        <x:v>8360</x:v>
      </x:c>
      <x:c r="C35" s="13" t="n">
        <x:v>5388.879989</x:v>
      </x:c>
      <x:c r="D35" s="13" t="n">
        <x:v>1989.350788</x:v>
      </x:c>
      <x:c r="E35" s="14" t="str">
        <x:v>共有実績・Secure Send配賦前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</x:row>
    <x:row r="36" ht="36" customHeight="1">
      <x:c r="A36" s="1" t="str">
        <x:v>Cloud SQL</x:v>
      </x:c>
      <x:c r="B36" s="13" t="n">
        <x:v>6607</x:v>
      </x:c>
      <x:c r="C36" s="13" t="n">
        <x:v>3113.53266</x:v>
      </x:c>
      <x:c r="D36" s="13" t="n">
        <x:v>2082.418572</x:v>
      </x:c>
      <x:c r="E36" s="14" t="str">
        <x:v>共有実績・Secure Send配賦前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</x:row>
    <x:row r="37" ht="36" customHeight="1">
      <x:c r="A37" s="1" t="str">
        <x:v>Secret Manager</x:v>
      </x:c>
      <x:c r="B37" s="13" t="n">
        <x:v>811</x:v>
      </x:c>
      <x:c r="C37" s="13" t="n">
        <x:v>554.297455</x:v>
      </x:c>
      <x:c r="D37" s="13" t="n">
        <x:v>244.160239</x:v>
      </x:c>
      <x:c r="E37" s="14" t="str">
        <x:v>共有実績・Secure Send配賦前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</x:row>
    <x:row r="38" ht="36" customHeight="1">
      <x:c r="A38" s="1" t="str">
        <x:v>Artifact Registry</x:v>
      </x:c>
      <x:c r="B38" s="13" t="n">
        <x:v>494</x:v>
      </x:c>
      <x:c r="C38" s="13" t="n">
        <x:v>385.632419</x:v>
      </x:c>
      <x:c r="D38" s="13" t="n">
        <x:v>221.630676</x:v>
      </x:c>
      <x:c r="E38" s="14" t="str">
        <x:v>共有実績・Secure Send配賦前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</x:row>
    <x:row r="39" ht="36" customHeight="1">
      <x:c r="A39" s="1" t="str">
        <x:v>Cloud Storage</x:v>
      </x:c>
      <x:c r="B39" s="13" t="n">
        <x:v>8</x:v>
      </x:c>
      <x:c r="C39" s="13" t="n">
        <x:v>5.433957</x:v>
      </x:c>
      <x:c r="D39" s="13" t="n">
        <x:v>2.260783</x:v>
      </x:c>
      <x:c r="E39" s="14" t="str">
        <x:v>共有実績・Secure Send配賦前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</x:row>
    <x:row r="40" ht="36" customHeight="1">
      <x:c r="A40" s="1" t="str">
        <x:v>Cloud Build</x:v>
      </x:c>
      <x:c r="B40" s="13" t="n">
        <x:v>0</x:v>
      </x:c>
      <x:c r="C40" s="13" t="n">
        <x:v>0.021338</x:v>
      </x:c>
      <x:c r="D40" s="13" t="n">
        <x:v>11.300221</x:v>
      </x:c>
      <x:c r="E40" s="14" t="str">
        <x:v>共有実績・Secure Send配賦前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</x:row>
    <x:row r="41" ht="36" customHeight="1">
      <x:c r="A41" s="1" t="str">
        <x:v>Cloud Logging</x:v>
      </x:c>
      <x:c r="B41" s="13" t="n">
        <x:v>0</x:v>
      </x:c>
      <x:c r="C41" s="13" t="n">
        <x:v>0</x:v>
      </x:c>
      <x:c r="D41" s="13" t="str">
        <x:v>未掲載</x:v>
      </x:c>
      <x:c r="E41" s="14" t="str">
        <x:v>共有実績・Secure Send配賦前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</x:row>
    <x:row r="42" ht="36" customHeight="1">
      <x:c r="A42" s="1" t="str">
        <x:v>VM Manager</x:v>
      </x:c>
      <x:c r="B42" s="13" t="n">
        <x:v>3073</x:v>
      </x:c>
      <x:c r="C42" s="13" t="n">
        <x:v>0</x:v>
      </x:c>
      <x:c r="D42" s="13" t="n">
        <x:v>0</x:v>
      </x:c>
      <x:c r="E42" s="14" t="str">
        <x:v>共有実績・Secure Send配賦前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</x:row>
    <x:row r="43" ht="36" customHeight="1">
      <x:c r="A43" s="1" t="str">
        <x:v>Cloud DNS</x:v>
      </x:c>
      <x:c r="B43" s="13" t="n">
        <x:v>0</x:v>
      </x:c>
      <x:c r="C43" s="13" t="n">
        <x:v>0</x:v>
      </x:c>
      <x:c r="D43" s="13" t="str">
        <x:v>未掲載</x:v>
      </x:c>
      <x:c r="E43" s="14" t="str">
        <x:v>共有実績・Secure Send配賦前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</x:row>
    <x:row r="44" ht="36" customHeight="1">
      <x:c r="A44" s="1" t="str">
        <x:v>Cloud Scheduler</x:v>
      </x:c>
      <x:c r="B44" s="13" t="n">
        <x:v>0</x:v>
      </x:c>
      <x:c r="C44" s="13" t="n">
        <x:v>0</x:v>
      </x:c>
      <x:c r="D44" s="13" t="str">
        <x:v>未掲載</x:v>
      </x:c>
      <x:c r="E44" s="14" t="str">
        <x:v>共有実績・Secure Send配賦前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</x:row>
    <x:row r="45" ht="36" customHeight="1">
      <x:c r="A45" s="1"/>
      <x:c r="B45" s="13"/>
      <x:c r="C45" s="13"/>
      <x:c r="D45" s="13"/>
      <x:c r="E45" s="14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</x:row>
    <x:row r="46" ht="36" customHeight="1">
      <x:c r="A46" s="1" t="str">
        <x:v>最小CPU＋メモリ</x:v>
      </x:c>
      <x:c r="B46" s="13" t="n">
        <x:v>8187</x:v>
      </x:c>
      <x:c r="C46" s="13" t="n">
        <x:v>5315.570996</x:v>
      </x:c>
      <x:c r="D46" s="13" t="str">
        <x:v>SKUなし</x:v>
      </x:c>
      <x:c r="E46" s="14" t="str">
        <x:v>7〜9月共有Cloud Run。scan全額帰属不可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</x:row>
    <x:row r="47" ht="36" customHeight="1">
      <x:c r="A47" s="1"/>
      <x:c r="B47" s="13"/>
      <x:c r="C47" s="13"/>
      <x:c r="D47" s="13"/>
      <x:c r="E47" s="14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</x:row>
    <x:row r="48" ht="36" customHeight="1">
      <x:c r="A48" s="1" t="str">
        <x:v>scan9月待機推計</x:v>
      </x:c>
      <x:c r="B48" s="13" t="n">
        <x:v>3126.962664939129</x:v>
      </x:c>
      <x:c r="C48" s="13" t="n">
        <x:v>2077.5687592208883</x:v>
      </x:c>
      <x:c r="D48" s="13" t="str">
        <x:v>期間不一致</x:v>
      </x:c>
      <x:c r="E48" s="14" t="str">
        <x:v>実請求ではない。CPU割当でidleを近似・四半期削減率を仮配賦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</x:row>
    <x:row r="49" ht="36" customHeight="1">
      <x:c r="A49" s="1"/>
      <x:c r="B49" s="1"/>
      <x:c r="C49" s="1"/>
      <x:c r="D49" s="1"/>
      <x:c r="E49" s="14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</x:row>
    <x:row r="50" ht="36" customHeight="1">
      <x:c r="A50" s="1" t="str">
        <x:v>出典: 7〜9月 SKU CSV</x:v>
      </x:c>
      <x:c r="B50" s="1" t="str">
        <x:v>libfile_ceae161333f88191b3ec86f70899a900</x:v>
      </x:c>
      <x:c r="C50" s="1"/>
      <x:c r="D50" s="1"/>
      <x:c r="E50" s="14" t="str">
        <x:v>添付(1)版と内容一致確認。月別・リソース名・プロジェクト列なし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</x:row>
    <x:row r="51" ht="36" customHeight="1">
      <x:c r="A51" s="1" t="str">
        <x:v>出典: 10月 service CSV</x:v>
      </x:c>
      <x:c r="B51" s="1" t="str">
        <x:v>libfile_0178b7b688d081919ef3d8ea32579b4b</x:v>
      </x:c>
      <x:c r="C51" s="1"/>
      <x:c r="D51" s="1"/>
      <x:c r="E51" s="14" t="str">
        <x:v>10月途中、SKUなし。Monitoringと同一終了時刻とは限らない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</x:row>
    <x:row r="52" ht="36" customHeight="1">
      <x:c r="A52" s="1" t="str">
        <x:v>共有小計</x:v>
      </x:c>
      <x:c r="B52" s="1"/>
      <x:c r="C52" s="1" t="n">
        <x:v>42818.187617</x:v>
      </x:c>
      <x:c r="D52" s="1" t="n">
        <x:v>18761.212531</x:v>
      </x:c>
      <x:c r="E52" s="14" t="str">
        <x:v>Q3合計行との差0.106628円は未解明。円丸め後は一致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</x:cols>
  <x:sheetData>
    <x:row r="1" ht="23" customHeight="1">
      <x:c r="A1" s="1" t="str">
        <x:v>損益分岐点・段階増強の設定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3" customHeight="1">
      <x:c r="A2" s="1" t="str">
        <x:v>実測は共有請求・構成のみ。利用量、増強境界、性能、サポート、成長速度は仮定。価格・配分は未決定。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6" customHeight="1">
      <x:c r="A4" s="17" t="str">
        <x:v>プラン</x:v>
      </x:c>
      <x:c r="B4" s="17" t="str">
        <x:v>価格/社月</x:v>
      </x:c>
      <x:c r="C4" s="17" t="str">
        <x:v>人数</x:v>
      </x:c>
      <x:c r="D4" s="17" t="str">
        <x:v>混在比率</x:v>
      </x:c>
      <x:c r="E4" s="17" t="str">
        <x:v>区分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23" customHeight="1">
      <x:c r="A5" s="1" t="str">
        <x:v>Starter</x:v>
      </x:c>
      <x:c r="B5" s="19" t="n">
        <x:f>'設定と出典'!C51</x:f>
        <x:v>3000</x:v>
      </x:c>
      <x:c r="C5" s="1" t="n">
        <x:f>'設定と出典'!B51</x:f>
        <x:v>5</x:v>
      </x:c>
      <x:c r="D5" s="20" t="n">
        <x:v>0.5</x:v>
      </x:c>
      <x:c r="E5" s="1" t="str">
        <x:v>価格・混在は比較仮定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23" customHeight="1">
      <x:c r="A6" s="1" t="str">
        <x:v>Business</x:v>
      </x:c>
      <x:c r="B6" s="19" t="n">
        <x:f>'設定と出典'!C52</x:f>
        <x:v>5000</x:v>
      </x:c>
      <x:c r="C6" s="1" t="n">
        <x:f>'設定と出典'!B52</x:f>
        <x:v>20</x:v>
      </x:c>
      <x:c r="D6" s="20" t="n">
        <x:v>0.3</x:v>
      </x:c>
      <x:c r="E6" s="1" t="str">
        <x:v>価格・混在は比較仮定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23" customHeight="1">
      <x:c r="A7" s="1" t="str">
        <x:v>Business Plus</x:v>
      </x:c>
      <x:c r="B7" s="19" t="n">
        <x:f>'設定と出典'!C53</x:f>
        <x:v>8000</x:v>
      </x:c>
      <x:c r="C7" s="1" t="n">
        <x:f>'設定と出典'!B53</x:f>
        <x:v>50</x:v>
      </x:c>
      <x:c r="D7" s="20" t="n">
        <x:v>0.2</x:v>
      </x:c>
      <x:c r="E7" s="1" t="str">
        <x:v>価格・混在は比較仮定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23" customHeight="1">
      <x:c r="A10" s="1" t="str">
        <x:v>決済率</x:v>
      </x:c>
      <x:c r="B10" s="18" t="n">
        <x:v>0.036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23" customHeight="1">
      <x:c r="A11" s="1" t="str">
        <x:v>固定運用時給</x:v>
      </x:c>
      <x:c r="B11" s="18" t="n">
        <x:v>4000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23" customHeight="1">
      <x:c r="A12" s="1" t="str">
        <x:v>Run固定運用h</x:v>
      </x:c>
      <x:c r="B12" s="18" t="n">
        <x:v>2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23" customHeight="1">
      <x:c r="A13" s="1" t="str">
        <x:v>Hybrid基本運用h</x:v>
      </x:c>
      <x:c r="B13" s="18" t="n">
        <x:v>4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23" customHeight="1">
      <x:c r="A14" s="1" t="str">
        <x:v>Hybrid追加worker運用h</x:v>
      </x:c>
      <x:c r="B14" s="18" t="n">
        <x:v>0.5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23" customHeight="1">
      <x:c r="A15" s="1" t="str">
        <x:v>VM月額計算資源</x:v>
      </x:c>
      <x:c r="B15" s="18" t="n">
        <x:v>9989.796690305318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23" customHeight="1">
      <x:c r="A16" s="1" t="str">
        <x:v>VMディスク/台月</x:v>
      </x:c>
      <x:c r="B16" s="18" t="n">
        <x:v>450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23" customHeight="1">
      <x:c r="A17" s="1" t="str">
        <x:v>VM群ネットワーク/月</x:v>
      </x:c>
      <x:c r="B17" s="18" t="n">
        <x:v>3000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23" customHeight="1">
      <x:c r="A18" s="1" t="str">
        <x:v>メール固定/月</x:v>
      </x:c>
      <x:c r="B18" s="18" t="n">
        <x:v>2000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23" customHeight="1">
      <x:c r="A19" s="1" t="str">
        <x:v>その他固定/月</x:v>
      </x:c>
      <x:c r="B19" s="18" t="n">
        <x:v>1500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23" customHeight="1">
      <x:c r="A20" s="1" t="str">
        <x:v>定義配信予算/月</x:v>
      </x:c>
      <x:c r="B20" s="18" t="n">
        <x:v>500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23" customHeight="1">
      <x:c r="A21" s="1" t="str">
        <x:v>VM自営DB追加保存/月</x:v>
      </x:c>
      <x:c r="B21" s="18" t="n">
        <x:v>2000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23" customHeight="1">
      <x:c r="A22" s="1" t="str">
        <x:v>warm scan時間係数</x:v>
      </x:c>
      <x:c r="B22" s="18" t="n">
        <x:v>0.3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23" customHeight="1">
      <x:c r="A23" s="1" t="str">
        <x:v>VM scan slots/台</x:v>
      </x:c>
      <x:c r="B23" s="18" t="n">
        <x:v>2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23" customHeight="1">
      <x:c r="A24" s="1" t="str">
        <x:v>業務時間/月</x:v>
      </x:c>
      <x:c r="B24" s="18" t="n">
        <x:v>176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23" customHeight="1">
      <x:c r="A25" s="1" t="str">
        <x:v>目標scan稼働率</x:v>
      </x:c>
      <x:c r="B25" s="18" t="n">
        <x:v>0.4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23" customHeight="1">
      <x:c r="A26" s="1" t="str">
        <x:v>worker起動秒</x:v>
      </x:c>
      <x:c r="B26" s="18" t="n">
        <x:v>20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23" customHeight="1">
      <x:c r="A27" s="1" t="str">
        <x:v>最低起動回数/月</x:v>
      </x:c>
      <x:c r="B27" s="18" t="n">
        <x:v>100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23" customHeight="1">
      <x:c r="A28" s="1" t="str">
        <x:v>ファイル/起動</x:v>
      </x:c>
      <x:c r="B28" s="18" t="n">
        <x:v>1000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23" customHeight="1">
      <x:c r="A29" s="1" t="str">
        <x:v>Run CPU円/秒</x:v>
      </x:c>
      <x:c r="B29" s="18" t="n">
        <x:v>0.0038862386161157524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23" customHeight="1">
      <x:c r="A30" s="1" t="str">
        <x:v>Run memory円/GiB秒</x:v>
      </x:c>
      <x:c r="B30" s="18" t="n">
        <x:v>0.0003952686344456851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23" customHeight="1">
      <x:c r="A31" s="1" t="str">
        <x:v>worker memory GiB</x:v>
      </x:c>
      <x:c r="B31" s="18" t="n">
        <x:v>4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23" customHeight="1">
      <x:c r="A32" s="1" t="str">
        <x:v>キュー円/ファイル Run</x:v>
      </x:c>
      <x:c r="B32" s="18" t="n">
        <x:v>0.00018000000000000004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23" customHeight="1">
      <x:c r="A33" s="1" t="str">
        <x:v>キュー円/ファイル Hybrid</x:v>
      </x:c>
      <x:c r="B33" s="18" t="n">
        <x:v>0.000011175870895385742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 ht="36" customHeight="1">
      <x:c r="A36" s="17" t="str">
        <x:v>段階</x:v>
      </x:c>
      <x:c r="B36" s="17" t="str">
        <x:v>企業数下限</x:v>
      </x:c>
      <x:c r="C36" s="17" t="str">
        <x:v>企業数上限</x:v>
      </x:c>
      <x:c r="D36" s="17" t="str">
        <x:v>専用SQL/月</x:v>
      </x:c>
      <x:c r="E36" s="17" t="str">
        <x:v>LB/月</x:v>
      </x:c>
      <x:c r="F36" s="17" t="str">
        <x:v>VM API台数</x:v>
      </x:c>
      <x:c r="G36" s="17" t="str">
        <x:v>VM DB台数</x:v>
      </x:c>
      <x:c r="H36" s="17" t="str">
        <x:v>VM固定運用h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 ht="23" customHeight="1">
      <x:c r="A37" s="1" t="n">
        <x:v>1</x:v>
      </x:c>
      <x:c r="B37" s="18" t="n">
        <x:v>1</x:v>
      </x:c>
      <x:c r="C37" s="18" t="n">
        <x:v>10</x:v>
      </x:c>
      <x:c r="D37" s="18" t="n">
        <x:v>18000</x:v>
      </x:c>
      <x:c r="E37" s="18" t="n">
        <x:v>0</x:v>
      </x:c>
      <x:c r="F37" s="18" t="n">
        <x:v>1</x:v>
      </x:c>
      <x:c r="G37" s="18" t="n">
        <x:v>1</x:v>
      </x:c>
      <x:c r="H37" s="18" t="n">
        <x:v>8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 ht="23" customHeight="1">
      <x:c r="A38" s="1" t="n">
        <x:v>2</x:v>
      </x:c>
      <x:c r="B38" s="18" t="n">
        <x:v>11</x:v>
      </x:c>
      <x:c r="C38" s="18" t="n">
        <x:v>100</x:v>
      </x:c>
      <x:c r="D38" s="18" t="n">
        <x:v>18000</x:v>
      </x:c>
      <x:c r="E38" s="18" t="n">
        <x:v>4500</x:v>
      </x:c>
      <x:c r="F38" s="18" t="n">
        <x:v>2</x:v>
      </x:c>
      <x:c r="G38" s="18" t="n">
        <x:v>2</x:v>
      </x:c>
      <x:c r="H38" s="18" t="n">
        <x:v>12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 ht="23" customHeight="1">
      <x:c r="A39" s="1" t="n">
        <x:v>3</x:v>
      </x:c>
      <x:c r="B39" s="18" t="n">
        <x:v>101</x:v>
      </x:c>
      <x:c r="C39" s="18" t="n">
        <x:v>500</x:v>
      </x:c>
      <x:c r="D39" s="18" t="n">
        <x:v>40000</x:v>
      </x:c>
      <x:c r="E39" s="18" t="n">
        <x:v>4500</x:v>
      </x:c>
      <x:c r="F39" s="18" t="n">
        <x:v>2</x:v>
      </x:c>
      <x:c r="G39" s="18" t="n">
        <x:v>2</x:v>
      </x:c>
      <x:c r="H39" s="18" t="n">
        <x:v>20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 ht="23" customHeight="1">
      <x:c r="A40" s="1" t="n">
        <x:v>4</x:v>
      </x:c>
      <x:c r="B40" s="18" t="n">
        <x:v>501</x:v>
      </x:c>
      <x:c r="C40" s="18" t="n">
        <x:v>1000</x:v>
      </x:c>
      <x:c r="D40" s="18" t="n">
        <x:v>70000</x:v>
      </x:c>
      <x:c r="E40" s="18" t="n">
        <x:v>4500</x:v>
      </x:c>
      <x:c r="F40" s="18" t="n">
        <x:v>4</x:v>
      </x:c>
      <x:c r="G40" s="18" t="n">
        <x:v>2</x:v>
      </x:c>
      <x:c r="H40" s="18" t="n">
        <x:v>32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 ht="23" customHeight="1">
      <x:c r="A42" s="1" t="str">
        <x:v>段階境界は計画仮定。前評価の10/100/500/1,000社予算を区間化。11/101/501社で増強する想定。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 ht="23" customHeight="1">
      <x:c r="A43" s="1" t="str">
        <x:v>VM worker台数は各段階上限の処理量を収容するよう先行確保。性能実測による増強トリガーではない。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 ht="36" customHeight="1">
      <x:c r="A46" s="17" t="str">
        <x:v>利用</x:v>
      </x:c>
      <x:c r="B46" s="17" t="str">
        <x:v>送信/人月</x:v>
      </x:c>
      <x:c r="C46" s="17" t="str">
        <x:v>file/送信</x:v>
      </x:c>
      <x:c r="D46" s="17" t="str">
        <x:v>MiB/file</x:v>
      </x:c>
      <x:c r="E46" s="17" t="str">
        <x:v>DL倍率</x:v>
      </x:c>
      <x:c r="F46" s="17" t="str">
        <x:v>OTP/送信</x:v>
      </x:c>
      <x:c r="G46" s="17" t="str">
        <x:v>scan秒/file</x:v>
      </x:c>
      <x:c r="H46" s="17" t="str">
        <x:v>サポート分/社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 ht="23" customHeight="1">
      <x:c r="A47" s="1" t="str">
        <x:f>'設定と出典'!A57</x:f>
        <x:v>低位</x:v>
      </x:c>
      <x:c r="B47" s="1" t="n">
        <x:f>'設定と出典'!B57</x:f>
        <x:v>5</x:v>
      </x:c>
      <x:c r="C47" s="1" t="n">
        <x:f>'設定と出典'!C57</x:f>
        <x:v>1</x:v>
      </x:c>
      <x:c r="D47" s="1" t="n">
        <x:f>'設定と出典'!D57</x:f>
        <x:v>2</x:v>
      </x:c>
      <x:c r="E47" s="1" t="n">
        <x:f>'設定と出典'!E57</x:f>
        <x:v>1</x:v>
      </x:c>
      <x:c r="F47" s="1" t="n">
        <x:f>'設定と出典'!F57</x:f>
        <x:v>1.1</x:v>
      </x:c>
      <x:c r="G47" s="1" t="n">
        <x:f>'設定と出典'!G57</x:f>
        <x:v>1</x:v>
      </x:c>
      <x:c r="H47" s="1" t="n">
        <x:f>'設定と出典'!H57</x:f>
        <x:v>3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 ht="23" customHeight="1">
      <x:c r="A48" s="1" t="str">
        <x:f>'設定と出典'!A58</x:f>
        <x:v>標準</x:v>
      </x:c>
      <x:c r="B48" s="1" t="n">
        <x:f>'設定と出典'!B58</x:f>
        <x:v>20</x:v>
      </x:c>
      <x:c r="C48" s="1" t="n">
        <x:f>'設定と出典'!C58</x:f>
        <x:v>2</x:v>
      </x:c>
      <x:c r="D48" s="1" t="n">
        <x:f>'設定と出典'!D58</x:f>
        <x:v>10</x:v>
      </x:c>
      <x:c r="E48" s="1" t="n">
        <x:f>'設定と出典'!E58</x:f>
        <x:v>1.5</x:v>
      </x:c>
      <x:c r="F48" s="1" t="n">
        <x:f>'設定と出典'!F58</x:f>
        <x:v>1.8</x:v>
      </x:c>
      <x:c r="G48" s="1" t="n">
        <x:f>'設定と出典'!G58</x:f>
        <x:v>2</x:v>
      </x:c>
      <x:c r="H48" s="1" t="n">
        <x:f>'設定と出典'!H58</x:f>
        <x:v>8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 ht="23" customHeight="1">
      <x:c r="A49" s="1" t="str">
        <x:f>'設定と出典'!A59</x:f>
        <x:v>高位</x:v>
      </x:c>
      <x:c r="B49" s="1" t="n">
        <x:f>'設定と出典'!B59</x:f>
        <x:v>80</x:v>
      </x:c>
      <x:c r="C49" s="1" t="n">
        <x:f>'設定と出典'!C59</x:f>
        <x:v>3</x:v>
      </x:c>
      <x:c r="D49" s="1" t="n">
        <x:f>'設定と出典'!D59</x:f>
        <x:v>50</x:v>
      </x:c>
      <x:c r="E49" s="1" t="n">
        <x:f>'設定と出典'!E59</x:f>
        <x:v>2</x:v>
      </x:c>
      <x:c r="F49" s="1" t="n">
        <x:f>'設定と出典'!F59</x:f>
        <x:v>2.5</x:v>
      </x:c>
      <x:c r="G49" s="1" t="n">
        <x:f>'設定と出典'!G59</x:f>
        <x:v>5</x:v>
      </x:c>
      <x:c r="H49" s="1" t="n">
        <x:f>'設定と出典'!H59</x:f>
        <x:v>20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 ht="23" customHeight="1">
      <x:c r="A51" s="1" t="str">
        <x:v>標準に高位顧客が混在する比率</x:v>
      </x:c>
      <x:c r="B51" s="18" t="n">
        <x:v>0.2</x:v>
      </x:c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 ht="23" customHeight="1">
      <x:c r="A52" s="1" t="str">
        <x:v>会社数ではなく利用量を平均化する期待値。少数社では比率どおりの実社数にならない。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 ht="36" customHeight="1">
      <x:c r="A55" s="17" t="str">
        <x:v>プラン</x:v>
      </x:c>
      <x:c r="B55" s="17" t="str">
        <x:v>利用</x:v>
      </x:c>
      <x:c r="C55" s="17" t="str">
        <x:v>非計算インフラ/社</x:v>
      </x:c>
      <x:c r="D55" s="17" t="str">
        <x:v>通常API秒/社</x:v>
      </x:c>
      <x:c r="E55" s="17" t="str">
        <x:v>DL API秒/社</x:v>
      </x:c>
      <x:c r="F55" s="17" t="str">
        <x:v>scan秒/社</x:v>
      </x:c>
      <x:c r="G55" s="17" t="str">
        <x:v>file/月社</x:v>
      </x:c>
      <x:c r="H55" s="17" t="str">
        <x:v>サポート/社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 ht="23" customHeight="1">
      <x:c r="A56" s="1" t="str">
        <x:v>Starter</x:v>
      </x:c>
      <x:c r="B56" s="1" t="str">
        <x:v>低位</x:v>
      </x:c>
      <x:c r="C56" s="1" t="n">
        <x:f>$C$5*50*0+50+$C$5*2+($C$5*B47)*(C47*(1*.005+(2+E47)*.0004)/1000*150+(1+F47)*.1+12/1048576*.5*150+8/1e6*.4*150)+($C$5*B47*C47*D47/1024)*(28/30*.025*150+E47*.12*150)</x:f>
        <x:v>66.35651235961915</x:v>
      </x:c>
      <x:c r="D56" s="1" t="n">
        <x:f>$C$5*B47*.3</x:f>
        <x:v>7.5</x:v>
      </x:c>
      <x:c r="E56" s="1" t="n">
        <x:f>$C$5*B47*E47*.2</x:f>
        <x:v>5</x:v>
      </x:c>
      <x:c r="F56" s="1" t="n">
        <x:f>$C$5*B47*C47*G47</x:f>
        <x:v>25</x:v>
      </x:c>
      <x:c r="G56" s="1" t="n">
        <x:f>$C$5*B47*C47</x:f>
        <x:v>25</x:v>
      </x:c>
      <x:c r="H56" s="1" t="n">
        <x:f>(H47+$C$5*.1)/60*B11</x:f>
        <x:v>233.33333333333334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 ht="23" customHeight="1">
      <x:c r="A57" s="1" t="str">
        <x:v>Starter</x:v>
      </x:c>
      <x:c r="B57" s="1" t="str">
        <x:v>標準</x:v>
      </x:c>
      <x:c r="C57" s="1" t="n">
        <x:f>$C$5*50*0+50+$C$5*2+($C$5*B48)*(C48*(1*.005+(2+E48)*.0004)/1000*150+(1+F48)*.1+12/1048576*.5*150+8/1e6*.4*150)+($C$5*B48*C48*D48/1024)*(28/30*.025*150+E48*.12*150)</x:f>
        <x:v>147.89614318847657</x:v>
      </x:c>
      <x:c r="D57" s="1" t="n">
        <x:f>$C$5*B48*.3</x:f>
        <x:v>30</x:v>
      </x:c>
      <x:c r="E57" s="1" t="n">
        <x:f>$C$5*B48*E48*.2</x:f>
        <x:v>30</x:v>
      </x:c>
      <x:c r="F57" s="1" t="n">
        <x:f>$C$5*B48*C48*G48</x:f>
        <x:v>400</x:v>
      </x:c>
      <x:c r="G57" s="1" t="n">
        <x:f>$C$5*B48*C48</x:f>
        <x:v>200</x:v>
      </x:c>
      <x:c r="H57" s="1" t="n">
        <x:f>(H48+$C$5*.1)/60*B11</x:f>
        <x:v>566.6666666666666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 ht="23" customHeight="1">
      <x:c r="A58" s="1" t="str">
        <x:v>Starter</x:v>
      </x:c>
      <x:c r="B58" s="1" t="str">
        <x:v>高位</x:v>
      </x:c>
      <x:c r="C58" s="1" t="n">
        <x:f>$C$5*50*0+50+$C$5*2+($C$5*B49)*(C49*(1*.005+(2+E49)*.0004)/1000*150+(1+F49)*.1+12/1048576*.5*150+8/1e6*.4*150)+($C$5*B49*C49*D49/1024)*(28/30*.025*150+E49*.12*150)</x:f>
        <x:v>2516.1764477539064</x:v>
      </x:c>
      <x:c r="D58" s="1" t="n">
        <x:f>$C$5*B49*.3</x:f>
        <x:v>120</x:v>
      </x:c>
      <x:c r="E58" s="1" t="n">
        <x:f>$C$5*B49*E49*.2</x:f>
        <x:v>160</x:v>
      </x:c>
      <x:c r="F58" s="1" t="n">
        <x:f>$C$5*B49*C49*G49</x:f>
        <x:v>6000</x:v>
      </x:c>
      <x:c r="G58" s="1" t="n">
        <x:f>$C$5*B49*C49</x:f>
        <x:v>1200</x:v>
      </x:c>
      <x:c r="H58" s="1" t="n">
        <x:f>(H49+$C$5*.1)/60*B11</x:f>
        <x:v>1366.6666666666667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 ht="23" customHeight="1">
      <x:c r="A59" s="1" t="str">
        <x:v>Business</x:v>
      </x:c>
      <x:c r="B59" s="1" t="str">
        <x:v>低位</x:v>
      </x:c>
      <x:c r="C59" s="1" t="n">
        <x:f>$C$6*50*0+50+$C$6*2+($C$6*B47)*(C47*(1*.005+(2+E47)*.0004)/1000*150+(1+F47)*.1+12/1048576*.5*150+8/1e6*.4*150)+($C$6*B47*C47*D47/1024)*(28/30*.025*150+E47*.12*150)</x:f>
        <x:v>115.42604943847657</x:v>
      </x:c>
      <x:c r="D59" s="1" t="n">
        <x:f>$C$6*B47*.3</x:f>
        <x:v>30</x:v>
      </x:c>
      <x:c r="E59" s="1" t="n">
        <x:f>$C$6*B47*E47*.2</x:f>
        <x:v>20</x:v>
      </x:c>
      <x:c r="F59" s="1" t="n">
        <x:f>$C$6*B47*C47*G47</x:f>
        <x:v>100</x:v>
      </x:c>
      <x:c r="G59" s="1" t="n">
        <x:f>$C$6*B47*C47</x:f>
        <x:v>100</x:v>
      </x:c>
      <x:c r="H59" s="1" t="n">
        <x:f>(H47+$C$6*.1)/60*B11</x:f>
        <x:v>333.3333333333333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 ht="23" customHeight="1">
      <x:c r="A60" s="1" t="str">
        <x:v>Business</x:v>
      </x:c>
      <x:c r="B60" s="1" t="str">
        <x:v>標準</x:v>
      </x:c>
      <x:c r="C60" s="1" t="n">
        <x:f>$C$6*50*0+50+$C$6*2+($C$6*B48)*(C48*(1*.005+(2+E48)*.0004)/1000*150+(1+F48)*.1+12/1048576*.5*150+8/1e6*.4*150)+($C$6*B48*C48*D48/1024)*(28/30*.025*150+E48*.12*150)</x:f>
        <x:v>441.58457275390623</x:v>
      </x:c>
      <x:c r="D60" s="1" t="n">
        <x:f>$C$6*B48*.3</x:f>
        <x:v>120</x:v>
      </x:c>
      <x:c r="E60" s="1" t="n">
        <x:f>$C$6*B48*E48*.2</x:f>
        <x:v>120</x:v>
      </x:c>
      <x:c r="F60" s="1" t="n">
        <x:f>$C$6*B48*C48*G48</x:f>
        <x:v>1600</x:v>
      </x:c>
      <x:c r="G60" s="1" t="n">
        <x:f>$C$6*B48*C48</x:f>
        <x:v>800</x:v>
      </x:c>
      <x:c r="H60" s="1" t="n">
        <x:f>(H48+$C$6*.1)/60*B11</x:f>
        <x:v>666.6666666666666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 ht="23" customHeight="1">
      <x:c r="A61" s="1" t="str">
        <x:v>Business</x:v>
      </x:c>
      <x:c r="B61" s="1" t="str">
        <x:v>高位</x:v>
      </x:c>
      <x:c r="C61" s="1" t="n">
        <x:f>$C$6*50*0+50+$C$6*2+($C$6*B49)*(C49*(1*.005+(2+E49)*.0004)/1000*150+(1+F49)*.1+12/1048576*.5*150+8/1e6*.4*150)+($C$6*B49*C49*D49/1024)*(28/30*.025*150+E49*.12*150)</x:f>
        <x:v>9914.705791015625</x:v>
      </x:c>
      <x:c r="D61" s="1" t="n">
        <x:f>$C$6*B49*.3</x:f>
        <x:v>480</x:v>
      </x:c>
      <x:c r="E61" s="1" t="n">
        <x:f>$C$6*B49*E49*.2</x:f>
        <x:v>640</x:v>
      </x:c>
      <x:c r="F61" s="1" t="n">
        <x:f>$C$6*B49*C49*G49</x:f>
        <x:v>24000</x:v>
      </x:c>
      <x:c r="G61" s="1" t="n">
        <x:f>$C$6*B49*C49</x:f>
        <x:v>4800</x:v>
      </x:c>
      <x:c r="H61" s="1" t="n">
        <x:f>(H49+$C$6*.1)/60*B11</x:f>
        <x:v>1466.6666666666665</x:v>
      </x:c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 ht="23" customHeight="1">
      <x:c r="A62" s="1" t="str">
        <x:v>Business Plus</x:v>
      </x:c>
      <x:c r="B62" s="1" t="str">
        <x:v>低位</x:v>
      </x:c>
      <x:c r="C62" s="1" t="n">
        <x:f>$C$7*50*0+50+$C$7*2+($C$7*B47)*(C47*(1*.005+(2+E47)*.0004)/1000*150+(1+F47)*.1+12/1048576*.5*150+8/1e6*.4*150)+($C$7*B47*C47*D47/1024)*(28/30*.025*150+E47*.12*150)</x:f>
        <x:v>213.56512359619143</x:v>
      </x:c>
      <x:c r="D62" s="1" t="n">
        <x:f>$C$7*B47*.3</x:f>
        <x:v>75</x:v>
      </x:c>
      <x:c r="E62" s="1" t="n">
        <x:f>$C$7*B47*E47*.2</x:f>
        <x:v>50</x:v>
      </x:c>
      <x:c r="F62" s="1" t="n">
        <x:f>$C$7*B47*C47*G47</x:f>
        <x:v>250</x:v>
      </x:c>
      <x:c r="G62" s="1" t="n">
        <x:f>$C$7*B47*C47</x:f>
        <x:v>250</x:v>
      </x:c>
      <x:c r="H62" s="1" t="n">
        <x:f>(H47+$C$7*.1)/60*B11</x:f>
        <x:v>533.3333333333334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 ht="23" customHeight="1">
      <x:c r="A63" s="1" t="str">
        <x:v>Business Plus</x:v>
      </x:c>
      <x:c r="B63" s="1" t="str">
        <x:v>標準</x:v>
      </x:c>
      <x:c r="C63" s="1" t="n">
        <x:f>$C$7*50*0+50+$C$7*2+($C$7*B48)*(C48*(1*.005+(2+E48)*.0004)/1000*150+(1+F48)*.1+12/1048576*.5*150+8/1e6*.4*150)+($C$7*B48*C48*D48/1024)*(28/30*.025*150+E48*.12*150)</x:f>
        <x:v>1028.9614318847655</x:v>
      </x:c>
      <x:c r="D63" s="1" t="n">
        <x:f>$C$7*B48*.3</x:f>
        <x:v>300</x:v>
      </x:c>
      <x:c r="E63" s="1" t="n">
        <x:f>$C$7*B48*E48*.2</x:f>
        <x:v>300</x:v>
      </x:c>
      <x:c r="F63" s="1" t="n">
        <x:f>$C$7*B48*C48*G48</x:f>
        <x:v>4000</x:v>
      </x:c>
      <x:c r="G63" s="1" t="n">
        <x:f>$C$7*B48*C48</x:f>
        <x:v>2000</x:v>
      </x:c>
      <x:c r="H63" s="1" t="n">
        <x:f>(H48+$C$7*.1)/60*B11</x:f>
        <x:v>866.6666666666667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 ht="23" customHeight="1">
      <x:c r="A64" s="1" t="str">
        <x:v>Business Plus</x:v>
      </x:c>
      <x:c r="B64" s="1" t="str">
        <x:v>高位</x:v>
      </x:c>
      <x:c r="C64" s="1" t="n">
        <x:f>$C$7*50*0+50+$C$7*2+($C$7*B49)*(C49*(1*.005+(2+E49)*.0004)/1000*150+(1+F49)*.1+12/1048576*.5*150+8/1e6*.4*150)+($C$7*B49*C49*D49/1024)*(28/30*.025*150+E49*.12*150)</x:f>
        <x:v>24711.76447753906</x:v>
      </x:c>
      <x:c r="D64" s="1" t="n">
        <x:f>$C$7*B49*.3</x:f>
        <x:v>1200</x:v>
      </x:c>
      <x:c r="E64" s="1" t="n">
        <x:f>$C$7*B49*E49*.2</x:f>
        <x:v>1600</x:v>
      </x:c>
      <x:c r="F64" s="1" t="n">
        <x:f>$C$7*B49*C49*G49</x:f>
        <x:v>60000</x:v>
      </x:c>
      <x:c r="G64" s="1" t="n">
        <x:f>$C$7*B49*C49</x:f>
        <x:v>12000</x:v>
      </x:c>
      <x:c r="H64" s="1" t="n">
        <x:f>(H49+$C$7*.1)/60*B11</x:f>
        <x:v>1666.6666666666667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 ht="23" customHeight="1">
      <x:c r="A67" s="1" t="str">
        <x:v>出典: docs/evidence/20261018-billing/analysis.json。Run/E2は丸め済み正規費用÷使用量の概算。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 ht="23" customHeight="1">
      <x:c r="A68" s="1" t="str">
        <x:v>非計算費は既存モデルの保存21+7日、通信0.12USD/GiB、メール等を継承。共有請求の全額配賦はしない。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 ht="23" customHeight="1">
      <x:c r="A69" s="1" t="str">
        <x:v>Run起動費は最低100回分＋file/1000回分を計上する上限寄り近似。min=0・非同期・4GiBは未実装。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 ht="23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 ht="23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 ht="23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 ht="23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 ht="23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 ht="23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 ht="23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 ht="23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 ht="23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 ht="23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 ht="23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 ht="23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 ht="23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 ht="23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 ht="23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 ht="23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 ht="23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 ht="23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 ht="23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 ht="23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 ht="23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 ht="23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 ht="23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 ht="23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 ht="23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 ht="23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 ht="23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 ht="23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 ht="23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 ht="23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 ht="23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 ht="23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 ht="23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 ht="23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 ht="23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 ht="23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 ht="23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 ht="23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 ht="23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 ht="23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 ht="23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 ht="23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 ht="23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 ht="23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 ht="23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 ht="23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 ht="23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 ht="23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 ht="23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 ht="23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 ht="23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 ht="23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 ht="23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 ht="23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 ht="23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 ht="23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 ht="23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 ht="23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 ht="23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 ht="23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 ht="23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 ht="23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 ht="23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 ht="23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 ht="23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 ht="23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 ht="23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 ht="23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 ht="23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 ht="23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 ht="23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 ht="23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 ht="23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 ht="23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 ht="23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 ht="23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 ht="23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 ht="23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 ht="23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 ht="23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 ht="23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 ht="23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 ht="23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 ht="23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 ht="23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 ht="23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 ht="23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 ht="23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 ht="23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 ht="23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 ht="23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 ht="23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 ht="23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 ht="23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 ht="23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 ht="23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 ht="23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 ht="23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 ht="23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 ht="23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 ht="23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 ht="23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 ht="23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 ht="23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 ht="23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 ht="23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 ht="23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 ht="23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 ht="23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 ht="23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 ht="23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 ht="23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 ht="23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 ht="23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 ht="23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 ht="23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 ht="23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 ht="23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 ht="23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 ht="23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 ht="23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 ht="23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 ht="23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 ht="23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 ht="23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 ht="23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 ht="23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 ht="23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 ht="23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 ht="23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 ht="23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 ht="23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 ht="23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 ht="23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 ht="23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 ht="23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 ht="23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 ht="23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 ht="23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 ht="23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 ht="23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 ht="23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 ht="23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 ht="23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 ht="23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 ht="23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 ht="23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 ht="23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 ht="23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 ht="23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 ht="23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 ht="23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 ht="23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 ht="23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 ht="23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 ht="23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 ht="23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 ht="23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 ht="23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 ht="23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 ht="23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 ht="23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 ht="23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 ht="23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 ht="23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 ht="23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 ht="23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 ht="23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 ht="23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 ht="23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 ht="23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 ht="23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 ht="23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 ht="23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 ht="23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 ht="23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 ht="23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 ht="23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 ht="23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 ht="23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 ht="23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 ht="23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 ht="23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 ht="23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 ht="23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 ht="23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 ht="23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 ht="23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 ht="23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 ht="23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 ht="23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 ht="23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 ht="23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 ht="23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 ht="23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 ht="23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 ht="23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 ht="23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 ht="23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 ht="23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 ht="23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 ht="23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 ht="23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 ht="23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 ht="23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 ht="23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 ht="23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 ht="23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 ht="23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 ht="23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 ht="23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 ht="23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 ht="23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 ht="23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 ht="23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 ht="23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 ht="23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 ht="23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 ht="23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 ht="23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 ht="23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 ht="23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 ht="23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 ht="23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 ht="23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 ht="23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 ht="23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 ht="23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 ht="23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 ht="23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 ht="23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 ht="23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 ht="23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 ht="23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 ht="23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 ht="23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 ht="23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 ht="23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 ht="23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 ht="23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  <x:row r="501" ht="23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</x:row>
    <x:row r="502" ht="23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</x:row>
    <x:row r="503" ht="23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</x:row>
    <x:row r="504" ht="23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</x:row>
    <x:row r="505" ht="23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</x:row>
    <x:row r="506" ht="23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</x:row>
    <x:row r="507" ht="23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</x:row>
    <x:row r="508" ht="23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</x:row>
    <x:row r="509" ht="23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</x:row>
    <x:row r="510" ht="23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</x:row>
    <x:row r="511" ht="23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</x:row>
    <x:row r="512" ht="23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</x:row>
    <x:row r="513" ht="23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</x:row>
    <x:row r="514" ht="23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</x:row>
    <x:row r="515" ht="23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</x:row>
    <x:row r="516" ht="23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</x:row>
    <x:row r="517" ht="23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</x:row>
    <x:row r="518" ht="23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</x:row>
    <x:row r="519" ht="23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</x:row>
    <x:row r="520" ht="23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</x:cols>
  <x:sheetData>
    <x:row r="1" ht="23" customHeight="1">
      <x:c r="A1" s="1" t="str">
        <x:v>損益分岐・利益成長（円/月）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3" customHeight="1">
      <x:c r="A2" s="1" t="str">
        <x:v>初回黒字と増強後も黒字の最小社数を分離。検索範囲1〜1,000社。範囲外を成立不能と断定しない。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6" customHeight="1">
      <x:c r="A4" s="17" t="str">
        <x:v>構成</x:v>
      </x:c>
      <x:c r="B4" s="17" t="str">
        <x:v>プラン構成</x:v>
      </x:c>
      <x:c r="C4" s="17" t="str">
        <x:v>利用</x:v>
      </x:c>
      <x:c r="D4" s="17" t="str">
        <x:v>配分率</x:v>
      </x:c>
      <x:c r="E4" s="17" t="str">
        <x:v>運用含む</x:v>
      </x:c>
      <x:c r="F4" s="17" t="str">
        <x:v>平均単価</x:v>
      </x:c>
      <x:c r="G4" s="17" t="str">
        <x:v>変動インフラ/社</x:v>
      </x:c>
      <x:c r="H4" s="17" t="str">
        <x:v>サポート/社</x:v>
      </x:c>
      <x:c r="I4" s="17" t="str">
        <x:v>限界利益/社</x:v>
      </x:c>
      <x:c r="J4" s="17" t="str">
        <x:v>初回黒字社数</x:v>
      </x:c>
      <x:c r="K4" s="17" t="str">
        <x:v>以降1000社まで黒字</x:v>
      </x:c>
      <x:c r="L4" s="17" t="str">
        <x:v>10社差引</x:v>
      </x:c>
      <x:c r="M4" s="17" t="str">
        <x:v>30社差引</x:v>
      </x:c>
      <x:c r="N4" s="17" t="str">
        <x:v>50社差引</x:v>
      </x:c>
      <x:c r="O4" s="17" t="str">
        <x:v>100社差引</x:v>
      </x:c>
      <x:c r="P4" s="17" t="str">
        <x:v>300社差引</x:v>
      </x:c>
      <x:c r="Q4" s="17" t="str">
        <x:v>1000社差引</x:v>
      </x:c>
      <x:c r="R4" s="17" t="str">
        <x:v>固定1</x:v>
      </x:c>
      <x:c r="S4" s="17" t="str">
        <x:v>固定2</x:v>
      </x:c>
      <x:c r="T4" s="17" t="str">
        <x:v>固定3</x:v>
      </x:c>
      <x:c r="U4" s="17" t="str">
        <x:v>固定4</x:v>
      </x:c>
      <x:c r="V4" s="17" t="str">
        <x:v>段階1候補</x:v>
      </x:c>
      <x:c r="W4" s="17" t="str">
        <x:v>段階2候補</x:v>
      </x:c>
      <x:c r="X4" s="17" t="str">
        <x:v>段階3候補</x:v>
      </x:c>
      <x:c r="Y4" s="17" t="str">
        <x:v>段階4候補</x:v>
      </x:c>
      <x:c r="Z4" s="17" t="str">
        <x:v>段階1最終赤字</x:v>
      </x:c>
      <x:c r="AA4" s="17" t="str">
        <x:v>段階2最終赤字</x:v>
      </x:c>
      <x:c r="AB4" s="17" t="str">
        <x:v>段階3最終赤字</x:v>
      </x:c>
      <x:c r="AC4" s="17" t="str">
        <x:v>段階4最終赤字</x:v>
      </x:c>
      <x:c r="AD4" s="17" t="str">
        <x:v>重みStarter</x:v>
      </x:c>
      <x:c r="AE4" s="17" t="str">
        <x:v>重みBusiness</x:v>
      </x:c>
      <x:c r="AF4" s="17" t="str">
        <x:v>重みPlus</x:v>
      </x:c>
      <x:c r="AG4" s="17" t="str">
        <x:v>非計算/社</x:v>
      </x:c>
      <x:c r="AH4" s="17" t="str">
        <x:v>API秒/社</x:v>
      </x:c>
      <x:c r="AI4" s="17" t="str">
        <x:v>DL秒/社</x:v>
      </x:c>
      <x:c r="AJ4" s="17" t="str">
        <x:v>warm scan秒/社</x:v>
      </x:c>
      <x:c r="AK4" s="17" t="str">
        <x:v>file/社</x:v>
      </x:c>
      <x:c r="AL4" s="17" t="str">
        <x:v>support/社</x:v>
      </x:c>
      <x:c r="AM4" s="17" t="str">
        <x:v>worker1</x:v>
      </x:c>
      <x:c r="AN4" s="17" t="str">
        <x:v>worker2</x:v>
      </x:c>
      <x:c r="AO4" s="17" t="str">
        <x:v>worker3</x:v>
      </x:c>
      <x:c r="AP4" s="17" t="str">
        <x:v>worker4</x:v>
      </x:c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23" customHeight="1">
      <x:c r="A5" s="1" t="str">
        <x:v>Run</x:v>
      </x:c>
      <x:c r="B5" s="1" t="str">
        <x:v>Starter</x:v>
      </x:c>
      <x:c r="C5" s="1" t="str">
        <x:v>低位</x:v>
      </x:c>
      <x:c r="D5" s="21" t="n">
        <x:v>0</x:v>
      </x:c>
      <x:c r="E5" s="1" t="n">
        <x:v>0</x:v>
      </x:c>
      <x:c r="F5" s="7" t="n">
        <x:f>AD5*'損益分岐設定'!$B$5+AE5*'損益分岐設定'!$B$6+AF5*'損益分岐設定'!$B$7</x:f>
        <x:v>3000</x:v>
      </x:c>
      <x:c r="G5" s="7" t="n">
        <x:f>AG5+(AH5+AI5)*('損益分岐設定'!$B$29+0.5*'損益分岐設定'!$B$30)+AK5*'損益分岐設定'!$B$32+(AJ5+AK5/'損益分岐設定'!$B$28*'損益分岐設定'!$B$26)*('損益分岐設定'!$B$29+'損益分岐設定'!$B$31*'損益分岐設定'!$B$30)</x:f>
        <x:v>66.45579927651706</x:v>
      </x:c>
      <x:c r="H5" s="7" t="n">
        <x:f>AL5*E5</x:f>
        <x:v>0</x:v>
      </x:c>
      <x:c r="I5" s="7" t="n">
        <x:f>F5*(1-D5-'損益分岐設定'!$B$10)-G5-H5</x:f>
        <x:v>2825.544200723483</x:v>
      </x:c>
      <x:c r="J5" s="1" t="n">
        <x:f>IF(MIN(V5:Y5)&gt;1000,"範囲内なし",MIN(V5:Y5))</x:f>
        <x:v>8</x:v>
      </x:c>
      <x:c r="K5" s="1" t="n">
        <x:f>IF(MAX(Z5:AC5)&gt;=1000,"範囲内なし",MAX(1,MAX(Z5:AC5)+1))</x:f>
        <x:v>8</x:v>
      </x:c>
      <x:c r="L5" s="7" t="n">
        <x:f>10*I5-R5</x:f>
        <x:v>6244.5073809270325</x:v>
      </x:c>
      <x:c r="M5" s="7" t="n">
        <x:f>30*I5-S5</x:f>
        <x:v>58255.39139539669</x:v>
      </x:c>
      <x:c r="N5" s="7" t="n">
        <x:f>50*I5-S5</x:f>
        <x:v>114766.27540986633</x:v>
      </x:c>
      <x:c r="O5" s="7" t="n">
        <x:f>100*I5-S5</x:f>
        <x:v>256043.48544604046</x:v>
      </x:c>
      <x:c r="P5" s="7" t="n">
        <x:f>300*I5-T5</x:f>
        <x:v>799152.325590737</x:v>
      </x:c>
      <x:c r="Q5" s="7" t="n">
        <x:f>1000*I5-U5</x:f>
        <x:v>2747033.266097175</x:v>
      </x:c>
      <x:c r="R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*'損益分岐設定'!$B$12*'損益分岐設定'!$B$11</x:f>
        <x:v>22010.934626307797</x:v>
      </x:c>
      <x:c r="S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*'損益分岐設定'!$B$12*'損益分岐設定'!$B$11</x:f>
        <x:v>26510.934626307797</x:v>
      </x:c>
      <x:c r="T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*'損益分岐設定'!$B$12*'損益分岐設定'!$B$11</x:f>
        <x:v>48510.9346263078</x:v>
      </x:c>
      <x:c r="U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*'損益分岐設定'!$B$12*'損益分岐設定'!$B$11</x:f>
        <x:v>78510.9346263078</x:v>
      </x:c>
      <x:c r="V5" s="1" t="n">
        <x:f>IF(I5&lt;=0,1001,IF(MAX('損益分岐設定'!B37,ROUNDUP(R5/I5,0))&lt;='損益分岐設定'!C37,MAX('損益分岐設定'!B37,ROUNDUP(R5/I5,0)),1001))</x:f>
        <x:v>8</x:v>
      </x:c>
      <x:c r="W5" s="1" t="n">
        <x:f>IF(I5&lt;=0,1001,IF(MAX('損益分岐設定'!B38,ROUNDUP(S5/I5,0))&lt;='損益分岐設定'!C38,MAX('損益分岐設定'!B38,ROUNDUP(S5/I5,0)),1001))</x:f>
        <x:v>11</x:v>
      </x:c>
      <x:c r="X5" s="1" t="n">
        <x:f>IF(I5&lt;=0,1001,IF(MAX('損益分岐設定'!B39,ROUNDUP(T5/I5,0))&lt;='損益分岐設定'!C39,MAX('損益分岐設定'!B39,ROUNDUP(T5/I5,0)),1001))</x:f>
        <x:v>101</x:v>
      </x:c>
      <x:c r="Y5" s="1" t="n">
        <x:f>IF(I5&lt;=0,1001,IF(MAX('損益分岐設定'!B40,ROUNDUP(U5/I5,0))&lt;='損益分岐設定'!C40,MAX('損益分岐設定'!B40,ROUNDUP(U5/I5,0)),1001))</x:f>
        <x:v>501</x:v>
      </x:c>
      <x:c r="Z5" s="1" t="n">
        <x:f>IF(I5&lt;=0,'損益分岐設定'!C37,IF('損益分岐設定'!C37*I5-R5&lt;0,'損益分岐設定'!C37,IF('損益分岐設定'!B37*I5-R5&gt;=0,0,ROUNDUP(R5/I5,0)-1)))</x:f>
        <x:v>7</x:v>
      </x:c>
      <x:c r="AA5" s="1" t="n">
        <x:f>IF(I5&lt;=0,'損益分岐設定'!C38,IF('損益分岐設定'!C38*I5-S5&lt;0,'損益分岐設定'!C38,IF('損益分岐設定'!B38*I5-S5&gt;=0,0,ROUNDUP(S5/I5,0)-1)))</x:f>
        <x:v>0</x:v>
      </x:c>
      <x:c r="AB5" s="1" t="n">
        <x:f>IF(I5&lt;=0,'損益分岐設定'!C39,IF('損益分岐設定'!C39*I5-T5&lt;0,'損益分岐設定'!C39,IF('損益分岐設定'!B39*I5-T5&gt;=0,0,ROUNDUP(T5/I5,0)-1)))</x:f>
        <x:v>0</x:v>
      </x:c>
      <x:c r="AC5" s="1" t="n">
        <x:f>IF(I5&lt;=0,'損益分岐設定'!C40,IF('損益分岐設定'!C40*I5-U5&lt;0,'損益分岐設定'!C40,IF('損益分岐設定'!B40*I5-U5&gt;=0,0,ROUNDUP(U5/I5,0)-1)))</x:f>
        <x:v>0</x:v>
      </x:c>
      <x:c r="AD5" s="1" t="n">
        <x:v>1</x:v>
      </x:c>
      <x:c r="AE5" s="1" t="n">
        <x:v>0</x:v>
      </x:c>
      <x:c r="AF5" s="1" t="n">
        <x:v>0</x:v>
      </x:c>
      <x:c r="AG5" s="1" t="n">
        <x:f>AD5*'損益分岐設定'!$C$56+AE5*'損益分岐設定'!$C$59+AF5*'損益分岐設定'!$C$62</x:f>
        <x:v>66.35651235961915</x:v>
      </x:c>
      <x:c r="AH5" s="1" t="n">
        <x:f>AD5*'損益分岐設定'!$D$56+AE5*'損益分岐設定'!$D$59+AF5*'損益分岐設定'!$D$62</x:f>
        <x:v>7.5</x:v>
      </x:c>
      <x:c r="AI5" s="1" t="n">
        <x:f>AD5*'損益分岐設定'!$E$56+AE5*'損益分岐設定'!$E$59+AF5*'損益分岐設定'!$E$62</x:f>
        <x:v>5</x:v>
      </x:c>
      <x:c r="AJ5" s="1" t="n">
        <x:f>(AD5*'損益分岐設定'!$F$56+AE5*'損益分岐設定'!$F$59+AF5*'損益分岐設定'!$F$62*1)*'損益分岐設定'!$B$22</x:f>
        <x:v>7.5</x:v>
      </x:c>
      <x:c r="AK5" s="1" t="n">
        <x:f>AD5*'損益分岐設定'!$G$56+AE5*'損益分岐設定'!$G$59+AF5*'損益分岐設定'!$G$62</x:f>
        <x:v>25</x:v>
      </x:c>
      <x:c r="AL5" s="1" t="n">
        <x:f>AD5*'損益分岐設定'!$H$56+AE5*'損益分岐設定'!$H$59+AF5*'損益分岐設定'!$H$62</x:f>
        <x:v>233.33333333333334</x:v>
      </x:c>
      <x:c r="AM5" s="1" t="n">
        <x:f>MAX(1,ROUNDUP('損益分岐設定'!C37*AJ5/('損益分岐設定'!$B$23*'損益分岐設定'!$B$24*3600*'損益分岐設定'!$B$25),0))</x:f>
        <x:v>1</x:v>
      </x:c>
      <x:c r="AN5" s="1" t="n">
        <x:f>MAX(2,ROUNDUP('損益分岐設定'!C38*AJ5/('損益分岐設定'!$B$23*'損益分岐設定'!$B$24*3600*'損益分岐設定'!$B$25),0))</x:f>
        <x:v>2</x:v>
      </x:c>
      <x:c r="AO5" s="1" t="n">
        <x:f>MAX(2,ROUNDUP('損益分岐設定'!C39*AJ5/('損益分岐設定'!$B$23*'損益分岐設定'!$B$24*3600*'損益分岐設定'!$B$25),0))</x:f>
        <x:v>2</x:v>
      </x:c>
      <x:c r="AP5" s="1" t="n">
        <x:f>MAX(2,ROUNDUP('損益分岐設定'!C40*AJ5/('損益分岐設定'!$B$23*'損益分岐設定'!$B$24*3600*'損益分岐設定'!$B$25),0))</x:f>
        <x:v>2</x:v>
      </x:c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23" customHeight="1">
      <x:c r="A6" s="1" t="str">
        <x:v>Run</x:v>
      </x:c>
      <x:c r="B6" s="1" t="str">
        <x:v>Starter</x:v>
      </x:c>
      <x:c r="C6" s="1" t="str">
        <x:v>低位</x:v>
      </x:c>
      <x:c r="D6" s="21" t="n">
        <x:v>0</x:v>
      </x:c>
      <x:c r="E6" s="1" t="n">
        <x:v>1</x:v>
      </x:c>
      <x:c r="F6" s="7" t="n">
        <x:f>AD6*'損益分岐設定'!$B$5+AE6*'損益分岐設定'!$B$6+AF6*'損益分岐設定'!$B$7</x:f>
        <x:v>3000</x:v>
      </x:c>
      <x:c r="G6" s="7" t="n">
        <x:f>AG6+(AH6+AI6)*('損益分岐設定'!$B$29+0.5*'損益分岐設定'!$B$30)+AK6*'損益分岐設定'!$B$32+(AJ6+AK6/'損益分岐設定'!$B$28*'損益分岐設定'!$B$26)*('損益分岐設定'!$B$29+'損益分岐設定'!$B$31*'損益分岐設定'!$B$30)</x:f>
        <x:v>66.45579927651706</x:v>
      </x:c>
      <x:c r="H6" s="7" t="n">
        <x:f>AL6*E6</x:f>
        <x:v>233.33333333333334</x:v>
      </x:c>
      <x:c r="I6" s="7" t="n">
        <x:f>F6*(1-D6-'損益分岐設定'!$B$10)-G6-H6</x:f>
        <x:v>2592.2108673901494</x:v>
      </x:c>
      <x:c r="J6" s="1" t="n">
        <x:f>IF(MIN(V6:Y6)&gt;1000,"範囲内なし",MIN(V6:Y6))</x:f>
        <x:v>14</x:v>
      </x:c>
      <x:c r="K6" s="1" t="n">
        <x:f>IF(MAX(Z6:AC6)&gt;=1000,"範囲内なし",MAX(1,MAX(Z6:AC6)+1))</x:f>
        <x:v>14</x:v>
      </x:c>
      <x:c r="L6" s="7" t="n">
        <x:f>10*I6-R6</x:f>
        <x:v>-4088.8259524063033</x:v>
      </x:c>
      <x:c r="M6" s="7" t="n">
        <x:f>30*I6-S6</x:f>
        <x:v>43255.39139539668</x:v>
      </x:c>
      <x:c r="N6" s="7" t="n">
        <x:f>50*I6-S6</x:f>
        <x:v>95099.60874319967</x:v>
      </x:c>
      <x:c r="O6" s="7" t="n">
        <x:f>100*I6-S6</x:f>
        <x:v>224710.15211270715</x:v>
      </x:c>
      <x:c r="P6" s="7" t="n">
        <x:f>300*I6-T6</x:f>
        <x:v>721152.325590737</x:v>
      </x:c>
      <x:c r="Q6" s="7" t="n">
        <x:f>1000*I6-U6</x:f>
        <x:v>2505699.9327638415</x:v>
      </x:c>
      <x:c r="R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*'損益分岐設定'!$B$12*'損益分岐設定'!$B$11</x:f>
        <x:v>30010.934626307797</x:v>
      </x:c>
      <x:c r="S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*'損益分岐設定'!$B$12*'損益分岐設定'!$B$11</x:f>
        <x:v>34510.9346263078</x:v>
      </x:c>
      <x:c r="T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*'損益分岐設定'!$B$12*'損益分岐設定'!$B$11</x:f>
        <x:v>56510.9346263078</x:v>
      </x:c>
      <x:c r="U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*'損益分岐設定'!$B$12*'損益分岐設定'!$B$11</x:f>
        <x:v>86510.9346263078</x:v>
      </x:c>
      <x:c r="V6" s="1" t="n">
        <x:f>IF(I6&lt;=0,1001,IF(MAX('損益分岐設定'!B37,ROUNDUP(R6/I6,0))&lt;='損益分岐設定'!C37,MAX('損益分岐設定'!B37,ROUNDUP(R6/I6,0)),1001))</x:f>
        <x:v>1001</x:v>
      </x:c>
      <x:c r="W6" s="1" t="n">
        <x:f>IF(I6&lt;=0,1001,IF(MAX('損益分岐設定'!B38,ROUNDUP(S6/I6,0))&lt;='損益分岐設定'!C38,MAX('損益分岐設定'!B38,ROUNDUP(S6/I6,0)),1001))</x:f>
        <x:v>14</x:v>
      </x:c>
      <x:c r="X6" s="1" t="n">
        <x:f>IF(I6&lt;=0,1001,IF(MAX('損益分岐設定'!B39,ROUNDUP(T6/I6,0))&lt;='損益分岐設定'!C39,MAX('損益分岐設定'!B39,ROUNDUP(T6/I6,0)),1001))</x:f>
        <x:v>101</x:v>
      </x:c>
      <x:c r="Y6" s="1" t="n">
        <x:f>IF(I6&lt;=0,1001,IF(MAX('損益分岐設定'!B40,ROUNDUP(U6/I6,0))&lt;='損益分岐設定'!C40,MAX('損益分岐設定'!B40,ROUNDUP(U6/I6,0)),1001))</x:f>
        <x:v>501</x:v>
      </x:c>
      <x:c r="Z6" s="1" t="n">
        <x:f>IF(I6&lt;=0,'損益分岐設定'!C37,IF('損益分岐設定'!C37*I6-R6&lt;0,'損益分岐設定'!C37,IF('損益分岐設定'!B37*I6-R6&gt;=0,0,ROUNDUP(R6/I6,0)-1)))</x:f>
        <x:v>10</x:v>
      </x:c>
      <x:c r="AA6" s="1" t="n">
        <x:f>IF(I6&lt;=0,'損益分岐設定'!C38,IF('損益分岐設定'!C38*I6-S6&lt;0,'損益分岐設定'!C38,IF('損益分岐設定'!B38*I6-S6&gt;=0,0,ROUNDUP(S6/I6,0)-1)))</x:f>
        <x:v>13</x:v>
      </x:c>
      <x:c r="AB6" s="1" t="n">
        <x:f>IF(I6&lt;=0,'損益分岐設定'!C39,IF('損益分岐設定'!C39*I6-T6&lt;0,'損益分岐設定'!C39,IF('損益分岐設定'!B39*I6-T6&gt;=0,0,ROUNDUP(T6/I6,0)-1)))</x:f>
        <x:v>0</x:v>
      </x:c>
      <x:c r="AC6" s="1" t="n">
        <x:f>IF(I6&lt;=0,'損益分岐設定'!C40,IF('損益分岐設定'!C40*I6-U6&lt;0,'損益分岐設定'!C40,IF('損益分岐設定'!B40*I6-U6&gt;=0,0,ROUNDUP(U6/I6,0)-1)))</x:f>
        <x:v>0</x:v>
      </x:c>
      <x:c r="AD6" s="1" t="n">
        <x:v>1</x:v>
      </x:c>
      <x:c r="AE6" s="1" t="n">
        <x:v>0</x:v>
      </x:c>
      <x:c r="AF6" s="1" t="n">
        <x:v>0</x:v>
      </x:c>
      <x:c r="AG6" s="1" t="n">
        <x:f>AD6*'損益分岐設定'!$C$56+AE6*'損益分岐設定'!$C$59+AF6*'損益分岐設定'!$C$62</x:f>
        <x:v>66.35651235961915</x:v>
      </x:c>
      <x:c r="AH6" s="1" t="n">
        <x:f>AD6*'損益分岐設定'!$D$56+AE6*'損益分岐設定'!$D$59+AF6*'損益分岐設定'!$D$62</x:f>
        <x:v>7.5</x:v>
      </x:c>
      <x:c r="AI6" s="1" t="n">
        <x:f>AD6*'損益分岐設定'!$E$56+AE6*'損益分岐設定'!$E$59+AF6*'損益分岐設定'!$E$62</x:f>
        <x:v>5</x:v>
      </x:c>
      <x:c r="AJ6" s="1" t="n">
        <x:f>(AD6*'損益分岐設定'!$F$56+AE6*'損益分岐設定'!$F$59+AF6*'損益分岐設定'!$F$62*1)*'損益分岐設定'!$B$22</x:f>
        <x:v>7.5</x:v>
      </x:c>
      <x:c r="AK6" s="1" t="n">
        <x:f>AD6*'損益分岐設定'!$G$56+AE6*'損益分岐設定'!$G$59+AF6*'損益分岐設定'!$G$62</x:f>
        <x:v>25</x:v>
      </x:c>
      <x:c r="AL6" s="1" t="n">
        <x:f>AD6*'損益分岐設定'!$H$56+AE6*'損益分岐設定'!$H$59+AF6*'損益分岐設定'!$H$62</x:f>
        <x:v>233.33333333333334</x:v>
      </x:c>
      <x:c r="AM6" s="1" t="n">
        <x:f>MAX(1,ROUNDUP('損益分岐設定'!C37*AJ6/('損益分岐設定'!$B$23*'損益分岐設定'!$B$24*3600*'損益分岐設定'!$B$25),0))</x:f>
        <x:v>1</x:v>
      </x:c>
      <x:c r="AN6" s="1" t="n">
        <x:f>MAX(2,ROUNDUP('損益分岐設定'!C38*AJ6/('損益分岐設定'!$B$23*'損益分岐設定'!$B$24*3600*'損益分岐設定'!$B$25),0))</x:f>
        <x:v>2</x:v>
      </x:c>
      <x:c r="AO6" s="1" t="n">
        <x:f>MAX(2,ROUNDUP('損益分岐設定'!C39*AJ6/('損益分岐設定'!$B$23*'損益分岐設定'!$B$24*3600*'損益分岐設定'!$B$25),0))</x:f>
        <x:v>2</x:v>
      </x:c>
      <x:c r="AP6" s="1" t="n">
        <x:f>MAX(2,ROUNDUP('損益分岐設定'!C40*AJ6/('損益分岐設定'!$B$23*'損益分岐設定'!$B$24*3600*'損益分岐設定'!$B$25),0))</x:f>
        <x:v>2</x:v>
      </x:c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23" customHeight="1">
      <x:c r="A7" s="1" t="str">
        <x:v>Run</x:v>
      </x:c>
      <x:c r="B7" s="1" t="str">
        <x:v>Starter</x:v>
      </x:c>
      <x:c r="C7" s="1" t="str">
        <x:v>低位</x:v>
      </x:c>
      <x:c r="D7" s="21" t="n">
        <x:v>0.2</x:v>
      </x:c>
      <x:c r="E7" s="1" t="n">
        <x:v>0</x:v>
      </x:c>
      <x:c r="F7" s="7" t="n">
        <x:f>AD7*'損益分岐設定'!$B$5+AE7*'損益分岐設定'!$B$6+AF7*'損益分岐設定'!$B$7</x:f>
        <x:v>3000</x:v>
      </x:c>
      <x:c r="G7" s="7" t="n">
        <x:f>AG7+(AH7+AI7)*('損益分岐設定'!$B$29+0.5*'損益分岐設定'!$B$30)+AK7*'損益分岐設定'!$B$32+(AJ7+AK7/'損益分岐設定'!$B$28*'損益分岐設定'!$B$26)*('損益分岐設定'!$B$29+'損益分岐設定'!$B$31*'損益分岐設定'!$B$30)</x:f>
        <x:v>66.45579927651706</x:v>
      </x:c>
      <x:c r="H7" s="7" t="n">
        <x:f>AL7*E7</x:f>
        <x:v>0</x:v>
      </x:c>
      <x:c r="I7" s="7" t="n">
        <x:f>F7*(1-D7-'損益分岐設定'!$B$10)-G7-H7</x:f>
        <x:v>2225.544200723483</x:v>
      </x:c>
      <x:c r="J7" s="1" t="n">
        <x:f>IF(MIN(V7:Y7)&gt;1000,"範囲内なし",MIN(V7:Y7))</x:f>
        <x:v>10</x:v>
      </x:c>
      <x:c r="K7" s="1" t="n">
        <x:f>IF(MAX(Z7:AC7)&gt;=1000,"範囲内なし",MAX(1,MAX(Z7:AC7)+1))</x:f>
        <x:v>12</x:v>
      </x:c>
      <x:c r="L7" s="7" t="n">
        <x:f>10*I7-R7</x:f>
        <x:v>244.5073809270325</x:v>
      </x:c>
      <x:c r="M7" s="7" t="n">
        <x:f>30*I7-S7</x:f>
        <x:v>40255.39139539669</x:v>
      </x:c>
      <x:c r="N7" s="7" t="n">
        <x:f>50*I7-S7</x:f>
        <x:v>84766.27540986636</x:v>
      </x:c>
      <x:c r="O7" s="7" t="n">
        <x:f>100*I7-S7</x:f>
        <x:v>196043.4854460405</x:v>
      </x:c>
      <x:c r="P7" s="7" t="n">
        <x:f>300*I7-T7</x:f>
        <x:v>619152.325590737</x:v>
      </x:c>
      <x:c r="Q7" s="7" t="n">
        <x:f>1000*I7-U7</x:f>
        <x:v>2147033.266097175</x:v>
      </x:c>
      <x:c r="R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*'損益分岐設定'!$B$12*'損益分岐設定'!$B$11</x:f>
        <x:v>22010.934626307797</x:v>
      </x:c>
      <x:c r="S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*'損益分岐設定'!$B$12*'損益分岐設定'!$B$11</x:f>
        <x:v>26510.934626307797</x:v>
      </x:c>
      <x:c r="T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*'損益分岐設定'!$B$12*'損益分岐設定'!$B$11</x:f>
        <x:v>48510.9346263078</x:v>
      </x:c>
      <x:c r="U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*'損益分岐設定'!$B$12*'損益分岐設定'!$B$11</x:f>
        <x:v>78510.9346263078</x:v>
      </x:c>
      <x:c r="V7" s="1" t="n">
        <x:f>IF(I7&lt;=0,1001,IF(MAX('損益分岐設定'!B37,ROUNDUP(R7/I7,0))&lt;='損益分岐設定'!C37,MAX('損益分岐設定'!B37,ROUNDUP(R7/I7,0)),1001))</x:f>
        <x:v>10</x:v>
      </x:c>
      <x:c r="W7" s="1" t="n">
        <x:f>IF(I7&lt;=0,1001,IF(MAX('損益分岐設定'!B38,ROUNDUP(S7/I7,0))&lt;='損益分岐設定'!C38,MAX('損益分岐設定'!B38,ROUNDUP(S7/I7,0)),1001))</x:f>
        <x:v>12</x:v>
      </x:c>
      <x:c r="X7" s="1" t="n">
        <x:f>IF(I7&lt;=0,1001,IF(MAX('損益分岐設定'!B39,ROUNDUP(T7/I7,0))&lt;='損益分岐設定'!C39,MAX('損益分岐設定'!B39,ROUNDUP(T7/I7,0)),1001))</x:f>
        <x:v>101</x:v>
      </x:c>
      <x:c r="Y7" s="1" t="n">
        <x:f>IF(I7&lt;=0,1001,IF(MAX('損益分岐設定'!B40,ROUNDUP(U7/I7,0))&lt;='損益分岐設定'!C40,MAX('損益分岐設定'!B40,ROUNDUP(U7/I7,0)),1001))</x:f>
        <x:v>501</x:v>
      </x:c>
      <x:c r="Z7" s="1" t="n">
        <x:f>IF(I7&lt;=0,'損益分岐設定'!C37,IF('損益分岐設定'!C37*I7-R7&lt;0,'損益分岐設定'!C37,IF('損益分岐設定'!B37*I7-R7&gt;=0,0,ROUNDUP(R7/I7,0)-1)))</x:f>
        <x:v>9</x:v>
      </x:c>
      <x:c r="AA7" s="1" t="n">
        <x:f>IF(I7&lt;=0,'損益分岐設定'!C38,IF('損益分岐設定'!C38*I7-S7&lt;0,'損益分岐設定'!C38,IF('損益分岐設定'!B38*I7-S7&gt;=0,0,ROUNDUP(S7/I7,0)-1)))</x:f>
        <x:v>11</x:v>
      </x:c>
      <x:c r="AB7" s="1" t="n">
        <x:f>IF(I7&lt;=0,'損益分岐設定'!C39,IF('損益分岐設定'!C39*I7-T7&lt;0,'損益分岐設定'!C39,IF('損益分岐設定'!B39*I7-T7&gt;=0,0,ROUNDUP(T7/I7,0)-1)))</x:f>
        <x:v>0</x:v>
      </x:c>
      <x:c r="AC7" s="1" t="n">
        <x:f>IF(I7&lt;=0,'損益分岐設定'!C40,IF('損益分岐設定'!C40*I7-U7&lt;0,'損益分岐設定'!C40,IF('損益分岐設定'!B40*I7-U7&gt;=0,0,ROUNDUP(U7/I7,0)-1)))</x:f>
        <x:v>0</x:v>
      </x:c>
      <x:c r="AD7" s="1" t="n">
        <x:v>1</x:v>
      </x:c>
      <x:c r="AE7" s="1" t="n">
        <x:v>0</x:v>
      </x:c>
      <x:c r="AF7" s="1" t="n">
        <x:v>0</x:v>
      </x:c>
      <x:c r="AG7" s="1" t="n">
        <x:f>AD7*'損益分岐設定'!$C$56+AE7*'損益分岐設定'!$C$59+AF7*'損益分岐設定'!$C$62</x:f>
        <x:v>66.35651235961915</x:v>
      </x:c>
      <x:c r="AH7" s="1" t="n">
        <x:f>AD7*'損益分岐設定'!$D$56+AE7*'損益分岐設定'!$D$59+AF7*'損益分岐設定'!$D$62</x:f>
        <x:v>7.5</x:v>
      </x:c>
      <x:c r="AI7" s="1" t="n">
        <x:f>AD7*'損益分岐設定'!$E$56+AE7*'損益分岐設定'!$E$59+AF7*'損益分岐設定'!$E$62</x:f>
        <x:v>5</x:v>
      </x:c>
      <x:c r="AJ7" s="1" t="n">
        <x:f>(AD7*'損益分岐設定'!$F$56+AE7*'損益分岐設定'!$F$59+AF7*'損益分岐設定'!$F$62*1)*'損益分岐設定'!$B$22</x:f>
        <x:v>7.5</x:v>
      </x:c>
      <x:c r="AK7" s="1" t="n">
        <x:f>AD7*'損益分岐設定'!$G$56+AE7*'損益分岐設定'!$G$59+AF7*'損益分岐設定'!$G$62</x:f>
        <x:v>25</x:v>
      </x:c>
      <x:c r="AL7" s="1" t="n">
        <x:f>AD7*'損益分岐設定'!$H$56+AE7*'損益分岐設定'!$H$59+AF7*'損益分岐設定'!$H$62</x:f>
        <x:v>233.33333333333334</x:v>
      </x:c>
      <x:c r="AM7" s="1" t="n">
        <x:f>MAX(1,ROUNDUP('損益分岐設定'!C37*AJ7/('損益分岐設定'!$B$23*'損益分岐設定'!$B$24*3600*'損益分岐設定'!$B$25),0))</x:f>
        <x:v>1</x:v>
      </x:c>
      <x:c r="AN7" s="1" t="n">
        <x:f>MAX(2,ROUNDUP('損益分岐設定'!C38*AJ7/('損益分岐設定'!$B$23*'損益分岐設定'!$B$24*3600*'損益分岐設定'!$B$25),0))</x:f>
        <x:v>2</x:v>
      </x:c>
      <x:c r="AO7" s="1" t="n">
        <x:f>MAX(2,ROUNDUP('損益分岐設定'!C39*AJ7/('損益分岐設定'!$B$23*'損益分岐設定'!$B$24*3600*'損益分岐設定'!$B$25),0))</x:f>
        <x:v>2</x:v>
      </x:c>
      <x:c r="AP7" s="1" t="n">
        <x:f>MAX(2,ROUNDUP('損益分岐設定'!C40*AJ7/('損益分岐設定'!$B$23*'損益分岐設定'!$B$24*3600*'損益分岐設定'!$B$25),0))</x:f>
        <x:v>2</x:v>
      </x:c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23" customHeight="1">
      <x:c r="A8" s="1" t="str">
        <x:v>Run</x:v>
      </x:c>
      <x:c r="B8" s="1" t="str">
        <x:v>Starter</x:v>
      </x:c>
      <x:c r="C8" s="1" t="str">
        <x:v>低位</x:v>
      </x:c>
      <x:c r="D8" s="21" t="n">
        <x:v>0.2</x:v>
      </x:c>
      <x:c r="E8" s="1" t="n">
        <x:v>1</x:v>
      </x:c>
      <x:c r="F8" s="7" t="n">
        <x:f>AD8*'損益分岐設定'!$B$5+AE8*'損益分岐設定'!$B$6+AF8*'損益分岐設定'!$B$7</x:f>
        <x:v>3000</x:v>
      </x:c>
      <x:c r="G8" s="7" t="n">
        <x:f>AG8+(AH8+AI8)*('損益分岐設定'!$B$29+0.5*'損益分岐設定'!$B$30)+AK8*'損益分岐設定'!$B$32+(AJ8+AK8/'損益分岐設定'!$B$28*'損益分岐設定'!$B$26)*('損益分岐設定'!$B$29+'損益分岐設定'!$B$31*'損益分岐設定'!$B$30)</x:f>
        <x:v>66.45579927651706</x:v>
      </x:c>
      <x:c r="H8" s="7" t="n">
        <x:f>AL8*E8</x:f>
        <x:v>233.33333333333334</x:v>
      </x:c>
      <x:c r="I8" s="7" t="n">
        <x:f>F8*(1-D8-'損益分岐設定'!$B$10)-G8-H8</x:f>
        <x:v>1992.2108673901496</x:v>
      </x:c>
      <x:c r="J8" s="1" t="n">
        <x:f>IF(MIN(V8:Y8)&gt;1000,"範囲内なし",MIN(V8:Y8))</x:f>
        <x:v>18</x:v>
      </x:c>
      <x:c r="K8" s="1" t="n">
        <x:f>IF(MAX(Z8:AC8)&gt;=1000,"範囲内なし",MAX(1,MAX(Z8:AC8)+1))</x:f>
        <x:v>18</x:v>
      </x:c>
      <x:c r="L8" s="7" t="n">
        <x:f>10*I8-R8</x:f>
        <x:v>-10088.8259524063</x:v>
      </x:c>
      <x:c r="M8" s="7" t="n">
        <x:f>30*I8-S8</x:f>
        <x:v>25255.39139539669</x:v>
      </x:c>
      <x:c r="N8" s="7" t="n">
        <x:f>50*I8-S8</x:f>
        <x:v>65099.60874319968</x:v>
      </x:c>
      <x:c r="O8" s="7" t="n">
        <x:f>100*I8-S8</x:f>
        <x:v>164710.15211270715</x:v>
      </x:c>
      <x:c r="P8" s="7" t="n">
        <x:f>300*I8-T8</x:f>
        <x:v>541152.325590737</x:v>
      </x:c>
      <x:c r="Q8" s="7" t="n">
        <x:f>1000*I8-U8</x:f>
        <x:v>1905699.9327638417</x:v>
      </x:c>
      <x:c r="R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*'損益分岐設定'!$B$12*'損益分岐設定'!$B$11</x:f>
        <x:v>30010.934626307797</x:v>
      </x:c>
      <x:c r="S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*'損益分岐設定'!$B$12*'損益分岐設定'!$B$11</x:f>
        <x:v>34510.9346263078</x:v>
      </x:c>
      <x:c r="T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*'損益分岐設定'!$B$12*'損益分岐設定'!$B$11</x:f>
        <x:v>56510.9346263078</x:v>
      </x:c>
      <x:c r="U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*'損益分岐設定'!$B$12*'損益分岐設定'!$B$11</x:f>
        <x:v>86510.9346263078</x:v>
      </x:c>
      <x:c r="V8" s="1" t="n">
        <x:f>IF(I8&lt;=0,1001,IF(MAX('損益分岐設定'!B37,ROUNDUP(R8/I8,0))&lt;='損益分岐設定'!C37,MAX('損益分岐設定'!B37,ROUNDUP(R8/I8,0)),1001))</x:f>
        <x:v>1001</x:v>
      </x:c>
      <x:c r="W8" s="1" t="n">
        <x:f>IF(I8&lt;=0,1001,IF(MAX('損益分岐設定'!B38,ROUNDUP(S8/I8,0))&lt;='損益分岐設定'!C38,MAX('損益分岐設定'!B38,ROUNDUP(S8/I8,0)),1001))</x:f>
        <x:v>18</x:v>
      </x:c>
      <x:c r="X8" s="1" t="n">
        <x:f>IF(I8&lt;=0,1001,IF(MAX('損益分岐設定'!B39,ROUNDUP(T8/I8,0))&lt;='損益分岐設定'!C39,MAX('損益分岐設定'!B39,ROUNDUP(T8/I8,0)),1001))</x:f>
        <x:v>101</x:v>
      </x:c>
      <x:c r="Y8" s="1" t="n">
        <x:f>IF(I8&lt;=0,1001,IF(MAX('損益分岐設定'!B40,ROUNDUP(U8/I8,0))&lt;='損益分岐設定'!C40,MAX('損益分岐設定'!B40,ROUNDUP(U8/I8,0)),1001))</x:f>
        <x:v>501</x:v>
      </x:c>
      <x:c r="Z8" s="1" t="n">
        <x:f>IF(I8&lt;=0,'損益分岐設定'!C37,IF('損益分岐設定'!C37*I8-R8&lt;0,'損益分岐設定'!C37,IF('損益分岐設定'!B37*I8-R8&gt;=0,0,ROUNDUP(R8/I8,0)-1)))</x:f>
        <x:v>10</x:v>
      </x:c>
      <x:c r="AA8" s="1" t="n">
        <x:f>IF(I8&lt;=0,'損益分岐設定'!C38,IF('損益分岐設定'!C38*I8-S8&lt;0,'損益分岐設定'!C38,IF('損益分岐設定'!B38*I8-S8&gt;=0,0,ROUNDUP(S8/I8,0)-1)))</x:f>
        <x:v>17</x:v>
      </x:c>
      <x:c r="AB8" s="1" t="n">
        <x:f>IF(I8&lt;=0,'損益分岐設定'!C39,IF('損益分岐設定'!C39*I8-T8&lt;0,'損益分岐設定'!C39,IF('損益分岐設定'!B39*I8-T8&gt;=0,0,ROUNDUP(T8/I8,0)-1)))</x:f>
        <x:v>0</x:v>
      </x:c>
      <x:c r="AC8" s="1" t="n">
        <x:f>IF(I8&lt;=0,'損益分岐設定'!C40,IF('損益分岐設定'!C40*I8-U8&lt;0,'損益分岐設定'!C40,IF('損益分岐設定'!B40*I8-U8&gt;=0,0,ROUNDUP(U8/I8,0)-1)))</x:f>
        <x:v>0</x:v>
      </x:c>
      <x:c r="AD8" s="1" t="n">
        <x:v>1</x:v>
      </x:c>
      <x:c r="AE8" s="1" t="n">
        <x:v>0</x:v>
      </x:c>
      <x:c r="AF8" s="1" t="n">
        <x:v>0</x:v>
      </x:c>
      <x:c r="AG8" s="1" t="n">
        <x:f>AD8*'損益分岐設定'!$C$56+AE8*'損益分岐設定'!$C$59+AF8*'損益分岐設定'!$C$62</x:f>
        <x:v>66.35651235961915</x:v>
      </x:c>
      <x:c r="AH8" s="1" t="n">
        <x:f>AD8*'損益分岐設定'!$D$56+AE8*'損益分岐設定'!$D$59+AF8*'損益分岐設定'!$D$62</x:f>
        <x:v>7.5</x:v>
      </x:c>
      <x:c r="AI8" s="1" t="n">
        <x:f>AD8*'損益分岐設定'!$E$56+AE8*'損益分岐設定'!$E$59+AF8*'損益分岐設定'!$E$62</x:f>
        <x:v>5</x:v>
      </x:c>
      <x:c r="AJ8" s="1" t="n">
        <x:f>(AD8*'損益分岐設定'!$F$56+AE8*'損益分岐設定'!$F$59+AF8*'損益分岐設定'!$F$62*1)*'損益分岐設定'!$B$22</x:f>
        <x:v>7.5</x:v>
      </x:c>
      <x:c r="AK8" s="1" t="n">
        <x:f>AD8*'損益分岐設定'!$G$56+AE8*'損益分岐設定'!$G$59+AF8*'損益分岐設定'!$G$62</x:f>
        <x:v>25</x:v>
      </x:c>
      <x:c r="AL8" s="1" t="n">
        <x:f>AD8*'損益分岐設定'!$H$56+AE8*'損益分岐設定'!$H$59+AF8*'損益分岐設定'!$H$62</x:f>
        <x:v>233.33333333333334</x:v>
      </x:c>
      <x:c r="AM8" s="1" t="n">
        <x:f>MAX(1,ROUNDUP('損益分岐設定'!C37*AJ8/('損益分岐設定'!$B$23*'損益分岐設定'!$B$24*3600*'損益分岐設定'!$B$25),0))</x:f>
        <x:v>1</x:v>
      </x:c>
      <x:c r="AN8" s="1" t="n">
        <x:f>MAX(2,ROUNDUP('損益分岐設定'!C38*AJ8/('損益分岐設定'!$B$23*'損益分岐設定'!$B$24*3600*'損益分岐設定'!$B$25),0))</x:f>
        <x:v>2</x:v>
      </x:c>
      <x:c r="AO8" s="1" t="n">
        <x:f>MAX(2,ROUNDUP('損益分岐設定'!C39*AJ8/('損益分岐設定'!$B$23*'損益分岐設定'!$B$24*3600*'損益分岐設定'!$B$25),0))</x:f>
        <x:v>2</x:v>
      </x:c>
      <x:c r="AP8" s="1" t="n">
        <x:f>MAX(2,ROUNDUP('損益分岐設定'!C40*AJ8/('損益分岐設定'!$B$23*'損益分岐設定'!$B$24*3600*'損益分岐設定'!$B$25),0))</x:f>
        <x:v>2</x:v>
      </x:c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23" customHeight="1">
      <x:c r="A9" s="1" t="str">
        <x:v>Run</x:v>
      </x:c>
      <x:c r="B9" s="1" t="str">
        <x:v>Starter</x:v>
      </x:c>
      <x:c r="C9" s="1" t="str">
        <x:v>低位</x:v>
      </x:c>
      <x:c r="D9" s="21" t="n">
        <x:v>0.3</x:v>
      </x:c>
      <x:c r="E9" s="1" t="n">
        <x:v>0</x:v>
      </x:c>
      <x:c r="F9" s="7" t="n">
        <x:f>AD9*'損益分岐設定'!$B$5+AE9*'損益分岐設定'!$B$6+AF9*'損益分岐設定'!$B$7</x:f>
        <x:v>3000</x:v>
      </x:c>
      <x:c r="G9" s="7" t="n">
        <x:f>AG9+(AH9+AI9)*('損益分岐設定'!$B$29+0.5*'損益分岐設定'!$B$30)+AK9*'損益分岐設定'!$B$32+(AJ9+AK9/'損益分岐設定'!$B$28*'損益分岐設定'!$B$26)*('損益分岐設定'!$B$29+'損益分岐設定'!$B$31*'損益分岐設定'!$B$30)</x:f>
        <x:v>66.45579927651706</x:v>
      </x:c>
      <x:c r="H9" s="7" t="n">
        <x:f>AL9*E9</x:f>
        <x:v>0</x:v>
      </x:c>
      <x:c r="I9" s="7" t="n">
        <x:f>F9*(1-D9-'損益分岐設定'!$B$10)-G9-H9</x:f>
        <x:v>1925.5442007234826</x:v>
      </x:c>
      <x:c r="J9" s="1" t="n">
        <x:f>IF(MIN(V9:Y9)&gt;1000,"範囲内なし",MIN(V9:Y9))</x:f>
        <x:v>14</x:v>
      </x:c>
      <x:c r="K9" s="1" t="n">
        <x:f>IF(MAX(Z9:AC9)&gt;=1000,"範囲内なし",MAX(1,MAX(Z9:AC9)+1))</x:f>
        <x:v>14</x:v>
      </x:c>
      <x:c r="L9" s="7" t="n">
        <x:f>10*I9-R9</x:f>
        <x:v>-2755.492619072971</x:v>
      </x:c>
      <x:c r="M9" s="7" t="n">
        <x:f>30*I9-S9</x:f>
        <x:v>31255.391395396684</x:v>
      </x:c>
      <x:c r="N9" s="7" t="n">
        <x:f>50*I9-S9</x:f>
        <x:v>69766.27540986633</x:v>
      </x:c>
      <x:c r="O9" s="7" t="n">
        <x:f>100*I9-S9</x:f>
        <x:v>166043.48544604046</x:v>
      </x:c>
      <x:c r="P9" s="7" t="n">
        <x:f>300*I9-T9</x:f>
        <x:v>529152.3255907369</x:v>
      </x:c>
      <x:c r="Q9" s="7" t="n">
        <x:f>1000*I9-U9</x:f>
        <x:v>1847033.2660971747</x:v>
      </x:c>
      <x:c r="R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*'損益分岐設定'!$B$12*'損益分岐設定'!$B$11</x:f>
        <x:v>22010.934626307797</x:v>
      </x:c>
      <x:c r="S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*'損益分岐設定'!$B$12*'損益分岐設定'!$B$11</x:f>
        <x:v>26510.934626307797</x:v>
      </x:c>
      <x:c r="T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*'損益分岐設定'!$B$12*'損益分岐設定'!$B$11</x:f>
        <x:v>48510.9346263078</x:v>
      </x:c>
      <x:c r="U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*'損益分岐設定'!$B$12*'損益分岐設定'!$B$11</x:f>
        <x:v>78510.9346263078</x:v>
      </x:c>
      <x:c r="V9" s="1" t="n">
        <x:f>IF(I9&lt;=0,1001,IF(MAX('損益分岐設定'!B37,ROUNDUP(R9/I9,0))&lt;='損益分岐設定'!C37,MAX('損益分岐設定'!B37,ROUNDUP(R9/I9,0)),1001))</x:f>
        <x:v>1001</x:v>
      </x:c>
      <x:c r="W9" s="1" t="n">
        <x:f>IF(I9&lt;=0,1001,IF(MAX('損益分岐設定'!B38,ROUNDUP(S9/I9,0))&lt;='損益分岐設定'!C38,MAX('損益分岐設定'!B38,ROUNDUP(S9/I9,0)),1001))</x:f>
        <x:v>14</x:v>
      </x:c>
      <x:c r="X9" s="1" t="n">
        <x:f>IF(I9&lt;=0,1001,IF(MAX('損益分岐設定'!B39,ROUNDUP(T9/I9,0))&lt;='損益分岐設定'!C39,MAX('損益分岐設定'!B39,ROUNDUP(T9/I9,0)),1001))</x:f>
        <x:v>101</x:v>
      </x:c>
      <x:c r="Y9" s="1" t="n">
        <x:f>IF(I9&lt;=0,1001,IF(MAX('損益分岐設定'!B40,ROUNDUP(U9/I9,0))&lt;='損益分岐設定'!C40,MAX('損益分岐設定'!B40,ROUNDUP(U9/I9,0)),1001))</x:f>
        <x:v>501</x:v>
      </x:c>
      <x:c r="Z9" s="1" t="n">
        <x:f>IF(I9&lt;=0,'損益分岐設定'!C37,IF('損益分岐設定'!C37*I9-R9&lt;0,'損益分岐設定'!C37,IF('損益分岐設定'!B37*I9-R9&gt;=0,0,ROUNDUP(R9/I9,0)-1)))</x:f>
        <x:v>10</x:v>
      </x:c>
      <x:c r="AA9" s="1" t="n">
        <x:f>IF(I9&lt;=0,'損益分岐設定'!C38,IF('損益分岐設定'!C38*I9-S9&lt;0,'損益分岐設定'!C38,IF('損益分岐設定'!B38*I9-S9&gt;=0,0,ROUNDUP(S9/I9,0)-1)))</x:f>
        <x:v>13</x:v>
      </x:c>
      <x:c r="AB9" s="1" t="n">
        <x:f>IF(I9&lt;=0,'損益分岐設定'!C39,IF('損益分岐設定'!C39*I9-T9&lt;0,'損益分岐設定'!C39,IF('損益分岐設定'!B39*I9-T9&gt;=0,0,ROUNDUP(T9/I9,0)-1)))</x:f>
        <x:v>0</x:v>
      </x:c>
      <x:c r="AC9" s="1" t="n">
        <x:f>IF(I9&lt;=0,'損益分岐設定'!C40,IF('損益分岐設定'!C40*I9-U9&lt;0,'損益分岐設定'!C40,IF('損益分岐設定'!B40*I9-U9&gt;=0,0,ROUNDUP(U9/I9,0)-1)))</x:f>
        <x:v>0</x:v>
      </x:c>
      <x:c r="AD9" s="1" t="n">
        <x:v>1</x:v>
      </x:c>
      <x:c r="AE9" s="1" t="n">
        <x:v>0</x:v>
      </x:c>
      <x:c r="AF9" s="1" t="n">
        <x:v>0</x:v>
      </x:c>
      <x:c r="AG9" s="1" t="n">
        <x:f>AD9*'損益分岐設定'!$C$56+AE9*'損益分岐設定'!$C$59+AF9*'損益分岐設定'!$C$62</x:f>
        <x:v>66.35651235961915</x:v>
      </x:c>
      <x:c r="AH9" s="1" t="n">
        <x:f>AD9*'損益分岐設定'!$D$56+AE9*'損益分岐設定'!$D$59+AF9*'損益分岐設定'!$D$62</x:f>
        <x:v>7.5</x:v>
      </x:c>
      <x:c r="AI9" s="1" t="n">
        <x:f>AD9*'損益分岐設定'!$E$56+AE9*'損益分岐設定'!$E$59+AF9*'損益分岐設定'!$E$62</x:f>
        <x:v>5</x:v>
      </x:c>
      <x:c r="AJ9" s="1" t="n">
        <x:f>(AD9*'損益分岐設定'!$F$56+AE9*'損益分岐設定'!$F$59+AF9*'損益分岐設定'!$F$62*1)*'損益分岐設定'!$B$22</x:f>
        <x:v>7.5</x:v>
      </x:c>
      <x:c r="AK9" s="1" t="n">
        <x:f>AD9*'損益分岐設定'!$G$56+AE9*'損益分岐設定'!$G$59+AF9*'損益分岐設定'!$G$62</x:f>
        <x:v>25</x:v>
      </x:c>
      <x:c r="AL9" s="1" t="n">
        <x:f>AD9*'損益分岐設定'!$H$56+AE9*'損益分岐設定'!$H$59+AF9*'損益分岐設定'!$H$62</x:f>
        <x:v>233.33333333333334</x:v>
      </x:c>
      <x:c r="AM9" s="1" t="n">
        <x:f>MAX(1,ROUNDUP('損益分岐設定'!C37*AJ9/('損益分岐設定'!$B$23*'損益分岐設定'!$B$24*3600*'損益分岐設定'!$B$25),0))</x:f>
        <x:v>1</x:v>
      </x:c>
      <x:c r="AN9" s="1" t="n">
        <x:f>MAX(2,ROUNDUP('損益分岐設定'!C38*AJ9/('損益分岐設定'!$B$23*'損益分岐設定'!$B$24*3600*'損益分岐設定'!$B$25),0))</x:f>
        <x:v>2</x:v>
      </x:c>
      <x:c r="AO9" s="1" t="n">
        <x:f>MAX(2,ROUNDUP('損益分岐設定'!C39*AJ9/('損益分岐設定'!$B$23*'損益分岐設定'!$B$24*3600*'損益分岐設定'!$B$25),0))</x:f>
        <x:v>2</x:v>
      </x:c>
      <x:c r="AP9" s="1" t="n">
        <x:f>MAX(2,ROUNDUP('損益分岐設定'!C40*AJ9/('損益分岐設定'!$B$23*'損益分岐設定'!$B$24*3600*'損益分岐設定'!$B$25),0))</x:f>
        <x:v>2</x:v>
      </x:c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23" customHeight="1">
      <x:c r="A10" s="1" t="str">
        <x:v>Run</x:v>
      </x:c>
      <x:c r="B10" s="1" t="str">
        <x:v>Starter</x:v>
      </x:c>
      <x:c r="C10" s="1" t="str">
        <x:v>低位</x:v>
      </x:c>
      <x:c r="D10" s="21" t="n">
        <x:v>0.3</x:v>
      </x:c>
      <x:c r="E10" s="1" t="n">
        <x:v>1</x:v>
      </x:c>
      <x:c r="F10" s="7" t="n">
        <x:f>AD10*'損益分岐設定'!$B$5+AE10*'損益分岐設定'!$B$6+AF10*'損益分岐設定'!$B$7</x:f>
        <x:v>3000</x:v>
      </x:c>
      <x:c r="G10" s="7" t="n">
        <x:f>AG10+(AH10+AI10)*('損益分岐設定'!$B$29+0.5*'損益分岐設定'!$B$30)+AK10*'損益分岐設定'!$B$32+(AJ10+AK10/'損益分岐設定'!$B$28*'損益分岐設定'!$B$26)*('損益分岐設定'!$B$29+'損益分岐設定'!$B$31*'損益分岐設定'!$B$30)</x:f>
        <x:v>66.45579927651706</x:v>
      </x:c>
      <x:c r="H10" s="7" t="n">
        <x:f>AL10*E10</x:f>
        <x:v>233.33333333333334</x:v>
      </x:c>
      <x:c r="I10" s="7" t="n">
        <x:f>F10*(1-D10-'損益分岐設定'!$B$10)-G10-H10</x:f>
        <x:v>1692.2108673901494</x:v>
      </x:c>
      <x:c r="J10" s="1" t="n">
        <x:f>IF(MIN(V10:Y10)&gt;1000,"範囲内なし",MIN(V10:Y10))</x:f>
        <x:v>21</x:v>
      </x:c>
      <x:c r="K10" s="1" t="n">
        <x:f>IF(MAX(Z10:AC10)&gt;=1000,"範囲内なし",MAX(1,MAX(Z10:AC10)+1))</x:f>
        <x:v>21</x:v>
      </x:c>
      <x:c r="L10" s="7" t="n">
        <x:f>10*I10-R10</x:f>
        <x:v>-13088.825952406303</x:v>
      </x:c>
      <x:c r="M10" s="7" t="n">
        <x:f>30*I10-S10</x:f>
        <x:v>16255.391395396684</x:v>
      </x:c>
      <x:c r="N10" s="7" t="n">
        <x:f>50*I10-S10</x:f>
        <x:v>50099.60874319968</x:v>
      </x:c>
      <x:c r="O10" s="7" t="n">
        <x:f>100*I10-S10</x:f>
        <x:v>134710.15211270715</x:v>
      </x:c>
      <x:c r="P10" s="7" t="n">
        <x:f>300*I10-T10</x:f>
        <x:v>451152.325590737</x:v>
      </x:c>
      <x:c r="Q10" s="7" t="n">
        <x:f>1000*I10-U10</x:f>
        <x:v>1605699.9327638415</x:v>
      </x:c>
      <x:c r="R1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*'損益分岐設定'!$B$12*'損益分岐設定'!$B$11</x:f>
        <x:v>30010.934626307797</x:v>
      </x:c>
      <x:c r="S1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*'損益分岐設定'!$B$12*'損益分岐設定'!$B$11</x:f>
        <x:v>34510.9346263078</x:v>
      </x:c>
      <x:c r="T1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*'損益分岐設定'!$B$12*'損益分岐設定'!$B$11</x:f>
        <x:v>56510.9346263078</x:v>
      </x:c>
      <x:c r="U1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*'損益分岐設定'!$B$12*'損益分岐設定'!$B$11</x:f>
        <x:v>86510.9346263078</x:v>
      </x:c>
      <x:c r="V10" s="1" t="n">
        <x:f>IF(I10&lt;=0,1001,IF(MAX('損益分岐設定'!B37,ROUNDUP(R10/I10,0))&lt;='損益分岐設定'!C37,MAX('損益分岐設定'!B37,ROUNDUP(R10/I10,0)),1001))</x:f>
        <x:v>1001</x:v>
      </x:c>
      <x:c r="W10" s="1" t="n">
        <x:f>IF(I10&lt;=0,1001,IF(MAX('損益分岐設定'!B38,ROUNDUP(S10/I10,0))&lt;='損益分岐設定'!C38,MAX('損益分岐設定'!B38,ROUNDUP(S10/I10,0)),1001))</x:f>
        <x:v>21</x:v>
      </x:c>
      <x:c r="X10" s="1" t="n">
        <x:f>IF(I10&lt;=0,1001,IF(MAX('損益分岐設定'!B39,ROUNDUP(T10/I10,0))&lt;='損益分岐設定'!C39,MAX('損益分岐設定'!B39,ROUNDUP(T10/I10,0)),1001))</x:f>
        <x:v>101</x:v>
      </x:c>
      <x:c r="Y10" s="1" t="n">
        <x:f>IF(I10&lt;=0,1001,IF(MAX('損益分岐設定'!B40,ROUNDUP(U10/I10,0))&lt;='損益分岐設定'!C40,MAX('損益分岐設定'!B40,ROUNDUP(U10/I10,0)),1001))</x:f>
        <x:v>501</x:v>
      </x:c>
      <x:c r="Z10" s="1" t="n">
        <x:f>IF(I10&lt;=0,'損益分岐設定'!C37,IF('損益分岐設定'!C37*I10-R10&lt;0,'損益分岐設定'!C37,IF('損益分岐設定'!B37*I10-R10&gt;=0,0,ROUNDUP(R10/I10,0)-1)))</x:f>
        <x:v>10</x:v>
      </x:c>
      <x:c r="AA10" s="1" t="n">
        <x:f>IF(I10&lt;=0,'損益分岐設定'!C38,IF('損益分岐設定'!C38*I10-S10&lt;0,'損益分岐設定'!C38,IF('損益分岐設定'!B38*I10-S10&gt;=0,0,ROUNDUP(S10/I10,0)-1)))</x:f>
        <x:v>20</x:v>
      </x:c>
      <x:c r="AB10" s="1" t="n">
        <x:f>IF(I10&lt;=0,'損益分岐設定'!C39,IF('損益分岐設定'!C39*I10-T10&lt;0,'損益分岐設定'!C39,IF('損益分岐設定'!B39*I10-T10&gt;=0,0,ROUNDUP(T10/I10,0)-1)))</x:f>
        <x:v>0</x:v>
      </x:c>
      <x:c r="AC10" s="1" t="n">
        <x:f>IF(I10&lt;=0,'損益分岐設定'!C40,IF('損益分岐設定'!C40*I10-U10&lt;0,'損益分岐設定'!C40,IF('損益分岐設定'!B40*I10-U10&gt;=0,0,ROUNDUP(U10/I10,0)-1)))</x:f>
        <x:v>0</x:v>
      </x:c>
      <x:c r="AD10" s="1" t="n">
        <x:v>1</x:v>
      </x:c>
      <x:c r="AE10" s="1" t="n">
        <x:v>0</x:v>
      </x:c>
      <x:c r="AF10" s="1" t="n">
        <x:v>0</x:v>
      </x:c>
      <x:c r="AG10" s="1" t="n">
        <x:f>AD10*'損益分岐設定'!$C$56+AE10*'損益分岐設定'!$C$59+AF10*'損益分岐設定'!$C$62</x:f>
        <x:v>66.35651235961915</x:v>
      </x:c>
      <x:c r="AH10" s="1" t="n">
        <x:f>AD10*'損益分岐設定'!$D$56+AE10*'損益分岐設定'!$D$59+AF10*'損益分岐設定'!$D$62</x:f>
        <x:v>7.5</x:v>
      </x:c>
      <x:c r="AI10" s="1" t="n">
        <x:f>AD10*'損益分岐設定'!$E$56+AE10*'損益分岐設定'!$E$59+AF10*'損益分岐設定'!$E$62</x:f>
        <x:v>5</x:v>
      </x:c>
      <x:c r="AJ10" s="1" t="n">
        <x:f>(AD10*'損益分岐設定'!$F$56+AE10*'損益分岐設定'!$F$59+AF10*'損益分岐設定'!$F$62*1)*'損益分岐設定'!$B$22</x:f>
        <x:v>7.5</x:v>
      </x:c>
      <x:c r="AK10" s="1" t="n">
        <x:f>AD10*'損益分岐設定'!$G$56+AE10*'損益分岐設定'!$G$59+AF10*'損益分岐設定'!$G$62</x:f>
        <x:v>25</x:v>
      </x:c>
      <x:c r="AL10" s="1" t="n">
        <x:f>AD10*'損益分岐設定'!$H$56+AE10*'損益分岐設定'!$H$59+AF10*'損益分岐設定'!$H$62</x:f>
        <x:v>233.33333333333334</x:v>
      </x:c>
      <x:c r="AM10" s="1" t="n">
        <x:f>MAX(1,ROUNDUP('損益分岐設定'!C37*AJ10/('損益分岐設定'!$B$23*'損益分岐設定'!$B$24*3600*'損益分岐設定'!$B$25),0))</x:f>
        <x:v>1</x:v>
      </x:c>
      <x:c r="AN10" s="1" t="n">
        <x:f>MAX(2,ROUNDUP('損益分岐設定'!C38*AJ10/('損益分岐設定'!$B$23*'損益分岐設定'!$B$24*3600*'損益分岐設定'!$B$25),0))</x:f>
        <x:v>2</x:v>
      </x:c>
      <x:c r="AO10" s="1" t="n">
        <x:f>MAX(2,ROUNDUP('損益分岐設定'!C39*AJ10/('損益分岐設定'!$B$23*'損益分岐設定'!$B$24*3600*'損益分岐設定'!$B$25),0))</x:f>
        <x:v>2</x:v>
      </x:c>
      <x:c r="AP10" s="1" t="n">
        <x:f>MAX(2,ROUNDUP('損益分岐設定'!C40*AJ10/('損益分岐設定'!$B$23*'損益分岐設定'!$B$24*3600*'損益分岐設定'!$B$25),0))</x:f>
        <x:v>2</x:v>
      </x:c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23" customHeight="1">
      <x:c r="A11" s="1" t="str">
        <x:v>Run</x:v>
      </x:c>
      <x:c r="B11" s="1" t="str">
        <x:v>Starter</x:v>
      </x:c>
      <x:c r="C11" s="1" t="str">
        <x:v>低位</x:v>
      </x:c>
      <x:c r="D11" s="21" t="n">
        <x:v>0.4</x:v>
      </x:c>
      <x:c r="E11" s="1" t="n">
        <x:v>0</x:v>
      </x:c>
      <x:c r="F11" s="7" t="n">
        <x:f>AD11*'損益分岐設定'!$B$5+AE11*'損益分岐設定'!$B$6+AF11*'損益分岐設定'!$B$7</x:f>
        <x:v>3000</x:v>
      </x:c>
      <x:c r="G11" s="7" t="n">
        <x:f>AG11+(AH11+AI11)*('損益分岐設定'!$B$29+0.5*'損益分岐設定'!$B$30)+AK11*'損益分岐設定'!$B$32+(AJ11+AK11/'損益分岐設定'!$B$28*'損益分岐設定'!$B$26)*('損益分岐設定'!$B$29+'損益分岐設定'!$B$31*'損益分岐設定'!$B$30)</x:f>
        <x:v>66.45579927651706</x:v>
      </x:c>
      <x:c r="H11" s="7" t="n">
        <x:f>AL11*E11</x:f>
        <x:v>0</x:v>
      </x:c>
      <x:c r="I11" s="7" t="n">
        <x:f>F11*(1-D11-'損益分岐設定'!$B$10)-G11-H11</x:f>
        <x:v>1625.5442007234826</x:v>
      </x:c>
      <x:c r="J11" s="1" t="n">
        <x:f>IF(MIN(V11:Y11)&gt;1000,"範囲内なし",MIN(V11:Y11))</x:f>
        <x:v>17</x:v>
      </x:c>
      <x:c r="K11" s="1" t="n">
        <x:f>IF(MAX(Z11:AC11)&gt;=1000,"範囲内なし",MAX(1,MAX(Z11:AC11)+1))</x:f>
        <x:v>17</x:v>
      </x:c>
      <x:c r="L11" s="7" t="n">
        <x:f>10*I11-R11</x:f>
        <x:v>-5755.492619072971</x:v>
      </x:c>
      <x:c r="M11" s="7" t="n">
        <x:f>30*I11-S11</x:f>
        <x:v>22255.391395396684</x:v>
      </x:c>
      <x:c r="N11" s="7" t="n">
        <x:f>50*I11-S11</x:f>
        <x:v>54766.275409866335</x:v>
      </x:c>
      <x:c r="O11" s="7" t="n">
        <x:f>100*I11-S11</x:f>
        <x:v>136043.48544604046</x:v>
      </x:c>
      <x:c r="P11" s="7" t="n">
        <x:f>300*I11-T11</x:f>
        <x:v>439152.325590737</x:v>
      </x:c>
      <x:c r="Q11" s="7" t="n">
        <x:f>1000*I11-U11</x:f>
        <x:v>1547033.2660971747</x:v>
      </x:c>
      <x:c r="R1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*'損益分岐設定'!$B$12*'損益分岐設定'!$B$11</x:f>
        <x:v>22010.934626307797</x:v>
      </x:c>
      <x:c r="S1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*'損益分岐設定'!$B$12*'損益分岐設定'!$B$11</x:f>
        <x:v>26510.934626307797</x:v>
      </x:c>
      <x:c r="T1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*'損益分岐設定'!$B$12*'損益分岐設定'!$B$11</x:f>
        <x:v>48510.9346263078</x:v>
      </x:c>
      <x:c r="U1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*'損益分岐設定'!$B$12*'損益分岐設定'!$B$11</x:f>
        <x:v>78510.9346263078</x:v>
      </x:c>
      <x:c r="V11" s="1" t="n">
        <x:f>IF(I11&lt;=0,1001,IF(MAX('損益分岐設定'!B37,ROUNDUP(R11/I11,0))&lt;='損益分岐設定'!C37,MAX('損益分岐設定'!B37,ROUNDUP(R11/I11,0)),1001))</x:f>
        <x:v>1001</x:v>
      </x:c>
      <x:c r="W11" s="1" t="n">
        <x:f>IF(I11&lt;=0,1001,IF(MAX('損益分岐設定'!B38,ROUNDUP(S11/I11,0))&lt;='損益分岐設定'!C38,MAX('損益分岐設定'!B38,ROUNDUP(S11/I11,0)),1001))</x:f>
        <x:v>17</x:v>
      </x:c>
      <x:c r="X11" s="1" t="n">
        <x:f>IF(I11&lt;=0,1001,IF(MAX('損益分岐設定'!B39,ROUNDUP(T11/I11,0))&lt;='損益分岐設定'!C39,MAX('損益分岐設定'!B39,ROUNDUP(T11/I11,0)),1001))</x:f>
        <x:v>101</x:v>
      </x:c>
      <x:c r="Y11" s="1" t="n">
        <x:f>IF(I11&lt;=0,1001,IF(MAX('損益分岐設定'!B40,ROUNDUP(U11/I11,0))&lt;='損益分岐設定'!C40,MAX('損益分岐設定'!B40,ROUNDUP(U11/I11,0)),1001))</x:f>
        <x:v>501</x:v>
      </x:c>
      <x:c r="Z11" s="1" t="n">
        <x:f>IF(I11&lt;=0,'損益分岐設定'!C37,IF('損益分岐設定'!C37*I11-R11&lt;0,'損益分岐設定'!C37,IF('損益分岐設定'!B37*I11-R11&gt;=0,0,ROUNDUP(R11/I11,0)-1)))</x:f>
        <x:v>10</x:v>
      </x:c>
      <x:c r="AA11" s="1" t="n">
        <x:f>IF(I11&lt;=0,'損益分岐設定'!C38,IF('損益分岐設定'!C38*I11-S11&lt;0,'損益分岐設定'!C38,IF('損益分岐設定'!B38*I11-S11&gt;=0,0,ROUNDUP(S11/I11,0)-1)))</x:f>
        <x:v>16</x:v>
      </x:c>
      <x:c r="AB11" s="1" t="n">
        <x:f>IF(I11&lt;=0,'損益分岐設定'!C39,IF('損益分岐設定'!C39*I11-T11&lt;0,'損益分岐設定'!C39,IF('損益分岐設定'!B39*I11-T11&gt;=0,0,ROUNDUP(T11/I11,0)-1)))</x:f>
        <x:v>0</x:v>
      </x:c>
      <x:c r="AC11" s="1" t="n">
        <x:f>IF(I11&lt;=0,'損益分岐設定'!C40,IF('損益分岐設定'!C40*I11-U11&lt;0,'損益分岐設定'!C40,IF('損益分岐設定'!B40*I11-U11&gt;=0,0,ROUNDUP(U11/I11,0)-1)))</x:f>
        <x:v>0</x:v>
      </x:c>
      <x:c r="AD11" s="1" t="n">
        <x:v>1</x:v>
      </x:c>
      <x:c r="AE11" s="1" t="n">
        <x:v>0</x:v>
      </x:c>
      <x:c r="AF11" s="1" t="n">
        <x:v>0</x:v>
      </x:c>
      <x:c r="AG11" s="1" t="n">
        <x:f>AD11*'損益分岐設定'!$C$56+AE11*'損益分岐設定'!$C$59+AF11*'損益分岐設定'!$C$62</x:f>
        <x:v>66.35651235961915</x:v>
      </x:c>
      <x:c r="AH11" s="1" t="n">
        <x:f>AD11*'損益分岐設定'!$D$56+AE11*'損益分岐設定'!$D$59+AF11*'損益分岐設定'!$D$62</x:f>
        <x:v>7.5</x:v>
      </x:c>
      <x:c r="AI11" s="1" t="n">
        <x:f>AD11*'損益分岐設定'!$E$56+AE11*'損益分岐設定'!$E$59+AF11*'損益分岐設定'!$E$62</x:f>
        <x:v>5</x:v>
      </x:c>
      <x:c r="AJ11" s="1" t="n">
        <x:f>(AD11*'損益分岐設定'!$F$56+AE11*'損益分岐設定'!$F$59+AF11*'損益分岐設定'!$F$62*1)*'損益分岐設定'!$B$22</x:f>
        <x:v>7.5</x:v>
      </x:c>
      <x:c r="AK11" s="1" t="n">
        <x:f>AD11*'損益分岐設定'!$G$56+AE11*'損益分岐設定'!$G$59+AF11*'損益分岐設定'!$G$62</x:f>
        <x:v>25</x:v>
      </x:c>
      <x:c r="AL11" s="1" t="n">
        <x:f>AD11*'損益分岐設定'!$H$56+AE11*'損益分岐設定'!$H$59+AF11*'損益分岐設定'!$H$62</x:f>
        <x:v>233.33333333333334</x:v>
      </x:c>
      <x:c r="AM11" s="1" t="n">
        <x:f>MAX(1,ROUNDUP('損益分岐設定'!C37*AJ11/('損益分岐設定'!$B$23*'損益分岐設定'!$B$24*3600*'損益分岐設定'!$B$25),0))</x:f>
        <x:v>1</x:v>
      </x:c>
      <x:c r="AN11" s="1" t="n">
        <x:f>MAX(2,ROUNDUP('損益分岐設定'!C38*AJ11/('損益分岐設定'!$B$23*'損益分岐設定'!$B$24*3600*'損益分岐設定'!$B$25),0))</x:f>
        <x:v>2</x:v>
      </x:c>
      <x:c r="AO11" s="1" t="n">
        <x:f>MAX(2,ROUNDUP('損益分岐設定'!C39*AJ11/('損益分岐設定'!$B$23*'損益分岐設定'!$B$24*3600*'損益分岐設定'!$B$25),0))</x:f>
        <x:v>2</x:v>
      </x:c>
      <x:c r="AP11" s="1" t="n">
        <x:f>MAX(2,ROUNDUP('損益分岐設定'!C40*AJ11/('損益分岐設定'!$B$23*'損益分岐設定'!$B$24*3600*'損益分岐設定'!$B$25),0))</x:f>
        <x:v>2</x:v>
      </x:c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23" customHeight="1">
      <x:c r="A12" s="1" t="str">
        <x:v>Run</x:v>
      </x:c>
      <x:c r="B12" s="1" t="str">
        <x:v>Starter</x:v>
      </x:c>
      <x:c r="C12" s="1" t="str">
        <x:v>低位</x:v>
      </x:c>
      <x:c r="D12" s="21" t="n">
        <x:v>0.4</x:v>
      </x:c>
      <x:c r="E12" s="1" t="n">
        <x:v>1</x:v>
      </x:c>
      <x:c r="F12" s="7" t="n">
        <x:f>AD12*'損益分岐設定'!$B$5+AE12*'損益分岐設定'!$B$6+AF12*'損益分岐設定'!$B$7</x:f>
        <x:v>3000</x:v>
      </x:c>
      <x:c r="G12" s="7" t="n">
        <x:f>AG12+(AH12+AI12)*('損益分岐設定'!$B$29+0.5*'損益分岐設定'!$B$30)+AK12*'損益分岐設定'!$B$32+(AJ12+AK12/'損益分岐設定'!$B$28*'損益分岐設定'!$B$26)*('損益分岐設定'!$B$29+'損益分岐設定'!$B$31*'損益分岐設定'!$B$30)</x:f>
        <x:v>66.45579927651706</x:v>
      </x:c>
      <x:c r="H12" s="7" t="n">
        <x:f>AL12*E12</x:f>
        <x:v>233.33333333333334</x:v>
      </x:c>
      <x:c r="I12" s="7" t="n">
        <x:f>F12*(1-D12-'損益分岐設定'!$B$10)-G12-H12</x:f>
        <x:v>1392.2108673901494</x:v>
      </x:c>
      <x:c r="J12" s="1" t="n">
        <x:f>IF(MIN(V12:Y12)&gt;1000,"範囲内なし",MIN(V12:Y12))</x:f>
        <x:v>25</x:v>
      </x:c>
      <x:c r="K12" s="1" t="n">
        <x:f>IF(MAX(Z12:AC12)&gt;=1000,"範囲内なし",MAX(1,MAX(Z12:AC12)+1))</x:f>
        <x:v>25</x:v>
      </x:c>
      <x:c r="L12" s="7" t="n">
        <x:f>10*I12-R12</x:f>
        <x:v>-16088.825952406303</x:v>
      </x:c>
      <x:c r="M12" s="7" t="n">
        <x:f>30*I12-S12</x:f>
        <x:v>7255.391395396684</x:v>
      </x:c>
      <x:c r="N12" s="7" t="n">
        <x:f>50*I12-S12</x:f>
        <x:v>35099.60874319968</x:v>
      </x:c>
      <x:c r="O12" s="7" t="n">
        <x:f>100*I12-S12</x:f>
        <x:v>104710.15211270715</x:v>
      </x:c>
      <x:c r="P12" s="7" t="n">
        <x:f>300*I12-T12</x:f>
        <x:v>361152.325590737</x:v>
      </x:c>
      <x:c r="Q12" s="7" t="n">
        <x:f>1000*I12-U12</x:f>
        <x:v>1305699.9327638415</x:v>
      </x:c>
      <x:c r="R1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*'損益分岐設定'!$B$12*'損益分岐設定'!$B$11</x:f>
        <x:v>30010.934626307797</x:v>
      </x:c>
      <x:c r="S1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*'損益分岐設定'!$B$12*'損益分岐設定'!$B$11</x:f>
        <x:v>34510.9346263078</x:v>
      </x:c>
      <x:c r="T1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*'損益分岐設定'!$B$12*'損益分岐設定'!$B$11</x:f>
        <x:v>56510.9346263078</x:v>
      </x:c>
      <x:c r="U1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*'損益分岐設定'!$B$12*'損益分岐設定'!$B$11</x:f>
        <x:v>86510.9346263078</x:v>
      </x:c>
      <x:c r="V12" s="1" t="n">
        <x:f>IF(I12&lt;=0,1001,IF(MAX('損益分岐設定'!B37,ROUNDUP(R12/I12,0))&lt;='損益分岐設定'!C37,MAX('損益分岐設定'!B37,ROUNDUP(R12/I12,0)),1001))</x:f>
        <x:v>1001</x:v>
      </x:c>
      <x:c r="W12" s="1" t="n">
        <x:f>IF(I12&lt;=0,1001,IF(MAX('損益分岐設定'!B38,ROUNDUP(S12/I12,0))&lt;='損益分岐設定'!C38,MAX('損益分岐設定'!B38,ROUNDUP(S12/I12,0)),1001))</x:f>
        <x:v>25</x:v>
      </x:c>
      <x:c r="X12" s="1" t="n">
        <x:f>IF(I12&lt;=0,1001,IF(MAX('損益分岐設定'!B39,ROUNDUP(T12/I12,0))&lt;='損益分岐設定'!C39,MAX('損益分岐設定'!B39,ROUNDUP(T12/I12,0)),1001))</x:f>
        <x:v>101</x:v>
      </x:c>
      <x:c r="Y12" s="1" t="n">
        <x:f>IF(I12&lt;=0,1001,IF(MAX('損益分岐設定'!B40,ROUNDUP(U12/I12,0))&lt;='損益分岐設定'!C40,MAX('損益分岐設定'!B40,ROUNDUP(U12/I12,0)),1001))</x:f>
        <x:v>501</x:v>
      </x:c>
      <x:c r="Z12" s="1" t="n">
        <x:f>IF(I12&lt;=0,'損益分岐設定'!C37,IF('損益分岐設定'!C37*I12-R12&lt;0,'損益分岐設定'!C37,IF('損益分岐設定'!B37*I12-R12&gt;=0,0,ROUNDUP(R12/I12,0)-1)))</x:f>
        <x:v>10</x:v>
      </x:c>
      <x:c r="AA12" s="1" t="n">
        <x:f>IF(I12&lt;=0,'損益分岐設定'!C38,IF('損益分岐設定'!C38*I12-S12&lt;0,'損益分岐設定'!C38,IF('損益分岐設定'!B38*I12-S12&gt;=0,0,ROUNDUP(S12/I12,0)-1)))</x:f>
        <x:v>24</x:v>
      </x:c>
      <x:c r="AB12" s="1" t="n">
        <x:f>IF(I12&lt;=0,'損益分岐設定'!C39,IF('損益分岐設定'!C39*I12-T12&lt;0,'損益分岐設定'!C39,IF('損益分岐設定'!B39*I12-T12&gt;=0,0,ROUNDUP(T12/I12,0)-1)))</x:f>
        <x:v>0</x:v>
      </x:c>
      <x:c r="AC12" s="1" t="n">
        <x:f>IF(I12&lt;=0,'損益分岐設定'!C40,IF('損益分岐設定'!C40*I12-U12&lt;0,'損益分岐設定'!C40,IF('損益分岐設定'!B40*I12-U12&gt;=0,0,ROUNDUP(U12/I12,0)-1)))</x:f>
        <x:v>0</x:v>
      </x:c>
      <x:c r="AD12" s="1" t="n">
        <x:v>1</x:v>
      </x:c>
      <x:c r="AE12" s="1" t="n">
        <x:v>0</x:v>
      </x:c>
      <x:c r="AF12" s="1" t="n">
        <x:v>0</x:v>
      </x:c>
      <x:c r="AG12" s="1" t="n">
        <x:f>AD12*'損益分岐設定'!$C$56+AE12*'損益分岐設定'!$C$59+AF12*'損益分岐設定'!$C$62</x:f>
        <x:v>66.35651235961915</x:v>
      </x:c>
      <x:c r="AH12" s="1" t="n">
        <x:f>AD12*'損益分岐設定'!$D$56+AE12*'損益分岐設定'!$D$59+AF12*'損益分岐設定'!$D$62</x:f>
        <x:v>7.5</x:v>
      </x:c>
      <x:c r="AI12" s="1" t="n">
        <x:f>AD12*'損益分岐設定'!$E$56+AE12*'損益分岐設定'!$E$59+AF12*'損益分岐設定'!$E$62</x:f>
        <x:v>5</x:v>
      </x:c>
      <x:c r="AJ12" s="1" t="n">
        <x:f>(AD12*'損益分岐設定'!$F$56+AE12*'損益分岐設定'!$F$59+AF12*'損益分岐設定'!$F$62*1)*'損益分岐設定'!$B$22</x:f>
        <x:v>7.5</x:v>
      </x:c>
      <x:c r="AK12" s="1" t="n">
        <x:f>AD12*'損益分岐設定'!$G$56+AE12*'損益分岐設定'!$G$59+AF12*'損益分岐設定'!$G$62</x:f>
        <x:v>25</x:v>
      </x:c>
      <x:c r="AL12" s="1" t="n">
        <x:f>AD12*'損益分岐設定'!$H$56+AE12*'損益分岐設定'!$H$59+AF12*'損益分岐設定'!$H$62</x:f>
        <x:v>233.33333333333334</x:v>
      </x:c>
      <x:c r="AM12" s="1" t="n">
        <x:f>MAX(1,ROUNDUP('損益分岐設定'!C37*AJ12/('損益分岐設定'!$B$23*'損益分岐設定'!$B$24*3600*'損益分岐設定'!$B$25),0))</x:f>
        <x:v>1</x:v>
      </x:c>
      <x:c r="AN12" s="1" t="n">
        <x:f>MAX(2,ROUNDUP('損益分岐設定'!C38*AJ12/('損益分岐設定'!$B$23*'損益分岐設定'!$B$24*3600*'損益分岐設定'!$B$25),0))</x:f>
        <x:v>2</x:v>
      </x:c>
      <x:c r="AO12" s="1" t="n">
        <x:f>MAX(2,ROUNDUP('損益分岐設定'!C39*AJ12/('損益分岐設定'!$B$23*'損益分岐設定'!$B$24*3600*'損益分岐設定'!$B$25),0))</x:f>
        <x:v>2</x:v>
      </x:c>
      <x:c r="AP12" s="1" t="n">
        <x:f>MAX(2,ROUNDUP('損益分岐設定'!C40*AJ12/('損益分岐設定'!$B$23*'損益分岐設定'!$B$24*3600*'損益分岐設定'!$B$25),0))</x:f>
        <x:v>2</x:v>
      </x:c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23" customHeight="1">
      <x:c r="A13" s="1" t="str">
        <x:v>Run</x:v>
      </x:c>
      <x:c r="B13" s="1" t="str">
        <x:v>Starter</x:v>
      </x:c>
      <x:c r="C13" s="1" t="str">
        <x:v>低位</x:v>
      </x:c>
      <x:c r="D13" s="21" t="n">
        <x:v>0.5</x:v>
      </x:c>
      <x:c r="E13" s="1" t="n">
        <x:v>0</x:v>
      </x:c>
      <x:c r="F13" s="7" t="n">
        <x:f>AD13*'損益分岐設定'!$B$5+AE13*'損益分岐設定'!$B$6+AF13*'損益分岐設定'!$B$7</x:f>
        <x:v>3000</x:v>
      </x:c>
      <x:c r="G13" s="7" t="n">
        <x:f>AG13+(AH13+AI13)*('損益分岐設定'!$B$29+0.5*'損益分岐設定'!$B$30)+AK13*'損益分岐設定'!$B$32+(AJ13+AK13/'損益分岐設定'!$B$28*'損益分岐設定'!$B$26)*('損益分岐設定'!$B$29+'損益分岐設定'!$B$31*'損益分岐設定'!$B$30)</x:f>
        <x:v>66.45579927651706</x:v>
      </x:c>
      <x:c r="H13" s="7" t="n">
        <x:f>AL13*E13</x:f>
        <x:v>0</x:v>
      </x:c>
      <x:c r="I13" s="7" t="n">
        <x:f>F13*(1-D13-'損益分岐設定'!$B$10)-G13-H13</x:f>
        <x:v>1325.5442007234828</x:v>
      </x:c>
      <x:c r="J13" s="1" t="n">
        <x:f>IF(MIN(V13:Y13)&gt;1000,"範囲内なし",MIN(V13:Y13))</x:f>
        <x:v>21</x:v>
      </x:c>
      <x:c r="K13" s="1" t="n">
        <x:f>IF(MAX(Z13:AC13)&gt;=1000,"範囲内なし",MAX(1,MAX(Z13:AC13)+1))</x:f>
        <x:v>21</x:v>
      </x:c>
      <x:c r="L13" s="7" t="n">
        <x:f>10*I13-R13</x:f>
        <x:v>-8755.492619072967</x:v>
      </x:c>
      <x:c r="M13" s="7" t="n">
        <x:f>30*I13-S13</x:f>
        <x:v>13255.391395396691</x:v>
      </x:c>
      <x:c r="N13" s="7" t="n">
        <x:f>50*I13-S13</x:f>
        <x:v>39766.27540986635</x:v>
      </x:c>
      <x:c r="O13" s="7" t="n">
        <x:f>100*I13-S13</x:f>
        <x:v>106043.48544604049</x:v>
      </x:c>
      <x:c r="P13" s="7" t="n">
        <x:f>300*I13-T13</x:f>
        <x:v>349152.32559073705</x:v>
      </x:c>
      <x:c r="Q13" s="7" t="n">
        <x:f>1000*I13-U13</x:f>
        <x:v>1247033.266097175</x:v>
      </x:c>
      <x:c r="R1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*'損益分岐設定'!$B$12*'損益分岐設定'!$B$11</x:f>
        <x:v>22010.934626307797</x:v>
      </x:c>
      <x:c r="S1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*'損益分岐設定'!$B$12*'損益分岐設定'!$B$11</x:f>
        <x:v>26510.934626307797</x:v>
      </x:c>
      <x:c r="T1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*'損益分岐設定'!$B$12*'損益分岐設定'!$B$11</x:f>
        <x:v>48510.9346263078</x:v>
      </x:c>
      <x:c r="U1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*'損益分岐設定'!$B$12*'損益分岐設定'!$B$11</x:f>
        <x:v>78510.9346263078</x:v>
      </x:c>
      <x:c r="V13" s="1" t="n">
        <x:f>IF(I13&lt;=0,1001,IF(MAX('損益分岐設定'!B37,ROUNDUP(R13/I13,0))&lt;='損益分岐設定'!C37,MAX('損益分岐設定'!B37,ROUNDUP(R13/I13,0)),1001))</x:f>
        <x:v>1001</x:v>
      </x:c>
      <x:c r="W13" s="1" t="n">
        <x:f>IF(I13&lt;=0,1001,IF(MAX('損益分岐設定'!B38,ROUNDUP(S13/I13,0))&lt;='損益分岐設定'!C38,MAX('損益分岐設定'!B38,ROUNDUP(S13/I13,0)),1001))</x:f>
        <x:v>21</x:v>
      </x:c>
      <x:c r="X13" s="1" t="n">
        <x:f>IF(I13&lt;=0,1001,IF(MAX('損益分岐設定'!B39,ROUNDUP(T13/I13,0))&lt;='損益分岐設定'!C39,MAX('損益分岐設定'!B39,ROUNDUP(T13/I13,0)),1001))</x:f>
        <x:v>101</x:v>
      </x:c>
      <x:c r="Y13" s="1" t="n">
        <x:f>IF(I13&lt;=0,1001,IF(MAX('損益分岐設定'!B40,ROUNDUP(U13/I13,0))&lt;='損益分岐設定'!C40,MAX('損益分岐設定'!B40,ROUNDUP(U13/I13,0)),1001))</x:f>
        <x:v>501</x:v>
      </x:c>
      <x:c r="Z13" s="1" t="n">
        <x:f>IF(I13&lt;=0,'損益分岐設定'!C37,IF('損益分岐設定'!C37*I13-R13&lt;0,'損益分岐設定'!C37,IF('損益分岐設定'!B37*I13-R13&gt;=0,0,ROUNDUP(R13/I13,0)-1)))</x:f>
        <x:v>10</x:v>
      </x:c>
      <x:c r="AA13" s="1" t="n">
        <x:f>IF(I13&lt;=0,'損益分岐設定'!C38,IF('損益分岐設定'!C38*I13-S13&lt;0,'損益分岐設定'!C38,IF('損益分岐設定'!B38*I13-S13&gt;=0,0,ROUNDUP(S13/I13,0)-1)))</x:f>
        <x:v>20</x:v>
      </x:c>
      <x:c r="AB13" s="1" t="n">
        <x:f>IF(I13&lt;=0,'損益分岐設定'!C39,IF('損益分岐設定'!C39*I13-T13&lt;0,'損益分岐設定'!C39,IF('損益分岐設定'!B39*I13-T13&gt;=0,0,ROUNDUP(T13/I13,0)-1)))</x:f>
        <x:v>0</x:v>
      </x:c>
      <x:c r="AC13" s="1" t="n">
        <x:f>IF(I13&lt;=0,'損益分岐設定'!C40,IF('損益分岐設定'!C40*I13-U13&lt;0,'損益分岐設定'!C40,IF('損益分岐設定'!B40*I13-U13&gt;=0,0,ROUNDUP(U13/I13,0)-1)))</x:f>
        <x:v>0</x:v>
      </x:c>
      <x:c r="AD13" s="1" t="n">
        <x:v>1</x:v>
      </x:c>
      <x:c r="AE13" s="1" t="n">
        <x:v>0</x:v>
      </x:c>
      <x:c r="AF13" s="1" t="n">
        <x:v>0</x:v>
      </x:c>
      <x:c r="AG13" s="1" t="n">
        <x:f>AD13*'損益分岐設定'!$C$56+AE13*'損益分岐設定'!$C$59+AF13*'損益分岐設定'!$C$62</x:f>
        <x:v>66.35651235961915</x:v>
      </x:c>
      <x:c r="AH13" s="1" t="n">
        <x:f>AD13*'損益分岐設定'!$D$56+AE13*'損益分岐設定'!$D$59+AF13*'損益分岐設定'!$D$62</x:f>
        <x:v>7.5</x:v>
      </x:c>
      <x:c r="AI13" s="1" t="n">
        <x:f>AD13*'損益分岐設定'!$E$56+AE13*'損益分岐設定'!$E$59+AF13*'損益分岐設定'!$E$62</x:f>
        <x:v>5</x:v>
      </x:c>
      <x:c r="AJ13" s="1" t="n">
        <x:f>(AD13*'損益分岐設定'!$F$56+AE13*'損益分岐設定'!$F$59+AF13*'損益分岐設定'!$F$62*1)*'損益分岐設定'!$B$22</x:f>
        <x:v>7.5</x:v>
      </x:c>
      <x:c r="AK13" s="1" t="n">
        <x:f>AD13*'損益分岐設定'!$G$56+AE13*'損益分岐設定'!$G$59+AF13*'損益分岐設定'!$G$62</x:f>
        <x:v>25</x:v>
      </x:c>
      <x:c r="AL13" s="1" t="n">
        <x:f>AD13*'損益分岐設定'!$H$56+AE13*'損益分岐設定'!$H$59+AF13*'損益分岐設定'!$H$62</x:f>
        <x:v>233.33333333333334</x:v>
      </x:c>
      <x:c r="AM13" s="1" t="n">
        <x:f>MAX(1,ROUNDUP('損益分岐設定'!C37*AJ13/('損益分岐設定'!$B$23*'損益分岐設定'!$B$24*3600*'損益分岐設定'!$B$25),0))</x:f>
        <x:v>1</x:v>
      </x:c>
      <x:c r="AN13" s="1" t="n">
        <x:f>MAX(2,ROUNDUP('損益分岐設定'!C38*AJ13/('損益分岐設定'!$B$23*'損益分岐設定'!$B$24*3600*'損益分岐設定'!$B$25),0))</x:f>
        <x:v>2</x:v>
      </x:c>
      <x:c r="AO13" s="1" t="n">
        <x:f>MAX(2,ROUNDUP('損益分岐設定'!C39*AJ13/('損益分岐設定'!$B$23*'損益分岐設定'!$B$24*3600*'損益分岐設定'!$B$25),0))</x:f>
        <x:v>2</x:v>
      </x:c>
      <x:c r="AP13" s="1" t="n">
        <x:f>MAX(2,ROUNDUP('損益分岐設定'!C40*AJ13/('損益分岐設定'!$B$23*'損益分岐設定'!$B$24*3600*'損益分岐設定'!$B$25),0))</x:f>
        <x:v>2</x:v>
      </x:c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23" customHeight="1">
      <x:c r="A14" s="1" t="str">
        <x:v>Run</x:v>
      </x:c>
      <x:c r="B14" s="1" t="str">
        <x:v>Starter</x:v>
      </x:c>
      <x:c r="C14" s="1" t="str">
        <x:v>低位</x:v>
      </x:c>
      <x:c r="D14" s="21" t="n">
        <x:v>0.5</x:v>
      </x:c>
      <x:c r="E14" s="1" t="n">
        <x:v>1</x:v>
      </x:c>
      <x:c r="F14" s="7" t="n">
        <x:f>AD14*'損益分岐設定'!$B$5+AE14*'損益分岐設定'!$B$6+AF14*'損益分岐設定'!$B$7</x:f>
        <x:v>3000</x:v>
      </x:c>
      <x:c r="G14" s="7" t="n">
        <x:f>AG14+(AH14+AI14)*('損益分岐設定'!$B$29+0.5*'損益分岐設定'!$B$30)+AK14*'損益分岐設定'!$B$32+(AJ14+AK14/'損益分岐設定'!$B$28*'損益分岐設定'!$B$26)*('損益分岐設定'!$B$29+'損益分岐設定'!$B$31*'損益分岐設定'!$B$30)</x:f>
        <x:v>66.45579927651706</x:v>
      </x:c>
      <x:c r="H14" s="7" t="n">
        <x:f>AL14*E14</x:f>
        <x:v>233.33333333333334</x:v>
      </x:c>
      <x:c r="I14" s="7" t="n">
        <x:f>F14*(1-D14-'損益分岐設定'!$B$10)-G14-H14</x:f>
        <x:v>1092.2108673901496</x:v>
      </x:c>
      <x:c r="J14" s="1" t="n">
        <x:f>IF(MIN(V14:Y14)&gt;1000,"範囲内なし",MIN(V14:Y14))</x:f>
        <x:v>32</x:v>
      </x:c>
      <x:c r="K14" s="1" t="n">
        <x:f>IF(MAX(Z14:AC14)&gt;=1000,"範囲内なし",MAX(1,MAX(Z14:AC14)+1))</x:f>
        <x:v>32</x:v>
      </x:c>
      <x:c r="L14" s="7" t="n">
        <x:f>10*I14-R14</x:f>
        <x:v>-19088.825952406303</x:v>
      </x:c>
      <x:c r="M14" s="7" t="n">
        <x:f>30*I14-S14</x:f>
        <x:v>-1744.6086046033088</x:v>
      </x:c>
      <x:c r="N14" s="7" t="n">
        <x:f>50*I14-S14</x:f>
        <x:v>20099.608743199686</x:v>
      </x:c>
      <x:c r="O14" s="7" t="n">
        <x:f>100*I14-S14</x:f>
        <x:v>74710.15211270718</x:v>
      </x:c>
      <x:c r="P14" s="7" t="n">
        <x:f>300*I14-T14</x:f>
        <x:v>271152.32559073705</x:v>
      </x:c>
      <x:c r="Q14" s="7" t="n">
        <x:f>1000*I14-U14</x:f>
        <x:v>1005699.9327638417</x:v>
      </x:c>
      <x:c r="R1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*'損益分岐設定'!$B$12*'損益分岐設定'!$B$11</x:f>
        <x:v>30010.934626307797</x:v>
      </x:c>
      <x:c r="S1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*'損益分岐設定'!$B$12*'損益分岐設定'!$B$11</x:f>
        <x:v>34510.9346263078</x:v>
      </x:c>
      <x:c r="T1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*'損益分岐設定'!$B$12*'損益分岐設定'!$B$11</x:f>
        <x:v>56510.9346263078</x:v>
      </x:c>
      <x:c r="U1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*'損益分岐設定'!$B$12*'損益分岐設定'!$B$11</x:f>
        <x:v>86510.9346263078</x:v>
      </x:c>
      <x:c r="V14" s="1" t="n">
        <x:f>IF(I14&lt;=0,1001,IF(MAX('損益分岐設定'!B37,ROUNDUP(R14/I14,0))&lt;='損益分岐設定'!C37,MAX('損益分岐設定'!B37,ROUNDUP(R14/I14,0)),1001))</x:f>
        <x:v>1001</x:v>
      </x:c>
      <x:c r="W14" s="1" t="n">
        <x:f>IF(I14&lt;=0,1001,IF(MAX('損益分岐設定'!B38,ROUNDUP(S14/I14,0))&lt;='損益分岐設定'!C38,MAX('損益分岐設定'!B38,ROUNDUP(S14/I14,0)),1001))</x:f>
        <x:v>32</x:v>
      </x:c>
      <x:c r="X14" s="1" t="n">
        <x:f>IF(I14&lt;=0,1001,IF(MAX('損益分岐設定'!B39,ROUNDUP(T14/I14,0))&lt;='損益分岐設定'!C39,MAX('損益分岐設定'!B39,ROUNDUP(T14/I14,0)),1001))</x:f>
        <x:v>101</x:v>
      </x:c>
      <x:c r="Y14" s="1" t="n">
        <x:f>IF(I14&lt;=0,1001,IF(MAX('損益分岐設定'!B40,ROUNDUP(U14/I14,0))&lt;='損益分岐設定'!C40,MAX('損益分岐設定'!B40,ROUNDUP(U14/I14,0)),1001))</x:f>
        <x:v>501</x:v>
      </x:c>
      <x:c r="Z14" s="1" t="n">
        <x:f>IF(I14&lt;=0,'損益分岐設定'!C37,IF('損益分岐設定'!C37*I14-R14&lt;0,'損益分岐設定'!C37,IF('損益分岐設定'!B37*I14-R14&gt;=0,0,ROUNDUP(R14/I14,0)-1)))</x:f>
        <x:v>10</x:v>
      </x:c>
      <x:c r="AA14" s="1" t="n">
        <x:f>IF(I14&lt;=0,'損益分岐設定'!C38,IF('損益分岐設定'!C38*I14-S14&lt;0,'損益分岐設定'!C38,IF('損益分岐設定'!B38*I14-S14&gt;=0,0,ROUNDUP(S14/I14,0)-1)))</x:f>
        <x:v>31</x:v>
      </x:c>
      <x:c r="AB14" s="1" t="n">
        <x:f>IF(I14&lt;=0,'損益分岐設定'!C39,IF('損益分岐設定'!C39*I14-T14&lt;0,'損益分岐設定'!C39,IF('損益分岐設定'!B39*I14-T14&gt;=0,0,ROUNDUP(T14/I14,0)-1)))</x:f>
        <x:v>0</x:v>
      </x:c>
      <x:c r="AC14" s="1" t="n">
        <x:f>IF(I14&lt;=0,'損益分岐設定'!C40,IF('損益分岐設定'!C40*I14-U14&lt;0,'損益分岐設定'!C40,IF('損益分岐設定'!B40*I14-U14&gt;=0,0,ROUNDUP(U14/I14,0)-1)))</x:f>
        <x:v>0</x:v>
      </x:c>
      <x:c r="AD14" s="1" t="n">
        <x:v>1</x:v>
      </x:c>
      <x:c r="AE14" s="1" t="n">
        <x:v>0</x:v>
      </x:c>
      <x:c r="AF14" s="1" t="n">
        <x:v>0</x:v>
      </x:c>
      <x:c r="AG14" s="1" t="n">
        <x:f>AD14*'損益分岐設定'!$C$56+AE14*'損益分岐設定'!$C$59+AF14*'損益分岐設定'!$C$62</x:f>
        <x:v>66.35651235961915</x:v>
      </x:c>
      <x:c r="AH14" s="1" t="n">
        <x:f>AD14*'損益分岐設定'!$D$56+AE14*'損益分岐設定'!$D$59+AF14*'損益分岐設定'!$D$62</x:f>
        <x:v>7.5</x:v>
      </x:c>
      <x:c r="AI14" s="1" t="n">
        <x:f>AD14*'損益分岐設定'!$E$56+AE14*'損益分岐設定'!$E$59+AF14*'損益分岐設定'!$E$62</x:f>
        <x:v>5</x:v>
      </x:c>
      <x:c r="AJ14" s="1" t="n">
        <x:f>(AD14*'損益分岐設定'!$F$56+AE14*'損益分岐設定'!$F$59+AF14*'損益分岐設定'!$F$62*1)*'損益分岐設定'!$B$22</x:f>
        <x:v>7.5</x:v>
      </x:c>
      <x:c r="AK14" s="1" t="n">
        <x:f>AD14*'損益分岐設定'!$G$56+AE14*'損益分岐設定'!$G$59+AF14*'損益分岐設定'!$G$62</x:f>
        <x:v>25</x:v>
      </x:c>
      <x:c r="AL14" s="1" t="n">
        <x:f>AD14*'損益分岐設定'!$H$56+AE14*'損益分岐設定'!$H$59+AF14*'損益分岐設定'!$H$62</x:f>
        <x:v>233.33333333333334</x:v>
      </x:c>
      <x:c r="AM14" s="1" t="n">
        <x:f>MAX(1,ROUNDUP('損益分岐設定'!C37*AJ14/('損益分岐設定'!$B$23*'損益分岐設定'!$B$24*3600*'損益分岐設定'!$B$25),0))</x:f>
        <x:v>1</x:v>
      </x:c>
      <x:c r="AN14" s="1" t="n">
        <x:f>MAX(2,ROUNDUP('損益分岐設定'!C38*AJ14/('損益分岐設定'!$B$23*'損益分岐設定'!$B$24*3600*'損益分岐設定'!$B$25),0))</x:f>
        <x:v>2</x:v>
      </x:c>
      <x:c r="AO14" s="1" t="n">
        <x:f>MAX(2,ROUNDUP('損益分岐設定'!C39*AJ14/('損益分岐設定'!$B$23*'損益分岐設定'!$B$24*3600*'損益分岐設定'!$B$25),0))</x:f>
        <x:v>2</x:v>
      </x:c>
      <x:c r="AP14" s="1" t="n">
        <x:f>MAX(2,ROUNDUP('損益分岐設定'!C40*AJ14/('損益分岐設定'!$B$23*'損益分岐設定'!$B$24*3600*'損益分岐設定'!$B$25),0))</x:f>
        <x:v>2</x:v>
      </x:c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23" customHeight="1">
      <x:c r="A15" s="1" t="str">
        <x:v>Run</x:v>
      </x:c>
      <x:c r="B15" s="1" t="str">
        <x:v>Starter</x:v>
      </x:c>
      <x:c r="C15" s="1" t="str">
        <x:v>標準</x:v>
      </x:c>
      <x:c r="D15" s="21" t="n">
        <x:v>0</x:v>
      </x:c>
      <x:c r="E15" s="1" t="n">
        <x:v>0</x:v>
      </x:c>
      <x:c r="F15" s="7" t="n">
        <x:f>AD15*'損益分岐設定'!$B$5+AE15*'損益分岐設定'!$B$6+AF15*'損益分岐設定'!$B$7</x:f>
        <x:v>3000</x:v>
      </x:c>
      <x:c r="G15" s="7" t="n">
        <x:f>AG15+(AH15+AI15)*('損益分岐設定'!$B$29+0.5*'損益分岐設定'!$B$30)+AK15*'損益分岐設定'!$B$32+(AJ15+AK15/'損益分岐設定'!$B$28*'損益分岐設定'!$B$26)*('損益分岐設定'!$B$29+'損益分岐設定'!$B$31*'損益分岐設定'!$B$30)</x:f>
        <x:v>148.8551223955603</x:v>
      </x:c>
      <x:c r="H15" s="7" t="n">
        <x:f>AL15*E15</x:f>
        <x:v>0</x:v>
      </x:c>
      <x:c r="I15" s="7" t="n">
        <x:f>F15*(1-D15-'損益分岐設定'!$B$10)-G15-H15</x:f>
        <x:v>2743.14487760444</x:v>
      </x:c>
      <x:c r="J15" s="1" t="n">
        <x:f>IF(MIN(V15:Y15)&gt;1000,"範囲内なし",MIN(V15:Y15))</x:f>
        <x:v>9</x:v>
      </x:c>
      <x:c r="K15" s="1" t="n">
        <x:f>IF(MAX(Z15:AC15)&gt;=1000,"範囲内なし",MAX(1,MAX(Z15:AC15)+1))</x:f>
        <x:v>9</x:v>
      </x:c>
      <x:c r="L15" s="7" t="n">
        <x:f>10*I15-R15</x:f>
        <x:v>5420.514149736602</x:v>
      </x:c>
      <x:c r="M15" s="7" t="n">
        <x:f>30*I15-S15</x:f>
        <x:v>55783.4117018254</x:v>
      </x:c>
      <x:c r="N15" s="7" t="n">
        <x:f>50*I15-S15</x:f>
        <x:v>110646.3092539142</x:v>
      </x:c>
      <x:c r="O15" s="7" t="n">
        <x:f>100*I15-S15</x:f>
        <x:v>247803.5531341362</x:v>
      </x:c>
      <x:c r="P15" s="7" t="n">
        <x:f>300*I15-T15</x:f>
        <x:v>774432.5286550241</x:v>
      </x:c>
      <x:c r="Q15" s="7" t="n">
        <x:f>1000*I15-U15</x:f>
        <x:v>2664633.942978132</x:v>
      </x:c>
      <x:c r="R1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*'損益分岐設定'!$B$12*'損益分岐設定'!$B$11</x:f>
        <x:v>22010.934626307797</x:v>
      </x:c>
      <x:c r="S1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*'損益分岐設定'!$B$12*'損益分岐設定'!$B$11</x:f>
        <x:v>26510.934626307797</x:v>
      </x:c>
      <x:c r="T1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*'損益分岐設定'!$B$12*'損益分岐設定'!$B$11</x:f>
        <x:v>48510.9346263078</x:v>
      </x:c>
      <x:c r="U1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*'損益分岐設定'!$B$12*'損益分岐設定'!$B$11</x:f>
        <x:v>78510.9346263078</x:v>
      </x:c>
      <x:c r="V15" s="1" t="n">
        <x:f>IF(I15&lt;=0,1001,IF(MAX('損益分岐設定'!B37,ROUNDUP(R15/I15,0))&lt;='損益分岐設定'!C37,MAX('損益分岐設定'!B37,ROUNDUP(R15/I15,0)),1001))</x:f>
        <x:v>9</x:v>
      </x:c>
      <x:c r="W15" s="1" t="n">
        <x:f>IF(I15&lt;=0,1001,IF(MAX('損益分岐設定'!B38,ROUNDUP(S15/I15,0))&lt;='損益分岐設定'!C38,MAX('損益分岐設定'!B38,ROUNDUP(S15/I15,0)),1001))</x:f>
        <x:v>11</x:v>
      </x:c>
      <x:c r="X15" s="1" t="n">
        <x:f>IF(I15&lt;=0,1001,IF(MAX('損益分岐設定'!B39,ROUNDUP(T15/I15,0))&lt;='損益分岐設定'!C39,MAX('損益分岐設定'!B39,ROUNDUP(T15/I15,0)),1001))</x:f>
        <x:v>101</x:v>
      </x:c>
      <x:c r="Y15" s="1" t="n">
        <x:f>IF(I15&lt;=0,1001,IF(MAX('損益分岐設定'!B40,ROUNDUP(U15/I15,0))&lt;='損益分岐設定'!C40,MAX('損益分岐設定'!B40,ROUNDUP(U15/I15,0)),1001))</x:f>
        <x:v>501</x:v>
      </x:c>
      <x:c r="Z15" s="1" t="n">
        <x:f>IF(I15&lt;=0,'損益分岐設定'!C37,IF('損益分岐設定'!C37*I15-R15&lt;0,'損益分岐設定'!C37,IF('損益分岐設定'!B37*I15-R15&gt;=0,0,ROUNDUP(R15/I15,0)-1)))</x:f>
        <x:v>8</x:v>
      </x:c>
      <x:c r="AA15" s="1" t="n">
        <x:f>IF(I15&lt;=0,'損益分岐設定'!C38,IF('損益分岐設定'!C38*I15-S15&lt;0,'損益分岐設定'!C38,IF('損益分岐設定'!B38*I15-S15&gt;=0,0,ROUNDUP(S15/I15,0)-1)))</x:f>
        <x:v>0</x:v>
      </x:c>
      <x:c r="AB15" s="1" t="n">
        <x:f>IF(I15&lt;=0,'損益分岐設定'!C39,IF('損益分岐設定'!C39*I15-T15&lt;0,'損益分岐設定'!C39,IF('損益分岐設定'!B39*I15-T15&gt;=0,0,ROUNDUP(T15/I15,0)-1)))</x:f>
        <x:v>0</x:v>
      </x:c>
      <x:c r="AC15" s="1" t="n">
        <x:f>IF(I15&lt;=0,'損益分岐設定'!C40,IF('損益分岐設定'!C40*I15-U15&lt;0,'損益分岐設定'!C40,IF('損益分岐設定'!B40*I15-U15&gt;=0,0,ROUNDUP(U15/I15,0)-1)))</x:f>
        <x:v>0</x:v>
      </x:c>
      <x:c r="AD15" s="1" t="n">
        <x:v>1</x:v>
      </x:c>
      <x:c r="AE15" s="1" t="n">
        <x:v>0</x:v>
      </x:c>
      <x:c r="AF15" s="1" t="n">
        <x:v>0</x:v>
      </x:c>
      <x:c r="AG15" s="1" t="n">
        <x:f>AD15*'損益分岐設定'!$C$57+AE15*'損益分岐設定'!$C$60+AF15*'損益分岐設定'!$C$63</x:f>
        <x:v>147.89614318847657</x:v>
      </x:c>
      <x:c r="AH15" s="1" t="n">
        <x:f>AD15*'損益分岐設定'!$D$57+AE15*'損益分岐設定'!$D$60+AF15*'損益分岐設定'!$D$63</x:f>
        <x:v>30</x:v>
      </x:c>
      <x:c r="AI15" s="1" t="n">
        <x:f>AD15*'損益分岐設定'!$E$57+AE15*'損益分岐設定'!$E$60+AF15*'損益分岐設定'!$E$63</x:f>
        <x:v>30</x:v>
      </x:c>
      <x:c r="AJ15" s="1" t="n">
        <x:f>(AD15*'損益分岐設定'!$F$57+AE15*'損益分岐設定'!$F$60+AF15*'損益分岐設定'!$F$63*1)*'損益分岐設定'!$B$22</x:f>
        <x:v>120</x:v>
      </x:c>
      <x:c r="AK15" s="1" t="n">
        <x:f>AD15*'損益分岐設定'!$G$57+AE15*'損益分岐設定'!$G$60+AF15*'損益分岐設定'!$G$63</x:f>
        <x:v>200</x:v>
      </x:c>
      <x:c r="AL15" s="1" t="n">
        <x:f>AD15*'損益分岐設定'!$H$57+AE15*'損益分岐設定'!$H$60+AF15*'損益分岐設定'!$H$63</x:f>
        <x:v>566.6666666666666</x:v>
      </x:c>
      <x:c r="AM15" s="1" t="n">
        <x:f>MAX(1,ROUNDUP('損益分岐設定'!C37*AJ15/('損益分岐設定'!$B$23*'損益分岐設定'!$B$24*3600*'損益分岐設定'!$B$25),0))</x:f>
        <x:v>1</x:v>
      </x:c>
      <x:c r="AN15" s="1" t="n">
        <x:f>MAX(2,ROUNDUP('損益分岐設定'!C38*AJ15/('損益分岐設定'!$B$23*'損益分岐設定'!$B$24*3600*'損益分岐設定'!$B$25),0))</x:f>
        <x:v>2</x:v>
      </x:c>
      <x:c r="AO15" s="1" t="n">
        <x:f>MAX(2,ROUNDUP('損益分岐設定'!C39*AJ15/('損益分岐設定'!$B$23*'損益分岐設定'!$B$24*3600*'損益分岐設定'!$B$25),0))</x:f>
        <x:v>2</x:v>
      </x:c>
      <x:c r="AP15" s="1" t="n">
        <x:f>MAX(2,ROUNDUP('損益分岐設定'!C40*AJ15/('損益分岐設定'!$B$23*'損益分岐設定'!$B$24*3600*'損益分岐設定'!$B$25),0))</x:f>
        <x:v>2</x:v>
      </x:c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23" customHeight="1">
      <x:c r="A16" s="1" t="str">
        <x:v>Run</x:v>
      </x:c>
      <x:c r="B16" s="1" t="str">
        <x:v>Starter</x:v>
      </x:c>
      <x:c r="C16" s="1" t="str">
        <x:v>標準</x:v>
      </x:c>
      <x:c r="D16" s="21" t="n">
        <x:v>0</x:v>
      </x:c>
      <x:c r="E16" s="1" t="n">
        <x:v>1</x:v>
      </x:c>
      <x:c r="F16" s="7" t="n">
        <x:f>AD16*'損益分岐設定'!$B$5+AE16*'損益分岐設定'!$B$6+AF16*'損益分岐設定'!$B$7</x:f>
        <x:v>3000</x:v>
      </x:c>
      <x:c r="G16" s="7" t="n">
        <x:f>AG16+(AH16+AI16)*('損益分岐設定'!$B$29+0.5*'損益分岐設定'!$B$30)+AK16*'損益分岐設定'!$B$32+(AJ16+AK16/'損益分岐設定'!$B$28*'損益分岐設定'!$B$26)*('損益分岐設定'!$B$29+'損益分岐設定'!$B$31*'損益分岐設定'!$B$30)</x:f>
        <x:v>148.8551223955603</x:v>
      </x:c>
      <x:c r="H16" s="7" t="n">
        <x:f>AL16*E16</x:f>
        <x:v>566.6666666666666</x:v>
      </x:c>
      <x:c r="I16" s="7" t="n">
        <x:f>F16*(1-D16-'損益分岐設定'!$B$10)-G16-H16</x:f>
        <x:v>2176.4782109377734</x:v>
      </x:c>
      <x:c r="J16" s="1" t="n">
        <x:f>IF(MIN(V16:Y16)&gt;1000,"範囲内なし",MIN(V16:Y16))</x:f>
        <x:v>16</x:v>
      </x:c>
      <x:c r="K16" s="1" t="n">
        <x:f>IF(MAX(Z16:AC16)&gt;=1000,"範囲内なし",MAX(1,MAX(Z16:AC16)+1))</x:f>
        <x:v>16</x:v>
      </x:c>
      <x:c r="L16" s="7" t="n">
        <x:f>10*I16-R16</x:f>
        <x:v>-8246.152516930062</x:v>
      </x:c>
      <x:c r="M16" s="7" t="n">
        <x:f>30*I16-S16</x:f>
        <x:v>30783.411701825404</x:v>
      </x:c>
      <x:c r="N16" s="7" t="n">
        <x:f>50*I16-S16</x:f>
        <x:v>74312.97592058088</x:v>
      </x:c>
      <x:c r="O16" s="7" t="n">
        <x:f>100*I16-S16</x:f>
        <x:v>183136.88646746954</x:v>
      </x:c>
      <x:c r="P16" s="7" t="n">
        <x:f>300*I16-T16</x:f>
        <x:v>596432.5286550242</x:v>
      </x:c>
      <x:c r="Q16" s="7" t="n">
        <x:f>1000*I16-U16</x:f>
        <x:v>2089967.2763114655</x:v>
      </x:c>
      <x:c r="R1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16*'損益分岐設定'!$B$12*'損益分岐設定'!$B$11</x:f>
        <x:v>30010.934626307797</x:v>
      </x:c>
      <x:c r="S1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16*'損益分岐設定'!$B$12*'損益分岐設定'!$B$11</x:f>
        <x:v>34510.9346263078</x:v>
      </x:c>
      <x:c r="T1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16*'損益分岐設定'!$B$12*'損益分岐設定'!$B$11</x:f>
        <x:v>56510.9346263078</x:v>
      </x:c>
      <x:c r="U1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16*'損益分岐設定'!$B$12*'損益分岐設定'!$B$11</x:f>
        <x:v>86510.9346263078</x:v>
      </x:c>
      <x:c r="V16" s="1" t="n">
        <x:f>IF(I16&lt;=0,1001,IF(MAX('損益分岐設定'!B37,ROUNDUP(R16/I16,0))&lt;='損益分岐設定'!C37,MAX('損益分岐設定'!B37,ROUNDUP(R16/I16,0)),1001))</x:f>
        <x:v>1001</x:v>
      </x:c>
      <x:c r="W16" s="1" t="n">
        <x:f>IF(I16&lt;=0,1001,IF(MAX('損益分岐設定'!B38,ROUNDUP(S16/I16,0))&lt;='損益分岐設定'!C38,MAX('損益分岐設定'!B38,ROUNDUP(S16/I16,0)),1001))</x:f>
        <x:v>16</x:v>
      </x:c>
      <x:c r="X16" s="1" t="n">
        <x:f>IF(I16&lt;=0,1001,IF(MAX('損益分岐設定'!B39,ROUNDUP(T16/I16,0))&lt;='損益分岐設定'!C39,MAX('損益分岐設定'!B39,ROUNDUP(T16/I16,0)),1001))</x:f>
        <x:v>101</x:v>
      </x:c>
      <x:c r="Y16" s="1" t="n">
        <x:f>IF(I16&lt;=0,1001,IF(MAX('損益分岐設定'!B40,ROUNDUP(U16/I16,0))&lt;='損益分岐設定'!C40,MAX('損益分岐設定'!B40,ROUNDUP(U16/I16,0)),1001))</x:f>
        <x:v>501</x:v>
      </x:c>
      <x:c r="Z16" s="1" t="n">
        <x:f>IF(I16&lt;=0,'損益分岐設定'!C37,IF('損益分岐設定'!C37*I16-R16&lt;0,'損益分岐設定'!C37,IF('損益分岐設定'!B37*I16-R16&gt;=0,0,ROUNDUP(R16/I16,0)-1)))</x:f>
        <x:v>10</x:v>
      </x:c>
      <x:c r="AA16" s="1" t="n">
        <x:f>IF(I16&lt;=0,'損益分岐設定'!C38,IF('損益分岐設定'!C38*I16-S16&lt;0,'損益分岐設定'!C38,IF('損益分岐設定'!B38*I16-S16&gt;=0,0,ROUNDUP(S16/I16,0)-1)))</x:f>
        <x:v>15</x:v>
      </x:c>
      <x:c r="AB16" s="1" t="n">
        <x:f>IF(I16&lt;=0,'損益分岐設定'!C39,IF('損益分岐設定'!C39*I16-T16&lt;0,'損益分岐設定'!C39,IF('損益分岐設定'!B39*I16-T16&gt;=0,0,ROUNDUP(T16/I16,0)-1)))</x:f>
        <x:v>0</x:v>
      </x:c>
      <x:c r="AC16" s="1" t="n">
        <x:f>IF(I16&lt;=0,'損益分岐設定'!C40,IF('損益分岐設定'!C40*I16-U16&lt;0,'損益分岐設定'!C40,IF('損益分岐設定'!B40*I16-U16&gt;=0,0,ROUNDUP(U16/I16,0)-1)))</x:f>
        <x:v>0</x:v>
      </x:c>
      <x:c r="AD16" s="1" t="n">
        <x:v>1</x:v>
      </x:c>
      <x:c r="AE16" s="1" t="n">
        <x:v>0</x:v>
      </x:c>
      <x:c r="AF16" s="1" t="n">
        <x:v>0</x:v>
      </x:c>
      <x:c r="AG16" s="1" t="n">
        <x:f>AD16*'損益分岐設定'!$C$57+AE16*'損益分岐設定'!$C$60+AF16*'損益分岐設定'!$C$63</x:f>
        <x:v>147.89614318847657</x:v>
      </x:c>
      <x:c r="AH16" s="1" t="n">
        <x:f>AD16*'損益分岐設定'!$D$57+AE16*'損益分岐設定'!$D$60+AF16*'損益分岐設定'!$D$63</x:f>
        <x:v>30</x:v>
      </x:c>
      <x:c r="AI16" s="1" t="n">
        <x:f>AD16*'損益分岐設定'!$E$57+AE16*'損益分岐設定'!$E$60+AF16*'損益分岐設定'!$E$63</x:f>
        <x:v>30</x:v>
      </x:c>
      <x:c r="AJ16" s="1" t="n">
        <x:f>(AD16*'損益分岐設定'!$F$57+AE16*'損益分岐設定'!$F$60+AF16*'損益分岐設定'!$F$63*1)*'損益分岐設定'!$B$22</x:f>
        <x:v>120</x:v>
      </x:c>
      <x:c r="AK16" s="1" t="n">
        <x:f>AD16*'損益分岐設定'!$G$57+AE16*'損益分岐設定'!$G$60+AF16*'損益分岐設定'!$G$63</x:f>
        <x:v>200</x:v>
      </x:c>
      <x:c r="AL16" s="1" t="n">
        <x:f>AD16*'損益分岐設定'!$H$57+AE16*'損益分岐設定'!$H$60+AF16*'損益分岐設定'!$H$63</x:f>
        <x:v>566.6666666666666</x:v>
      </x:c>
      <x:c r="AM16" s="1" t="n">
        <x:f>MAX(1,ROUNDUP('損益分岐設定'!C37*AJ16/('損益分岐設定'!$B$23*'損益分岐設定'!$B$24*3600*'損益分岐設定'!$B$25),0))</x:f>
        <x:v>1</x:v>
      </x:c>
      <x:c r="AN16" s="1" t="n">
        <x:f>MAX(2,ROUNDUP('損益分岐設定'!C38*AJ16/('損益分岐設定'!$B$23*'損益分岐設定'!$B$24*3600*'損益分岐設定'!$B$25),0))</x:f>
        <x:v>2</x:v>
      </x:c>
      <x:c r="AO16" s="1" t="n">
        <x:f>MAX(2,ROUNDUP('損益分岐設定'!C39*AJ16/('損益分岐設定'!$B$23*'損益分岐設定'!$B$24*3600*'損益分岐設定'!$B$25),0))</x:f>
        <x:v>2</x:v>
      </x:c>
      <x:c r="AP16" s="1" t="n">
        <x:f>MAX(2,ROUNDUP('損益分岐設定'!C40*AJ16/('損益分岐設定'!$B$23*'損益分岐設定'!$B$24*3600*'損益分岐設定'!$B$25),0))</x:f>
        <x:v>2</x:v>
      </x:c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23" customHeight="1">
      <x:c r="A17" s="1" t="str">
        <x:v>Run</x:v>
      </x:c>
      <x:c r="B17" s="1" t="str">
        <x:v>Starter</x:v>
      </x:c>
      <x:c r="C17" s="1" t="str">
        <x:v>標準</x:v>
      </x:c>
      <x:c r="D17" s="21" t="n">
        <x:v>0.2</x:v>
      </x:c>
      <x:c r="E17" s="1" t="n">
        <x:v>0</x:v>
      </x:c>
      <x:c r="F17" s="7" t="n">
        <x:f>AD17*'損益分岐設定'!$B$5+AE17*'損益分岐設定'!$B$6+AF17*'損益分岐設定'!$B$7</x:f>
        <x:v>3000</x:v>
      </x:c>
      <x:c r="G17" s="7" t="n">
        <x:f>AG17+(AH17+AI17)*('損益分岐設定'!$B$29+0.5*'損益分岐設定'!$B$30)+AK17*'損益分岐設定'!$B$32+(AJ17+AK17/'損益分岐設定'!$B$28*'損益分岐設定'!$B$26)*('損益分岐設定'!$B$29+'損益分岐設定'!$B$31*'損益分岐設定'!$B$30)</x:f>
        <x:v>148.8551223955603</x:v>
      </x:c>
      <x:c r="H17" s="7" t="n">
        <x:f>AL17*E17</x:f>
        <x:v>0</x:v>
      </x:c>
      <x:c r="I17" s="7" t="n">
        <x:f>F17*(1-D17-'損益分岐設定'!$B$10)-G17-H17</x:f>
        <x:v>2143.14487760444</x:v>
      </x:c>
      <x:c r="J17" s="1" t="n">
        <x:f>IF(MIN(V17:Y17)&gt;1000,"範囲内なし",MIN(V17:Y17))</x:f>
        <x:v>13</x:v>
      </x:c>
      <x:c r="K17" s="1" t="n">
        <x:f>IF(MAX(Z17:AC17)&gt;=1000,"範囲内なし",MAX(1,MAX(Z17:AC17)+1))</x:f>
        <x:v>13</x:v>
      </x:c>
      <x:c r="L17" s="7" t="n">
        <x:f>10*I17-R17</x:f>
        <x:v>-579.4858502633979</x:v>
      </x:c>
      <x:c r="M17" s="7" t="n">
        <x:f>30*I17-S17</x:f>
        <x:v>37783.4117018254</x:v>
      </x:c>
      <x:c r="N17" s="7" t="n">
        <x:f>50*I17-S17</x:f>
        <x:v>80646.3092539142</x:v>
      </x:c>
      <x:c r="O17" s="7" t="n">
        <x:f>100*I17-S17</x:f>
        <x:v>187803.5531341362</x:v>
      </x:c>
      <x:c r="P17" s="7" t="n">
        <x:f>300*I17-T17</x:f>
        <x:v>594432.5286550241</x:v>
      </x:c>
      <x:c r="Q17" s="7" t="n">
        <x:f>1000*I17-U17</x:f>
        <x:v>2064633.942978132</x:v>
      </x:c>
      <x:c r="R1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17*'損益分岐設定'!$B$12*'損益分岐設定'!$B$11</x:f>
        <x:v>22010.934626307797</x:v>
      </x:c>
      <x:c r="S1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17*'損益分岐設定'!$B$12*'損益分岐設定'!$B$11</x:f>
        <x:v>26510.934626307797</x:v>
      </x:c>
      <x:c r="T1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17*'損益分岐設定'!$B$12*'損益分岐設定'!$B$11</x:f>
        <x:v>48510.9346263078</x:v>
      </x:c>
      <x:c r="U1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17*'損益分岐設定'!$B$12*'損益分岐設定'!$B$11</x:f>
        <x:v>78510.9346263078</x:v>
      </x:c>
      <x:c r="V17" s="1" t="n">
        <x:f>IF(I17&lt;=0,1001,IF(MAX('損益分岐設定'!B37,ROUNDUP(R17/I17,0))&lt;='損益分岐設定'!C37,MAX('損益分岐設定'!B37,ROUNDUP(R17/I17,0)),1001))</x:f>
        <x:v>1001</x:v>
      </x:c>
      <x:c r="W17" s="1" t="n">
        <x:f>IF(I17&lt;=0,1001,IF(MAX('損益分岐設定'!B38,ROUNDUP(S17/I17,0))&lt;='損益分岐設定'!C38,MAX('損益分岐設定'!B38,ROUNDUP(S17/I17,0)),1001))</x:f>
        <x:v>13</x:v>
      </x:c>
      <x:c r="X17" s="1" t="n">
        <x:f>IF(I17&lt;=0,1001,IF(MAX('損益分岐設定'!B39,ROUNDUP(T17/I17,0))&lt;='損益分岐設定'!C39,MAX('損益分岐設定'!B39,ROUNDUP(T17/I17,0)),1001))</x:f>
        <x:v>101</x:v>
      </x:c>
      <x:c r="Y17" s="1" t="n">
        <x:f>IF(I17&lt;=0,1001,IF(MAX('損益分岐設定'!B40,ROUNDUP(U17/I17,0))&lt;='損益分岐設定'!C40,MAX('損益分岐設定'!B40,ROUNDUP(U17/I17,0)),1001))</x:f>
        <x:v>501</x:v>
      </x:c>
      <x:c r="Z17" s="1" t="n">
        <x:f>IF(I17&lt;=0,'損益分岐設定'!C37,IF('損益分岐設定'!C37*I17-R17&lt;0,'損益分岐設定'!C37,IF('損益分岐設定'!B37*I17-R17&gt;=0,0,ROUNDUP(R17/I17,0)-1)))</x:f>
        <x:v>10</x:v>
      </x:c>
      <x:c r="AA17" s="1" t="n">
        <x:f>IF(I17&lt;=0,'損益分岐設定'!C38,IF('損益分岐設定'!C38*I17-S17&lt;0,'損益分岐設定'!C38,IF('損益分岐設定'!B38*I17-S17&gt;=0,0,ROUNDUP(S17/I17,0)-1)))</x:f>
        <x:v>12</x:v>
      </x:c>
      <x:c r="AB17" s="1" t="n">
        <x:f>IF(I17&lt;=0,'損益分岐設定'!C39,IF('損益分岐設定'!C39*I17-T17&lt;0,'損益分岐設定'!C39,IF('損益分岐設定'!B39*I17-T17&gt;=0,0,ROUNDUP(T17/I17,0)-1)))</x:f>
        <x:v>0</x:v>
      </x:c>
      <x:c r="AC17" s="1" t="n">
        <x:f>IF(I17&lt;=0,'損益分岐設定'!C40,IF('損益分岐設定'!C40*I17-U17&lt;0,'損益分岐設定'!C40,IF('損益分岐設定'!B40*I17-U17&gt;=0,0,ROUNDUP(U17/I17,0)-1)))</x:f>
        <x:v>0</x:v>
      </x:c>
      <x:c r="AD17" s="1" t="n">
        <x:v>1</x:v>
      </x:c>
      <x:c r="AE17" s="1" t="n">
        <x:v>0</x:v>
      </x:c>
      <x:c r="AF17" s="1" t="n">
        <x:v>0</x:v>
      </x:c>
      <x:c r="AG17" s="1" t="n">
        <x:f>AD17*'損益分岐設定'!$C$57+AE17*'損益分岐設定'!$C$60+AF17*'損益分岐設定'!$C$63</x:f>
        <x:v>147.89614318847657</x:v>
      </x:c>
      <x:c r="AH17" s="1" t="n">
        <x:f>AD17*'損益分岐設定'!$D$57+AE17*'損益分岐設定'!$D$60+AF17*'損益分岐設定'!$D$63</x:f>
        <x:v>30</x:v>
      </x:c>
      <x:c r="AI17" s="1" t="n">
        <x:f>AD17*'損益分岐設定'!$E$57+AE17*'損益分岐設定'!$E$60+AF17*'損益分岐設定'!$E$63</x:f>
        <x:v>30</x:v>
      </x:c>
      <x:c r="AJ17" s="1" t="n">
        <x:f>(AD17*'損益分岐設定'!$F$57+AE17*'損益分岐設定'!$F$60+AF17*'損益分岐設定'!$F$63*1)*'損益分岐設定'!$B$22</x:f>
        <x:v>120</x:v>
      </x:c>
      <x:c r="AK17" s="1" t="n">
        <x:f>AD17*'損益分岐設定'!$G$57+AE17*'損益分岐設定'!$G$60+AF17*'損益分岐設定'!$G$63</x:f>
        <x:v>200</x:v>
      </x:c>
      <x:c r="AL17" s="1" t="n">
        <x:f>AD17*'損益分岐設定'!$H$57+AE17*'損益分岐設定'!$H$60+AF17*'損益分岐設定'!$H$63</x:f>
        <x:v>566.6666666666666</x:v>
      </x:c>
      <x:c r="AM17" s="1" t="n">
        <x:f>MAX(1,ROUNDUP('損益分岐設定'!C37*AJ17/('損益分岐設定'!$B$23*'損益分岐設定'!$B$24*3600*'損益分岐設定'!$B$25),0))</x:f>
        <x:v>1</x:v>
      </x:c>
      <x:c r="AN17" s="1" t="n">
        <x:f>MAX(2,ROUNDUP('損益分岐設定'!C38*AJ17/('損益分岐設定'!$B$23*'損益分岐設定'!$B$24*3600*'損益分岐設定'!$B$25),0))</x:f>
        <x:v>2</x:v>
      </x:c>
      <x:c r="AO17" s="1" t="n">
        <x:f>MAX(2,ROUNDUP('損益分岐設定'!C39*AJ17/('損益分岐設定'!$B$23*'損益分岐設定'!$B$24*3600*'損益分岐設定'!$B$25),0))</x:f>
        <x:v>2</x:v>
      </x:c>
      <x:c r="AP17" s="1" t="n">
        <x:f>MAX(2,ROUNDUP('損益分岐設定'!C40*AJ17/('損益分岐設定'!$B$23*'損益分岐設定'!$B$24*3600*'損益分岐設定'!$B$25),0))</x:f>
        <x:v>2</x:v>
      </x:c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23" customHeight="1">
      <x:c r="A18" s="1" t="str">
        <x:v>Run</x:v>
      </x:c>
      <x:c r="B18" s="1" t="str">
        <x:v>Starter</x:v>
      </x:c>
      <x:c r="C18" s="1" t="str">
        <x:v>標準</x:v>
      </x:c>
      <x:c r="D18" s="21" t="n">
        <x:v>0.2</x:v>
      </x:c>
      <x:c r="E18" s="1" t="n">
        <x:v>1</x:v>
      </x:c>
      <x:c r="F18" s="7" t="n">
        <x:f>AD18*'損益分岐設定'!$B$5+AE18*'損益分岐設定'!$B$6+AF18*'損益分岐設定'!$B$7</x:f>
        <x:v>3000</x:v>
      </x:c>
      <x:c r="G18" s="7" t="n">
        <x:f>AG18+(AH18+AI18)*('損益分岐設定'!$B$29+0.5*'損益分岐設定'!$B$30)+AK18*'損益分岐設定'!$B$32+(AJ18+AK18/'損益分岐設定'!$B$28*'損益分岐設定'!$B$26)*('損益分岐設定'!$B$29+'損益分岐設定'!$B$31*'損益分岐設定'!$B$30)</x:f>
        <x:v>148.8551223955603</x:v>
      </x:c>
      <x:c r="H18" s="7" t="n">
        <x:f>AL18*E18</x:f>
        <x:v>566.6666666666666</x:v>
      </x:c>
      <x:c r="I18" s="7" t="n">
        <x:f>F18*(1-D18-'損益分岐設定'!$B$10)-G18-H18</x:f>
        <x:v>1576.4782109377734</x:v>
      </x:c>
      <x:c r="J18" s="1" t="n">
        <x:f>IF(MIN(V18:Y18)&gt;1000,"範囲内なし",MIN(V18:Y18))</x:f>
        <x:v>22</x:v>
      </x:c>
      <x:c r="K18" s="1" t="n">
        <x:f>IF(MAX(Z18:AC18)&gt;=1000,"範囲内なし",MAX(1,MAX(Z18:AC18)+1))</x:f>
        <x:v>22</x:v>
      </x:c>
      <x:c r="L18" s="7" t="n">
        <x:f>10*I18-R18</x:f>
        <x:v>-14246.152516930062</x:v>
      </x:c>
      <x:c r="M18" s="7" t="n">
        <x:f>30*I18-S18</x:f>
        <x:v>12783.411701825404</x:v>
      </x:c>
      <x:c r="N18" s="7" t="n">
        <x:f>50*I18-S18</x:f>
        <x:v>44312.97592058087</x:v>
      </x:c>
      <x:c r="O18" s="7" t="n">
        <x:f>100*I18-S18</x:f>
        <x:v>123136.88646746954</x:v>
      </x:c>
      <x:c r="P18" s="7" t="n">
        <x:f>300*I18-T18</x:f>
        <x:v>416432.5286550242</x:v>
      </x:c>
      <x:c r="Q18" s="7" t="n">
        <x:f>1000*I18-U18</x:f>
        <x:v>1489967.2763114655</x:v>
      </x:c>
      <x:c r="R1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18*'損益分岐設定'!$B$12*'損益分岐設定'!$B$11</x:f>
        <x:v>30010.934626307797</x:v>
      </x:c>
      <x:c r="S1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18*'損益分岐設定'!$B$12*'損益分岐設定'!$B$11</x:f>
        <x:v>34510.9346263078</x:v>
      </x:c>
      <x:c r="T1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18*'損益分岐設定'!$B$12*'損益分岐設定'!$B$11</x:f>
        <x:v>56510.9346263078</x:v>
      </x:c>
      <x:c r="U1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18*'損益分岐設定'!$B$12*'損益分岐設定'!$B$11</x:f>
        <x:v>86510.9346263078</x:v>
      </x:c>
      <x:c r="V18" s="1" t="n">
        <x:f>IF(I18&lt;=0,1001,IF(MAX('損益分岐設定'!B37,ROUNDUP(R18/I18,0))&lt;='損益分岐設定'!C37,MAX('損益分岐設定'!B37,ROUNDUP(R18/I18,0)),1001))</x:f>
        <x:v>1001</x:v>
      </x:c>
      <x:c r="W18" s="1" t="n">
        <x:f>IF(I18&lt;=0,1001,IF(MAX('損益分岐設定'!B38,ROUNDUP(S18/I18,0))&lt;='損益分岐設定'!C38,MAX('損益分岐設定'!B38,ROUNDUP(S18/I18,0)),1001))</x:f>
        <x:v>22</x:v>
      </x:c>
      <x:c r="X18" s="1" t="n">
        <x:f>IF(I18&lt;=0,1001,IF(MAX('損益分岐設定'!B39,ROUNDUP(T18/I18,0))&lt;='損益分岐設定'!C39,MAX('損益分岐設定'!B39,ROUNDUP(T18/I18,0)),1001))</x:f>
        <x:v>101</x:v>
      </x:c>
      <x:c r="Y18" s="1" t="n">
        <x:f>IF(I18&lt;=0,1001,IF(MAX('損益分岐設定'!B40,ROUNDUP(U18/I18,0))&lt;='損益分岐設定'!C40,MAX('損益分岐設定'!B40,ROUNDUP(U18/I18,0)),1001))</x:f>
        <x:v>501</x:v>
      </x:c>
      <x:c r="Z18" s="1" t="n">
        <x:f>IF(I18&lt;=0,'損益分岐設定'!C37,IF('損益分岐設定'!C37*I18-R18&lt;0,'損益分岐設定'!C37,IF('損益分岐設定'!B37*I18-R18&gt;=0,0,ROUNDUP(R18/I18,0)-1)))</x:f>
        <x:v>10</x:v>
      </x:c>
      <x:c r="AA18" s="1" t="n">
        <x:f>IF(I18&lt;=0,'損益分岐設定'!C38,IF('損益分岐設定'!C38*I18-S18&lt;0,'損益分岐設定'!C38,IF('損益分岐設定'!B38*I18-S18&gt;=0,0,ROUNDUP(S18/I18,0)-1)))</x:f>
        <x:v>21</x:v>
      </x:c>
      <x:c r="AB18" s="1" t="n">
        <x:f>IF(I18&lt;=0,'損益分岐設定'!C39,IF('損益分岐設定'!C39*I18-T18&lt;0,'損益分岐設定'!C39,IF('損益分岐設定'!B39*I18-T18&gt;=0,0,ROUNDUP(T18/I18,0)-1)))</x:f>
        <x:v>0</x:v>
      </x:c>
      <x:c r="AC18" s="1" t="n">
        <x:f>IF(I18&lt;=0,'損益分岐設定'!C40,IF('損益分岐設定'!C40*I18-U18&lt;0,'損益分岐設定'!C40,IF('損益分岐設定'!B40*I18-U18&gt;=0,0,ROUNDUP(U18/I18,0)-1)))</x:f>
        <x:v>0</x:v>
      </x:c>
      <x:c r="AD18" s="1" t="n">
        <x:v>1</x:v>
      </x:c>
      <x:c r="AE18" s="1" t="n">
        <x:v>0</x:v>
      </x:c>
      <x:c r="AF18" s="1" t="n">
        <x:v>0</x:v>
      </x:c>
      <x:c r="AG18" s="1" t="n">
        <x:f>AD18*'損益分岐設定'!$C$57+AE18*'損益分岐設定'!$C$60+AF18*'損益分岐設定'!$C$63</x:f>
        <x:v>147.89614318847657</x:v>
      </x:c>
      <x:c r="AH18" s="1" t="n">
        <x:f>AD18*'損益分岐設定'!$D$57+AE18*'損益分岐設定'!$D$60+AF18*'損益分岐設定'!$D$63</x:f>
        <x:v>30</x:v>
      </x:c>
      <x:c r="AI18" s="1" t="n">
        <x:f>AD18*'損益分岐設定'!$E$57+AE18*'損益分岐設定'!$E$60+AF18*'損益分岐設定'!$E$63</x:f>
        <x:v>30</x:v>
      </x:c>
      <x:c r="AJ18" s="1" t="n">
        <x:f>(AD18*'損益分岐設定'!$F$57+AE18*'損益分岐設定'!$F$60+AF18*'損益分岐設定'!$F$63*1)*'損益分岐設定'!$B$22</x:f>
        <x:v>120</x:v>
      </x:c>
      <x:c r="AK18" s="1" t="n">
        <x:f>AD18*'損益分岐設定'!$G$57+AE18*'損益分岐設定'!$G$60+AF18*'損益分岐設定'!$G$63</x:f>
        <x:v>200</x:v>
      </x:c>
      <x:c r="AL18" s="1" t="n">
        <x:f>AD18*'損益分岐設定'!$H$57+AE18*'損益分岐設定'!$H$60+AF18*'損益分岐設定'!$H$63</x:f>
        <x:v>566.6666666666666</x:v>
      </x:c>
      <x:c r="AM18" s="1" t="n">
        <x:f>MAX(1,ROUNDUP('損益分岐設定'!C37*AJ18/('損益分岐設定'!$B$23*'損益分岐設定'!$B$24*3600*'損益分岐設定'!$B$25),0))</x:f>
        <x:v>1</x:v>
      </x:c>
      <x:c r="AN18" s="1" t="n">
        <x:f>MAX(2,ROUNDUP('損益分岐設定'!C38*AJ18/('損益分岐設定'!$B$23*'損益分岐設定'!$B$24*3600*'損益分岐設定'!$B$25),0))</x:f>
        <x:v>2</x:v>
      </x:c>
      <x:c r="AO18" s="1" t="n">
        <x:f>MAX(2,ROUNDUP('損益分岐設定'!C39*AJ18/('損益分岐設定'!$B$23*'損益分岐設定'!$B$24*3600*'損益分岐設定'!$B$25),0))</x:f>
        <x:v>2</x:v>
      </x:c>
      <x:c r="AP18" s="1" t="n">
        <x:f>MAX(2,ROUNDUP('損益分岐設定'!C40*AJ18/('損益分岐設定'!$B$23*'損益分岐設定'!$B$24*3600*'損益分岐設定'!$B$25),0))</x:f>
        <x:v>2</x:v>
      </x:c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23" customHeight="1">
      <x:c r="A19" s="1" t="str">
        <x:v>Run</x:v>
      </x:c>
      <x:c r="B19" s="1" t="str">
        <x:v>Starter</x:v>
      </x:c>
      <x:c r="C19" s="1" t="str">
        <x:v>標準</x:v>
      </x:c>
      <x:c r="D19" s="21" t="n">
        <x:v>0.3</x:v>
      </x:c>
      <x:c r="E19" s="1" t="n">
        <x:v>0</x:v>
      </x:c>
      <x:c r="F19" s="7" t="n">
        <x:f>AD19*'損益分岐設定'!$B$5+AE19*'損益分岐設定'!$B$6+AF19*'損益分岐設定'!$B$7</x:f>
        <x:v>3000</x:v>
      </x:c>
      <x:c r="G19" s="7" t="n">
        <x:f>AG19+(AH19+AI19)*('損益分岐設定'!$B$29+0.5*'損益分岐設定'!$B$30)+AK19*'損益分岐設定'!$B$32+(AJ19+AK19/'損益分岐設定'!$B$28*'損益分岐設定'!$B$26)*('損益分岐設定'!$B$29+'損益分岐設定'!$B$31*'損益分岐設定'!$B$30)</x:f>
        <x:v>148.8551223955603</x:v>
      </x:c>
      <x:c r="H19" s="7" t="n">
        <x:f>AL19*E19</x:f>
        <x:v>0</x:v>
      </x:c>
      <x:c r="I19" s="7" t="n">
        <x:f>F19*(1-D19-'損益分岐設定'!$B$10)-G19-H19</x:f>
        <x:v>1843.1448776044394</x:v>
      </x:c>
      <x:c r="J19" s="1" t="n">
        <x:f>IF(MIN(V19:Y19)&gt;1000,"範囲内なし",MIN(V19:Y19))</x:f>
        <x:v>15</x:v>
      </x:c>
      <x:c r="K19" s="1" t="n">
        <x:f>IF(MAX(Z19:AC19)&gt;=1000,"範囲内なし",MAX(1,MAX(Z19:AC19)+1))</x:f>
        <x:v>15</x:v>
      </x:c>
      <x:c r="L19" s="7" t="n">
        <x:f>10*I19-R19</x:f>
        <x:v>-3579.4858502634015</x:v>
      </x:c>
      <x:c r="M19" s="7" t="n">
        <x:f>30*I19-S19</x:f>
        <x:v>28783.41170182539</x:v>
      </x:c>
      <x:c r="N19" s="7" t="n">
        <x:f>50*I19-S19</x:f>
        <x:v>65646.30925391417</x:v>
      </x:c>
      <x:c r="O19" s="7" t="n">
        <x:f>100*I19-S19</x:f>
        <x:v>157803.55313413613</x:v>
      </x:c>
      <x:c r="P19" s="7" t="n">
        <x:f>300*I19-T19</x:f>
        <x:v>504432.528655024</x:v>
      </x:c>
      <x:c r="Q19" s="7" t="n">
        <x:f>1000*I19-U19</x:f>
        <x:v>1764633.9429781316</x:v>
      </x:c>
      <x:c r="R1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19*'損益分岐設定'!$B$12*'損益分岐設定'!$B$11</x:f>
        <x:v>22010.934626307797</x:v>
      </x:c>
      <x:c r="S1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19*'損益分岐設定'!$B$12*'損益分岐設定'!$B$11</x:f>
        <x:v>26510.934626307797</x:v>
      </x:c>
      <x:c r="T1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19*'損益分岐設定'!$B$12*'損益分岐設定'!$B$11</x:f>
        <x:v>48510.9346263078</x:v>
      </x:c>
      <x:c r="U1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19*'損益分岐設定'!$B$12*'損益分岐設定'!$B$11</x:f>
        <x:v>78510.9346263078</x:v>
      </x:c>
      <x:c r="V19" s="1" t="n">
        <x:f>IF(I19&lt;=0,1001,IF(MAX('損益分岐設定'!B37,ROUNDUP(R19/I19,0))&lt;='損益分岐設定'!C37,MAX('損益分岐設定'!B37,ROUNDUP(R19/I19,0)),1001))</x:f>
        <x:v>1001</x:v>
      </x:c>
      <x:c r="W19" s="1" t="n">
        <x:f>IF(I19&lt;=0,1001,IF(MAX('損益分岐設定'!B38,ROUNDUP(S19/I19,0))&lt;='損益分岐設定'!C38,MAX('損益分岐設定'!B38,ROUNDUP(S19/I19,0)),1001))</x:f>
        <x:v>15</x:v>
      </x:c>
      <x:c r="X19" s="1" t="n">
        <x:f>IF(I19&lt;=0,1001,IF(MAX('損益分岐設定'!B39,ROUNDUP(T19/I19,0))&lt;='損益分岐設定'!C39,MAX('損益分岐設定'!B39,ROUNDUP(T19/I19,0)),1001))</x:f>
        <x:v>101</x:v>
      </x:c>
      <x:c r="Y19" s="1" t="n">
        <x:f>IF(I19&lt;=0,1001,IF(MAX('損益分岐設定'!B40,ROUNDUP(U19/I19,0))&lt;='損益分岐設定'!C40,MAX('損益分岐設定'!B40,ROUNDUP(U19/I19,0)),1001))</x:f>
        <x:v>501</x:v>
      </x:c>
      <x:c r="Z19" s="1" t="n">
        <x:f>IF(I19&lt;=0,'損益分岐設定'!C37,IF('損益分岐設定'!C37*I19-R19&lt;0,'損益分岐設定'!C37,IF('損益分岐設定'!B37*I19-R19&gt;=0,0,ROUNDUP(R19/I19,0)-1)))</x:f>
        <x:v>10</x:v>
      </x:c>
      <x:c r="AA19" s="1" t="n">
        <x:f>IF(I19&lt;=0,'損益分岐設定'!C38,IF('損益分岐設定'!C38*I19-S19&lt;0,'損益分岐設定'!C38,IF('損益分岐設定'!B38*I19-S19&gt;=0,0,ROUNDUP(S19/I19,0)-1)))</x:f>
        <x:v>14</x:v>
      </x:c>
      <x:c r="AB19" s="1" t="n">
        <x:f>IF(I19&lt;=0,'損益分岐設定'!C39,IF('損益分岐設定'!C39*I19-T19&lt;0,'損益分岐設定'!C39,IF('損益分岐設定'!B39*I19-T19&gt;=0,0,ROUNDUP(T19/I19,0)-1)))</x:f>
        <x:v>0</x:v>
      </x:c>
      <x:c r="AC19" s="1" t="n">
        <x:f>IF(I19&lt;=0,'損益分岐設定'!C40,IF('損益分岐設定'!C40*I19-U19&lt;0,'損益分岐設定'!C40,IF('損益分岐設定'!B40*I19-U19&gt;=0,0,ROUNDUP(U19/I19,0)-1)))</x:f>
        <x:v>0</x:v>
      </x:c>
      <x:c r="AD19" s="1" t="n">
        <x:v>1</x:v>
      </x:c>
      <x:c r="AE19" s="1" t="n">
        <x:v>0</x:v>
      </x:c>
      <x:c r="AF19" s="1" t="n">
        <x:v>0</x:v>
      </x:c>
      <x:c r="AG19" s="1" t="n">
        <x:f>AD19*'損益分岐設定'!$C$57+AE19*'損益分岐設定'!$C$60+AF19*'損益分岐設定'!$C$63</x:f>
        <x:v>147.89614318847657</x:v>
      </x:c>
      <x:c r="AH19" s="1" t="n">
        <x:f>AD19*'損益分岐設定'!$D$57+AE19*'損益分岐設定'!$D$60+AF19*'損益分岐設定'!$D$63</x:f>
        <x:v>30</x:v>
      </x:c>
      <x:c r="AI19" s="1" t="n">
        <x:f>AD19*'損益分岐設定'!$E$57+AE19*'損益分岐設定'!$E$60+AF19*'損益分岐設定'!$E$63</x:f>
        <x:v>30</x:v>
      </x:c>
      <x:c r="AJ19" s="1" t="n">
        <x:f>(AD19*'損益分岐設定'!$F$57+AE19*'損益分岐設定'!$F$60+AF19*'損益分岐設定'!$F$63*1)*'損益分岐設定'!$B$22</x:f>
        <x:v>120</x:v>
      </x:c>
      <x:c r="AK19" s="1" t="n">
        <x:f>AD19*'損益分岐設定'!$G$57+AE19*'損益分岐設定'!$G$60+AF19*'損益分岐設定'!$G$63</x:f>
        <x:v>200</x:v>
      </x:c>
      <x:c r="AL19" s="1" t="n">
        <x:f>AD19*'損益分岐設定'!$H$57+AE19*'損益分岐設定'!$H$60+AF19*'損益分岐設定'!$H$63</x:f>
        <x:v>566.6666666666666</x:v>
      </x:c>
      <x:c r="AM19" s="1" t="n">
        <x:f>MAX(1,ROUNDUP('損益分岐設定'!C37*AJ19/('損益分岐設定'!$B$23*'損益分岐設定'!$B$24*3600*'損益分岐設定'!$B$25),0))</x:f>
        <x:v>1</x:v>
      </x:c>
      <x:c r="AN19" s="1" t="n">
        <x:f>MAX(2,ROUNDUP('損益分岐設定'!C38*AJ19/('損益分岐設定'!$B$23*'損益分岐設定'!$B$24*3600*'損益分岐設定'!$B$25),0))</x:f>
        <x:v>2</x:v>
      </x:c>
      <x:c r="AO19" s="1" t="n">
        <x:f>MAX(2,ROUNDUP('損益分岐設定'!C39*AJ19/('損益分岐設定'!$B$23*'損益分岐設定'!$B$24*3600*'損益分岐設定'!$B$25),0))</x:f>
        <x:v>2</x:v>
      </x:c>
      <x:c r="AP19" s="1" t="n">
        <x:f>MAX(2,ROUNDUP('損益分岐設定'!C40*AJ19/('損益分岐設定'!$B$23*'損益分岐設定'!$B$24*3600*'損益分岐設定'!$B$25),0))</x:f>
        <x:v>2</x:v>
      </x:c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23" customHeight="1">
      <x:c r="A20" s="1" t="str">
        <x:v>Run</x:v>
      </x:c>
      <x:c r="B20" s="1" t="str">
        <x:v>Starter</x:v>
      </x:c>
      <x:c r="C20" s="1" t="str">
        <x:v>標準</x:v>
      </x:c>
      <x:c r="D20" s="21" t="n">
        <x:v>0.3</x:v>
      </x:c>
      <x:c r="E20" s="1" t="n">
        <x:v>1</x:v>
      </x:c>
      <x:c r="F20" s="7" t="n">
        <x:f>AD20*'損益分岐設定'!$B$5+AE20*'損益分岐設定'!$B$6+AF20*'損益分岐設定'!$B$7</x:f>
        <x:v>3000</x:v>
      </x:c>
      <x:c r="G20" s="7" t="n">
        <x:f>AG20+(AH20+AI20)*('損益分岐設定'!$B$29+0.5*'損益分岐設定'!$B$30)+AK20*'損益分岐設定'!$B$32+(AJ20+AK20/'損益分岐設定'!$B$28*'損益分岐設定'!$B$26)*('損益分岐設定'!$B$29+'損益分岐設定'!$B$31*'損益分岐設定'!$B$30)</x:f>
        <x:v>148.8551223955603</x:v>
      </x:c>
      <x:c r="H20" s="7" t="n">
        <x:f>AL20*E20</x:f>
        <x:v>566.6666666666666</x:v>
      </x:c>
      <x:c r="I20" s="7" t="n">
        <x:f>F20*(1-D20-'損益分岐設定'!$B$10)-G20-H20</x:f>
        <x:v>1276.478210937773</x:v>
      </x:c>
      <x:c r="J20" s="1" t="n">
        <x:f>IF(MIN(V20:Y20)&gt;1000,"範囲内なし",MIN(V20:Y20))</x:f>
        <x:v>28</x:v>
      </x:c>
      <x:c r="K20" s="1" t="n">
        <x:f>IF(MAX(Z20:AC20)&gt;=1000,"範囲内なし",MAX(1,MAX(Z20:AC20)+1))</x:f>
        <x:v>28</x:v>
      </x:c>
      <x:c r="L20" s="7" t="n">
        <x:f>10*I20-R20</x:f>
        <x:v>-17246.152516930066</x:v>
      </x:c>
      <x:c r="M20" s="7" t="n">
        <x:f>30*I20-S20</x:f>
        <x:v>3783.411701825389</x:v>
      </x:c>
      <x:c r="N20" s="7" t="n">
        <x:f>50*I20-S20</x:f>
        <x:v>29312.97592058085</x:v>
      </x:c>
      <x:c r="O20" s="7" t="n">
        <x:f>100*I20-S20</x:f>
        <x:v>93136.8864674695</x:v>
      </x:c>
      <x:c r="P20" s="7" t="n">
        <x:f>300*I20-T20</x:f>
        <x:v>326432.52865502407</x:v>
      </x:c>
      <x:c r="Q20" s="7" t="n">
        <x:f>1000*I20-U20</x:f>
        <x:v>1189967.276311465</x:v>
      </x:c>
      <x:c r="R2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20*'損益分岐設定'!$B$12*'損益分岐設定'!$B$11</x:f>
        <x:v>30010.934626307797</x:v>
      </x:c>
      <x:c r="S2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20*'損益分岐設定'!$B$12*'損益分岐設定'!$B$11</x:f>
        <x:v>34510.9346263078</x:v>
      </x:c>
      <x:c r="T2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20*'損益分岐設定'!$B$12*'損益分岐設定'!$B$11</x:f>
        <x:v>56510.9346263078</x:v>
      </x:c>
      <x:c r="U2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20*'損益分岐設定'!$B$12*'損益分岐設定'!$B$11</x:f>
        <x:v>86510.9346263078</x:v>
      </x:c>
      <x:c r="V20" s="1" t="n">
        <x:f>IF(I20&lt;=0,1001,IF(MAX('損益分岐設定'!B37,ROUNDUP(R20/I20,0))&lt;='損益分岐設定'!C37,MAX('損益分岐設定'!B37,ROUNDUP(R20/I20,0)),1001))</x:f>
        <x:v>1001</x:v>
      </x:c>
      <x:c r="W20" s="1" t="n">
        <x:f>IF(I20&lt;=0,1001,IF(MAX('損益分岐設定'!B38,ROUNDUP(S20/I20,0))&lt;='損益分岐設定'!C38,MAX('損益分岐設定'!B38,ROUNDUP(S20/I20,0)),1001))</x:f>
        <x:v>28</x:v>
      </x:c>
      <x:c r="X20" s="1" t="n">
        <x:f>IF(I20&lt;=0,1001,IF(MAX('損益分岐設定'!B39,ROUNDUP(T20/I20,0))&lt;='損益分岐設定'!C39,MAX('損益分岐設定'!B39,ROUNDUP(T20/I20,0)),1001))</x:f>
        <x:v>101</x:v>
      </x:c>
      <x:c r="Y20" s="1" t="n">
        <x:f>IF(I20&lt;=0,1001,IF(MAX('損益分岐設定'!B40,ROUNDUP(U20/I20,0))&lt;='損益分岐設定'!C40,MAX('損益分岐設定'!B40,ROUNDUP(U20/I20,0)),1001))</x:f>
        <x:v>501</x:v>
      </x:c>
      <x:c r="Z20" s="1" t="n">
        <x:f>IF(I20&lt;=0,'損益分岐設定'!C37,IF('損益分岐設定'!C37*I20-R20&lt;0,'損益分岐設定'!C37,IF('損益分岐設定'!B37*I20-R20&gt;=0,0,ROUNDUP(R20/I20,0)-1)))</x:f>
        <x:v>10</x:v>
      </x:c>
      <x:c r="AA20" s="1" t="n">
        <x:f>IF(I20&lt;=0,'損益分岐設定'!C38,IF('損益分岐設定'!C38*I20-S20&lt;0,'損益分岐設定'!C38,IF('損益分岐設定'!B38*I20-S20&gt;=0,0,ROUNDUP(S20/I20,0)-1)))</x:f>
        <x:v>27</x:v>
      </x:c>
      <x:c r="AB20" s="1" t="n">
        <x:f>IF(I20&lt;=0,'損益分岐設定'!C39,IF('損益分岐設定'!C39*I20-T20&lt;0,'損益分岐設定'!C39,IF('損益分岐設定'!B39*I20-T20&gt;=0,0,ROUNDUP(T20/I20,0)-1)))</x:f>
        <x:v>0</x:v>
      </x:c>
      <x:c r="AC20" s="1" t="n">
        <x:f>IF(I20&lt;=0,'損益分岐設定'!C40,IF('損益分岐設定'!C40*I20-U20&lt;0,'損益分岐設定'!C40,IF('損益分岐設定'!B40*I20-U20&gt;=0,0,ROUNDUP(U20/I20,0)-1)))</x:f>
        <x:v>0</x:v>
      </x:c>
      <x:c r="AD20" s="1" t="n">
        <x:v>1</x:v>
      </x:c>
      <x:c r="AE20" s="1" t="n">
        <x:v>0</x:v>
      </x:c>
      <x:c r="AF20" s="1" t="n">
        <x:v>0</x:v>
      </x:c>
      <x:c r="AG20" s="1" t="n">
        <x:f>AD20*'損益分岐設定'!$C$57+AE20*'損益分岐設定'!$C$60+AF20*'損益分岐設定'!$C$63</x:f>
        <x:v>147.89614318847657</x:v>
      </x:c>
      <x:c r="AH20" s="1" t="n">
        <x:f>AD20*'損益分岐設定'!$D$57+AE20*'損益分岐設定'!$D$60+AF20*'損益分岐設定'!$D$63</x:f>
        <x:v>30</x:v>
      </x:c>
      <x:c r="AI20" s="1" t="n">
        <x:f>AD20*'損益分岐設定'!$E$57+AE20*'損益分岐設定'!$E$60+AF20*'損益分岐設定'!$E$63</x:f>
        <x:v>30</x:v>
      </x:c>
      <x:c r="AJ20" s="1" t="n">
        <x:f>(AD20*'損益分岐設定'!$F$57+AE20*'損益分岐設定'!$F$60+AF20*'損益分岐設定'!$F$63*1)*'損益分岐設定'!$B$22</x:f>
        <x:v>120</x:v>
      </x:c>
      <x:c r="AK20" s="1" t="n">
        <x:f>AD20*'損益分岐設定'!$G$57+AE20*'損益分岐設定'!$G$60+AF20*'損益分岐設定'!$G$63</x:f>
        <x:v>200</x:v>
      </x:c>
      <x:c r="AL20" s="1" t="n">
        <x:f>AD20*'損益分岐設定'!$H$57+AE20*'損益分岐設定'!$H$60+AF20*'損益分岐設定'!$H$63</x:f>
        <x:v>566.6666666666666</x:v>
      </x:c>
      <x:c r="AM20" s="1" t="n">
        <x:f>MAX(1,ROUNDUP('損益分岐設定'!C37*AJ20/('損益分岐設定'!$B$23*'損益分岐設定'!$B$24*3600*'損益分岐設定'!$B$25),0))</x:f>
        <x:v>1</x:v>
      </x:c>
      <x:c r="AN20" s="1" t="n">
        <x:f>MAX(2,ROUNDUP('損益分岐設定'!C38*AJ20/('損益分岐設定'!$B$23*'損益分岐設定'!$B$24*3600*'損益分岐設定'!$B$25),0))</x:f>
        <x:v>2</x:v>
      </x:c>
      <x:c r="AO20" s="1" t="n">
        <x:f>MAX(2,ROUNDUP('損益分岐設定'!C39*AJ20/('損益分岐設定'!$B$23*'損益分岐設定'!$B$24*3600*'損益分岐設定'!$B$25),0))</x:f>
        <x:v>2</x:v>
      </x:c>
      <x:c r="AP20" s="1" t="n">
        <x:f>MAX(2,ROUNDUP('損益分岐設定'!C40*AJ20/('損益分岐設定'!$B$23*'損益分岐設定'!$B$24*3600*'損益分岐設定'!$B$25),0))</x:f>
        <x:v>2</x:v>
      </x:c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23" customHeight="1">
      <x:c r="A21" s="1" t="str">
        <x:v>Run</x:v>
      </x:c>
      <x:c r="B21" s="1" t="str">
        <x:v>Starter</x:v>
      </x:c>
      <x:c r="C21" s="1" t="str">
        <x:v>標準</x:v>
      </x:c>
      <x:c r="D21" s="21" t="n">
        <x:v>0.4</x:v>
      </x:c>
      <x:c r="E21" s="1" t="n">
        <x:v>0</x:v>
      </x:c>
      <x:c r="F21" s="7" t="n">
        <x:f>AD21*'損益分岐設定'!$B$5+AE21*'損益分岐設定'!$B$6+AF21*'損益分岐設定'!$B$7</x:f>
        <x:v>3000</x:v>
      </x:c>
      <x:c r="G21" s="7" t="n">
        <x:f>AG21+(AH21+AI21)*('損益分岐設定'!$B$29+0.5*'損益分岐設定'!$B$30)+AK21*'損益分岐設定'!$B$32+(AJ21+AK21/'損益分岐設定'!$B$28*'損益分岐設定'!$B$26)*('損益分岐設定'!$B$29+'損益分岐設定'!$B$31*'損益分岐設定'!$B$30)</x:f>
        <x:v>148.8551223955603</x:v>
      </x:c>
      <x:c r="H21" s="7" t="n">
        <x:f>AL21*E21</x:f>
        <x:v>0</x:v>
      </x:c>
      <x:c r="I21" s="7" t="n">
        <x:f>F21*(1-D21-'損益分岐設定'!$B$10)-G21-H21</x:f>
        <x:v>1543.1448776044394</x:v>
      </x:c>
      <x:c r="J21" s="1" t="n">
        <x:f>IF(MIN(V21:Y21)&gt;1000,"範囲内なし",MIN(V21:Y21))</x:f>
        <x:v>18</x:v>
      </x:c>
      <x:c r="K21" s="1" t="n">
        <x:f>IF(MAX(Z21:AC21)&gt;=1000,"範囲内なし",MAX(1,MAX(Z21:AC21)+1))</x:f>
        <x:v>18</x:v>
      </x:c>
      <x:c r="L21" s="7" t="n">
        <x:f>10*I21-R21</x:f>
        <x:v>-6579.4858502634015</x:v>
      </x:c>
      <x:c r="M21" s="7" t="n">
        <x:f>30*I21-S21</x:f>
        <x:v>19783.41170182539</x:v>
      </x:c>
      <x:c r="N21" s="7" t="n">
        <x:f>50*I21-S21</x:f>
        <x:v>50646.30925391417</x:v>
      </x:c>
      <x:c r="O21" s="7" t="n">
        <x:f>100*I21-S21</x:f>
        <x:v>127803.55313413613</x:v>
      </x:c>
      <x:c r="P21" s="7" t="n">
        <x:f>300*I21-T21</x:f>
        <x:v>414432.528655024</x:v>
      </x:c>
      <x:c r="Q21" s="7" t="n">
        <x:f>1000*I21-U21</x:f>
        <x:v>1464633.9429781316</x:v>
      </x:c>
      <x:c r="R2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21*'損益分岐設定'!$B$12*'損益分岐設定'!$B$11</x:f>
        <x:v>22010.934626307797</x:v>
      </x:c>
      <x:c r="S2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21*'損益分岐設定'!$B$12*'損益分岐設定'!$B$11</x:f>
        <x:v>26510.934626307797</x:v>
      </x:c>
      <x:c r="T2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21*'損益分岐設定'!$B$12*'損益分岐設定'!$B$11</x:f>
        <x:v>48510.9346263078</x:v>
      </x:c>
      <x:c r="U2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21*'損益分岐設定'!$B$12*'損益分岐設定'!$B$11</x:f>
        <x:v>78510.9346263078</x:v>
      </x:c>
      <x:c r="V21" s="1" t="n">
        <x:f>IF(I21&lt;=0,1001,IF(MAX('損益分岐設定'!B37,ROUNDUP(R21/I21,0))&lt;='損益分岐設定'!C37,MAX('損益分岐設定'!B37,ROUNDUP(R21/I21,0)),1001))</x:f>
        <x:v>1001</x:v>
      </x:c>
      <x:c r="W21" s="1" t="n">
        <x:f>IF(I21&lt;=0,1001,IF(MAX('損益分岐設定'!B38,ROUNDUP(S21/I21,0))&lt;='損益分岐設定'!C38,MAX('損益分岐設定'!B38,ROUNDUP(S21/I21,0)),1001))</x:f>
        <x:v>18</x:v>
      </x:c>
      <x:c r="X21" s="1" t="n">
        <x:f>IF(I21&lt;=0,1001,IF(MAX('損益分岐設定'!B39,ROUNDUP(T21/I21,0))&lt;='損益分岐設定'!C39,MAX('損益分岐設定'!B39,ROUNDUP(T21/I21,0)),1001))</x:f>
        <x:v>101</x:v>
      </x:c>
      <x:c r="Y21" s="1" t="n">
        <x:f>IF(I21&lt;=0,1001,IF(MAX('損益分岐設定'!B40,ROUNDUP(U21/I21,0))&lt;='損益分岐設定'!C40,MAX('損益分岐設定'!B40,ROUNDUP(U21/I21,0)),1001))</x:f>
        <x:v>501</x:v>
      </x:c>
      <x:c r="Z21" s="1" t="n">
        <x:f>IF(I21&lt;=0,'損益分岐設定'!C37,IF('損益分岐設定'!C37*I21-R21&lt;0,'損益分岐設定'!C37,IF('損益分岐設定'!B37*I21-R21&gt;=0,0,ROUNDUP(R21/I21,0)-1)))</x:f>
        <x:v>10</x:v>
      </x:c>
      <x:c r="AA21" s="1" t="n">
        <x:f>IF(I21&lt;=0,'損益分岐設定'!C38,IF('損益分岐設定'!C38*I21-S21&lt;0,'損益分岐設定'!C38,IF('損益分岐設定'!B38*I21-S21&gt;=0,0,ROUNDUP(S21/I21,0)-1)))</x:f>
        <x:v>17</x:v>
      </x:c>
      <x:c r="AB21" s="1" t="n">
        <x:f>IF(I21&lt;=0,'損益分岐設定'!C39,IF('損益分岐設定'!C39*I21-T21&lt;0,'損益分岐設定'!C39,IF('損益分岐設定'!B39*I21-T21&gt;=0,0,ROUNDUP(T21/I21,0)-1)))</x:f>
        <x:v>0</x:v>
      </x:c>
      <x:c r="AC21" s="1" t="n">
        <x:f>IF(I21&lt;=0,'損益分岐設定'!C40,IF('損益分岐設定'!C40*I21-U21&lt;0,'損益分岐設定'!C40,IF('損益分岐設定'!B40*I21-U21&gt;=0,0,ROUNDUP(U21/I21,0)-1)))</x:f>
        <x:v>0</x:v>
      </x:c>
      <x:c r="AD21" s="1" t="n">
        <x:v>1</x:v>
      </x:c>
      <x:c r="AE21" s="1" t="n">
        <x:v>0</x:v>
      </x:c>
      <x:c r="AF21" s="1" t="n">
        <x:v>0</x:v>
      </x:c>
      <x:c r="AG21" s="1" t="n">
        <x:f>AD21*'損益分岐設定'!$C$57+AE21*'損益分岐設定'!$C$60+AF21*'損益分岐設定'!$C$63</x:f>
        <x:v>147.89614318847657</x:v>
      </x:c>
      <x:c r="AH21" s="1" t="n">
        <x:f>AD21*'損益分岐設定'!$D$57+AE21*'損益分岐設定'!$D$60+AF21*'損益分岐設定'!$D$63</x:f>
        <x:v>30</x:v>
      </x:c>
      <x:c r="AI21" s="1" t="n">
        <x:f>AD21*'損益分岐設定'!$E$57+AE21*'損益分岐設定'!$E$60+AF21*'損益分岐設定'!$E$63</x:f>
        <x:v>30</x:v>
      </x:c>
      <x:c r="AJ21" s="1" t="n">
        <x:f>(AD21*'損益分岐設定'!$F$57+AE21*'損益分岐設定'!$F$60+AF21*'損益分岐設定'!$F$63*1)*'損益分岐設定'!$B$22</x:f>
        <x:v>120</x:v>
      </x:c>
      <x:c r="AK21" s="1" t="n">
        <x:f>AD21*'損益分岐設定'!$G$57+AE21*'損益分岐設定'!$G$60+AF21*'損益分岐設定'!$G$63</x:f>
        <x:v>200</x:v>
      </x:c>
      <x:c r="AL21" s="1" t="n">
        <x:f>AD21*'損益分岐設定'!$H$57+AE21*'損益分岐設定'!$H$60+AF21*'損益分岐設定'!$H$63</x:f>
        <x:v>566.6666666666666</x:v>
      </x:c>
      <x:c r="AM21" s="1" t="n">
        <x:f>MAX(1,ROUNDUP('損益分岐設定'!C37*AJ21/('損益分岐設定'!$B$23*'損益分岐設定'!$B$24*3600*'損益分岐設定'!$B$25),0))</x:f>
        <x:v>1</x:v>
      </x:c>
      <x:c r="AN21" s="1" t="n">
        <x:f>MAX(2,ROUNDUP('損益分岐設定'!C38*AJ21/('損益分岐設定'!$B$23*'損益分岐設定'!$B$24*3600*'損益分岐設定'!$B$25),0))</x:f>
        <x:v>2</x:v>
      </x:c>
      <x:c r="AO21" s="1" t="n">
        <x:f>MAX(2,ROUNDUP('損益分岐設定'!C39*AJ21/('損益分岐設定'!$B$23*'損益分岐設定'!$B$24*3600*'損益分岐設定'!$B$25),0))</x:f>
        <x:v>2</x:v>
      </x:c>
      <x:c r="AP21" s="1" t="n">
        <x:f>MAX(2,ROUNDUP('損益分岐設定'!C40*AJ21/('損益分岐設定'!$B$23*'損益分岐設定'!$B$24*3600*'損益分岐設定'!$B$25),0))</x:f>
        <x:v>2</x:v>
      </x:c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23" customHeight="1">
      <x:c r="A22" s="1" t="str">
        <x:v>Run</x:v>
      </x:c>
      <x:c r="B22" s="1" t="str">
        <x:v>Starter</x:v>
      </x:c>
      <x:c r="C22" s="1" t="str">
        <x:v>標準</x:v>
      </x:c>
      <x:c r="D22" s="21" t="n">
        <x:v>0.4</x:v>
      </x:c>
      <x:c r="E22" s="1" t="n">
        <x:v>1</x:v>
      </x:c>
      <x:c r="F22" s="7" t="n">
        <x:f>AD22*'損益分岐設定'!$B$5+AE22*'損益分岐設定'!$B$6+AF22*'損益分岐設定'!$B$7</x:f>
        <x:v>3000</x:v>
      </x:c>
      <x:c r="G22" s="7" t="n">
        <x:f>AG22+(AH22+AI22)*('損益分岐設定'!$B$29+0.5*'損益分岐設定'!$B$30)+AK22*'損益分岐設定'!$B$32+(AJ22+AK22/'損益分岐設定'!$B$28*'損益分岐設定'!$B$26)*('損益分岐設定'!$B$29+'損益分岐設定'!$B$31*'損益分岐設定'!$B$30)</x:f>
        <x:v>148.8551223955603</x:v>
      </x:c>
      <x:c r="H22" s="7" t="n">
        <x:f>AL22*E22</x:f>
        <x:v>566.6666666666666</x:v>
      </x:c>
      <x:c r="I22" s="7" t="n">
        <x:f>F22*(1-D22-'損益分岐設定'!$B$10)-G22-H22</x:f>
        <x:v>976.4782109377728</x:v>
      </x:c>
      <x:c r="J22" s="1" t="n">
        <x:f>IF(MIN(V22:Y22)&gt;1000,"範囲内なし",MIN(V22:Y22))</x:f>
        <x:v>36</x:v>
      </x:c>
      <x:c r="K22" s="1" t="n">
        <x:f>IF(MAX(Z22:AC22)&gt;=1000,"範囲内なし",MAX(1,MAX(Z22:AC22)+1))</x:f>
        <x:v>36</x:v>
      </x:c>
      <x:c r="L22" s="7" t="n">
        <x:f>10*I22-R22</x:f>
        <x:v>-20246.15251693007</x:v>
      </x:c>
      <x:c r="M22" s="7" t="n">
        <x:f>30*I22-S22</x:f>
        <x:v>-5216.588298174611</x:v>
      </x:c>
      <x:c r="N22" s="7" t="n">
        <x:f>50*I22-S22</x:f>
        <x:v>14312.975920580844</x:v>
      </x:c>
      <x:c r="O22" s="7" t="n">
        <x:f>100*I22-S22</x:f>
        <x:v>63136.886467469485</x:v>
      </x:c>
      <x:c r="P22" s="7" t="n">
        <x:f>300*I22-T22</x:f>
        <x:v>236432.528655024</x:v>
      </x:c>
      <x:c r="Q22" s="7" t="n">
        <x:f>1000*I22-U22</x:f>
        <x:v>889967.276311465</x:v>
      </x:c>
      <x:c r="R2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22*'損益分岐設定'!$B$12*'損益分岐設定'!$B$11</x:f>
        <x:v>30010.934626307797</x:v>
      </x:c>
      <x:c r="S2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22*'損益分岐設定'!$B$12*'損益分岐設定'!$B$11</x:f>
        <x:v>34510.9346263078</x:v>
      </x:c>
      <x:c r="T2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22*'損益分岐設定'!$B$12*'損益分岐設定'!$B$11</x:f>
        <x:v>56510.9346263078</x:v>
      </x:c>
      <x:c r="U2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22*'損益分岐設定'!$B$12*'損益分岐設定'!$B$11</x:f>
        <x:v>86510.9346263078</x:v>
      </x:c>
      <x:c r="V22" s="1" t="n">
        <x:f>IF(I22&lt;=0,1001,IF(MAX('損益分岐設定'!B37,ROUNDUP(R22/I22,0))&lt;='損益分岐設定'!C37,MAX('損益分岐設定'!B37,ROUNDUP(R22/I22,0)),1001))</x:f>
        <x:v>1001</x:v>
      </x:c>
      <x:c r="W22" s="1" t="n">
        <x:f>IF(I22&lt;=0,1001,IF(MAX('損益分岐設定'!B38,ROUNDUP(S22/I22,0))&lt;='損益分岐設定'!C38,MAX('損益分岐設定'!B38,ROUNDUP(S22/I22,0)),1001))</x:f>
        <x:v>36</x:v>
      </x:c>
      <x:c r="X22" s="1" t="n">
        <x:f>IF(I22&lt;=0,1001,IF(MAX('損益分岐設定'!B39,ROUNDUP(T22/I22,0))&lt;='損益分岐設定'!C39,MAX('損益分岐設定'!B39,ROUNDUP(T22/I22,0)),1001))</x:f>
        <x:v>101</x:v>
      </x:c>
      <x:c r="Y22" s="1" t="n">
        <x:f>IF(I22&lt;=0,1001,IF(MAX('損益分岐設定'!B40,ROUNDUP(U22/I22,0))&lt;='損益分岐設定'!C40,MAX('損益分岐設定'!B40,ROUNDUP(U22/I22,0)),1001))</x:f>
        <x:v>501</x:v>
      </x:c>
      <x:c r="Z22" s="1" t="n">
        <x:f>IF(I22&lt;=0,'損益分岐設定'!C37,IF('損益分岐設定'!C37*I22-R22&lt;0,'損益分岐設定'!C37,IF('損益分岐設定'!B37*I22-R22&gt;=0,0,ROUNDUP(R22/I22,0)-1)))</x:f>
        <x:v>10</x:v>
      </x:c>
      <x:c r="AA22" s="1" t="n">
        <x:f>IF(I22&lt;=0,'損益分岐設定'!C38,IF('損益分岐設定'!C38*I22-S22&lt;0,'損益分岐設定'!C38,IF('損益分岐設定'!B38*I22-S22&gt;=0,0,ROUNDUP(S22/I22,0)-1)))</x:f>
        <x:v>35</x:v>
      </x:c>
      <x:c r="AB22" s="1" t="n">
        <x:f>IF(I22&lt;=0,'損益分岐設定'!C39,IF('損益分岐設定'!C39*I22-T22&lt;0,'損益分岐設定'!C39,IF('損益分岐設定'!B39*I22-T22&gt;=0,0,ROUNDUP(T22/I22,0)-1)))</x:f>
        <x:v>0</x:v>
      </x:c>
      <x:c r="AC22" s="1" t="n">
        <x:f>IF(I22&lt;=0,'損益分岐設定'!C40,IF('損益分岐設定'!C40*I22-U22&lt;0,'損益分岐設定'!C40,IF('損益分岐設定'!B40*I22-U22&gt;=0,0,ROUNDUP(U22/I22,0)-1)))</x:f>
        <x:v>0</x:v>
      </x:c>
      <x:c r="AD22" s="1" t="n">
        <x:v>1</x:v>
      </x:c>
      <x:c r="AE22" s="1" t="n">
        <x:v>0</x:v>
      </x:c>
      <x:c r="AF22" s="1" t="n">
        <x:v>0</x:v>
      </x:c>
      <x:c r="AG22" s="1" t="n">
        <x:f>AD22*'損益分岐設定'!$C$57+AE22*'損益分岐設定'!$C$60+AF22*'損益分岐設定'!$C$63</x:f>
        <x:v>147.89614318847657</x:v>
      </x:c>
      <x:c r="AH22" s="1" t="n">
        <x:f>AD22*'損益分岐設定'!$D$57+AE22*'損益分岐設定'!$D$60+AF22*'損益分岐設定'!$D$63</x:f>
        <x:v>30</x:v>
      </x:c>
      <x:c r="AI22" s="1" t="n">
        <x:f>AD22*'損益分岐設定'!$E$57+AE22*'損益分岐設定'!$E$60+AF22*'損益分岐設定'!$E$63</x:f>
        <x:v>30</x:v>
      </x:c>
      <x:c r="AJ22" s="1" t="n">
        <x:f>(AD22*'損益分岐設定'!$F$57+AE22*'損益分岐設定'!$F$60+AF22*'損益分岐設定'!$F$63*1)*'損益分岐設定'!$B$22</x:f>
        <x:v>120</x:v>
      </x:c>
      <x:c r="AK22" s="1" t="n">
        <x:f>AD22*'損益分岐設定'!$G$57+AE22*'損益分岐設定'!$G$60+AF22*'損益分岐設定'!$G$63</x:f>
        <x:v>200</x:v>
      </x:c>
      <x:c r="AL22" s="1" t="n">
        <x:f>AD22*'損益分岐設定'!$H$57+AE22*'損益分岐設定'!$H$60+AF22*'損益分岐設定'!$H$63</x:f>
        <x:v>566.6666666666666</x:v>
      </x:c>
      <x:c r="AM22" s="1" t="n">
        <x:f>MAX(1,ROUNDUP('損益分岐設定'!C37*AJ22/('損益分岐設定'!$B$23*'損益分岐設定'!$B$24*3600*'損益分岐設定'!$B$25),0))</x:f>
        <x:v>1</x:v>
      </x:c>
      <x:c r="AN22" s="1" t="n">
        <x:f>MAX(2,ROUNDUP('損益分岐設定'!C38*AJ22/('損益分岐設定'!$B$23*'損益分岐設定'!$B$24*3600*'損益分岐設定'!$B$25),0))</x:f>
        <x:v>2</x:v>
      </x:c>
      <x:c r="AO22" s="1" t="n">
        <x:f>MAX(2,ROUNDUP('損益分岐設定'!C39*AJ22/('損益分岐設定'!$B$23*'損益分岐設定'!$B$24*3600*'損益分岐設定'!$B$25),0))</x:f>
        <x:v>2</x:v>
      </x:c>
      <x:c r="AP22" s="1" t="n">
        <x:f>MAX(2,ROUNDUP('損益分岐設定'!C40*AJ22/('損益分岐設定'!$B$23*'損益分岐設定'!$B$24*3600*'損益分岐設定'!$B$25),0))</x:f>
        <x:v>2</x:v>
      </x:c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23" customHeight="1">
      <x:c r="A23" s="1" t="str">
        <x:v>Run</x:v>
      </x:c>
      <x:c r="B23" s="1" t="str">
        <x:v>Starter</x:v>
      </x:c>
      <x:c r="C23" s="1" t="str">
        <x:v>標準</x:v>
      </x:c>
      <x:c r="D23" s="21" t="n">
        <x:v>0.5</x:v>
      </x:c>
      <x:c r="E23" s="1" t="n">
        <x:v>0</x:v>
      </x:c>
      <x:c r="F23" s="7" t="n">
        <x:f>AD23*'損益分岐設定'!$B$5+AE23*'損益分岐設定'!$B$6+AF23*'損益分岐設定'!$B$7</x:f>
        <x:v>3000</x:v>
      </x:c>
      <x:c r="G23" s="7" t="n">
        <x:f>AG23+(AH23+AI23)*('損益分岐設定'!$B$29+0.5*'損益分岐設定'!$B$30)+AK23*'損益分岐設定'!$B$32+(AJ23+AK23/'損益分岐設定'!$B$28*'損益分岐設定'!$B$26)*('損益分岐設定'!$B$29+'損益分岐設定'!$B$31*'損益分岐設定'!$B$30)</x:f>
        <x:v>148.8551223955603</x:v>
      </x:c>
      <x:c r="H23" s="7" t="n">
        <x:f>AL23*E23</x:f>
        <x:v>0</x:v>
      </x:c>
      <x:c r="I23" s="7" t="n">
        <x:f>F23*(1-D23-'損益分岐設定'!$B$10)-G23-H23</x:f>
        <x:v>1243.1448776044397</x:v>
      </x:c>
      <x:c r="J23" s="1" t="n">
        <x:f>IF(MIN(V23:Y23)&gt;1000,"範囲内なし",MIN(V23:Y23))</x:f>
        <x:v>22</x:v>
      </x:c>
      <x:c r="K23" s="1" t="n">
        <x:f>IF(MAX(Z23:AC23)&gt;=1000,"範囲内なし",MAX(1,MAX(Z23:AC23)+1))</x:f>
        <x:v>22</x:v>
      </x:c>
      <x:c r="L23" s="7" t="n">
        <x:f>10*I23-R23</x:f>
        <x:v>-9579.4858502634</x:v>
      </x:c>
      <x:c r="M23" s="7" t="n">
        <x:f>30*I23-S23</x:f>
        <x:v>10783.411701825396</x:v>
      </x:c>
      <x:c r="N23" s="7" t="n">
        <x:f>50*I23-S23</x:f>
        <x:v>35646.30925391419</x:v>
      </x:c>
      <x:c r="O23" s="7" t="n">
        <x:f>100*I23-S23</x:f>
        <x:v>97803.55313413616</x:v>
      </x:c>
      <x:c r="P23" s="7" t="n">
        <x:f>300*I23-T23</x:f>
        <x:v>324432.52865502407</x:v>
      </x:c>
      <x:c r="Q23" s="7" t="n">
        <x:f>1000*I23-U23</x:f>
        <x:v>1164633.9429781318</x:v>
      </x:c>
      <x:c r="R2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23*'損益分岐設定'!$B$12*'損益分岐設定'!$B$11</x:f>
        <x:v>22010.934626307797</x:v>
      </x:c>
      <x:c r="S2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23*'損益分岐設定'!$B$12*'損益分岐設定'!$B$11</x:f>
        <x:v>26510.934626307797</x:v>
      </x:c>
      <x:c r="T2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23*'損益分岐設定'!$B$12*'損益分岐設定'!$B$11</x:f>
        <x:v>48510.9346263078</x:v>
      </x:c>
      <x:c r="U2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23*'損益分岐設定'!$B$12*'損益分岐設定'!$B$11</x:f>
        <x:v>78510.9346263078</x:v>
      </x:c>
      <x:c r="V23" s="1" t="n">
        <x:f>IF(I23&lt;=0,1001,IF(MAX('損益分岐設定'!B37,ROUNDUP(R23/I23,0))&lt;='損益分岐設定'!C37,MAX('損益分岐設定'!B37,ROUNDUP(R23/I23,0)),1001))</x:f>
        <x:v>1001</x:v>
      </x:c>
      <x:c r="W23" s="1" t="n">
        <x:f>IF(I23&lt;=0,1001,IF(MAX('損益分岐設定'!B38,ROUNDUP(S23/I23,0))&lt;='損益分岐設定'!C38,MAX('損益分岐設定'!B38,ROUNDUP(S23/I23,0)),1001))</x:f>
        <x:v>22</x:v>
      </x:c>
      <x:c r="X23" s="1" t="n">
        <x:f>IF(I23&lt;=0,1001,IF(MAX('損益分岐設定'!B39,ROUNDUP(T23/I23,0))&lt;='損益分岐設定'!C39,MAX('損益分岐設定'!B39,ROUNDUP(T23/I23,0)),1001))</x:f>
        <x:v>101</x:v>
      </x:c>
      <x:c r="Y23" s="1" t="n">
        <x:f>IF(I23&lt;=0,1001,IF(MAX('損益分岐設定'!B40,ROUNDUP(U23/I23,0))&lt;='損益分岐設定'!C40,MAX('損益分岐設定'!B40,ROUNDUP(U23/I23,0)),1001))</x:f>
        <x:v>501</x:v>
      </x:c>
      <x:c r="Z23" s="1" t="n">
        <x:f>IF(I23&lt;=0,'損益分岐設定'!C37,IF('損益分岐設定'!C37*I23-R23&lt;0,'損益分岐設定'!C37,IF('損益分岐設定'!B37*I23-R23&gt;=0,0,ROUNDUP(R23/I23,0)-1)))</x:f>
        <x:v>10</x:v>
      </x:c>
      <x:c r="AA23" s="1" t="n">
        <x:f>IF(I23&lt;=0,'損益分岐設定'!C38,IF('損益分岐設定'!C38*I23-S23&lt;0,'損益分岐設定'!C38,IF('損益分岐設定'!B38*I23-S23&gt;=0,0,ROUNDUP(S23/I23,0)-1)))</x:f>
        <x:v>21</x:v>
      </x:c>
      <x:c r="AB23" s="1" t="n">
        <x:f>IF(I23&lt;=0,'損益分岐設定'!C39,IF('損益分岐設定'!C39*I23-T23&lt;0,'損益分岐設定'!C39,IF('損益分岐設定'!B39*I23-T23&gt;=0,0,ROUNDUP(T23/I23,0)-1)))</x:f>
        <x:v>0</x:v>
      </x:c>
      <x:c r="AC23" s="1" t="n">
        <x:f>IF(I23&lt;=0,'損益分岐設定'!C40,IF('損益分岐設定'!C40*I23-U23&lt;0,'損益分岐設定'!C40,IF('損益分岐設定'!B40*I23-U23&gt;=0,0,ROUNDUP(U23/I23,0)-1)))</x:f>
        <x:v>0</x:v>
      </x:c>
      <x:c r="AD23" s="1" t="n">
        <x:v>1</x:v>
      </x:c>
      <x:c r="AE23" s="1" t="n">
        <x:v>0</x:v>
      </x:c>
      <x:c r="AF23" s="1" t="n">
        <x:v>0</x:v>
      </x:c>
      <x:c r="AG23" s="1" t="n">
        <x:f>AD23*'損益分岐設定'!$C$57+AE23*'損益分岐設定'!$C$60+AF23*'損益分岐設定'!$C$63</x:f>
        <x:v>147.89614318847657</x:v>
      </x:c>
      <x:c r="AH23" s="1" t="n">
        <x:f>AD23*'損益分岐設定'!$D$57+AE23*'損益分岐設定'!$D$60+AF23*'損益分岐設定'!$D$63</x:f>
        <x:v>30</x:v>
      </x:c>
      <x:c r="AI23" s="1" t="n">
        <x:f>AD23*'損益分岐設定'!$E$57+AE23*'損益分岐設定'!$E$60+AF23*'損益分岐設定'!$E$63</x:f>
        <x:v>30</x:v>
      </x:c>
      <x:c r="AJ23" s="1" t="n">
        <x:f>(AD23*'損益分岐設定'!$F$57+AE23*'損益分岐設定'!$F$60+AF23*'損益分岐設定'!$F$63*1)*'損益分岐設定'!$B$22</x:f>
        <x:v>120</x:v>
      </x:c>
      <x:c r="AK23" s="1" t="n">
        <x:f>AD23*'損益分岐設定'!$G$57+AE23*'損益分岐設定'!$G$60+AF23*'損益分岐設定'!$G$63</x:f>
        <x:v>200</x:v>
      </x:c>
      <x:c r="AL23" s="1" t="n">
        <x:f>AD23*'損益分岐設定'!$H$57+AE23*'損益分岐設定'!$H$60+AF23*'損益分岐設定'!$H$63</x:f>
        <x:v>566.6666666666666</x:v>
      </x:c>
      <x:c r="AM23" s="1" t="n">
        <x:f>MAX(1,ROUNDUP('損益分岐設定'!C37*AJ23/('損益分岐設定'!$B$23*'損益分岐設定'!$B$24*3600*'損益分岐設定'!$B$25),0))</x:f>
        <x:v>1</x:v>
      </x:c>
      <x:c r="AN23" s="1" t="n">
        <x:f>MAX(2,ROUNDUP('損益分岐設定'!C38*AJ23/('損益分岐設定'!$B$23*'損益分岐設定'!$B$24*3600*'損益分岐設定'!$B$25),0))</x:f>
        <x:v>2</x:v>
      </x:c>
      <x:c r="AO23" s="1" t="n">
        <x:f>MAX(2,ROUNDUP('損益分岐設定'!C39*AJ23/('損益分岐設定'!$B$23*'損益分岐設定'!$B$24*3600*'損益分岐設定'!$B$25),0))</x:f>
        <x:v>2</x:v>
      </x:c>
      <x:c r="AP23" s="1" t="n">
        <x:f>MAX(2,ROUNDUP('損益分岐設定'!C40*AJ23/('損益分岐設定'!$B$23*'損益分岐設定'!$B$24*3600*'損益分岐設定'!$B$25),0))</x:f>
        <x:v>2</x:v>
      </x:c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23" customHeight="1">
      <x:c r="A24" s="1" t="str">
        <x:v>Run</x:v>
      </x:c>
      <x:c r="B24" s="1" t="str">
        <x:v>Starter</x:v>
      </x:c>
      <x:c r="C24" s="1" t="str">
        <x:v>標準</x:v>
      </x:c>
      <x:c r="D24" s="21" t="n">
        <x:v>0.5</x:v>
      </x:c>
      <x:c r="E24" s="1" t="n">
        <x:v>1</x:v>
      </x:c>
      <x:c r="F24" s="7" t="n">
        <x:f>AD24*'損益分岐設定'!$B$5+AE24*'損益分岐設定'!$B$6+AF24*'損益分岐設定'!$B$7</x:f>
        <x:v>3000</x:v>
      </x:c>
      <x:c r="G24" s="7" t="n">
        <x:f>AG24+(AH24+AI24)*('損益分岐設定'!$B$29+0.5*'損益分岐設定'!$B$30)+AK24*'損益分岐設定'!$B$32+(AJ24+AK24/'損益分岐設定'!$B$28*'損益分岐設定'!$B$26)*('損益分岐設定'!$B$29+'損益分岐設定'!$B$31*'損益分岐設定'!$B$30)</x:f>
        <x:v>148.8551223955603</x:v>
      </x:c>
      <x:c r="H24" s="7" t="n">
        <x:f>AL24*E24</x:f>
        <x:v>566.6666666666666</x:v>
      </x:c>
      <x:c r="I24" s="7" t="n">
        <x:f>F24*(1-D24-'損益分岐設定'!$B$10)-G24-H24</x:f>
        <x:v>676.478210937773</x:v>
      </x:c>
      <x:c r="J24" s="1" t="n">
        <x:f>IF(MIN(V24:Y24)&gt;1000,"範囲内なし",MIN(V24:Y24))</x:f>
        <x:v>52</x:v>
      </x:c>
      <x:c r="K24" s="1" t="n">
        <x:f>IF(MAX(Z24:AC24)&gt;=1000,"範囲内なし",MAX(1,MAX(Z24:AC24)+1))</x:f>
        <x:v>52</x:v>
      </x:c>
      <x:c r="L24" s="7" t="n">
        <x:f>10*I24-R24</x:f>
        <x:v>-23246.152516930066</x:v>
      </x:c>
      <x:c r="M24" s="7" t="n">
        <x:f>30*I24-S24</x:f>
        <x:v>-14216.588298174607</x:v>
      </x:c>
      <x:c r="N24" s="7" t="n">
        <x:f>50*I24-S24</x:f>
        <x:v>-687.0240794191413</x:v>
      </x:c>
      <x:c r="O24" s="7" t="n">
        <x:f>100*I24-S24</x:f>
        <x:v>33136.886467469514</x:v>
      </x:c>
      <x:c r="P24" s="7" t="n">
        <x:f>300*I24-T24</x:f>
        <x:v>146432.5286550241</x:v>
      </x:c>
      <x:c r="Q24" s="7" t="n">
        <x:f>1000*I24-U24</x:f>
        <x:v>589967.2763114652</x:v>
      </x:c>
      <x:c r="R2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24*'損益分岐設定'!$B$12*'損益分岐設定'!$B$11</x:f>
        <x:v>30010.934626307797</x:v>
      </x:c>
      <x:c r="S2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24*'損益分岐設定'!$B$12*'損益分岐設定'!$B$11</x:f>
        <x:v>34510.9346263078</x:v>
      </x:c>
      <x:c r="T2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24*'損益分岐設定'!$B$12*'損益分岐設定'!$B$11</x:f>
        <x:v>56510.9346263078</x:v>
      </x:c>
      <x:c r="U2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24*'損益分岐設定'!$B$12*'損益分岐設定'!$B$11</x:f>
        <x:v>86510.9346263078</x:v>
      </x:c>
      <x:c r="V24" s="1" t="n">
        <x:f>IF(I24&lt;=0,1001,IF(MAX('損益分岐設定'!B37,ROUNDUP(R24/I24,0))&lt;='損益分岐設定'!C37,MAX('損益分岐設定'!B37,ROUNDUP(R24/I24,0)),1001))</x:f>
        <x:v>1001</x:v>
      </x:c>
      <x:c r="W24" s="1" t="n">
        <x:f>IF(I24&lt;=0,1001,IF(MAX('損益分岐設定'!B38,ROUNDUP(S24/I24,0))&lt;='損益分岐設定'!C38,MAX('損益分岐設定'!B38,ROUNDUP(S24/I24,0)),1001))</x:f>
        <x:v>52</x:v>
      </x:c>
      <x:c r="X24" s="1" t="n">
        <x:f>IF(I24&lt;=0,1001,IF(MAX('損益分岐設定'!B39,ROUNDUP(T24/I24,0))&lt;='損益分岐設定'!C39,MAX('損益分岐設定'!B39,ROUNDUP(T24/I24,0)),1001))</x:f>
        <x:v>101</x:v>
      </x:c>
      <x:c r="Y24" s="1" t="n">
        <x:f>IF(I24&lt;=0,1001,IF(MAX('損益分岐設定'!B40,ROUNDUP(U24/I24,0))&lt;='損益分岐設定'!C40,MAX('損益分岐設定'!B40,ROUNDUP(U24/I24,0)),1001))</x:f>
        <x:v>501</x:v>
      </x:c>
      <x:c r="Z24" s="1" t="n">
        <x:f>IF(I24&lt;=0,'損益分岐設定'!C37,IF('損益分岐設定'!C37*I24-R24&lt;0,'損益分岐設定'!C37,IF('損益分岐設定'!B37*I24-R24&gt;=0,0,ROUNDUP(R24/I24,0)-1)))</x:f>
        <x:v>10</x:v>
      </x:c>
      <x:c r="AA24" s="1" t="n">
        <x:f>IF(I24&lt;=0,'損益分岐設定'!C38,IF('損益分岐設定'!C38*I24-S24&lt;0,'損益分岐設定'!C38,IF('損益分岐設定'!B38*I24-S24&gt;=0,0,ROUNDUP(S24/I24,0)-1)))</x:f>
        <x:v>51</x:v>
      </x:c>
      <x:c r="AB24" s="1" t="n">
        <x:f>IF(I24&lt;=0,'損益分岐設定'!C39,IF('損益分岐設定'!C39*I24-T24&lt;0,'損益分岐設定'!C39,IF('損益分岐設定'!B39*I24-T24&gt;=0,0,ROUNDUP(T24/I24,0)-1)))</x:f>
        <x:v>0</x:v>
      </x:c>
      <x:c r="AC24" s="1" t="n">
        <x:f>IF(I24&lt;=0,'損益分岐設定'!C40,IF('損益分岐設定'!C40*I24-U24&lt;0,'損益分岐設定'!C40,IF('損益分岐設定'!B40*I24-U24&gt;=0,0,ROUNDUP(U24/I24,0)-1)))</x:f>
        <x:v>0</x:v>
      </x:c>
      <x:c r="AD24" s="1" t="n">
        <x:v>1</x:v>
      </x:c>
      <x:c r="AE24" s="1" t="n">
        <x:v>0</x:v>
      </x:c>
      <x:c r="AF24" s="1" t="n">
        <x:v>0</x:v>
      </x:c>
      <x:c r="AG24" s="1" t="n">
        <x:f>AD24*'損益分岐設定'!$C$57+AE24*'損益分岐設定'!$C$60+AF24*'損益分岐設定'!$C$63</x:f>
        <x:v>147.89614318847657</x:v>
      </x:c>
      <x:c r="AH24" s="1" t="n">
        <x:f>AD24*'損益分岐設定'!$D$57+AE24*'損益分岐設定'!$D$60+AF24*'損益分岐設定'!$D$63</x:f>
        <x:v>30</x:v>
      </x:c>
      <x:c r="AI24" s="1" t="n">
        <x:f>AD24*'損益分岐設定'!$E$57+AE24*'損益分岐設定'!$E$60+AF24*'損益分岐設定'!$E$63</x:f>
        <x:v>30</x:v>
      </x:c>
      <x:c r="AJ24" s="1" t="n">
        <x:f>(AD24*'損益分岐設定'!$F$57+AE24*'損益分岐設定'!$F$60+AF24*'損益分岐設定'!$F$63*1)*'損益分岐設定'!$B$22</x:f>
        <x:v>120</x:v>
      </x:c>
      <x:c r="AK24" s="1" t="n">
        <x:f>AD24*'損益分岐設定'!$G$57+AE24*'損益分岐設定'!$G$60+AF24*'損益分岐設定'!$G$63</x:f>
        <x:v>200</x:v>
      </x:c>
      <x:c r="AL24" s="1" t="n">
        <x:f>AD24*'損益分岐設定'!$H$57+AE24*'損益分岐設定'!$H$60+AF24*'損益分岐設定'!$H$63</x:f>
        <x:v>566.6666666666666</x:v>
      </x:c>
      <x:c r="AM24" s="1" t="n">
        <x:f>MAX(1,ROUNDUP('損益分岐設定'!C37*AJ24/('損益分岐設定'!$B$23*'損益分岐設定'!$B$24*3600*'損益分岐設定'!$B$25),0))</x:f>
        <x:v>1</x:v>
      </x:c>
      <x:c r="AN24" s="1" t="n">
        <x:f>MAX(2,ROUNDUP('損益分岐設定'!C38*AJ24/('損益分岐設定'!$B$23*'損益分岐設定'!$B$24*3600*'損益分岐設定'!$B$25),0))</x:f>
        <x:v>2</x:v>
      </x:c>
      <x:c r="AO24" s="1" t="n">
        <x:f>MAX(2,ROUNDUP('損益分岐設定'!C39*AJ24/('損益分岐設定'!$B$23*'損益分岐設定'!$B$24*3600*'損益分岐設定'!$B$25),0))</x:f>
        <x:v>2</x:v>
      </x:c>
      <x:c r="AP24" s="1" t="n">
        <x:f>MAX(2,ROUNDUP('損益分岐設定'!C40*AJ24/('損益分岐設定'!$B$23*'損益分岐設定'!$B$24*3600*'損益分岐設定'!$B$25),0))</x:f>
        <x:v>2</x:v>
      </x:c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23" customHeight="1">
      <x:c r="A25" s="1" t="str">
        <x:v>Run</x:v>
      </x:c>
      <x:c r="B25" s="1" t="str">
        <x:v>Starter</x:v>
      </x:c>
      <x:c r="C25" s="1" t="str">
        <x:v>高位</x:v>
      </x:c>
      <x:c r="D25" s="21" t="n">
        <x:v>0</x:v>
      </x:c>
      <x:c r="E25" s="1" t="n">
        <x:v>0</x:v>
      </x:c>
      <x:c r="F25" s="7" t="n">
        <x:f>AD25*'損益分岐設定'!$B$5+AE25*'損益分岐設定'!$B$6+AF25*'損益分岐設定'!$B$7</x:f>
        <x:v>3000</x:v>
      </x:c>
      <x:c r="G25" s="7" t="n">
        <x:f>AG25+(AH25+AI25)*('損益分岐設定'!$B$29+0.5*'損益分岐設定'!$B$30)+AK25*'損益分岐設定'!$B$32+(AJ25+AK25/'損益分岐設定'!$B$28*'損益分岐設定'!$B$26)*('損益分岐設定'!$B$29+'損益分岐設定'!$B$31*'損益分岐設定'!$B$30)</x:f>
        <x:v>2527.508311367952</x:v>
      </x:c>
      <x:c r="H25" s="7" t="n">
        <x:f>AL25*E25</x:f>
        <x:v>0</x:v>
      </x:c>
      <x:c r="I25" s="7" t="n">
        <x:f>F25*(1-D25-'損益分岐設定'!$B$10)-G25-H25</x:f>
        <x:v>364.49168863204795</x:v>
      </x:c>
      <x:c r="J25" s="1" t="n">
        <x:f>IF(MIN(V25:Y25)&gt;1000,"範囲内なし",MIN(V25:Y25))</x:f>
        <x:v>73</x:v>
      </x:c>
      <x:c r="K25" s="1" t="n">
        <x:f>IF(MAX(Z25:AC25)&gt;=1000,"範囲内なし",MAX(1,MAX(Z25:AC25)+1))</x:f>
        <x:v>134</x:v>
      </x:c>
      <x:c r="L25" s="7" t="n">
        <x:f>10*I25-R25</x:f>
        <x:v>-18366.017739987317</x:v>
      </x:c>
      <x:c r="M25" s="7" t="n">
        <x:f>30*I25-S25</x:f>
        <x:v>-15576.183967346358</x:v>
      </x:c>
      <x:c r="N25" s="7" t="n">
        <x:f>50*I25-S25</x:f>
        <x:v>-8286.3501947054</x:v>
      </x:c>
      <x:c r="O25" s="7" t="n">
        <x:f>100*I25-S25</x:f>
        <x:v>9938.234236896998</x:v>
      </x:c>
      <x:c r="P25" s="7" t="n">
        <x:f>300*I25-T25</x:f>
        <x:v>60836.57196330658</x:v>
      </x:c>
      <x:c r="Q25" s="7" t="n">
        <x:f>1000*I25-U25</x:f>
        <x:v>285980.75400574016</x:v>
      </x:c>
      <x:c r="R2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25*'損益分岐設定'!$B$12*'損益分岐設定'!$B$11</x:f>
        <x:v>22010.934626307797</x:v>
      </x:c>
      <x:c r="S2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25*'損益分岐設定'!$B$12*'損益分岐設定'!$B$11</x:f>
        <x:v>26510.934626307797</x:v>
      </x:c>
      <x:c r="T2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25*'損益分岐設定'!$B$12*'損益分岐設定'!$B$11</x:f>
        <x:v>48510.9346263078</x:v>
      </x:c>
      <x:c r="U2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25*'損益分岐設定'!$B$12*'損益分岐設定'!$B$11</x:f>
        <x:v>78510.9346263078</x:v>
      </x:c>
      <x:c r="V25" s="1" t="n">
        <x:f>IF(I25&lt;=0,1001,IF(MAX('損益分岐設定'!B37,ROUNDUP(R25/I25,0))&lt;='損益分岐設定'!C37,MAX('損益分岐設定'!B37,ROUNDUP(R25/I25,0)),1001))</x:f>
        <x:v>1001</x:v>
      </x:c>
      <x:c r="W25" s="1" t="n">
        <x:f>IF(I25&lt;=0,1001,IF(MAX('損益分岐設定'!B38,ROUNDUP(S25/I25,0))&lt;='損益分岐設定'!C38,MAX('損益分岐設定'!B38,ROUNDUP(S25/I25,0)),1001))</x:f>
        <x:v>73</x:v>
      </x:c>
      <x:c r="X25" s="1" t="n">
        <x:f>IF(I25&lt;=0,1001,IF(MAX('損益分岐設定'!B39,ROUNDUP(T25/I25,0))&lt;='損益分岐設定'!C39,MAX('損益分岐設定'!B39,ROUNDUP(T25/I25,0)),1001))</x:f>
        <x:v>134</x:v>
      </x:c>
      <x:c r="Y25" s="1" t="n">
        <x:f>IF(I25&lt;=0,1001,IF(MAX('損益分岐設定'!B40,ROUNDUP(U25/I25,0))&lt;='損益分岐設定'!C40,MAX('損益分岐設定'!B40,ROUNDUP(U25/I25,0)),1001))</x:f>
        <x:v>501</x:v>
      </x:c>
      <x:c r="Z25" s="1" t="n">
        <x:f>IF(I25&lt;=0,'損益分岐設定'!C37,IF('損益分岐設定'!C37*I25-R25&lt;0,'損益分岐設定'!C37,IF('損益分岐設定'!B37*I25-R25&gt;=0,0,ROUNDUP(R25/I25,0)-1)))</x:f>
        <x:v>10</x:v>
      </x:c>
      <x:c r="AA25" s="1" t="n">
        <x:f>IF(I25&lt;=0,'損益分岐設定'!C38,IF('損益分岐設定'!C38*I25-S25&lt;0,'損益分岐設定'!C38,IF('損益分岐設定'!B38*I25-S25&gt;=0,0,ROUNDUP(S25/I25,0)-1)))</x:f>
        <x:v>72</x:v>
      </x:c>
      <x:c r="AB25" s="1" t="n">
        <x:f>IF(I25&lt;=0,'損益分岐設定'!C39,IF('損益分岐設定'!C39*I25-T25&lt;0,'損益分岐設定'!C39,IF('損益分岐設定'!B39*I25-T25&gt;=0,0,ROUNDUP(T25/I25,0)-1)))</x:f>
        <x:v>133</x:v>
      </x:c>
      <x:c r="AC25" s="1" t="n">
        <x:f>IF(I25&lt;=0,'損益分岐設定'!C40,IF('損益分岐設定'!C40*I25-U25&lt;0,'損益分岐設定'!C40,IF('損益分岐設定'!B40*I25-U25&gt;=0,0,ROUNDUP(U25/I25,0)-1)))</x:f>
        <x:v>0</x:v>
      </x:c>
      <x:c r="AD25" s="1" t="n">
        <x:v>1</x:v>
      </x:c>
      <x:c r="AE25" s="1" t="n">
        <x:v>0</x:v>
      </x:c>
      <x:c r="AF25" s="1" t="n">
        <x:v>0</x:v>
      </x:c>
      <x:c r="AG25" s="1" t="n">
        <x:f>AD25*'損益分岐設定'!$C$58+AE25*'損益分岐設定'!$C$61+AF25*'損益分岐設定'!$C$64</x:f>
        <x:v>2516.1764477539064</x:v>
      </x:c>
      <x:c r="AH25" s="1" t="n">
        <x:f>AD25*'損益分岐設定'!$D$58+AE25*'損益分岐設定'!$D$61+AF25*'損益分岐設定'!$D$64</x:f>
        <x:v>120</x:v>
      </x:c>
      <x:c r="AI25" s="1" t="n">
        <x:f>AD25*'損益分岐設定'!$E$58+AE25*'損益分岐設定'!$E$61+AF25*'損益分岐設定'!$E$64</x:f>
        <x:v>160</x:v>
      </x:c>
      <x:c r="AJ25" s="1" t="n">
        <x:f>(AD25*'損益分岐設定'!$F$58+AE25*'損益分岐設定'!$F$61+AF25*'損益分岐設定'!$F$64*1)*'損益分岐設定'!$B$22</x:f>
        <x:v>1800</x:v>
      </x:c>
      <x:c r="AK25" s="1" t="n">
        <x:f>AD25*'損益分岐設定'!$G$58+AE25*'損益分岐設定'!$G$61+AF25*'損益分岐設定'!$G$64</x:f>
        <x:v>1200</x:v>
      </x:c>
      <x:c r="AL25" s="1" t="n">
        <x:f>AD25*'損益分岐設定'!$H$58+AE25*'損益分岐設定'!$H$61+AF25*'損益分岐設定'!$H$64</x:f>
        <x:v>1366.6666666666667</x:v>
      </x:c>
      <x:c r="AM25" s="1" t="n">
        <x:f>MAX(1,ROUNDUP('損益分岐設定'!C37*AJ25/('損益分岐設定'!$B$23*'損益分岐設定'!$B$24*3600*'損益分岐設定'!$B$25),0))</x:f>
        <x:v>1</x:v>
      </x:c>
      <x:c r="AN25" s="1" t="n">
        <x:f>MAX(2,ROUNDUP('損益分岐設定'!C38*AJ25/('損益分岐設定'!$B$23*'損益分岐設定'!$B$24*3600*'損益分岐設定'!$B$25),0))</x:f>
        <x:v>2</x:v>
      </x:c>
      <x:c r="AO25" s="1" t="n">
        <x:f>MAX(2,ROUNDUP('損益分岐設定'!C39*AJ25/('損益分岐設定'!$B$23*'損益分岐設定'!$B$24*3600*'損益分岐設定'!$B$25),0))</x:f>
        <x:v>2</x:v>
      </x:c>
      <x:c r="AP25" s="1" t="n">
        <x:f>MAX(2,ROUNDUP('損益分岐設定'!C40*AJ25/('損益分岐設定'!$B$23*'損益分岐設定'!$B$24*3600*'損益分岐設定'!$B$25),0))</x:f>
        <x:v>4</x:v>
      </x:c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23" customHeight="1">
      <x:c r="A26" s="1" t="str">
        <x:v>Run</x:v>
      </x:c>
      <x:c r="B26" s="1" t="str">
        <x:v>Starter</x:v>
      </x:c>
      <x:c r="C26" s="1" t="str">
        <x:v>高位</x:v>
      </x:c>
      <x:c r="D26" s="21" t="n">
        <x:v>0</x:v>
      </x:c>
      <x:c r="E26" s="1" t="n">
        <x:v>1</x:v>
      </x:c>
      <x:c r="F26" s="7" t="n">
        <x:f>AD26*'損益分岐設定'!$B$5+AE26*'損益分岐設定'!$B$6+AF26*'損益分岐設定'!$B$7</x:f>
        <x:v>3000</x:v>
      </x:c>
      <x:c r="G26" s="7" t="n">
        <x:f>AG26+(AH26+AI26)*('損益分岐設定'!$B$29+0.5*'損益分岐設定'!$B$30)+AK26*'損益分岐設定'!$B$32+(AJ26+AK26/'損益分岐設定'!$B$28*'損益分岐設定'!$B$26)*('損益分岐設定'!$B$29+'損益分岐設定'!$B$31*'損益分岐設定'!$B$30)</x:f>
        <x:v>2527.508311367952</x:v>
      </x:c>
      <x:c r="H26" s="7" t="n">
        <x:f>AL26*E26</x:f>
        <x:v>1366.6666666666667</x:v>
      </x:c>
      <x:c r="I26" s="7" t="n">
        <x:f>F26*(1-D26-'損益分岐設定'!$B$10)-G26-H26</x:f>
        <x:v>-1002.1749780346188</x:v>
      </x:c>
      <x:c r="J26" s="1" t="str">
        <x:f>IF(MIN(V26:Y26)&gt;1000,"範囲内なし",MIN(V26:Y26))</x:f>
        <x:v>範囲内なし</x:v>
      </x:c>
      <x:c r="K26" s="1" t="str">
        <x:f>IF(MAX(Z26:AC26)&gt;=1000,"範囲内なし",MAX(1,MAX(Z26:AC26)+1))</x:f>
        <x:v>範囲内なし</x:v>
      </x:c>
      <x:c r="L26" s="7" t="n">
        <x:f>10*I26-R26</x:f>
        <x:v>-40032.684406653985</x:v>
      </x:c>
      <x:c r="M26" s="7" t="n">
        <x:f>30*I26-S26</x:f>
        <x:v>-64576.18396734636</x:v>
      </x:c>
      <x:c r="N26" s="7" t="n">
        <x:f>50*I26-S26</x:f>
        <x:v>-84619.68352803873</x:v>
      </x:c>
      <x:c r="O26" s="7" t="n">
        <x:f>100*I26-S26</x:f>
        <x:v>-134728.4324297697</x:v>
      </x:c>
      <x:c r="P26" s="7" t="n">
        <x:f>300*I26-T26</x:f>
        <x:v>-357163.4280366934</x:v>
      </x:c>
      <x:c r="Q26" s="7" t="n">
        <x:f>1000*I26-U26</x:f>
        <x:v>-1088685.9126609266</x:v>
      </x:c>
      <x:c r="R2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26*'損益分岐設定'!$B$12*'損益分岐設定'!$B$11</x:f>
        <x:v>30010.934626307797</x:v>
      </x:c>
      <x:c r="S2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26*'損益分岐設定'!$B$12*'損益分岐設定'!$B$11</x:f>
        <x:v>34510.9346263078</x:v>
      </x:c>
      <x:c r="T2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26*'損益分岐設定'!$B$12*'損益分岐設定'!$B$11</x:f>
        <x:v>56510.9346263078</x:v>
      </x:c>
      <x:c r="U2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26*'損益分岐設定'!$B$12*'損益分岐設定'!$B$11</x:f>
        <x:v>86510.9346263078</x:v>
      </x:c>
      <x:c r="V26" s="1" t="n">
        <x:f>IF(I26&lt;=0,1001,IF(MAX('損益分岐設定'!B37,ROUNDUP(R26/I26,0))&lt;='損益分岐設定'!C37,MAX('損益分岐設定'!B37,ROUNDUP(R26/I26,0)),1001))</x:f>
        <x:v>1001</x:v>
      </x:c>
      <x:c r="W26" s="1" t="n">
        <x:f>IF(I26&lt;=0,1001,IF(MAX('損益分岐設定'!B38,ROUNDUP(S26/I26,0))&lt;='損益分岐設定'!C38,MAX('損益分岐設定'!B38,ROUNDUP(S26/I26,0)),1001))</x:f>
        <x:v>1001</x:v>
      </x:c>
      <x:c r="X26" s="1" t="n">
        <x:f>IF(I26&lt;=0,1001,IF(MAX('損益分岐設定'!B39,ROUNDUP(T26/I26,0))&lt;='損益分岐設定'!C39,MAX('損益分岐設定'!B39,ROUNDUP(T26/I26,0)),1001))</x:f>
        <x:v>1001</x:v>
      </x:c>
      <x:c r="Y26" s="1" t="n">
        <x:f>IF(I26&lt;=0,1001,IF(MAX('損益分岐設定'!B40,ROUNDUP(U26/I26,0))&lt;='損益分岐設定'!C40,MAX('損益分岐設定'!B40,ROUNDUP(U26/I26,0)),1001))</x:f>
        <x:v>1001</x:v>
      </x:c>
      <x:c r="Z26" s="1" t="n">
        <x:f>IF(I26&lt;=0,'損益分岐設定'!C37,IF('損益分岐設定'!C37*I26-R26&lt;0,'損益分岐設定'!C37,IF('損益分岐設定'!B37*I26-R26&gt;=0,0,ROUNDUP(R26/I26,0)-1)))</x:f>
        <x:v>10</x:v>
      </x:c>
      <x:c r="AA26" s="1" t="n">
        <x:f>IF(I26&lt;=0,'損益分岐設定'!C38,IF('損益分岐設定'!C38*I26-S26&lt;0,'損益分岐設定'!C38,IF('損益分岐設定'!B38*I26-S26&gt;=0,0,ROUNDUP(S26/I26,0)-1)))</x:f>
        <x:v>100</x:v>
      </x:c>
      <x:c r="AB26" s="1" t="n">
        <x:f>IF(I26&lt;=0,'損益分岐設定'!C39,IF('損益分岐設定'!C39*I26-T26&lt;0,'損益分岐設定'!C39,IF('損益分岐設定'!B39*I26-T26&gt;=0,0,ROUNDUP(T26/I26,0)-1)))</x:f>
        <x:v>500</x:v>
      </x:c>
      <x:c r="AC26" s="1" t="n">
        <x:f>IF(I26&lt;=0,'損益分岐設定'!C40,IF('損益分岐設定'!C40*I26-U26&lt;0,'損益分岐設定'!C40,IF('損益分岐設定'!B40*I26-U26&gt;=0,0,ROUNDUP(U26/I26,0)-1)))</x:f>
        <x:v>1000</x:v>
      </x:c>
      <x:c r="AD26" s="1" t="n">
        <x:v>1</x:v>
      </x:c>
      <x:c r="AE26" s="1" t="n">
        <x:v>0</x:v>
      </x:c>
      <x:c r="AF26" s="1" t="n">
        <x:v>0</x:v>
      </x:c>
      <x:c r="AG26" s="1" t="n">
        <x:f>AD26*'損益分岐設定'!$C$58+AE26*'損益分岐設定'!$C$61+AF26*'損益分岐設定'!$C$64</x:f>
        <x:v>2516.1764477539064</x:v>
      </x:c>
      <x:c r="AH26" s="1" t="n">
        <x:f>AD26*'損益分岐設定'!$D$58+AE26*'損益分岐設定'!$D$61+AF26*'損益分岐設定'!$D$64</x:f>
        <x:v>120</x:v>
      </x:c>
      <x:c r="AI26" s="1" t="n">
        <x:f>AD26*'損益分岐設定'!$E$58+AE26*'損益分岐設定'!$E$61+AF26*'損益分岐設定'!$E$64</x:f>
        <x:v>160</x:v>
      </x:c>
      <x:c r="AJ26" s="1" t="n">
        <x:f>(AD26*'損益分岐設定'!$F$58+AE26*'損益分岐設定'!$F$61+AF26*'損益分岐設定'!$F$64*1)*'損益分岐設定'!$B$22</x:f>
        <x:v>1800</x:v>
      </x:c>
      <x:c r="AK26" s="1" t="n">
        <x:f>AD26*'損益分岐設定'!$G$58+AE26*'損益分岐設定'!$G$61+AF26*'損益分岐設定'!$G$64</x:f>
        <x:v>1200</x:v>
      </x:c>
      <x:c r="AL26" s="1" t="n">
        <x:f>AD26*'損益分岐設定'!$H$58+AE26*'損益分岐設定'!$H$61+AF26*'損益分岐設定'!$H$64</x:f>
        <x:v>1366.6666666666667</x:v>
      </x:c>
      <x:c r="AM26" s="1" t="n">
        <x:f>MAX(1,ROUNDUP('損益分岐設定'!C37*AJ26/('損益分岐設定'!$B$23*'損益分岐設定'!$B$24*3600*'損益分岐設定'!$B$25),0))</x:f>
        <x:v>1</x:v>
      </x:c>
      <x:c r="AN26" s="1" t="n">
        <x:f>MAX(2,ROUNDUP('損益分岐設定'!C38*AJ26/('損益分岐設定'!$B$23*'損益分岐設定'!$B$24*3600*'損益分岐設定'!$B$25),0))</x:f>
        <x:v>2</x:v>
      </x:c>
      <x:c r="AO26" s="1" t="n">
        <x:f>MAX(2,ROUNDUP('損益分岐設定'!C39*AJ26/('損益分岐設定'!$B$23*'損益分岐設定'!$B$24*3600*'損益分岐設定'!$B$25),0))</x:f>
        <x:v>2</x:v>
      </x:c>
      <x:c r="AP26" s="1" t="n">
        <x:f>MAX(2,ROUNDUP('損益分岐設定'!C40*AJ26/('損益分岐設定'!$B$23*'損益分岐設定'!$B$24*3600*'損益分岐設定'!$B$25),0))</x:f>
        <x:v>4</x:v>
      </x:c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23" customHeight="1">
      <x:c r="A27" s="1" t="str">
        <x:v>Run</x:v>
      </x:c>
      <x:c r="B27" s="1" t="str">
        <x:v>Starter</x:v>
      </x:c>
      <x:c r="C27" s="1" t="str">
        <x:v>高位</x:v>
      </x:c>
      <x:c r="D27" s="21" t="n">
        <x:v>0.2</x:v>
      </x:c>
      <x:c r="E27" s="1" t="n">
        <x:v>0</x:v>
      </x:c>
      <x:c r="F27" s="7" t="n">
        <x:f>AD27*'損益分岐設定'!$B$5+AE27*'損益分岐設定'!$B$6+AF27*'損益分岐設定'!$B$7</x:f>
        <x:v>3000</x:v>
      </x:c>
      <x:c r="G27" s="7" t="n">
        <x:f>AG27+(AH27+AI27)*('損益分岐設定'!$B$29+0.5*'損益分岐設定'!$B$30)+AK27*'損益分岐設定'!$B$32+(AJ27+AK27/'損益分岐設定'!$B$28*'損益分岐設定'!$B$26)*('損益分岐設定'!$B$29+'損益分岐設定'!$B$31*'損益分岐設定'!$B$30)</x:f>
        <x:v>2527.508311367952</x:v>
      </x:c>
      <x:c r="H27" s="7" t="n">
        <x:f>AL27*E27</x:f>
        <x:v>0</x:v>
      </x:c>
      <x:c r="I27" s="7" t="n">
        <x:f>F27*(1-D27-'損益分岐設定'!$B$10)-G27-H27</x:f>
        <x:v>-235.50831136795205</x:v>
      </x:c>
      <x:c r="J27" s="1" t="str">
        <x:f>IF(MIN(V27:Y27)&gt;1000,"範囲内なし",MIN(V27:Y27))</x:f>
        <x:v>範囲内なし</x:v>
      </x:c>
      <x:c r="K27" s="1" t="str">
        <x:f>IF(MAX(Z27:AC27)&gt;=1000,"範囲内なし",MAX(1,MAX(Z27:AC27)+1))</x:f>
        <x:v>範囲内なし</x:v>
      </x:c>
      <x:c r="L27" s="7" t="n">
        <x:f>10*I27-R27</x:f>
        <x:v>-24366.017739987317</x:v>
      </x:c>
      <x:c r="M27" s="7" t="n">
        <x:f>30*I27-S27</x:f>
        <x:v>-33576.183967346355</x:v>
      </x:c>
      <x:c r="N27" s="7" t="n">
        <x:f>50*I27-S27</x:f>
        <x:v>-38286.3501947054</x:v>
      </x:c>
      <x:c r="O27" s="7" t="n">
        <x:f>100*I27-S27</x:f>
        <x:v>-50061.765763103</x:v>
      </x:c>
      <x:c r="P27" s="7" t="n">
        <x:f>300*I27-T27</x:f>
        <x:v>-119163.42803669343</x:v>
      </x:c>
      <x:c r="Q27" s="7" t="n">
        <x:f>1000*I27-U27</x:f>
        <x:v>-314019.24599425984</x:v>
      </x:c>
      <x:c r="R2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27*'損益分岐設定'!$B$12*'損益分岐設定'!$B$11</x:f>
        <x:v>22010.934626307797</x:v>
      </x:c>
      <x:c r="S2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27*'損益分岐設定'!$B$12*'損益分岐設定'!$B$11</x:f>
        <x:v>26510.934626307797</x:v>
      </x:c>
      <x:c r="T2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27*'損益分岐設定'!$B$12*'損益分岐設定'!$B$11</x:f>
        <x:v>48510.9346263078</x:v>
      </x:c>
      <x:c r="U2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27*'損益分岐設定'!$B$12*'損益分岐設定'!$B$11</x:f>
        <x:v>78510.9346263078</x:v>
      </x:c>
      <x:c r="V27" s="1" t="n">
        <x:f>IF(I27&lt;=0,1001,IF(MAX('損益分岐設定'!B37,ROUNDUP(R27/I27,0))&lt;='損益分岐設定'!C37,MAX('損益分岐設定'!B37,ROUNDUP(R27/I27,0)),1001))</x:f>
        <x:v>1001</x:v>
      </x:c>
      <x:c r="W27" s="1" t="n">
        <x:f>IF(I27&lt;=0,1001,IF(MAX('損益分岐設定'!B38,ROUNDUP(S27/I27,0))&lt;='損益分岐設定'!C38,MAX('損益分岐設定'!B38,ROUNDUP(S27/I27,0)),1001))</x:f>
        <x:v>1001</x:v>
      </x:c>
      <x:c r="X27" s="1" t="n">
        <x:f>IF(I27&lt;=0,1001,IF(MAX('損益分岐設定'!B39,ROUNDUP(T27/I27,0))&lt;='損益分岐設定'!C39,MAX('損益分岐設定'!B39,ROUNDUP(T27/I27,0)),1001))</x:f>
        <x:v>1001</x:v>
      </x:c>
      <x:c r="Y27" s="1" t="n">
        <x:f>IF(I27&lt;=0,1001,IF(MAX('損益分岐設定'!B40,ROUNDUP(U27/I27,0))&lt;='損益分岐設定'!C40,MAX('損益分岐設定'!B40,ROUNDUP(U27/I27,0)),1001))</x:f>
        <x:v>1001</x:v>
      </x:c>
      <x:c r="Z27" s="1" t="n">
        <x:f>IF(I27&lt;=0,'損益分岐設定'!C37,IF('損益分岐設定'!C37*I27-R27&lt;0,'損益分岐設定'!C37,IF('損益分岐設定'!B37*I27-R27&gt;=0,0,ROUNDUP(R27/I27,0)-1)))</x:f>
        <x:v>10</x:v>
      </x:c>
      <x:c r="AA27" s="1" t="n">
        <x:f>IF(I27&lt;=0,'損益分岐設定'!C38,IF('損益分岐設定'!C38*I27-S27&lt;0,'損益分岐設定'!C38,IF('損益分岐設定'!B38*I27-S27&gt;=0,0,ROUNDUP(S27/I27,0)-1)))</x:f>
        <x:v>100</x:v>
      </x:c>
      <x:c r="AB27" s="1" t="n">
        <x:f>IF(I27&lt;=0,'損益分岐設定'!C39,IF('損益分岐設定'!C39*I27-T27&lt;0,'損益分岐設定'!C39,IF('損益分岐設定'!B39*I27-T27&gt;=0,0,ROUNDUP(T27/I27,0)-1)))</x:f>
        <x:v>500</x:v>
      </x:c>
      <x:c r="AC27" s="1" t="n">
        <x:f>IF(I27&lt;=0,'損益分岐設定'!C40,IF('損益分岐設定'!C40*I27-U27&lt;0,'損益分岐設定'!C40,IF('損益分岐設定'!B40*I27-U27&gt;=0,0,ROUNDUP(U27/I27,0)-1)))</x:f>
        <x:v>1000</x:v>
      </x:c>
      <x:c r="AD27" s="1" t="n">
        <x:v>1</x:v>
      </x:c>
      <x:c r="AE27" s="1" t="n">
        <x:v>0</x:v>
      </x:c>
      <x:c r="AF27" s="1" t="n">
        <x:v>0</x:v>
      </x:c>
      <x:c r="AG27" s="1" t="n">
        <x:f>AD27*'損益分岐設定'!$C$58+AE27*'損益分岐設定'!$C$61+AF27*'損益分岐設定'!$C$64</x:f>
        <x:v>2516.1764477539064</x:v>
      </x:c>
      <x:c r="AH27" s="1" t="n">
        <x:f>AD27*'損益分岐設定'!$D$58+AE27*'損益分岐設定'!$D$61+AF27*'損益分岐設定'!$D$64</x:f>
        <x:v>120</x:v>
      </x:c>
      <x:c r="AI27" s="1" t="n">
        <x:f>AD27*'損益分岐設定'!$E$58+AE27*'損益分岐設定'!$E$61+AF27*'損益分岐設定'!$E$64</x:f>
        <x:v>160</x:v>
      </x:c>
      <x:c r="AJ27" s="1" t="n">
        <x:f>(AD27*'損益分岐設定'!$F$58+AE27*'損益分岐設定'!$F$61+AF27*'損益分岐設定'!$F$64*1)*'損益分岐設定'!$B$22</x:f>
        <x:v>1800</x:v>
      </x:c>
      <x:c r="AK27" s="1" t="n">
        <x:f>AD27*'損益分岐設定'!$G$58+AE27*'損益分岐設定'!$G$61+AF27*'損益分岐設定'!$G$64</x:f>
        <x:v>1200</x:v>
      </x:c>
      <x:c r="AL27" s="1" t="n">
        <x:f>AD27*'損益分岐設定'!$H$58+AE27*'損益分岐設定'!$H$61+AF27*'損益分岐設定'!$H$64</x:f>
        <x:v>1366.6666666666667</x:v>
      </x:c>
      <x:c r="AM27" s="1" t="n">
        <x:f>MAX(1,ROUNDUP('損益分岐設定'!C37*AJ27/('損益分岐設定'!$B$23*'損益分岐設定'!$B$24*3600*'損益分岐設定'!$B$25),0))</x:f>
        <x:v>1</x:v>
      </x:c>
      <x:c r="AN27" s="1" t="n">
        <x:f>MAX(2,ROUNDUP('損益分岐設定'!C38*AJ27/('損益分岐設定'!$B$23*'損益分岐設定'!$B$24*3600*'損益分岐設定'!$B$25),0))</x:f>
        <x:v>2</x:v>
      </x:c>
      <x:c r="AO27" s="1" t="n">
        <x:f>MAX(2,ROUNDUP('損益分岐設定'!C39*AJ27/('損益分岐設定'!$B$23*'損益分岐設定'!$B$24*3600*'損益分岐設定'!$B$25),0))</x:f>
        <x:v>2</x:v>
      </x:c>
      <x:c r="AP27" s="1" t="n">
        <x:f>MAX(2,ROUNDUP('損益分岐設定'!C40*AJ27/('損益分岐設定'!$B$23*'損益分岐設定'!$B$24*3600*'損益分岐設定'!$B$25),0))</x:f>
        <x:v>4</x:v>
      </x:c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23" customHeight="1">
      <x:c r="A28" s="1" t="str">
        <x:v>Run</x:v>
      </x:c>
      <x:c r="B28" s="1" t="str">
        <x:v>Starter</x:v>
      </x:c>
      <x:c r="C28" s="1" t="str">
        <x:v>高位</x:v>
      </x:c>
      <x:c r="D28" s="21" t="n">
        <x:v>0.2</x:v>
      </x:c>
      <x:c r="E28" s="1" t="n">
        <x:v>1</x:v>
      </x:c>
      <x:c r="F28" s="7" t="n">
        <x:f>AD28*'損益分岐設定'!$B$5+AE28*'損益分岐設定'!$B$6+AF28*'損益分岐設定'!$B$7</x:f>
        <x:v>3000</x:v>
      </x:c>
      <x:c r="G28" s="7" t="n">
        <x:f>AG28+(AH28+AI28)*('損益分岐設定'!$B$29+0.5*'損益分岐設定'!$B$30)+AK28*'損益分岐設定'!$B$32+(AJ28+AK28/'損益分岐設定'!$B$28*'損益分岐設定'!$B$26)*('損益分岐設定'!$B$29+'損益分岐設定'!$B$31*'損益分岐設定'!$B$30)</x:f>
        <x:v>2527.508311367952</x:v>
      </x:c>
      <x:c r="H28" s="7" t="n">
        <x:f>AL28*E28</x:f>
        <x:v>1366.6666666666667</x:v>
      </x:c>
      <x:c r="I28" s="7" t="n">
        <x:f>F28*(1-D28-'損益分岐設定'!$B$10)-G28-H28</x:f>
        <x:v>-1602.1749780346188</x:v>
      </x:c>
      <x:c r="J28" s="1" t="str">
        <x:f>IF(MIN(V28:Y28)&gt;1000,"範囲内なし",MIN(V28:Y28))</x:f>
        <x:v>範囲内なし</x:v>
      </x:c>
      <x:c r="K28" s="1" t="str">
        <x:f>IF(MAX(Z28:AC28)&gt;=1000,"範囲内なし",MAX(1,MAX(Z28:AC28)+1))</x:f>
        <x:v>範囲内なし</x:v>
      </x:c>
      <x:c r="L28" s="7" t="n">
        <x:f>10*I28-R28</x:f>
        <x:v>-46032.684406653985</x:v>
      </x:c>
      <x:c r="M28" s="7" t="n">
        <x:f>30*I28-S28</x:f>
        <x:v>-82576.18396734635</x:v>
      </x:c>
      <x:c r="N28" s="7" t="n">
        <x:f>50*I28-S28</x:f>
        <x:v>-114619.68352803873</x:v>
      </x:c>
      <x:c r="O28" s="7" t="n">
        <x:f>100*I28-S28</x:f>
        <x:v>-194728.4324297697</x:v>
      </x:c>
      <x:c r="P28" s="7" t="n">
        <x:f>300*I28-T28</x:f>
        <x:v>-537163.4280366934</x:v>
      </x:c>
      <x:c r="Q28" s="7" t="n">
        <x:f>1000*I28-U28</x:f>
        <x:v>-1688685.9126609266</x:v>
      </x:c>
      <x:c r="R2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28*'損益分岐設定'!$B$12*'損益分岐設定'!$B$11</x:f>
        <x:v>30010.934626307797</x:v>
      </x:c>
      <x:c r="S2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28*'損益分岐設定'!$B$12*'損益分岐設定'!$B$11</x:f>
        <x:v>34510.9346263078</x:v>
      </x:c>
      <x:c r="T2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28*'損益分岐設定'!$B$12*'損益分岐設定'!$B$11</x:f>
        <x:v>56510.9346263078</x:v>
      </x:c>
      <x:c r="U2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28*'損益分岐設定'!$B$12*'損益分岐設定'!$B$11</x:f>
        <x:v>86510.9346263078</x:v>
      </x:c>
      <x:c r="V28" s="1" t="n">
        <x:f>IF(I28&lt;=0,1001,IF(MAX('損益分岐設定'!B37,ROUNDUP(R28/I28,0))&lt;='損益分岐設定'!C37,MAX('損益分岐設定'!B37,ROUNDUP(R28/I28,0)),1001))</x:f>
        <x:v>1001</x:v>
      </x:c>
      <x:c r="W28" s="1" t="n">
        <x:f>IF(I28&lt;=0,1001,IF(MAX('損益分岐設定'!B38,ROUNDUP(S28/I28,0))&lt;='損益分岐設定'!C38,MAX('損益分岐設定'!B38,ROUNDUP(S28/I28,0)),1001))</x:f>
        <x:v>1001</x:v>
      </x:c>
      <x:c r="X28" s="1" t="n">
        <x:f>IF(I28&lt;=0,1001,IF(MAX('損益分岐設定'!B39,ROUNDUP(T28/I28,0))&lt;='損益分岐設定'!C39,MAX('損益分岐設定'!B39,ROUNDUP(T28/I28,0)),1001))</x:f>
        <x:v>1001</x:v>
      </x:c>
      <x:c r="Y28" s="1" t="n">
        <x:f>IF(I28&lt;=0,1001,IF(MAX('損益分岐設定'!B40,ROUNDUP(U28/I28,0))&lt;='損益分岐設定'!C40,MAX('損益分岐設定'!B40,ROUNDUP(U28/I28,0)),1001))</x:f>
        <x:v>1001</x:v>
      </x:c>
      <x:c r="Z28" s="1" t="n">
        <x:f>IF(I28&lt;=0,'損益分岐設定'!C37,IF('損益分岐設定'!C37*I28-R28&lt;0,'損益分岐設定'!C37,IF('損益分岐設定'!B37*I28-R28&gt;=0,0,ROUNDUP(R28/I28,0)-1)))</x:f>
        <x:v>10</x:v>
      </x:c>
      <x:c r="AA28" s="1" t="n">
        <x:f>IF(I28&lt;=0,'損益分岐設定'!C38,IF('損益分岐設定'!C38*I28-S28&lt;0,'損益分岐設定'!C38,IF('損益分岐設定'!B38*I28-S28&gt;=0,0,ROUNDUP(S28/I28,0)-1)))</x:f>
        <x:v>100</x:v>
      </x:c>
      <x:c r="AB28" s="1" t="n">
        <x:f>IF(I28&lt;=0,'損益分岐設定'!C39,IF('損益分岐設定'!C39*I28-T28&lt;0,'損益分岐設定'!C39,IF('損益分岐設定'!B39*I28-T28&gt;=0,0,ROUNDUP(T28/I28,0)-1)))</x:f>
        <x:v>500</x:v>
      </x:c>
      <x:c r="AC28" s="1" t="n">
        <x:f>IF(I28&lt;=0,'損益分岐設定'!C40,IF('損益分岐設定'!C40*I28-U28&lt;0,'損益分岐設定'!C40,IF('損益分岐設定'!B40*I28-U28&gt;=0,0,ROUNDUP(U28/I28,0)-1)))</x:f>
        <x:v>1000</x:v>
      </x:c>
      <x:c r="AD28" s="1" t="n">
        <x:v>1</x:v>
      </x:c>
      <x:c r="AE28" s="1" t="n">
        <x:v>0</x:v>
      </x:c>
      <x:c r="AF28" s="1" t="n">
        <x:v>0</x:v>
      </x:c>
      <x:c r="AG28" s="1" t="n">
        <x:f>AD28*'損益分岐設定'!$C$58+AE28*'損益分岐設定'!$C$61+AF28*'損益分岐設定'!$C$64</x:f>
        <x:v>2516.1764477539064</x:v>
      </x:c>
      <x:c r="AH28" s="1" t="n">
        <x:f>AD28*'損益分岐設定'!$D$58+AE28*'損益分岐設定'!$D$61+AF28*'損益分岐設定'!$D$64</x:f>
        <x:v>120</x:v>
      </x:c>
      <x:c r="AI28" s="1" t="n">
        <x:f>AD28*'損益分岐設定'!$E$58+AE28*'損益分岐設定'!$E$61+AF28*'損益分岐設定'!$E$64</x:f>
        <x:v>160</x:v>
      </x:c>
      <x:c r="AJ28" s="1" t="n">
        <x:f>(AD28*'損益分岐設定'!$F$58+AE28*'損益分岐設定'!$F$61+AF28*'損益分岐設定'!$F$64*1)*'損益分岐設定'!$B$22</x:f>
        <x:v>1800</x:v>
      </x:c>
      <x:c r="AK28" s="1" t="n">
        <x:f>AD28*'損益分岐設定'!$G$58+AE28*'損益分岐設定'!$G$61+AF28*'損益分岐設定'!$G$64</x:f>
        <x:v>1200</x:v>
      </x:c>
      <x:c r="AL28" s="1" t="n">
        <x:f>AD28*'損益分岐設定'!$H$58+AE28*'損益分岐設定'!$H$61+AF28*'損益分岐設定'!$H$64</x:f>
        <x:v>1366.6666666666667</x:v>
      </x:c>
      <x:c r="AM28" s="1" t="n">
        <x:f>MAX(1,ROUNDUP('損益分岐設定'!C37*AJ28/('損益分岐設定'!$B$23*'損益分岐設定'!$B$24*3600*'損益分岐設定'!$B$25),0))</x:f>
        <x:v>1</x:v>
      </x:c>
      <x:c r="AN28" s="1" t="n">
        <x:f>MAX(2,ROUNDUP('損益分岐設定'!C38*AJ28/('損益分岐設定'!$B$23*'損益分岐設定'!$B$24*3600*'損益分岐設定'!$B$25),0))</x:f>
        <x:v>2</x:v>
      </x:c>
      <x:c r="AO28" s="1" t="n">
        <x:f>MAX(2,ROUNDUP('損益分岐設定'!C39*AJ28/('損益分岐設定'!$B$23*'損益分岐設定'!$B$24*3600*'損益分岐設定'!$B$25),0))</x:f>
        <x:v>2</x:v>
      </x:c>
      <x:c r="AP28" s="1" t="n">
        <x:f>MAX(2,ROUNDUP('損益分岐設定'!C40*AJ28/('損益分岐設定'!$B$23*'損益分岐設定'!$B$24*3600*'損益分岐設定'!$B$25),0))</x:f>
        <x:v>4</x:v>
      </x:c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23" customHeight="1">
      <x:c r="A29" s="1" t="str">
        <x:v>Run</x:v>
      </x:c>
      <x:c r="B29" s="1" t="str">
        <x:v>Starter</x:v>
      </x:c>
      <x:c r="C29" s="1" t="str">
        <x:v>高位</x:v>
      </x:c>
      <x:c r="D29" s="21" t="n">
        <x:v>0.3</x:v>
      </x:c>
      <x:c r="E29" s="1" t="n">
        <x:v>0</x:v>
      </x:c>
      <x:c r="F29" s="7" t="n">
        <x:f>AD29*'損益分岐設定'!$B$5+AE29*'損益分岐設定'!$B$6+AF29*'損益分岐設定'!$B$7</x:f>
        <x:v>3000</x:v>
      </x:c>
      <x:c r="G29" s="7" t="n">
        <x:f>AG29+(AH29+AI29)*('損益分岐設定'!$B$29+0.5*'損益分岐設定'!$B$30)+AK29*'損益分岐設定'!$B$32+(AJ29+AK29/'損益分岐設定'!$B$28*'損益分岐設定'!$B$26)*('損益分岐設定'!$B$29+'損益分岐設定'!$B$31*'損益分岐設定'!$B$30)</x:f>
        <x:v>2527.508311367952</x:v>
      </x:c>
      <x:c r="H29" s="7" t="n">
        <x:f>AL29*E29</x:f>
        <x:v>0</x:v>
      </x:c>
      <x:c r="I29" s="7" t="n">
        <x:f>F29*(1-D29-'損益分岐設定'!$B$10)-G29-H29</x:f>
        <x:v>-535.5083113679523</x:v>
      </x:c>
      <x:c r="J29" s="1" t="str">
        <x:f>IF(MIN(V29:Y29)&gt;1000,"範囲内なし",MIN(V29:Y29))</x:f>
        <x:v>範囲内なし</x:v>
      </x:c>
      <x:c r="K29" s="1" t="str">
        <x:f>IF(MAX(Z29:AC29)&gt;=1000,"範囲内なし",MAX(1,MAX(Z29:AC29)+1))</x:f>
        <x:v>範囲内なし</x:v>
      </x:c>
      <x:c r="L29" s="7" t="n">
        <x:f>10*I29-R29</x:f>
        <x:v>-27366.01773998732</x:v>
      </x:c>
      <x:c r="M29" s="7" t="n">
        <x:f>30*I29-S29</x:f>
        <x:v>-42576.18396734637</x:v>
      </x:c>
      <x:c r="N29" s="7" t="n">
        <x:f>50*I29-S29</x:f>
        <x:v>-53286.35019470541</x:v>
      </x:c>
      <x:c r="O29" s="7" t="n">
        <x:f>100*I29-S29</x:f>
        <x:v>-80061.76576310303</x:v>
      </x:c>
      <x:c r="P29" s="7" t="n">
        <x:f>300*I29-T29</x:f>
        <x:v>-209163.42803669348</x:v>
      </x:c>
      <x:c r="Q29" s="7" t="n">
        <x:f>1000*I29-U29</x:f>
        <x:v>-614019.2459942601</x:v>
      </x:c>
      <x:c r="R2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29*'損益分岐設定'!$B$12*'損益分岐設定'!$B$11</x:f>
        <x:v>22010.934626307797</x:v>
      </x:c>
      <x:c r="S2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29*'損益分岐設定'!$B$12*'損益分岐設定'!$B$11</x:f>
        <x:v>26510.934626307797</x:v>
      </x:c>
      <x:c r="T2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29*'損益分岐設定'!$B$12*'損益分岐設定'!$B$11</x:f>
        <x:v>48510.9346263078</x:v>
      </x:c>
      <x:c r="U2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29*'損益分岐設定'!$B$12*'損益分岐設定'!$B$11</x:f>
        <x:v>78510.9346263078</x:v>
      </x:c>
      <x:c r="V29" s="1" t="n">
        <x:f>IF(I29&lt;=0,1001,IF(MAX('損益分岐設定'!B37,ROUNDUP(R29/I29,0))&lt;='損益分岐設定'!C37,MAX('損益分岐設定'!B37,ROUNDUP(R29/I29,0)),1001))</x:f>
        <x:v>1001</x:v>
      </x:c>
      <x:c r="W29" s="1" t="n">
        <x:f>IF(I29&lt;=0,1001,IF(MAX('損益分岐設定'!B38,ROUNDUP(S29/I29,0))&lt;='損益分岐設定'!C38,MAX('損益分岐設定'!B38,ROUNDUP(S29/I29,0)),1001))</x:f>
        <x:v>1001</x:v>
      </x:c>
      <x:c r="X29" s="1" t="n">
        <x:f>IF(I29&lt;=0,1001,IF(MAX('損益分岐設定'!B39,ROUNDUP(T29/I29,0))&lt;='損益分岐設定'!C39,MAX('損益分岐設定'!B39,ROUNDUP(T29/I29,0)),1001))</x:f>
        <x:v>1001</x:v>
      </x:c>
      <x:c r="Y29" s="1" t="n">
        <x:f>IF(I29&lt;=0,1001,IF(MAX('損益分岐設定'!B40,ROUNDUP(U29/I29,0))&lt;='損益分岐設定'!C40,MAX('損益分岐設定'!B40,ROUNDUP(U29/I29,0)),1001))</x:f>
        <x:v>1001</x:v>
      </x:c>
      <x:c r="Z29" s="1" t="n">
        <x:f>IF(I29&lt;=0,'損益分岐設定'!C37,IF('損益分岐設定'!C37*I29-R29&lt;0,'損益分岐設定'!C37,IF('損益分岐設定'!B37*I29-R29&gt;=0,0,ROUNDUP(R29/I29,0)-1)))</x:f>
        <x:v>10</x:v>
      </x:c>
      <x:c r="AA29" s="1" t="n">
        <x:f>IF(I29&lt;=0,'損益分岐設定'!C38,IF('損益分岐設定'!C38*I29-S29&lt;0,'損益分岐設定'!C38,IF('損益分岐設定'!B38*I29-S29&gt;=0,0,ROUNDUP(S29/I29,0)-1)))</x:f>
        <x:v>100</x:v>
      </x:c>
      <x:c r="AB29" s="1" t="n">
        <x:f>IF(I29&lt;=0,'損益分岐設定'!C39,IF('損益分岐設定'!C39*I29-T29&lt;0,'損益分岐設定'!C39,IF('損益分岐設定'!B39*I29-T29&gt;=0,0,ROUNDUP(T29/I29,0)-1)))</x:f>
        <x:v>500</x:v>
      </x:c>
      <x:c r="AC29" s="1" t="n">
        <x:f>IF(I29&lt;=0,'損益分岐設定'!C40,IF('損益分岐設定'!C40*I29-U29&lt;0,'損益分岐設定'!C40,IF('損益分岐設定'!B40*I29-U29&gt;=0,0,ROUNDUP(U29/I29,0)-1)))</x:f>
        <x:v>1000</x:v>
      </x:c>
      <x:c r="AD29" s="1" t="n">
        <x:v>1</x:v>
      </x:c>
      <x:c r="AE29" s="1" t="n">
        <x:v>0</x:v>
      </x:c>
      <x:c r="AF29" s="1" t="n">
        <x:v>0</x:v>
      </x:c>
      <x:c r="AG29" s="1" t="n">
        <x:f>AD29*'損益分岐設定'!$C$58+AE29*'損益分岐設定'!$C$61+AF29*'損益分岐設定'!$C$64</x:f>
        <x:v>2516.1764477539064</x:v>
      </x:c>
      <x:c r="AH29" s="1" t="n">
        <x:f>AD29*'損益分岐設定'!$D$58+AE29*'損益分岐設定'!$D$61+AF29*'損益分岐設定'!$D$64</x:f>
        <x:v>120</x:v>
      </x:c>
      <x:c r="AI29" s="1" t="n">
        <x:f>AD29*'損益分岐設定'!$E$58+AE29*'損益分岐設定'!$E$61+AF29*'損益分岐設定'!$E$64</x:f>
        <x:v>160</x:v>
      </x:c>
      <x:c r="AJ29" s="1" t="n">
        <x:f>(AD29*'損益分岐設定'!$F$58+AE29*'損益分岐設定'!$F$61+AF29*'損益分岐設定'!$F$64*1)*'損益分岐設定'!$B$22</x:f>
        <x:v>1800</x:v>
      </x:c>
      <x:c r="AK29" s="1" t="n">
        <x:f>AD29*'損益分岐設定'!$G$58+AE29*'損益分岐設定'!$G$61+AF29*'損益分岐設定'!$G$64</x:f>
        <x:v>1200</x:v>
      </x:c>
      <x:c r="AL29" s="1" t="n">
        <x:f>AD29*'損益分岐設定'!$H$58+AE29*'損益分岐設定'!$H$61+AF29*'損益分岐設定'!$H$64</x:f>
        <x:v>1366.6666666666667</x:v>
      </x:c>
      <x:c r="AM29" s="1" t="n">
        <x:f>MAX(1,ROUNDUP('損益分岐設定'!C37*AJ29/('損益分岐設定'!$B$23*'損益分岐設定'!$B$24*3600*'損益分岐設定'!$B$25),0))</x:f>
        <x:v>1</x:v>
      </x:c>
      <x:c r="AN29" s="1" t="n">
        <x:f>MAX(2,ROUNDUP('損益分岐設定'!C38*AJ29/('損益分岐設定'!$B$23*'損益分岐設定'!$B$24*3600*'損益分岐設定'!$B$25),0))</x:f>
        <x:v>2</x:v>
      </x:c>
      <x:c r="AO29" s="1" t="n">
        <x:f>MAX(2,ROUNDUP('損益分岐設定'!C39*AJ29/('損益分岐設定'!$B$23*'損益分岐設定'!$B$24*3600*'損益分岐設定'!$B$25),0))</x:f>
        <x:v>2</x:v>
      </x:c>
      <x:c r="AP29" s="1" t="n">
        <x:f>MAX(2,ROUNDUP('損益分岐設定'!C40*AJ29/('損益分岐設定'!$B$23*'損益分岐設定'!$B$24*3600*'損益分岐設定'!$B$25),0))</x:f>
        <x:v>4</x:v>
      </x:c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23" customHeight="1">
      <x:c r="A30" s="1" t="str">
        <x:v>Run</x:v>
      </x:c>
      <x:c r="B30" s="1" t="str">
        <x:v>Starter</x:v>
      </x:c>
      <x:c r="C30" s="1" t="str">
        <x:v>高位</x:v>
      </x:c>
      <x:c r="D30" s="21" t="n">
        <x:v>0.3</x:v>
      </x:c>
      <x:c r="E30" s="1" t="n">
        <x:v>1</x:v>
      </x:c>
      <x:c r="F30" s="7" t="n">
        <x:f>AD30*'損益分岐設定'!$B$5+AE30*'損益分岐設定'!$B$6+AF30*'損益分岐設定'!$B$7</x:f>
        <x:v>3000</x:v>
      </x:c>
      <x:c r="G30" s="7" t="n">
        <x:f>AG30+(AH30+AI30)*('損益分岐設定'!$B$29+0.5*'損益分岐設定'!$B$30)+AK30*'損益分岐設定'!$B$32+(AJ30+AK30/'損益分岐設定'!$B$28*'損益分岐設定'!$B$26)*('損益分岐設定'!$B$29+'損益分岐設定'!$B$31*'損益分岐設定'!$B$30)</x:f>
        <x:v>2527.508311367952</x:v>
      </x:c>
      <x:c r="H30" s="7" t="n">
        <x:f>AL30*E30</x:f>
        <x:v>1366.6666666666667</x:v>
      </x:c>
      <x:c r="I30" s="7" t="n">
        <x:f>F30*(1-D30-'損益分岐設定'!$B$10)-G30-H30</x:f>
        <x:v>-1902.174978034619</x:v>
      </x:c>
      <x:c r="J30" s="1" t="str">
        <x:f>IF(MIN(V30:Y30)&gt;1000,"範囲内なし",MIN(V30:Y30))</x:f>
        <x:v>範囲内なし</x:v>
      </x:c>
      <x:c r="K30" s="1" t="str">
        <x:f>IF(MAX(Z30:AC30)&gt;=1000,"範囲内なし",MAX(1,MAX(Z30:AC30)+1))</x:f>
        <x:v>範囲内なし</x:v>
      </x:c>
      <x:c r="L30" s="7" t="n">
        <x:f>10*I30-R30</x:f>
        <x:v>-49032.684406653985</x:v>
      </x:c>
      <x:c r="M30" s="7" t="n">
        <x:f>30*I30-S30</x:f>
        <x:v>-91576.18396734637</x:v>
      </x:c>
      <x:c r="N30" s="7" t="n">
        <x:f>50*I30-S30</x:f>
        <x:v>-129619.68352803876</x:v>
      </x:c>
      <x:c r="O30" s="7" t="n">
        <x:f>100*I30-S30</x:f>
        <x:v>-224728.43242976972</x:v>
      </x:c>
      <x:c r="P30" s="7" t="n">
        <x:f>300*I30-T30</x:f>
        <x:v>-627163.4280366935</x:v>
      </x:c>
      <x:c r="Q30" s="7" t="n">
        <x:f>1000*I30-U30</x:f>
        <x:v>-1988685.9126609268</x:v>
      </x:c>
      <x:c r="R3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30*'損益分岐設定'!$B$12*'損益分岐設定'!$B$11</x:f>
        <x:v>30010.934626307797</x:v>
      </x:c>
      <x:c r="S3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30*'損益分岐設定'!$B$12*'損益分岐設定'!$B$11</x:f>
        <x:v>34510.9346263078</x:v>
      </x:c>
      <x:c r="T3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30*'損益分岐設定'!$B$12*'損益分岐設定'!$B$11</x:f>
        <x:v>56510.9346263078</x:v>
      </x:c>
      <x:c r="U3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30*'損益分岐設定'!$B$12*'損益分岐設定'!$B$11</x:f>
        <x:v>86510.9346263078</x:v>
      </x:c>
      <x:c r="V30" s="1" t="n">
        <x:f>IF(I30&lt;=0,1001,IF(MAX('損益分岐設定'!B37,ROUNDUP(R30/I30,0))&lt;='損益分岐設定'!C37,MAX('損益分岐設定'!B37,ROUNDUP(R30/I30,0)),1001))</x:f>
        <x:v>1001</x:v>
      </x:c>
      <x:c r="W30" s="1" t="n">
        <x:f>IF(I30&lt;=0,1001,IF(MAX('損益分岐設定'!B38,ROUNDUP(S30/I30,0))&lt;='損益分岐設定'!C38,MAX('損益分岐設定'!B38,ROUNDUP(S30/I30,0)),1001))</x:f>
        <x:v>1001</x:v>
      </x:c>
      <x:c r="X30" s="1" t="n">
        <x:f>IF(I30&lt;=0,1001,IF(MAX('損益分岐設定'!B39,ROUNDUP(T30/I30,0))&lt;='損益分岐設定'!C39,MAX('損益分岐設定'!B39,ROUNDUP(T30/I30,0)),1001))</x:f>
        <x:v>1001</x:v>
      </x:c>
      <x:c r="Y30" s="1" t="n">
        <x:f>IF(I30&lt;=0,1001,IF(MAX('損益分岐設定'!B40,ROUNDUP(U30/I30,0))&lt;='損益分岐設定'!C40,MAX('損益分岐設定'!B40,ROUNDUP(U30/I30,0)),1001))</x:f>
        <x:v>1001</x:v>
      </x:c>
      <x:c r="Z30" s="1" t="n">
        <x:f>IF(I30&lt;=0,'損益分岐設定'!C37,IF('損益分岐設定'!C37*I30-R30&lt;0,'損益分岐設定'!C37,IF('損益分岐設定'!B37*I30-R30&gt;=0,0,ROUNDUP(R30/I30,0)-1)))</x:f>
        <x:v>10</x:v>
      </x:c>
      <x:c r="AA30" s="1" t="n">
        <x:f>IF(I30&lt;=0,'損益分岐設定'!C38,IF('損益分岐設定'!C38*I30-S30&lt;0,'損益分岐設定'!C38,IF('損益分岐設定'!B38*I30-S30&gt;=0,0,ROUNDUP(S30/I30,0)-1)))</x:f>
        <x:v>100</x:v>
      </x:c>
      <x:c r="AB30" s="1" t="n">
        <x:f>IF(I30&lt;=0,'損益分岐設定'!C39,IF('損益分岐設定'!C39*I30-T30&lt;0,'損益分岐設定'!C39,IF('損益分岐設定'!B39*I30-T30&gt;=0,0,ROUNDUP(T30/I30,0)-1)))</x:f>
        <x:v>500</x:v>
      </x:c>
      <x:c r="AC30" s="1" t="n">
        <x:f>IF(I30&lt;=0,'損益分岐設定'!C40,IF('損益分岐設定'!C40*I30-U30&lt;0,'損益分岐設定'!C40,IF('損益分岐設定'!B40*I30-U30&gt;=0,0,ROUNDUP(U30/I30,0)-1)))</x:f>
        <x:v>1000</x:v>
      </x:c>
      <x:c r="AD30" s="1" t="n">
        <x:v>1</x:v>
      </x:c>
      <x:c r="AE30" s="1" t="n">
        <x:v>0</x:v>
      </x:c>
      <x:c r="AF30" s="1" t="n">
        <x:v>0</x:v>
      </x:c>
      <x:c r="AG30" s="1" t="n">
        <x:f>AD30*'損益分岐設定'!$C$58+AE30*'損益分岐設定'!$C$61+AF30*'損益分岐設定'!$C$64</x:f>
        <x:v>2516.1764477539064</x:v>
      </x:c>
      <x:c r="AH30" s="1" t="n">
        <x:f>AD30*'損益分岐設定'!$D$58+AE30*'損益分岐設定'!$D$61+AF30*'損益分岐設定'!$D$64</x:f>
        <x:v>120</x:v>
      </x:c>
      <x:c r="AI30" s="1" t="n">
        <x:f>AD30*'損益分岐設定'!$E$58+AE30*'損益分岐設定'!$E$61+AF30*'損益分岐設定'!$E$64</x:f>
        <x:v>160</x:v>
      </x:c>
      <x:c r="AJ30" s="1" t="n">
        <x:f>(AD30*'損益分岐設定'!$F$58+AE30*'損益分岐設定'!$F$61+AF30*'損益分岐設定'!$F$64*1)*'損益分岐設定'!$B$22</x:f>
        <x:v>1800</x:v>
      </x:c>
      <x:c r="AK30" s="1" t="n">
        <x:f>AD30*'損益分岐設定'!$G$58+AE30*'損益分岐設定'!$G$61+AF30*'損益分岐設定'!$G$64</x:f>
        <x:v>1200</x:v>
      </x:c>
      <x:c r="AL30" s="1" t="n">
        <x:f>AD30*'損益分岐設定'!$H$58+AE30*'損益分岐設定'!$H$61+AF30*'損益分岐設定'!$H$64</x:f>
        <x:v>1366.6666666666667</x:v>
      </x:c>
      <x:c r="AM30" s="1" t="n">
        <x:f>MAX(1,ROUNDUP('損益分岐設定'!C37*AJ30/('損益分岐設定'!$B$23*'損益分岐設定'!$B$24*3600*'損益分岐設定'!$B$25),0))</x:f>
        <x:v>1</x:v>
      </x:c>
      <x:c r="AN30" s="1" t="n">
        <x:f>MAX(2,ROUNDUP('損益分岐設定'!C38*AJ30/('損益分岐設定'!$B$23*'損益分岐設定'!$B$24*3600*'損益分岐設定'!$B$25),0))</x:f>
        <x:v>2</x:v>
      </x:c>
      <x:c r="AO30" s="1" t="n">
        <x:f>MAX(2,ROUNDUP('損益分岐設定'!C39*AJ30/('損益分岐設定'!$B$23*'損益分岐設定'!$B$24*3600*'損益分岐設定'!$B$25),0))</x:f>
        <x:v>2</x:v>
      </x:c>
      <x:c r="AP30" s="1" t="n">
        <x:f>MAX(2,ROUNDUP('損益分岐設定'!C40*AJ30/('損益分岐設定'!$B$23*'損益分岐設定'!$B$24*3600*'損益分岐設定'!$B$25),0))</x:f>
        <x:v>4</x:v>
      </x:c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23" customHeight="1">
      <x:c r="A31" s="1" t="str">
        <x:v>Run</x:v>
      </x:c>
      <x:c r="B31" s="1" t="str">
        <x:v>Starter</x:v>
      </x:c>
      <x:c r="C31" s="1" t="str">
        <x:v>高位</x:v>
      </x:c>
      <x:c r="D31" s="21" t="n">
        <x:v>0.4</x:v>
      </x:c>
      <x:c r="E31" s="1" t="n">
        <x:v>0</x:v>
      </x:c>
      <x:c r="F31" s="7" t="n">
        <x:f>AD31*'損益分岐設定'!$B$5+AE31*'損益分岐設定'!$B$6+AF31*'損益分岐設定'!$B$7</x:f>
        <x:v>3000</x:v>
      </x:c>
      <x:c r="G31" s="7" t="n">
        <x:f>AG31+(AH31+AI31)*('損益分岐設定'!$B$29+0.5*'損益分岐設定'!$B$30)+AK31*'損益分岐設定'!$B$32+(AJ31+AK31/'損益分岐設定'!$B$28*'損益分岐設定'!$B$26)*('損益分岐設定'!$B$29+'損益分岐設定'!$B$31*'損益分岐設定'!$B$30)</x:f>
        <x:v>2527.508311367952</x:v>
      </x:c>
      <x:c r="H31" s="7" t="n">
        <x:f>AL31*E31</x:f>
        <x:v>0</x:v>
      </x:c>
      <x:c r="I31" s="7" t="n">
        <x:f>F31*(1-D31-'損益分岐設定'!$B$10)-G31-H31</x:f>
        <x:v>-835.5083113679523</x:v>
      </x:c>
      <x:c r="J31" s="1" t="str">
        <x:f>IF(MIN(V31:Y31)&gt;1000,"範囲内なし",MIN(V31:Y31))</x:f>
        <x:v>範囲内なし</x:v>
      </x:c>
      <x:c r="K31" s="1" t="str">
        <x:f>IF(MAX(Z31:AC31)&gt;=1000,"範囲内なし",MAX(1,MAX(Z31:AC31)+1))</x:f>
        <x:v>範囲内なし</x:v>
      </x:c>
      <x:c r="L31" s="7" t="n">
        <x:f>10*I31-R31</x:f>
        <x:v>-30366.01773998732</x:v>
      </x:c>
      <x:c r="M31" s="7" t="n">
        <x:f>30*I31-S31</x:f>
        <x:v>-51576.18396734637</x:v>
      </x:c>
      <x:c r="N31" s="7" t="n">
        <x:f>50*I31-S31</x:f>
        <x:v>-68286.35019470542</x:v>
      </x:c>
      <x:c r="O31" s="7" t="n">
        <x:f>100*I31-S31</x:f>
        <x:v>-110061.76576310303</x:v>
      </x:c>
      <x:c r="P31" s="7" t="n">
        <x:f>300*I31-T31</x:f>
        <x:v>-299163.4280366935</x:v>
      </x:c>
      <x:c r="Q31" s="7" t="n">
        <x:f>1000*I31-U31</x:f>
        <x:v>-914019.2459942601</x:v>
      </x:c>
      <x:c r="R3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31*'損益分岐設定'!$B$12*'損益分岐設定'!$B$11</x:f>
        <x:v>22010.934626307797</x:v>
      </x:c>
      <x:c r="S3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31*'損益分岐設定'!$B$12*'損益分岐設定'!$B$11</x:f>
        <x:v>26510.934626307797</x:v>
      </x:c>
      <x:c r="T3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31*'損益分岐設定'!$B$12*'損益分岐設定'!$B$11</x:f>
        <x:v>48510.9346263078</x:v>
      </x:c>
      <x:c r="U3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31*'損益分岐設定'!$B$12*'損益分岐設定'!$B$11</x:f>
        <x:v>78510.9346263078</x:v>
      </x:c>
      <x:c r="V31" s="1" t="n">
        <x:f>IF(I31&lt;=0,1001,IF(MAX('損益分岐設定'!B37,ROUNDUP(R31/I31,0))&lt;='損益分岐設定'!C37,MAX('損益分岐設定'!B37,ROUNDUP(R31/I31,0)),1001))</x:f>
        <x:v>1001</x:v>
      </x:c>
      <x:c r="W31" s="1" t="n">
        <x:f>IF(I31&lt;=0,1001,IF(MAX('損益分岐設定'!B38,ROUNDUP(S31/I31,0))&lt;='損益分岐設定'!C38,MAX('損益分岐設定'!B38,ROUNDUP(S31/I31,0)),1001))</x:f>
        <x:v>1001</x:v>
      </x:c>
      <x:c r="X31" s="1" t="n">
        <x:f>IF(I31&lt;=0,1001,IF(MAX('損益分岐設定'!B39,ROUNDUP(T31/I31,0))&lt;='損益分岐設定'!C39,MAX('損益分岐設定'!B39,ROUNDUP(T31/I31,0)),1001))</x:f>
        <x:v>1001</x:v>
      </x:c>
      <x:c r="Y31" s="1" t="n">
        <x:f>IF(I31&lt;=0,1001,IF(MAX('損益分岐設定'!B40,ROUNDUP(U31/I31,0))&lt;='損益分岐設定'!C40,MAX('損益分岐設定'!B40,ROUNDUP(U31/I31,0)),1001))</x:f>
        <x:v>1001</x:v>
      </x:c>
      <x:c r="Z31" s="1" t="n">
        <x:f>IF(I31&lt;=0,'損益分岐設定'!C37,IF('損益分岐設定'!C37*I31-R31&lt;0,'損益分岐設定'!C37,IF('損益分岐設定'!B37*I31-R31&gt;=0,0,ROUNDUP(R31/I31,0)-1)))</x:f>
        <x:v>10</x:v>
      </x:c>
      <x:c r="AA31" s="1" t="n">
        <x:f>IF(I31&lt;=0,'損益分岐設定'!C38,IF('損益分岐設定'!C38*I31-S31&lt;0,'損益分岐設定'!C38,IF('損益分岐設定'!B38*I31-S31&gt;=0,0,ROUNDUP(S31/I31,0)-1)))</x:f>
        <x:v>100</x:v>
      </x:c>
      <x:c r="AB31" s="1" t="n">
        <x:f>IF(I31&lt;=0,'損益分岐設定'!C39,IF('損益分岐設定'!C39*I31-T31&lt;0,'損益分岐設定'!C39,IF('損益分岐設定'!B39*I31-T31&gt;=0,0,ROUNDUP(T31/I31,0)-1)))</x:f>
        <x:v>500</x:v>
      </x:c>
      <x:c r="AC31" s="1" t="n">
        <x:f>IF(I31&lt;=0,'損益分岐設定'!C40,IF('損益分岐設定'!C40*I31-U31&lt;0,'損益分岐設定'!C40,IF('損益分岐設定'!B40*I31-U31&gt;=0,0,ROUNDUP(U31/I31,0)-1)))</x:f>
        <x:v>1000</x:v>
      </x:c>
      <x:c r="AD31" s="1" t="n">
        <x:v>1</x:v>
      </x:c>
      <x:c r="AE31" s="1" t="n">
        <x:v>0</x:v>
      </x:c>
      <x:c r="AF31" s="1" t="n">
        <x:v>0</x:v>
      </x:c>
      <x:c r="AG31" s="1" t="n">
        <x:f>AD31*'損益分岐設定'!$C$58+AE31*'損益分岐設定'!$C$61+AF31*'損益分岐設定'!$C$64</x:f>
        <x:v>2516.1764477539064</x:v>
      </x:c>
      <x:c r="AH31" s="1" t="n">
        <x:f>AD31*'損益分岐設定'!$D$58+AE31*'損益分岐設定'!$D$61+AF31*'損益分岐設定'!$D$64</x:f>
        <x:v>120</x:v>
      </x:c>
      <x:c r="AI31" s="1" t="n">
        <x:f>AD31*'損益分岐設定'!$E$58+AE31*'損益分岐設定'!$E$61+AF31*'損益分岐設定'!$E$64</x:f>
        <x:v>160</x:v>
      </x:c>
      <x:c r="AJ31" s="1" t="n">
        <x:f>(AD31*'損益分岐設定'!$F$58+AE31*'損益分岐設定'!$F$61+AF31*'損益分岐設定'!$F$64*1)*'損益分岐設定'!$B$22</x:f>
        <x:v>1800</x:v>
      </x:c>
      <x:c r="AK31" s="1" t="n">
        <x:f>AD31*'損益分岐設定'!$G$58+AE31*'損益分岐設定'!$G$61+AF31*'損益分岐設定'!$G$64</x:f>
        <x:v>1200</x:v>
      </x:c>
      <x:c r="AL31" s="1" t="n">
        <x:f>AD31*'損益分岐設定'!$H$58+AE31*'損益分岐設定'!$H$61+AF31*'損益分岐設定'!$H$64</x:f>
        <x:v>1366.6666666666667</x:v>
      </x:c>
      <x:c r="AM31" s="1" t="n">
        <x:f>MAX(1,ROUNDUP('損益分岐設定'!C37*AJ31/('損益分岐設定'!$B$23*'損益分岐設定'!$B$24*3600*'損益分岐設定'!$B$25),0))</x:f>
        <x:v>1</x:v>
      </x:c>
      <x:c r="AN31" s="1" t="n">
        <x:f>MAX(2,ROUNDUP('損益分岐設定'!C38*AJ31/('損益分岐設定'!$B$23*'損益分岐設定'!$B$24*3600*'損益分岐設定'!$B$25),0))</x:f>
        <x:v>2</x:v>
      </x:c>
      <x:c r="AO31" s="1" t="n">
        <x:f>MAX(2,ROUNDUP('損益分岐設定'!C39*AJ31/('損益分岐設定'!$B$23*'損益分岐設定'!$B$24*3600*'損益分岐設定'!$B$25),0))</x:f>
        <x:v>2</x:v>
      </x:c>
      <x:c r="AP31" s="1" t="n">
        <x:f>MAX(2,ROUNDUP('損益分岐設定'!C40*AJ31/('損益分岐設定'!$B$23*'損益分岐設定'!$B$24*3600*'損益分岐設定'!$B$25),0))</x:f>
        <x:v>4</x:v>
      </x:c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23" customHeight="1">
      <x:c r="A32" s="1" t="str">
        <x:v>Run</x:v>
      </x:c>
      <x:c r="B32" s="1" t="str">
        <x:v>Starter</x:v>
      </x:c>
      <x:c r="C32" s="1" t="str">
        <x:v>高位</x:v>
      </x:c>
      <x:c r="D32" s="21" t="n">
        <x:v>0.4</x:v>
      </x:c>
      <x:c r="E32" s="1" t="n">
        <x:v>1</x:v>
      </x:c>
      <x:c r="F32" s="7" t="n">
        <x:f>AD32*'損益分岐設定'!$B$5+AE32*'損益分岐設定'!$B$6+AF32*'損益分岐設定'!$B$7</x:f>
        <x:v>3000</x:v>
      </x:c>
      <x:c r="G32" s="7" t="n">
        <x:f>AG32+(AH32+AI32)*('損益分岐設定'!$B$29+0.5*'損益分岐設定'!$B$30)+AK32*'損益分岐設定'!$B$32+(AJ32+AK32/'損益分岐設定'!$B$28*'損益分岐設定'!$B$26)*('損益分岐設定'!$B$29+'損益分岐設定'!$B$31*'損益分岐設定'!$B$30)</x:f>
        <x:v>2527.508311367952</x:v>
      </x:c>
      <x:c r="H32" s="7" t="n">
        <x:f>AL32*E32</x:f>
        <x:v>1366.6666666666667</x:v>
      </x:c>
      <x:c r="I32" s="7" t="n">
        <x:f>F32*(1-D32-'損益分岐設定'!$B$10)-G32-H32</x:f>
        <x:v>-2202.174978034619</x:v>
      </x:c>
      <x:c r="J32" s="1" t="str">
        <x:f>IF(MIN(V32:Y32)&gt;1000,"範囲内なし",MIN(V32:Y32))</x:f>
        <x:v>範囲内なし</x:v>
      </x:c>
      <x:c r="K32" s="1" t="str">
        <x:f>IF(MAX(Z32:AC32)&gt;=1000,"範囲内なし",MAX(1,MAX(Z32:AC32)+1))</x:f>
        <x:v>範囲内なし</x:v>
      </x:c>
      <x:c r="L32" s="7" t="n">
        <x:f>10*I32-R32</x:f>
        <x:v>-52032.684406653985</x:v>
      </x:c>
      <x:c r="M32" s="7" t="n">
        <x:f>30*I32-S32</x:f>
        <x:v>-100576.18396734635</x:v>
      </x:c>
      <x:c r="N32" s="7" t="n">
        <x:f>50*I32-S32</x:f>
        <x:v>-144619.68352803876</x:v>
      </x:c>
      <x:c r="O32" s="7" t="n">
        <x:f>100*I32-S32</x:f>
        <x:v>-254728.43242976972</x:v>
      </x:c>
      <x:c r="P32" s="7" t="n">
        <x:f>300*I32-T32</x:f>
        <x:v>-717163.4280366935</x:v>
      </x:c>
      <x:c r="Q32" s="7" t="n">
        <x:f>1000*I32-U32</x:f>
        <x:v>-2288685.912660927</x:v>
      </x:c>
      <x:c r="R3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32*'損益分岐設定'!$B$12*'損益分岐設定'!$B$11</x:f>
        <x:v>30010.934626307797</x:v>
      </x:c>
      <x:c r="S3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32*'損益分岐設定'!$B$12*'損益分岐設定'!$B$11</x:f>
        <x:v>34510.9346263078</x:v>
      </x:c>
      <x:c r="T3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32*'損益分岐設定'!$B$12*'損益分岐設定'!$B$11</x:f>
        <x:v>56510.9346263078</x:v>
      </x:c>
      <x:c r="U3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32*'損益分岐設定'!$B$12*'損益分岐設定'!$B$11</x:f>
        <x:v>86510.9346263078</x:v>
      </x:c>
      <x:c r="V32" s="1" t="n">
        <x:f>IF(I32&lt;=0,1001,IF(MAX('損益分岐設定'!B37,ROUNDUP(R32/I32,0))&lt;='損益分岐設定'!C37,MAX('損益分岐設定'!B37,ROUNDUP(R32/I32,0)),1001))</x:f>
        <x:v>1001</x:v>
      </x:c>
      <x:c r="W32" s="1" t="n">
        <x:f>IF(I32&lt;=0,1001,IF(MAX('損益分岐設定'!B38,ROUNDUP(S32/I32,0))&lt;='損益分岐設定'!C38,MAX('損益分岐設定'!B38,ROUNDUP(S32/I32,0)),1001))</x:f>
        <x:v>1001</x:v>
      </x:c>
      <x:c r="X32" s="1" t="n">
        <x:f>IF(I32&lt;=0,1001,IF(MAX('損益分岐設定'!B39,ROUNDUP(T32/I32,0))&lt;='損益分岐設定'!C39,MAX('損益分岐設定'!B39,ROUNDUP(T32/I32,0)),1001))</x:f>
        <x:v>1001</x:v>
      </x:c>
      <x:c r="Y32" s="1" t="n">
        <x:f>IF(I32&lt;=0,1001,IF(MAX('損益分岐設定'!B40,ROUNDUP(U32/I32,0))&lt;='損益分岐設定'!C40,MAX('損益分岐設定'!B40,ROUNDUP(U32/I32,0)),1001))</x:f>
        <x:v>1001</x:v>
      </x:c>
      <x:c r="Z32" s="1" t="n">
        <x:f>IF(I32&lt;=0,'損益分岐設定'!C37,IF('損益分岐設定'!C37*I32-R32&lt;0,'損益分岐設定'!C37,IF('損益分岐設定'!B37*I32-R32&gt;=0,0,ROUNDUP(R32/I32,0)-1)))</x:f>
        <x:v>10</x:v>
      </x:c>
      <x:c r="AA32" s="1" t="n">
        <x:f>IF(I32&lt;=0,'損益分岐設定'!C38,IF('損益分岐設定'!C38*I32-S32&lt;0,'損益分岐設定'!C38,IF('損益分岐設定'!B38*I32-S32&gt;=0,0,ROUNDUP(S32/I32,0)-1)))</x:f>
        <x:v>100</x:v>
      </x:c>
      <x:c r="AB32" s="1" t="n">
        <x:f>IF(I32&lt;=0,'損益分岐設定'!C39,IF('損益分岐設定'!C39*I32-T32&lt;0,'損益分岐設定'!C39,IF('損益分岐設定'!B39*I32-T32&gt;=0,0,ROUNDUP(T32/I32,0)-1)))</x:f>
        <x:v>500</x:v>
      </x:c>
      <x:c r="AC32" s="1" t="n">
        <x:f>IF(I32&lt;=0,'損益分岐設定'!C40,IF('損益分岐設定'!C40*I32-U32&lt;0,'損益分岐設定'!C40,IF('損益分岐設定'!B40*I32-U32&gt;=0,0,ROUNDUP(U32/I32,0)-1)))</x:f>
        <x:v>1000</x:v>
      </x:c>
      <x:c r="AD32" s="1" t="n">
        <x:v>1</x:v>
      </x:c>
      <x:c r="AE32" s="1" t="n">
        <x:v>0</x:v>
      </x:c>
      <x:c r="AF32" s="1" t="n">
        <x:v>0</x:v>
      </x:c>
      <x:c r="AG32" s="1" t="n">
        <x:f>AD32*'損益分岐設定'!$C$58+AE32*'損益分岐設定'!$C$61+AF32*'損益分岐設定'!$C$64</x:f>
        <x:v>2516.1764477539064</x:v>
      </x:c>
      <x:c r="AH32" s="1" t="n">
        <x:f>AD32*'損益分岐設定'!$D$58+AE32*'損益分岐設定'!$D$61+AF32*'損益分岐設定'!$D$64</x:f>
        <x:v>120</x:v>
      </x:c>
      <x:c r="AI32" s="1" t="n">
        <x:f>AD32*'損益分岐設定'!$E$58+AE32*'損益分岐設定'!$E$61+AF32*'損益分岐設定'!$E$64</x:f>
        <x:v>160</x:v>
      </x:c>
      <x:c r="AJ32" s="1" t="n">
        <x:f>(AD32*'損益分岐設定'!$F$58+AE32*'損益分岐設定'!$F$61+AF32*'損益分岐設定'!$F$64*1)*'損益分岐設定'!$B$22</x:f>
        <x:v>1800</x:v>
      </x:c>
      <x:c r="AK32" s="1" t="n">
        <x:f>AD32*'損益分岐設定'!$G$58+AE32*'損益分岐設定'!$G$61+AF32*'損益分岐設定'!$G$64</x:f>
        <x:v>1200</x:v>
      </x:c>
      <x:c r="AL32" s="1" t="n">
        <x:f>AD32*'損益分岐設定'!$H$58+AE32*'損益分岐設定'!$H$61+AF32*'損益分岐設定'!$H$64</x:f>
        <x:v>1366.6666666666667</x:v>
      </x:c>
      <x:c r="AM32" s="1" t="n">
        <x:f>MAX(1,ROUNDUP('損益分岐設定'!C37*AJ32/('損益分岐設定'!$B$23*'損益分岐設定'!$B$24*3600*'損益分岐設定'!$B$25),0))</x:f>
        <x:v>1</x:v>
      </x:c>
      <x:c r="AN32" s="1" t="n">
        <x:f>MAX(2,ROUNDUP('損益分岐設定'!C38*AJ32/('損益分岐設定'!$B$23*'損益分岐設定'!$B$24*3600*'損益分岐設定'!$B$25),0))</x:f>
        <x:v>2</x:v>
      </x:c>
      <x:c r="AO32" s="1" t="n">
        <x:f>MAX(2,ROUNDUP('損益分岐設定'!C39*AJ32/('損益分岐設定'!$B$23*'損益分岐設定'!$B$24*3600*'損益分岐設定'!$B$25),0))</x:f>
        <x:v>2</x:v>
      </x:c>
      <x:c r="AP32" s="1" t="n">
        <x:f>MAX(2,ROUNDUP('損益分岐設定'!C40*AJ32/('損益分岐設定'!$B$23*'損益分岐設定'!$B$24*3600*'損益分岐設定'!$B$25),0))</x:f>
        <x:v>4</x:v>
      </x:c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23" customHeight="1">
      <x:c r="A33" s="1" t="str">
        <x:v>Run</x:v>
      </x:c>
      <x:c r="B33" s="1" t="str">
        <x:v>Starter</x:v>
      </x:c>
      <x:c r="C33" s="1" t="str">
        <x:v>高位</x:v>
      </x:c>
      <x:c r="D33" s="21" t="n">
        <x:v>0.5</x:v>
      </x:c>
      <x:c r="E33" s="1" t="n">
        <x:v>0</x:v>
      </x:c>
      <x:c r="F33" s="7" t="n">
        <x:f>AD33*'損益分岐設定'!$B$5+AE33*'損益分岐設定'!$B$6+AF33*'損益分岐設定'!$B$7</x:f>
        <x:v>3000</x:v>
      </x:c>
      <x:c r="G33" s="7" t="n">
        <x:f>AG33+(AH33+AI33)*('損益分岐設定'!$B$29+0.5*'損益分岐設定'!$B$30)+AK33*'損益分岐設定'!$B$32+(AJ33+AK33/'損益分岐設定'!$B$28*'損益分岐設定'!$B$26)*('損益分岐設定'!$B$29+'損益分岐設定'!$B$31*'損益分岐設定'!$B$30)</x:f>
        <x:v>2527.508311367952</x:v>
      </x:c>
      <x:c r="H33" s="7" t="n">
        <x:f>AL33*E33</x:f>
        <x:v>0</x:v>
      </x:c>
      <x:c r="I33" s="7" t="n">
        <x:f>F33*(1-D33-'損益分岐設定'!$B$10)-G33-H33</x:f>
        <x:v>-1135.508311367952</x:v>
      </x:c>
      <x:c r="J33" s="1" t="str">
        <x:f>IF(MIN(V33:Y33)&gt;1000,"範囲内なし",MIN(V33:Y33))</x:f>
        <x:v>範囲内なし</x:v>
      </x:c>
      <x:c r="K33" s="1" t="str">
        <x:f>IF(MAX(Z33:AC33)&gt;=1000,"範囲内なし",MAX(1,MAX(Z33:AC33)+1))</x:f>
        <x:v>範囲内なし</x:v>
      </x:c>
      <x:c r="L33" s="7" t="n">
        <x:f>10*I33-R33</x:f>
        <x:v>-33366.01773998732</x:v>
      </x:c>
      <x:c r="M33" s="7" t="n">
        <x:f>30*I33-S33</x:f>
        <x:v>-60576.18396734636</x:v>
      </x:c>
      <x:c r="N33" s="7" t="n">
        <x:f>50*I33-S33</x:f>
        <x:v>-83286.35019470539</x:v>
      </x:c>
      <x:c r="O33" s="7" t="n">
        <x:f>100*I33-S33</x:f>
        <x:v>-140061.765763103</x:v>
      </x:c>
      <x:c r="P33" s="7" t="n">
        <x:f>300*I33-T33</x:f>
        <x:v>-389163.4280366934</x:v>
      </x:c>
      <x:c r="Q33" s="7" t="n">
        <x:f>1000*I33-U33</x:f>
        <x:v>-1214019.2459942598</x:v>
      </x:c>
      <x:c r="R3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33*'損益分岐設定'!$B$12*'損益分岐設定'!$B$11</x:f>
        <x:v>22010.934626307797</x:v>
      </x:c>
      <x:c r="S3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33*'損益分岐設定'!$B$12*'損益分岐設定'!$B$11</x:f>
        <x:v>26510.934626307797</x:v>
      </x:c>
      <x:c r="T3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33*'損益分岐設定'!$B$12*'損益分岐設定'!$B$11</x:f>
        <x:v>48510.9346263078</x:v>
      </x:c>
      <x:c r="U3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33*'損益分岐設定'!$B$12*'損益分岐設定'!$B$11</x:f>
        <x:v>78510.9346263078</x:v>
      </x:c>
      <x:c r="V33" s="1" t="n">
        <x:f>IF(I33&lt;=0,1001,IF(MAX('損益分岐設定'!B37,ROUNDUP(R33/I33,0))&lt;='損益分岐設定'!C37,MAX('損益分岐設定'!B37,ROUNDUP(R33/I33,0)),1001))</x:f>
        <x:v>1001</x:v>
      </x:c>
      <x:c r="W33" s="1" t="n">
        <x:f>IF(I33&lt;=0,1001,IF(MAX('損益分岐設定'!B38,ROUNDUP(S33/I33,0))&lt;='損益分岐設定'!C38,MAX('損益分岐設定'!B38,ROUNDUP(S33/I33,0)),1001))</x:f>
        <x:v>1001</x:v>
      </x:c>
      <x:c r="X33" s="1" t="n">
        <x:f>IF(I33&lt;=0,1001,IF(MAX('損益分岐設定'!B39,ROUNDUP(T33/I33,0))&lt;='損益分岐設定'!C39,MAX('損益分岐設定'!B39,ROUNDUP(T33/I33,0)),1001))</x:f>
        <x:v>1001</x:v>
      </x:c>
      <x:c r="Y33" s="1" t="n">
        <x:f>IF(I33&lt;=0,1001,IF(MAX('損益分岐設定'!B40,ROUNDUP(U33/I33,0))&lt;='損益分岐設定'!C40,MAX('損益分岐設定'!B40,ROUNDUP(U33/I33,0)),1001))</x:f>
        <x:v>1001</x:v>
      </x:c>
      <x:c r="Z33" s="1" t="n">
        <x:f>IF(I33&lt;=0,'損益分岐設定'!C37,IF('損益分岐設定'!C37*I33-R33&lt;0,'損益分岐設定'!C37,IF('損益分岐設定'!B37*I33-R33&gt;=0,0,ROUNDUP(R33/I33,0)-1)))</x:f>
        <x:v>10</x:v>
      </x:c>
      <x:c r="AA33" s="1" t="n">
        <x:f>IF(I33&lt;=0,'損益分岐設定'!C38,IF('損益分岐設定'!C38*I33-S33&lt;0,'損益分岐設定'!C38,IF('損益分岐設定'!B38*I33-S33&gt;=0,0,ROUNDUP(S33/I33,0)-1)))</x:f>
        <x:v>100</x:v>
      </x:c>
      <x:c r="AB33" s="1" t="n">
        <x:f>IF(I33&lt;=0,'損益分岐設定'!C39,IF('損益分岐設定'!C39*I33-T33&lt;0,'損益分岐設定'!C39,IF('損益分岐設定'!B39*I33-T33&gt;=0,0,ROUNDUP(T33/I33,0)-1)))</x:f>
        <x:v>500</x:v>
      </x:c>
      <x:c r="AC33" s="1" t="n">
        <x:f>IF(I33&lt;=0,'損益分岐設定'!C40,IF('損益分岐設定'!C40*I33-U33&lt;0,'損益分岐設定'!C40,IF('損益分岐設定'!B40*I33-U33&gt;=0,0,ROUNDUP(U33/I33,0)-1)))</x:f>
        <x:v>1000</x:v>
      </x:c>
      <x:c r="AD33" s="1" t="n">
        <x:v>1</x:v>
      </x:c>
      <x:c r="AE33" s="1" t="n">
        <x:v>0</x:v>
      </x:c>
      <x:c r="AF33" s="1" t="n">
        <x:v>0</x:v>
      </x:c>
      <x:c r="AG33" s="1" t="n">
        <x:f>AD33*'損益分岐設定'!$C$58+AE33*'損益分岐設定'!$C$61+AF33*'損益分岐設定'!$C$64</x:f>
        <x:v>2516.1764477539064</x:v>
      </x:c>
      <x:c r="AH33" s="1" t="n">
        <x:f>AD33*'損益分岐設定'!$D$58+AE33*'損益分岐設定'!$D$61+AF33*'損益分岐設定'!$D$64</x:f>
        <x:v>120</x:v>
      </x:c>
      <x:c r="AI33" s="1" t="n">
        <x:f>AD33*'損益分岐設定'!$E$58+AE33*'損益分岐設定'!$E$61+AF33*'損益分岐設定'!$E$64</x:f>
        <x:v>160</x:v>
      </x:c>
      <x:c r="AJ33" s="1" t="n">
        <x:f>(AD33*'損益分岐設定'!$F$58+AE33*'損益分岐設定'!$F$61+AF33*'損益分岐設定'!$F$64*1)*'損益分岐設定'!$B$22</x:f>
        <x:v>1800</x:v>
      </x:c>
      <x:c r="AK33" s="1" t="n">
        <x:f>AD33*'損益分岐設定'!$G$58+AE33*'損益分岐設定'!$G$61+AF33*'損益分岐設定'!$G$64</x:f>
        <x:v>1200</x:v>
      </x:c>
      <x:c r="AL33" s="1" t="n">
        <x:f>AD33*'損益分岐設定'!$H$58+AE33*'損益分岐設定'!$H$61+AF33*'損益分岐設定'!$H$64</x:f>
        <x:v>1366.6666666666667</x:v>
      </x:c>
      <x:c r="AM33" s="1" t="n">
        <x:f>MAX(1,ROUNDUP('損益分岐設定'!C37*AJ33/('損益分岐設定'!$B$23*'損益分岐設定'!$B$24*3600*'損益分岐設定'!$B$25),0))</x:f>
        <x:v>1</x:v>
      </x:c>
      <x:c r="AN33" s="1" t="n">
        <x:f>MAX(2,ROUNDUP('損益分岐設定'!C38*AJ33/('損益分岐設定'!$B$23*'損益分岐設定'!$B$24*3600*'損益分岐設定'!$B$25),0))</x:f>
        <x:v>2</x:v>
      </x:c>
      <x:c r="AO33" s="1" t="n">
        <x:f>MAX(2,ROUNDUP('損益分岐設定'!C39*AJ33/('損益分岐設定'!$B$23*'損益分岐設定'!$B$24*3600*'損益分岐設定'!$B$25),0))</x:f>
        <x:v>2</x:v>
      </x:c>
      <x:c r="AP33" s="1" t="n">
        <x:f>MAX(2,ROUNDUP('損益分岐設定'!C40*AJ33/('損益分岐設定'!$B$23*'損益分岐設定'!$B$24*3600*'損益分岐設定'!$B$25),0))</x:f>
        <x:v>4</x:v>
      </x:c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23" customHeight="1">
      <x:c r="A34" s="1" t="str">
        <x:v>Run</x:v>
      </x:c>
      <x:c r="B34" s="1" t="str">
        <x:v>Starter</x:v>
      </x:c>
      <x:c r="C34" s="1" t="str">
        <x:v>高位</x:v>
      </x:c>
      <x:c r="D34" s="21" t="n">
        <x:v>0.5</x:v>
      </x:c>
      <x:c r="E34" s="1" t="n">
        <x:v>1</x:v>
      </x:c>
      <x:c r="F34" s="7" t="n">
        <x:f>AD34*'損益分岐設定'!$B$5+AE34*'損益分岐設定'!$B$6+AF34*'損益分岐設定'!$B$7</x:f>
        <x:v>3000</x:v>
      </x:c>
      <x:c r="G34" s="7" t="n">
        <x:f>AG34+(AH34+AI34)*('損益分岐設定'!$B$29+0.5*'損益分岐設定'!$B$30)+AK34*'損益分岐設定'!$B$32+(AJ34+AK34/'損益分岐設定'!$B$28*'損益分岐設定'!$B$26)*('損益分岐設定'!$B$29+'損益分岐設定'!$B$31*'損益分岐設定'!$B$30)</x:f>
        <x:v>2527.508311367952</x:v>
      </x:c>
      <x:c r="H34" s="7" t="n">
        <x:f>AL34*E34</x:f>
        <x:v>1366.6666666666667</x:v>
      </x:c>
      <x:c r="I34" s="7" t="n">
        <x:f>F34*(1-D34-'損益分岐設定'!$B$10)-G34-H34</x:f>
        <x:v>-2502.174978034619</x:v>
      </x:c>
      <x:c r="J34" s="1" t="str">
        <x:f>IF(MIN(V34:Y34)&gt;1000,"範囲内なし",MIN(V34:Y34))</x:f>
        <x:v>範囲内なし</x:v>
      </x:c>
      <x:c r="K34" s="1" t="str">
        <x:f>IF(MAX(Z34:AC34)&gt;=1000,"範囲内なし",MAX(1,MAX(Z34:AC34)+1))</x:f>
        <x:v>範囲内なし</x:v>
      </x:c>
      <x:c r="L34" s="7" t="n">
        <x:f>10*I34-R34</x:f>
        <x:v>-55032.684406653985</x:v>
      </x:c>
      <x:c r="M34" s="7" t="n">
        <x:f>30*I34-S34</x:f>
        <x:v>-109576.18396734635</x:v>
      </x:c>
      <x:c r="N34" s="7" t="n">
        <x:f>50*I34-S34</x:f>
        <x:v>-159619.68352803876</x:v>
      </x:c>
      <x:c r="O34" s="7" t="n">
        <x:f>100*I34-S34</x:f>
        <x:v>-284728.4324297697</x:v>
      </x:c>
      <x:c r="P34" s="7" t="n">
        <x:f>300*I34-T34</x:f>
        <x:v>-807163.4280366935</x:v>
      </x:c>
      <x:c r="Q34" s="7" t="n">
        <x:f>1000*I34-U34</x:f>
        <x:v>-2588685.912660927</x:v>
      </x:c>
      <x:c r="R3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34*'損益分岐設定'!$B$12*'損益分岐設定'!$B$11</x:f>
        <x:v>30010.934626307797</x:v>
      </x:c>
      <x:c r="S3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34*'損益分岐設定'!$B$12*'損益分岐設定'!$B$11</x:f>
        <x:v>34510.9346263078</x:v>
      </x:c>
      <x:c r="T3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34*'損益分岐設定'!$B$12*'損益分岐設定'!$B$11</x:f>
        <x:v>56510.9346263078</x:v>
      </x:c>
      <x:c r="U3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34*'損益分岐設定'!$B$12*'損益分岐設定'!$B$11</x:f>
        <x:v>86510.9346263078</x:v>
      </x:c>
      <x:c r="V34" s="1" t="n">
        <x:f>IF(I34&lt;=0,1001,IF(MAX('損益分岐設定'!B37,ROUNDUP(R34/I34,0))&lt;='損益分岐設定'!C37,MAX('損益分岐設定'!B37,ROUNDUP(R34/I34,0)),1001))</x:f>
        <x:v>1001</x:v>
      </x:c>
      <x:c r="W34" s="1" t="n">
        <x:f>IF(I34&lt;=0,1001,IF(MAX('損益分岐設定'!B38,ROUNDUP(S34/I34,0))&lt;='損益分岐設定'!C38,MAX('損益分岐設定'!B38,ROUNDUP(S34/I34,0)),1001))</x:f>
        <x:v>1001</x:v>
      </x:c>
      <x:c r="X34" s="1" t="n">
        <x:f>IF(I34&lt;=0,1001,IF(MAX('損益分岐設定'!B39,ROUNDUP(T34/I34,0))&lt;='損益分岐設定'!C39,MAX('損益分岐設定'!B39,ROUNDUP(T34/I34,0)),1001))</x:f>
        <x:v>1001</x:v>
      </x:c>
      <x:c r="Y34" s="1" t="n">
        <x:f>IF(I34&lt;=0,1001,IF(MAX('損益分岐設定'!B40,ROUNDUP(U34/I34,0))&lt;='損益分岐設定'!C40,MAX('損益分岐設定'!B40,ROUNDUP(U34/I34,0)),1001))</x:f>
        <x:v>1001</x:v>
      </x:c>
      <x:c r="Z34" s="1" t="n">
        <x:f>IF(I34&lt;=0,'損益分岐設定'!C37,IF('損益分岐設定'!C37*I34-R34&lt;0,'損益分岐設定'!C37,IF('損益分岐設定'!B37*I34-R34&gt;=0,0,ROUNDUP(R34/I34,0)-1)))</x:f>
        <x:v>10</x:v>
      </x:c>
      <x:c r="AA34" s="1" t="n">
        <x:f>IF(I34&lt;=0,'損益分岐設定'!C38,IF('損益分岐設定'!C38*I34-S34&lt;0,'損益分岐設定'!C38,IF('損益分岐設定'!B38*I34-S34&gt;=0,0,ROUNDUP(S34/I34,0)-1)))</x:f>
        <x:v>100</x:v>
      </x:c>
      <x:c r="AB34" s="1" t="n">
        <x:f>IF(I34&lt;=0,'損益分岐設定'!C39,IF('損益分岐設定'!C39*I34-T34&lt;0,'損益分岐設定'!C39,IF('損益分岐設定'!B39*I34-T34&gt;=0,0,ROUNDUP(T34/I34,0)-1)))</x:f>
        <x:v>500</x:v>
      </x:c>
      <x:c r="AC34" s="1" t="n">
        <x:f>IF(I34&lt;=0,'損益分岐設定'!C40,IF('損益分岐設定'!C40*I34-U34&lt;0,'損益分岐設定'!C40,IF('損益分岐設定'!B40*I34-U34&gt;=0,0,ROUNDUP(U34/I34,0)-1)))</x:f>
        <x:v>1000</x:v>
      </x:c>
      <x:c r="AD34" s="1" t="n">
        <x:v>1</x:v>
      </x:c>
      <x:c r="AE34" s="1" t="n">
        <x:v>0</x:v>
      </x:c>
      <x:c r="AF34" s="1" t="n">
        <x:v>0</x:v>
      </x:c>
      <x:c r="AG34" s="1" t="n">
        <x:f>AD34*'損益分岐設定'!$C$58+AE34*'損益分岐設定'!$C$61+AF34*'損益分岐設定'!$C$64</x:f>
        <x:v>2516.1764477539064</x:v>
      </x:c>
      <x:c r="AH34" s="1" t="n">
        <x:f>AD34*'損益分岐設定'!$D$58+AE34*'損益分岐設定'!$D$61+AF34*'損益分岐設定'!$D$64</x:f>
        <x:v>120</x:v>
      </x:c>
      <x:c r="AI34" s="1" t="n">
        <x:f>AD34*'損益分岐設定'!$E$58+AE34*'損益分岐設定'!$E$61+AF34*'損益分岐設定'!$E$64</x:f>
        <x:v>160</x:v>
      </x:c>
      <x:c r="AJ34" s="1" t="n">
        <x:f>(AD34*'損益分岐設定'!$F$58+AE34*'損益分岐設定'!$F$61+AF34*'損益分岐設定'!$F$64*1)*'損益分岐設定'!$B$22</x:f>
        <x:v>1800</x:v>
      </x:c>
      <x:c r="AK34" s="1" t="n">
        <x:f>AD34*'損益分岐設定'!$G$58+AE34*'損益分岐設定'!$G$61+AF34*'損益分岐設定'!$G$64</x:f>
        <x:v>1200</x:v>
      </x:c>
      <x:c r="AL34" s="1" t="n">
        <x:f>AD34*'損益分岐設定'!$H$58+AE34*'損益分岐設定'!$H$61+AF34*'損益分岐設定'!$H$64</x:f>
        <x:v>1366.6666666666667</x:v>
      </x:c>
      <x:c r="AM34" s="1" t="n">
        <x:f>MAX(1,ROUNDUP('損益分岐設定'!C37*AJ34/('損益分岐設定'!$B$23*'損益分岐設定'!$B$24*3600*'損益分岐設定'!$B$25),0))</x:f>
        <x:v>1</x:v>
      </x:c>
      <x:c r="AN34" s="1" t="n">
        <x:f>MAX(2,ROUNDUP('損益分岐設定'!C38*AJ34/('損益分岐設定'!$B$23*'損益分岐設定'!$B$24*3600*'損益分岐設定'!$B$25),0))</x:f>
        <x:v>2</x:v>
      </x:c>
      <x:c r="AO34" s="1" t="n">
        <x:f>MAX(2,ROUNDUP('損益分岐設定'!C39*AJ34/('損益分岐設定'!$B$23*'損益分岐設定'!$B$24*3600*'損益分岐設定'!$B$25),0))</x:f>
        <x:v>2</x:v>
      </x:c>
      <x:c r="AP34" s="1" t="n">
        <x:f>MAX(2,ROUNDUP('損益分岐設定'!C40*AJ34/('損益分岐設定'!$B$23*'損益分岐設定'!$B$24*3600*'損益分岐設定'!$B$25),0))</x:f>
        <x:v>4</x:v>
      </x:c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23" customHeight="1">
      <x:c r="A35" s="1" t="str">
        <x:v>Run</x:v>
      </x:c>
      <x:c r="B35" s="1" t="str">
        <x:v>Starter</x:v>
      </x:c>
      <x:c r="C35" s="1" t="str">
        <x:v>標準+高位混在</x:v>
      </x:c>
      <x:c r="D35" s="21" t="n">
        <x:v>0</x:v>
      </x:c>
      <x:c r="E35" s="1" t="n">
        <x:v>0</x:v>
      </x:c>
      <x:c r="F35" s="7" t="n">
        <x:f>AD35*'損益分岐設定'!$B$5+AE35*'損益分岐設定'!$B$6+AF35*'損益分岐設定'!$B$7</x:f>
        <x:v>3000</x:v>
      </x:c>
      <x:c r="G35" s="7" t="n">
        <x:f>AG35+(AH35+AI35)*('損益分岐設定'!$B$29+0.5*'損益分岐設定'!$B$30)+AK35*'損益分岐設定'!$B$32+(AJ35+AK35/'損益分岐設定'!$B$28*'損益分岐設定'!$B$26)*('損益分岐設定'!$B$29+'損益分岐設定'!$B$31*'損益分岐設定'!$B$30)</x:f>
        <x:v>624.5857601900386</x:v>
      </x:c>
      <x:c r="H35" s="7" t="n">
        <x:f>AL35*E35</x:f>
        <x:v>0</x:v>
      </x:c>
      <x:c r="I35" s="7" t="n">
        <x:f>F35*(1-D35-'損益分岐設定'!$B$10)-G35-H35</x:f>
        <x:v>2267.414239809961</x:v>
      </x:c>
      <x:c r="J35" s="1" t="n">
        <x:f>IF(MIN(V35:Y35)&gt;1000,"範囲内なし",MIN(V35:Y35))</x:f>
        <x:v>10</x:v>
      </x:c>
      <x:c r="K35" s="1" t="n">
        <x:f>IF(MAX(Z35:AC35)&gt;=1000,"範囲内なし",MAX(1,MAX(Z35:AC35)+1))</x:f>
        <x:v>12</x:v>
      </x:c>
      <x:c r="L35" s="7" t="n">
        <x:f>10*I35-R35</x:f>
        <x:v>663.2077717918146</x:v>
      </x:c>
      <x:c r="M35" s="7" t="n">
        <x:f>30*I35-S35</x:f>
        <x:v>41511.49256799103</x:v>
      </x:c>
      <x:c r="N35" s="7" t="n">
        <x:f>50*I35-S35</x:f>
        <x:v>86859.77736419026</x:v>
      </x:c>
      <x:c r="O35" s="7" t="n">
        <x:f>100*I35-S35</x:f>
        <x:v>200230.48935468832</x:v>
      </x:c>
      <x:c r="P35" s="7" t="n">
        <x:f>300*I35-T35</x:f>
        <x:v>631713.3373166806</x:v>
      </x:c>
      <x:c r="Q35" s="7" t="n">
        <x:f>1000*I35-U35</x:f>
        <x:v>2188903.3051836533</x:v>
      </x:c>
      <x:c r="R3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35*'損益分岐設定'!$B$12*'損益分岐設定'!$B$11</x:f>
        <x:v>22010.934626307797</x:v>
      </x:c>
      <x:c r="S3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35*'損益分岐設定'!$B$12*'損益分岐設定'!$B$11</x:f>
        <x:v>26510.934626307797</x:v>
      </x:c>
      <x:c r="T3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35*'損益分岐設定'!$B$12*'損益分岐設定'!$B$11</x:f>
        <x:v>48510.9346263078</x:v>
      </x:c>
      <x:c r="U3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35*'損益分岐設定'!$B$12*'損益分岐設定'!$B$11</x:f>
        <x:v>78510.9346263078</x:v>
      </x:c>
      <x:c r="V35" s="1" t="n">
        <x:f>IF(I35&lt;=0,1001,IF(MAX('損益分岐設定'!B37,ROUNDUP(R35/I35,0))&lt;='損益分岐設定'!C37,MAX('損益分岐設定'!B37,ROUNDUP(R35/I35,0)),1001))</x:f>
        <x:v>10</x:v>
      </x:c>
      <x:c r="W35" s="1" t="n">
        <x:f>IF(I35&lt;=0,1001,IF(MAX('損益分岐設定'!B38,ROUNDUP(S35/I35,0))&lt;='損益分岐設定'!C38,MAX('損益分岐設定'!B38,ROUNDUP(S35/I35,0)),1001))</x:f>
        <x:v>12</x:v>
      </x:c>
      <x:c r="X35" s="1" t="n">
        <x:f>IF(I35&lt;=0,1001,IF(MAX('損益分岐設定'!B39,ROUNDUP(T35/I35,0))&lt;='損益分岐設定'!C39,MAX('損益分岐設定'!B39,ROUNDUP(T35/I35,0)),1001))</x:f>
        <x:v>101</x:v>
      </x:c>
      <x:c r="Y35" s="1" t="n">
        <x:f>IF(I35&lt;=0,1001,IF(MAX('損益分岐設定'!B40,ROUNDUP(U35/I35,0))&lt;='損益分岐設定'!C40,MAX('損益分岐設定'!B40,ROUNDUP(U35/I35,0)),1001))</x:f>
        <x:v>501</x:v>
      </x:c>
      <x:c r="Z35" s="1" t="n">
        <x:f>IF(I35&lt;=0,'損益分岐設定'!C37,IF('損益分岐設定'!C37*I35-R35&lt;0,'損益分岐設定'!C37,IF('損益分岐設定'!B37*I35-R35&gt;=0,0,ROUNDUP(R35/I35,0)-1)))</x:f>
        <x:v>9</x:v>
      </x:c>
      <x:c r="AA35" s="1" t="n">
        <x:f>IF(I35&lt;=0,'損益分岐設定'!C38,IF('損益分岐設定'!C38*I35-S35&lt;0,'損益分岐設定'!C38,IF('損益分岐設定'!B38*I35-S35&gt;=0,0,ROUNDUP(S35/I35,0)-1)))</x:f>
        <x:v>11</x:v>
      </x:c>
      <x:c r="AB35" s="1" t="n">
        <x:f>IF(I35&lt;=0,'損益分岐設定'!C39,IF('損益分岐設定'!C39*I35-T35&lt;0,'損益分岐設定'!C39,IF('損益分岐設定'!B39*I35-T35&gt;=0,0,ROUNDUP(T35/I35,0)-1)))</x:f>
        <x:v>0</x:v>
      </x:c>
      <x:c r="AC35" s="1" t="n">
        <x:f>IF(I35&lt;=0,'損益分岐設定'!C40,IF('損益分岐設定'!C40*I35-U35&lt;0,'損益分岐設定'!C40,IF('損益分岐設定'!B40*I35-U35&gt;=0,0,ROUNDUP(U35/I35,0)-1)))</x:f>
        <x:v>0</x:v>
      </x:c>
      <x:c r="AD35" s="1" t="n">
        <x:v>1</x:v>
      </x:c>
      <x:c r="AE35" s="1" t="n">
        <x:v>0</x:v>
      </x:c>
      <x:c r="AF35" s="1" t="n">
        <x:v>0</x:v>
      </x:c>
      <x:c r="AG35" s="1" t="n">
        <x:f>AD35*('損益分岐設定'!$C$57*(1-'損益分岐設定'!$B$51)+'損益分岐設定'!$C$58*'損益分岐設定'!$B$51)+AE35*('損益分岐設定'!$C$60*(1-'損益分岐設定'!$B$51)+'損益分岐設定'!$C$61*'損益分岐設定'!$B$51)+AF35*('損益分岐設定'!$C$63*(1-'損益分岐設定'!$B$51)+'損益分岐設定'!$C$64*'損益分岐設定'!$B$51)</x:f>
        <x:v>621.5522041015626</x:v>
      </x:c>
      <x:c r="AH35" s="1" t="n">
        <x:f>AD35*('損益分岐設定'!$D$57*(1-'損益分岐設定'!$B$51)+'損益分岐設定'!$D$58*'損益分岐設定'!$B$51)+AE35*('損益分岐設定'!$D$60*(1-'損益分岐設定'!$B$51)+'損益分岐設定'!$D$61*'損益分岐設定'!$B$51)+AF35*('損益分岐設定'!$D$63*(1-'損益分岐設定'!$B$51)+'損益分岐設定'!$D$64*'損益分岐設定'!$B$51)</x:f>
        <x:v>48</x:v>
      </x:c>
      <x:c r="AI35" s="1" t="n">
        <x:f>AD35*('損益分岐設定'!$E$57*(1-'損益分岐設定'!$B$51)+'損益分岐設定'!$E$58*'損益分岐設定'!$B$51)+AE35*('損益分岐設定'!$E$60*(1-'損益分岐設定'!$B$51)+'損益分岐設定'!$E$61*'損益分岐設定'!$B$51)+AF35*('損益分岐設定'!$E$63*(1-'損益分岐設定'!$B$51)+'損益分岐設定'!$E$64*'損益分岐設定'!$B$51)</x:f>
        <x:v>56</x:v>
      </x:c>
      <x:c r="AJ35" s="1" t="n">
        <x:f>(AD35*('損益分岐設定'!$F$57*(1-'損益分岐設定'!$B$51)+'損益分岐設定'!$F$58*'損益分岐設定'!$B$51)+AE35*('損益分岐設定'!$F$60*(1-'損益分岐設定'!$B$51)+'損益分岐設定'!$F$61*'損益分岐設定'!$B$51)+AF35*('損益分岐設定'!$F$63*(1-'損益分岐設定'!$B$51)+'損益分岐設定'!$F$64*'損益分岐設定'!$B$51)*1)*'損益分岐設定'!$B$22</x:f>
        <x:v>456</x:v>
      </x:c>
      <x:c r="AK35" s="1" t="n">
        <x:f>AD35*('損益分岐設定'!$G$57*(1-'損益分岐設定'!$B$51)+'損益分岐設定'!$G$58*'損益分岐設定'!$B$51)+AE35*('損益分岐設定'!$G$60*(1-'損益分岐設定'!$B$51)+'損益分岐設定'!$G$61*'損益分岐設定'!$B$51)+AF35*('損益分岐設定'!$G$63*(1-'損益分岐設定'!$B$51)+'損益分岐設定'!$G$64*'損益分岐設定'!$B$51)</x:f>
        <x:v>400</x:v>
      </x:c>
      <x:c r="AL35" s="1" t="n">
        <x:f>AD35*('損益分岐設定'!$H$57*(1-'損益分岐設定'!$B$51)+'損益分岐設定'!$H$58*'損益分岐設定'!$B$51)+AE35*('損益分岐設定'!$H$60*(1-'損益分岐設定'!$B$51)+'損益分岐設定'!$H$61*'損益分岐設定'!$B$51)+AF35*('損益分岐設定'!$H$63*(1-'損益分岐設定'!$B$51)+'損益分岐設定'!$H$64*'損益分岐設定'!$B$51)</x:f>
        <x:v>726.6666666666667</x:v>
      </x:c>
      <x:c r="AM35" s="1" t="n">
        <x:f>MAX(1,ROUNDUP('損益分岐設定'!C37*AJ35/('損益分岐設定'!$B$23*'損益分岐設定'!$B$24*3600*'損益分岐設定'!$B$25),0))</x:f>
        <x:v>1</x:v>
      </x:c>
      <x:c r="AN35" s="1" t="n">
        <x:f>MAX(2,ROUNDUP('損益分岐設定'!C38*AJ35/('損益分岐設定'!$B$23*'損益分岐設定'!$B$24*3600*'損益分岐設定'!$B$25),0))</x:f>
        <x:v>2</x:v>
      </x:c>
      <x:c r="AO35" s="1" t="n">
        <x:f>MAX(2,ROUNDUP('損益分岐設定'!C39*AJ35/('損益分岐設定'!$B$23*'損益分岐設定'!$B$24*3600*'損益分岐設定'!$B$25),0))</x:f>
        <x:v>2</x:v>
      </x:c>
      <x:c r="AP35" s="1" t="n">
        <x:f>MAX(2,ROUNDUP('損益分岐設定'!C40*AJ35/('損益分岐設定'!$B$23*'損益分岐設定'!$B$24*3600*'損益分岐設定'!$B$25),0))</x:f>
        <x:v>2</x:v>
      </x:c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 ht="23" customHeight="1">
      <x:c r="A36" s="1" t="str">
        <x:v>Run</x:v>
      </x:c>
      <x:c r="B36" s="1" t="str">
        <x:v>Starter</x:v>
      </x:c>
      <x:c r="C36" s="1" t="str">
        <x:v>標準+高位混在</x:v>
      </x:c>
      <x:c r="D36" s="21" t="n">
        <x:v>0</x:v>
      </x:c>
      <x:c r="E36" s="1" t="n">
        <x:v>1</x:v>
      </x:c>
      <x:c r="F36" s="7" t="n">
        <x:f>AD36*'損益分岐設定'!$B$5+AE36*'損益分岐設定'!$B$6+AF36*'損益分岐設定'!$B$7</x:f>
        <x:v>3000</x:v>
      </x:c>
      <x:c r="G36" s="7" t="n">
        <x:f>AG36+(AH36+AI36)*('損益分岐設定'!$B$29+0.5*'損益分岐設定'!$B$30)+AK36*'損益分岐設定'!$B$32+(AJ36+AK36/'損益分岐設定'!$B$28*'損益分岐設定'!$B$26)*('損益分岐設定'!$B$29+'損益分岐設定'!$B$31*'損益分岐設定'!$B$30)</x:f>
        <x:v>624.5857601900386</x:v>
      </x:c>
      <x:c r="H36" s="7" t="n">
        <x:f>AL36*E36</x:f>
        <x:v>726.6666666666667</x:v>
      </x:c>
      <x:c r="I36" s="7" t="n">
        <x:f>F36*(1-D36-'損益分岐設定'!$B$10)-G36-H36</x:f>
        <x:v>1540.7475731432944</x:v>
      </x:c>
      <x:c r="J36" s="1" t="n">
        <x:f>IF(MIN(V36:Y36)&gt;1000,"範囲内なし",MIN(V36:Y36))</x:f>
        <x:v>23</x:v>
      </x:c>
      <x:c r="K36" s="1" t="n">
        <x:f>IF(MAX(Z36:AC36)&gt;=1000,"範囲内なし",MAX(1,MAX(Z36:AC36)+1))</x:f>
        <x:v>23</x:v>
      </x:c>
      <x:c r="L36" s="7" t="n">
        <x:f>10*I36-R36</x:f>
        <x:v>-14603.458894874853</x:v>
      </x:c>
      <x:c r="M36" s="7" t="n">
        <x:f>30*I36-S36</x:f>
        <x:v>11711.492567991038</x:v>
      </x:c>
      <x:c r="N36" s="7" t="n">
        <x:f>50*I36-S36</x:f>
        <x:v>42526.444030856925</x:v>
      </x:c>
      <x:c r="O36" s="7" t="n">
        <x:f>100*I36-S36</x:f>
        <x:v>119563.82268802164</x:v>
      </x:c>
      <x:c r="P36" s="7" t="n">
        <x:f>300*I36-T36</x:f>
        <x:v>405713.3373166805</x:v>
      </x:c>
      <x:c r="Q36" s="7" t="n">
        <x:f>1000*I36-U36</x:f>
        <x:v>1454236.6385169865</x:v>
      </x:c>
      <x:c r="R3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36*'損益分岐設定'!$B$12*'損益分岐設定'!$B$11</x:f>
        <x:v>30010.934626307797</x:v>
      </x:c>
      <x:c r="S3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36*'損益分岐設定'!$B$12*'損益分岐設定'!$B$11</x:f>
        <x:v>34510.9346263078</x:v>
      </x:c>
      <x:c r="T3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36*'損益分岐設定'!$B$12*'損益分岐設定'!$B$11</x:f>
        <x:v>56510.9346263078</x:v>
      </x:c>
      <x:c r="U3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36*'損益分岐設定'!$B$12*'損益分岐設定'!$B$11</x:f>
        <x:v>86510.9346263078</x:v>
      </x:c>
      <x:c r="V36" s="1" t="n">
        <x:f>IF(I36&lt;=0,1001,IF(MAX('損益分岐設定'!B37,ROUNDUP(R36/I36,0))&lt;='損益分岐設定'!C37,MAX('損益分岐設定'!B37,ROUNDUP(R36/I36,0)),1001))</x:f>
        <x:v>1001</x:v>
      </x:c>
      <x:c r="W36" s="1" t="n">
        <x:f>IF(I36&lt;=0,1001,IF(MAX('損益分岐設定'!B38,ROUNDUP(S36/I36,0))&lt;='損益分岐設定'!C38,MAX('損益分岐設定'!B38,ROUNDUP(S36/I36,0)),1001))</x:f>
        <x:v>23</x:v>
      </x:c>
      <x:c r="X36" s="1" t="n">
        <x:f>IF(I36&lt;=0,1001,IF(MAX('損益分岐設定'!B39,ROUNDUP(T36/I36,0))&lt;='損益分岐設定'!C39,MAX('損益分岐設定'!B39,ROUNDUP(T36/I36,0)),1001))</x:f>
        <x:v>101</x:v>
      </x:c>
      <x:c r="Y36" s="1" t="n">
        <x:f>IF(I36&lt;=0,1001,IF(MAX('損益分岐設定'!B40,ROUNDUP(U36/I36,0))&lt;='損益分岐設定'!C40,MAX('損益分岐設定'!B40,ROUNDUP(U36/I36,0)),1001))</x:f>
        <x:v>501</x:v>
      </x:c>
      <x:c r="Z36" s="1" t="n">
        <x:f>IF(I36&lt;=0,'損益分岐設定'!C37,IF('損益分岐設定'!C37*I36-R36&lt;0,'損益分岐設定'!C37,IF('損益分岐設定'!B37*I36-R36&gt;=0,0,ROUNDUP(R36/I36,0)-1)))</x:f>
        <x:v>10</x:v>
      </x:c>
      <x:c r="AA36" s="1" t="n">
        <x:f>IF(I36&lt;=0,'損益分岐設定'!C38,IF('損益分岐設定'!C38*I36-S36&lt;0,'損益分岐設定'!C38,IF('損益分岐設定'!B38*I36-S36&gt;=0,0,ROUNDUP(S36/I36,0)-1)))</x:f>
        <x:v>22</x:v>
      </x:c>
      <x:c r="AB36" s="1" t="n">
        <x:f>IF(I36&lt;=0,'損益分岐設定'!C39,IF('損益分岐設定'!C39*I36-T36&lt;0,'損益分岐設定'!C39,IF('損益分岐設定'!B39*I36-T36&gt;=0,0,ROUNDUP(T36/I36,0)-1)))</x:f>
        <x:v>0</x:v>
      </x:c>
      <x:c r="AC36" s="1" t="n">
        <x:f>IF(I36&lt;=0,'損益分岐設定'!C40,IF('損益分岐設定'!C40*I36-U36&lt;0,'損益分岐設定'!C40,IF('損益分岐設定'!B40*I36-U36&gt;=0,0,ROUNDUP(U36/I36,0)-1)))</x:f>
        <x:v>0</x:v>
      </x:c>
      <x:c r="AD36" s="1" t="n">
        <x:v>1</x:v>
      </x:c>
      <x:c r="AE36" s="1" t="n">
        <x:v>0</x:v>
      </x:c>
      <x:c r="AF36" s="1" t="n">
        <x:v>0</x:v>
      </x:c>
      <x:c r="AG36" s="1" t="n">
        <x:f>AD36*('損益分岐設定'!$C$57*(1-'損益分岐設定'!$B$51)+'損益分岐設定'!$C$58*'損益分岐設定'!$B$51)+AE36*('損益分岐設定'!$C$60*(1-'損益分岐設定'!$B$51)+'損益分岐設定'!$C$61*'損益分岐設定'!$B$51)+AF36*('損益分岐設定'!$C$63*(1-'損益分岐設定'!$B$51)+'損益分岐設定'!$C$64*'損益分岐設定'!$B$51)</x:f>
        <x:v>621.5522041015626</x:v>
      </x:c>
      <x:c r="AH36" s="1" t="n">
        <x:f>AD36*('損益分岐設定'!$D$57*(1-'損益分岐設定'!$B$51)+'損益分岐設定'!$D$58*'損益分岐設定'!$B$51)+AE36*('損益分岐設定'!$D$60*(1-'損益分岐設定'!$B$51)+'損益分岐設定'!$D$61*'損益分岐設定'!$B$51)+AF36*('損益分岐設定'!$D$63*(1-'損益分岐設定'!$B$51)+'損益分岐設定'!$D$64*'損益分岐設定'!$B$51)</x:f>
        <x:v>48</x:v>
      </x:c>
      <x:c r="AI36" s="1" t="n">
        <x:f>AD36*('損益分岐設定'!$E$57*(1-'損益分岐設定'!$B$51)+'損益分岐設定'!$E$58*'損益分岐設定'!$B$51)+AE36*('損益分岐設定'!$E$60*(1-'損益分岐設定'!$B$51)+'損益分岐設定'!$E$61*'損益分岐設定'!$B$51)+AF36*('損益分岐設定'!$E$63*(1-'損益分岐設定'!$B$51)+'損益分岐設定'!$E$64*'損益分岐設定'!$B$51)</x:f>
        <x:v>56</x:v>
      </x:c>
      <x:c r="AJ36" s="1" t="n">
        <x:f>(AD36*('損益分岐設定'!$F$57*(1-'損益分岐設定'!$B$51)+'損益分岐設定'!$F$58*'損益分岐設定'!$B$51)+AE36*('損益分岐設定'!$F$60*(1-'損益分岐設定'!$B$51)+'損益分岐設定'!$F$61*'損益分岐設定'!$B$51)+AF36*('損益分岐設定'!$F$63*(1-'損益分岐設定'!$B$51)+'損益分岐設定'!$F$64*'損益分岐設定'!$B$51)*1)*'損益分岐設定'!$B$22</x:f>
        <x:v>456</x:v>
      </x:c>
      <x:c r="AK36" s="1" t="n">
        <x:f>AD36*('損益分岐設定'!$G$57*(1-'損益分岐設定'!$B$51)+'損益分岐設定'!$G$58*'損益分岐設定'!$B$51)+AE36*('損益分岐設定'!$G$60*(1-'損益分岐設定'!$B$51)+'損益分岐設定'!$G$61*'損益分岐設定'!$B$51)+AF36*('損益分岐設定'!$G$63*(1-'損益分岐設定'!$B$51)+'損益分岐設定'!$G$64*'損益分岐設定'!$B$51)</x:f>
        <x:v>400</x:v>
      </x:c>
      <x:c r="AL36" s="1" t="n">
        <x:f>AD36*('損益分岐設定'!$H$57*(1-'損益分岐設定'!$B$51)+'損益分岐設定'!$H$58*'損益分岐設定'!$B$51)+AE36*('損益分岐設定'!$H$60*(1-'損益分岐設定'!$B$51)+'損益分岐設定'!$H$61*'損益分岐設定'!$B$51)+AF36*('損益分岐設定'!$H$63*(1-'損益分岐設定'!$B$51)+'損益分岐設定'!$H$64*'損益分岐設定'!$B$51)</x:f>
        <x:v>726.6666666666667</x:v>
      </x:c>
      <x:c r="AM36" s="1" t="n">
        <x:f>MAX(1,ROUNDUP('損益分岐設定'!C37*AJ36/('損益分岐設定'!$B$23*'損益分岐設定'!$B$24*3600*'損益分岐設定'!$B$25),0))</x:f>
        <x:v>1</x:v>
      </x:c>
      <x:c r="AN36" s="1" t="n">
        <x:f>MAX(2,ROUNDUP('損益分岐設定'!C38*AJ36/('損益分岐設定'!$B$23*'損益分岐設定'!$B$24*3600*'損益分岐設定'!$B$25),0))</x:f>
        <x:v>2</x:v>
      </x:c>
      <x:c r="AO36" s="1" t="n">
        <x:f>MAX(2,ROUNDUP('損益分岐設定'!C39*AJ36/('損益分岐設定'!$B$23*'損益分岐設定'!$B$24*3600*'損益分岐設定'!$B$25),0))</x:f>
        <x:v>2</x:v>
      </x:c>
      <x:c r="AP36" s="1" t="n">
        <x:f>MAX(2,ROUNDUP('損益分岐設定'!C40*AJ36/('損益分岐設定'!$B$23*'損益分岐設定'!$B$24*3600*'損益分岐設定'!$B$25),0))</x:f>
        <x:v>2</x:v>
      </x:c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 ht="23" customHeight="1">
      <x:c r="A37" s="1" t="str">
        <x:v>Run</x:v>
      </x:c>
      <x:c r="B37" s="1" t="str">
        <x:v>Starter</x:v>
      </x:c>
      <x:c r="C37" s="1" t="str">
        <x:v>標準+高位混在</x:v>
      </x:c>
      <x:c r="D37" s="21" t="n">
        <x:v>0.2</x:v>
      </x:c>
      <x:c r="E37" s="1" t="n">
        <x:v>0</x:v>
      </x:c>
      <x:c r="F37" s="7" t="n">
        <x:f>AD37*'損益分岐設定'!$B$5+AE37*'損益分岐設定'!$B$6+AF37*'損益分岐設定'!$B$7</x:f>
        <x:v>3000</x:v>
      </x:c>
      <x:c r="G37" s="7" t="n">
        <x:f>AG37+(AH37+AI37)*('損益分岐設定'!$B$29+0.5*'損益分岐設定'!$B$30)+AK37*'損益分岐設定'!$B$32+(AJ37+AK37/'損益分岐設定'!$B$28*'損益分岐設定'!$B$26)*('損益分岐設定'!$B$29+'損益分岐設定'!$B$31*'損益分岐設定'!$B$30)</x:f>
        <x:v>624.5857601900386</x:v>
      </x:c>
      <x:c r="H37" s="7" t="n">
        <x:f>AL37*E37</x:f>
        <x:v>0</x:v>
      </x:c>
      <x:c r="I37" s="7" t="n">
        <x:f>F37*(1-D37-'損益分岐設定'!$B$10)-G37-H37</x:f>
        <x:v>1667.4142398099614</x:v>
      </x:c>
      <x:c r="J37" s="1" t="n">
        <x:f>IF(MIN(V37:Y37)&gt;1000,"範囲内なし",MIN(V37:Y37))</x:f>
        <x:v>16</x:v>
      </x:c>
      <x:c r="K37" s="1" t="n">
        <x:f>IF(MAX(Z37:AC37)&gt;=1000,"範囲内なし",MAX(1,MAX(Z37:AC37)+1))</x:f>
        <x:v>16</x:v>
      </x:c>
      <x:c r="L37" s="7" t="n">
        <x:f>10*I37-R37</x:f>
        <x:v>-5336.792228208182</x:v>
      </x:c>
      <x:c r="M37" s="7" t="n">
        <x:f>30*I37-S37</x:f>
        <x:v>23511.492567991045</x:v>
      </x:c>
      <x:c r="N37" s="7" t="n">
        <x:f>50*I37-S37</x:f>
        <x:v>56859.77736419027</x:v>
      </x:c>
      <x:c r="O37" s="7" t="n">
        <x:f>100*I37-S37</x:f>
        <x:v>140230.48935468832</x:v>
      </x:c>
      <x:c r="P37" s="7" t="n">
        <x:f>300*I37-T37</x:f>
        <x:v>451713.3373166806</x:v>
      </x:c>
      <x:c r="Q37" s="7" t="n">
        <x:f>1000*I37-U37</x:f>
        <x:v>1588903.3051836535</x:v>
      </x:c>
      <x:c r="R3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37*'損益分岐設定'!$B$12*'損益分岐設定'!$B$11</x:f>
        <x:v>22010.934626307797</x:v>
      </x:c>
      <x:c r="S3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37*'損益分岐設定'!$B$12*'損益分岐設定'!$B$11</x:f>
        <x:v>26510.934626307797</x:v>
      </x:c>
      <x:c r="T3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37*'損益分岐設定'!$B$12*'損益分岐設定'!$B$11</x:f>
        <x:v>48510.9346263078</x:v>
      </x:c>
      <x:c r="U3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37*'損益分岐設定'!$B$12*'損益分岐設定'!$B$11</x:f>
        <x:v>78510.9346263078</x:v>
      </x:c>
      <x:c r="V37" s="1" t="n">
        <x:f>IF(I37&lt;=0,1001,IF(MAX('損益分岐設定'!B37,ROUNDUP(R37/I37,0))&lt;='損益分岐設定'!C37,MAX('損益分岐設定'!B37,ROUNDUP(R37/I37,0)),1001))</x:f>
        <x:v>1001</x:v>
      </x:c>
      <x:c r="W37" s="1" t="n">
        <x:f>IF(I37&lt;=0,1001,IF(MAX('損益分岐設定'!B38,ROUNDUP(S37/I37,0))&lt;='損益分岐設定'!C38,MAX('損益分岐設定'!B38,ROUNDUP(S37/I37,0)),1001))</x:f>
        <x:v>16</x:v>
      </x:c>
      <x:c r="X37" s="1" t="n">
        <x:f>IF(I37&lt;=0,1001,IF(MAX('損益分岐設定'!B39,ROUNDUP(T37/I37,0))&lt;='損益分岐設定'!C39,MAX('損益分岐設定'!B39,ROUNDUP(T37/I37,0)),1001))</x:f>
        <x:v>101</x:v>
      </x:c>
      <x:c r="Y37" s="1" t="n">
        <x:f>IF(I37&lt;=0,1001,IF(MAX('損益分岐設定'!B40,ROUNDUP(U37/I37,0))&lt;='損益分岐設定'!C40,MAX('損益分岐設定'!B40,ROUNDUP(U37/I37,0)),1001))</x:f>
        <x:v>501</x:v>
      </x:c>
      <x:c r="Z37" s="1" t="n">
        <x:f>IF(I37&lt;=0,'損益分岐設定'!C37,IF('損益分岐設定'!C37*I37-R37&lt;0,'損益分岐設定'!C37,IF('損益分岐設定'!B37*I37-R37&gt;=0,0,ROUNDUP(R37/I37,0)-1)))</x:f>
        <x:v>10</x:v>
      </x:c>
      <x:c r="AA37" s="1" t="n">
        <x:f>IF(I37&lt;=0,'損益分岐設定'!C38,IF('損益分岐設定'!C38*I37-S37&lt;0,'損益分岐設定'!C38,IF('損益分岐設定'!B38*I37-S37&gt;=0,0,ROUNDUP(S37/I37,0)-1)))</x:f>
        <x:v>15</x:v>
      </x:c>
      <x:c r="AB37" s="1" t="n">
        <x:f>IF(I37&lt;=0,'損益分岐設定'!C39,IF('損益分岐設定'!C39*I37-T37&lt;0,'損益分岐設定'!C39,IF('損益分岐設定'!B39*I37-T37&gt;=0,0,ROUNDUP(T37/I37,0)-1)))</x:f>
        <x:v>0</x:v>
      </x:c>
      <x:c r="AC37" s="1" t="n">
        <x:f>IF(I37&lt;=0,'損益分岐設定'!C40,IF('損益分岐設定'!C40*I37-U37&lt;0,'損益分岐設定'!C40,IF('損益分岐設定'!B40*I37-U37&gt;=0,0,ROUNDUP(U37/I37,0)-1)))</x:f>
        <x:v>0</x:v>
      </x:c>
      <x:c r="AD37" s="1" t="n">
        <x:v>1</x:v>
      </x:c>
      <x:c r="AE37" s="1" t="n">
        <x:v>0</x:v>
      </x:c>
      <x:c r="AF37" s="1" t="n">
        <x:v>0</x:v>
      </x:c>
      <x:c r="AG37" s="1" t="n">
        <x:f>AD37*('損益分岐設定'!$C$57*(1-'損益分岐設定'!$B$51)+'損益分岐設定'!$C$58*'損益分岐設定'!$B$51)+AE37*('損益分岐設定'!$C$60*(1-'損益分岐設定'!$B$51)+'損益分岐設定'!$C$61*'損益分岐設定'!$B$51)+AF37*('損益分岐設定'!$C$63*(1-'損益分岐設定'!$B$51)+'損益分岐設定'!$C$64*'損益分岐設定'!$B$51)</x:f>
        <x:v>621.5522041015626</x:v>
      </x:c>
      <x:c r="AH37" s="1" t="n">
        <x:f>AD37*('損益分岐設定'!$D$57*(1-'損益分岐設定'!$B$51)+'損益分岐設定'!$D$58*'損益分岐設定'!$B$51)+AE37*('損益分岐設定'!$D$60*(1-'損益分岐設定'!$B$51)+'損益分岐設定'!$D$61*'損益分岐設定'!$B$51)+AF37*('損益分岐設定'!$D$63*(1-'損益分岐設定'!$B$51)+'損益分岐設定'!$D$64*'損益分岐設定'!$B$51)</x:f>
        <x:v>48</x:v>
      </x:c>
      <x:c r="AI37" s="1" t="n">
        <x:f>AD37*('損益分岐設定'!$E$57*(1-'損益分岐設定'!$B$51)+'損益分岐設定'!$E$58*'損益分岐設定'!$B$51)+AE37*('損益分岐設定'!$E$60*(1-'損益分岐設定'!$B$51)+'損益分岐設定'!$E$61*'損益分岐設定'!$B$51)+AF37*('損益分岐設定'!$E$63*(1-'損益分岐設定'!$B$51)+'損益分岐設定'!$E$64*'損益分岐設定'!$B$51)</x:f>
        <x:v>56</x:v>
      </x:c>
      <x:c r="AJ37" s="1" t="n">
        <x:f>(AD37*('損益分岐設定'!$F$57*(1-'損益分岐設定'!$B$51)+'損益分岐設定'!$F$58*'損益分岐設定'!$B$51)+AE37*('損益分岐設定'!$F$60*(1-'損益分岐設定'!$B$51)+'損益分岐設定'!$F$61*'損益分岐設定'!$B$51)+AF37*('損益分岐設定'!$F$63*(1-'損益分岐設定'!$B$51)+'損益分岐設定'!$F$64*'損益分岐設定'!$B$51)*1)*'損益分岐設定'!$B$22</x:f>
        <x:v>456</x:v>
      </x:c>
      <x:c r="AK37" s="1" t="n">
        <x:f>AD37*('損益分岐設定'!$G$57*(1-'損益分岐設定'!$B$51)+'損益分岐設定'!$G$58*'損益分岐設定'!$B$51)+AE37*('損益分岐設定'!$G$60*(1-'損益分岐設定'!$B$51)+'損益分岐設定'!$G$61*'損益分岐設定'!$B$51)+AF37*('損益分岐設定'!$G$63*(1-'損益分岐設定'!$B$51)+'損益分岐設定'!$G$64*'損益分岐設定'!$B$51)</x:f>
        <x:v>400</x:v>
      </x:c>
      <x:c r="AL37" s="1" t="n">
        <x:f>AD37*('損益分岐設定'!$H$57*(1-'損益分岐設定'!$B$51)+'損益分岐設定'!$H$58*'損益分岐設定'!$B$51)+AE37*('損益分岐設定'!$H$60*(1-'損益分岐設定'!$B$51)+'損益分岐設定'!$H$61*'損益分岐設定'!$B$51)+AF37*('損益分岐設定'!$H$63*(1-'損益分岐設定'!$B$51)+'損益分岐設定'!$H$64*'損益分岐設定'!$B$51)</x:f>
        <x:v>726.6666666666667</x:v>
      </x:c>
      <x:c r="AM37" s="1" t="n">
        <x:f>MAX(1,ROUNDUP('損益分岐設定'!C37*AJ37/('損益分岐設定'!$B$23*'損益分岐設定'!$B$24*3600*'損益分岐設定'!$B$25),0))</x:f>
        <x:v>1</x:v>
      </x:c>
      <x:c r="AN37" s="1" t="n">
        <x:f>MAX(2,ROUNDUP('損益分岐設定'!C38*AJ37/('損益分岐設定'!$B$23*'損益分岐設定'!$B$24*3600*'損益分岐設定'!$B$25),0))</x:f>
        <x:v>2</x:v>
      </x:c>
      <x:c r="AO37" s="1" t="n">
        <x:f>MAX(2,ROUNDUP('損益分岐設定'!C39*AJ37/('損益分岐設定'!$B$23*'損益分岐設定'!$B$24*3600*'損益分岐設定'!$B$25),0))</x:f>
        <x:v>2</x:v>
      </x:c>
      <x:c r="AP37" s="1" t="n">
        <x:f>MAX(2,ROUNDUP('損益分岐設定'!C40*AJ37/('損益分岐設定'!$B$23*'損益分岐設定'!$B$24*3600*'損益分岐設定'!$B$25),0))</x:f>
        <x:v>2</x:v>
      </x:c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 ht="23" customHeight="1">
      <x:c r="A38" s="1" t="str">
        <x:v>Run</x:v>
      </x:c>
      <x:c r="B38" s="1" t="str">
        <x:v>Starter</x:v>
      </x:c>
      <x:c r="C38" s="1" t="str">
        <x:v>標準+高位混在</x:v>
      </x:c>
      <x:c r="D38" s="21" t="n">
        <x:v>0.2</x:v>
      </x:c>
      <x:c r="E38" s="1" t="n">
        <x:v>1</x:v>
      </x:c>
      <x:c r="F38" s="7" t="n">
        <x:f>AD38*'損益分岐設定'!$B$5+AE38*'損益分岐設定'!$B$6+AF38*'損益分岐設定'!$B$7</x:f>
        <x:v>3000</x:v>
      </x:c>
      <x:c r="G38" s="7" t="n">
        <x:f>AG38+(AH38+AI38)*('損益分岐設定'!$B$29+0.5*'損益分岐設定'!$B$30)+AK38*'損益分岐設定'!$B$32+(AJ38+AK38/'損益分岐設定'!$B$28*'損益分岐設定'!$B$26)*('損益分岐設定'!$B$29+'損益分岐設定'!$B$31*'損益分岐設定'!$B$30)</x:f>
        <x:v>624.5857601900386</x:v>
      </x:c>
      <x:c r="H38" s="7" t="n">
        <x:f>AL38*E38</x:f>
        <x:v>726.6666666666667</x:v>
      </x:c>
      <x:c r="I38" s="7" t="n">
        <x:f>F38*(1-D38-'損益分岐設定'!$B$10)-G38-H38</x:f>
        <x:v>940.7475731432946</x:v>
      </x:c>
      <x:c r="J38" s="1" t="n">
        <x:f>IF(MIN(V38:Y38)&gt;1000,"範囲内なし",MIN(V38:Y38))</x:f>
        <x:v>37</x:v>
      </x:c>
      <x:c r="K38" s="1" t="n">
        <x:f>IF(MAX(Z38:AC38)&gt;=1000,"範囲内なし",MAX(1,MAX(Z38:AC38)+1))</x:f>
        <x:v>37</x:v>
      </x:c>
      <x:c r="L38" s="7" t="n">
        <x:f>10*I38-R38</x:f>
        <x:v>-20603.45889487485</x:v>
      </x:c>
      <x:c r="M38" s="7" t="n">
        <x:f>30*I38-S38</x:f>
        <x:v>-6288.507432008959</x:v>
      </x:c>
      <x:c r="N38" s="7" t="n">
        <x:f>50*I38-S38</x:f>
        <x:v>12526.444030856932</x:v>
      </x:c>
      <x:c r="O38" s="7" t="n">
        <x:f>100*I38-S38</x:f>
        <x:v>59563.82268802166</x:v>
      </x:c>
      <x:c r="P38" s="7" t="n">
        <x:f>300*I38-T38</x:f>
        <x:v>225713.33731668058</x:v>
      </x:c>
      <x:c r="Q38" s="7" t="n">
        <x:f>1000*I38-U38</x:f>
        <x:v>854236.6385169869</x:v>
      </x:c>
      <x:c r="R3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38*'損益分岐設定'!$B$12*'損益分岐設定'!$B$11</x:f>
        <x:v>30010.934626307797</x:v>
      </x:c>
      <x:c r="S3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38*'損益分岐設定'!$B$12*'損益分岐設定'!$B$11</x:f>
        <x:v>34510.9346263078</x:v>
      </x:c>
      <x:c r="T3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38*'損益分岐設定'!$B$12*'損益分岐設定'!$B$11</x:f>
        <x:v>56510.9346263078</x:v>
      </x:c>
      <x:c r="U3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38*'損益分岐設定'!$B$12*'損益分岐設定'!$B$11</x:f>
        <x:v>86510.9346263078</x:v>
      </x:c>
      <x:c r="V38" s="1" t="n">
        <x:f>IF(I38&lt;=0,1001,IF(MAX('損益分岐設定'!B37,ROUNDUP(R38/I38,0))&lt;='損益分岐設定'!C37,MAX('損益分岐設定'!B37,ROUNDUP(R38/I38,0)),1001))</x:f>
        <x:v>1001</x:v>
      </x:c>
      <x:c r="W38" s="1" t="n">
        <x:f>IF(I38&lt;=0,1001,IF(MAX('損益分岐設定'!B38,ROUNDUP(S38/I38,0))&lt;='損益分岐設定'!C38,MAX('損益分岐設定'!B38,ROUNDUP(S38/I38,0)),1001))</x:f>
        <x:v>37</x:v>
      </x:c>
      <x:c r="X38" s="1" t="n">
        <x:f>IF(I38&lt;=0,1001,IF(MAX('損益分岐設定'!B39,ROUNDUP(T38/I38,0))&lt;='損益分岐設定'!C39,MAX('損益分岐設定'!B39,ROUNDUP(T38/I38,0)),1001))</x:f>
        <x:v>101</x:v>
      </x:c>
      <x:c r="Y38" s="1" t="n">
        <x:f>IF(I38&lt;=0,1001,IF(MAX('損益分岐設定'!B40,ROUNDUP(U38/I38,0))&lt;='損益分岐設定'!C40,MAX('損益分岐設定'!B40,ROUNDUP(U38/I38,0)),1001))</x:f>
        <x:v>501</x:v>
      </x:c>
      <x:c r="Z38" s="1" t="n">
        <x:f>IF(I38&lt;=0,'損益分岐設定'!C37,IF('損益分岐設定'!C37*I38-R38&lt;0,'損益分岐設定'!C37,IF('損益分岐設定'!B37*I38-R38&gt;=0,0,ROUNDUP(R38/I38,0)-1)))</x:f>
        <x:v>10</x:v>
      </x:c>
      <x:c r="AA38" s="1" t="n">
        <x:f>IF(I38&lt;=0,'損益分岐設定'!C38,IF('損益分岐設定'!C38*I38-S38&lt;0,'損益分岐設定'!C38,IF('損益分岐設定'!B38*I38-S38&gt;=0,0,ROUNDUP(S38/I38,0)-1)))</x:f>
        <x:v>36</x:v>
      </x:c>
      <x:c r="AB38" s="1" t="n">
        <x:f>IF(I38&lt;=0,'損益分岐設定'!C39,IF('損益分岐設定'!C39*I38-T38&lt;0,'損益分岐設定'!C39,IF('損益分岐設定'!B39*I38-T38&gt;=0,0,ROUNDUP(T38/I38,0)-1)))</x:f>
        <x:v>0</x:v>
      </x:c>
      <x:c r="AC38" s="1" t="n">
        <x:f>IF(I38&lt;=0,'損益分岐設定'!C40,IF('損益分岐設定'!C40*I38-U38&lt;0,'損益分岐設定'!C40,IF('損益分岐設定'!B40*I38-U38&gt;=0,0,ROUNDUP(U38/I38,0)-1)))</x:f>
        <x:v>0</x:v>
      </x:c>
      <x:c r="AD38" s="1" t="n">
        <x:v>1</x:v>
      </x:c>
      <x:c r="AE38" s="1" t="n">
        <x:v>0</x:v>
      </x:c>
      <x:c r="AF38" s="1" t="n">
        <x:v>0</x:v>
      </x:c>
      <x:c r="AG38" s="1" t="n">
        <x:f>AD38*('損益分岐設定'!$C$57*(1-'損益分岐設定'!$B$51)+'損益分岐設定'!$C$58*'損益分岐設定'!$B$51)+AE38*('損益分岐設定'!$C$60*(1-'損益分岐設定'!$B$51)+'損益分岐設定'!$C$61*'損益分岐設定'!$B$51)+AF38*('損益分岐設定'!$C$63*(1-'損益分岐設定'!$B$51)+'損益分岐設定'!$C$64*'損益分岐設定'!$B$51)</x:f>
        <x:v>621.5522041015626</x:v>
      </x:c>
      <x:c r="AH38" s="1" t="n">
        <x:f>AD38*('損益分岐設定'!$D$57*(1-'損益分岐設定'!$B$51)+'損益分岐設定'!$D$58*'損益分岐設定'!$B$51)+AE38*('損益分岐設定'!$D$60*(1-'損益分岐設定'!$B$51)+'損益分岐設定'!$D$61*'損益分岐設定'!$B$51)+AF38*('損益分岐設定'!$D$63*(1-'損益分岐設定'!$B$51)+'損益分岐設定'!$D$64*'損益分岐設定'!$B$51)</x:f>
        <x:v>48</x:v>
      </x:c>
      <x:c r="AI38" s="1" t="n">
        <x:f>AD38*('損益分岐設定'!$E$57*(1-'損益分岐設定'!$B$51)+'損益分岐設定'!$E$58*'損益分岐設定'!$B$51)+AE38*('損益分岐設定'!$E$60*(1-'損益分岐設定'!$B$51)+'損益分岐設定'!$E$61*'損益分岐設定'!$B$51)+AF38*('損益分岐設定'!$E$63*(1-'損益分岐設定'!$B$51)+'損益分岐設定'!$E$64*'損益分岐設定'!$B$51)</x:f>
        <x:v>56</x:v>
      </x:c>
      <x:c r="AJ38" s="1" t="n">
        <x:f>(AD38*('損益分岐設定'!$F$57*(1-'損益分岐設定'!$B$51)+'損益分岐設定'!$F$58*'損益分岐設定'!$B$51)+AE38*('損益分岐設定'!$F$60*(1-'損益分岐設定'!$B$51)+'損益分岐設定'!$F$61*'損益分岐設定'!$B$51)+AF38*('損益分岐設定'!$F$63*(1-'損益分岐設定'!$B$51)+'損益分岐設定'!$F$64*'損益分岐設定'!$B$51)*1)*'損益分岐設定'!$B$22</x:f>
        <x:v>456</x:v>
      </x:c>
      <x:c r="AK38" s="1" t="n">
        <x:f>AD38*('損益分岐設定'!$G$57*(1-'損益分岐設定'!$B$51)+'損益分岐設定'!$G$58*'損益分岐設定'!$B$51)+AE38*('損益分岐設定'!$G$60*(1-'損益分岐設定'!$B$51)+'損益分岐設定'!$G$61*'損益分岐設定'!$B$51)+AF38*('損益分岐設定'!$G$63*(1-'損益分岐設定'!$B$51)+'損益分岐設定'!$G$64*'損益分岐設定'!$B$51)</x:f>
        <x:v>400</x:v>
      </x:c>
      <x:c r="AL38" s="1" t="n">
        <x:f>AD38*('損益分岐設定'!$H$57*(1-'損益分岐設定'!$B$51)+'損益分岐設定'!$H$58*'損益分岐設定'!$B$51)+AE38*('損益分岐設定'!$H$60*(1-'損益分岐設定'!$B$51)+'損益分岐設定'!$H$61*'損益分岐設定'!$B$51)+AF38*('損益分岐設定'!$H$63*(1-'損益分岐設定'!$B$51)+'損益分岐設定'!$H$64*'損益分岐設定'!$B$51)</x:f>
        <x:v>726.6666666666667</x:v>
      </x:c>
      <x:c r="AM38" s="1" t="n">
        <x:f>MAX(1,ROUNDUP('損益分岐設定'!C37*AJ38/('損益分岐設定'!$B$23*'損益分岐設定'!$B$24*3600*'損益分岐設定'!$B$25),0))</x:f>
        <x:v>1</x:v>
      </x:c>
      <x:c r="AN38" s="1" t="n">
        <x:f>MAX(2,ROUNDUP('損益分岐設定'!C38*AJ38/('損益分岐設定'!$B$23*'損益分岐設定'!$B$24*3600*'損益分岐設定'!$B$25),0))</x:f>
        <x:v>2</x:v>
      </x:c>
      <x:c r="AO38" s="1" t="n">
        <x:f>MAX(2,ROUNDUP('損益分岐設定'!C39*AJ38/('損益分岐設定'!$B$23*'損益分岐設定'!$B$24*3600*'損益分岐設定'!$B$25),0))</x:f>
        <x:v>2</x:v>
      </x:c>
      <x:c r="AP38" s="1" t="n">
        <x:f>MAX(2,ROUNDUP('損益分岐設定'!C40*AJ38/('損益分岐設定'!$B$23*'損益分岐設定'!$B$24*3600*'損益分岐設定'!$B$25),0))</x:f>
        <x:v>2</x:v>
      </x:c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 ht="23" customHeight="1">
      <x:c r="A39" s="1" t="str">
        <x:v>Run</x:v>
      </x:c>
      <x:c r="B39" s="1" t="str">
        <x:v>Starter</x:v>
      </x:c>
      <x:c r="C39" s="1" t="str">
        <x:v>標準+高位混在</x:v>
      </x:c>
      <x:c r="D39" s="21" t="n">
        <x:v>0.3</x:v>
      </x:c>
      <x:c r="E39" s="1" t="n">
        <x:v>0</x:v>
      </x:c>
      <x:c r="F39" s="7" t="n">
        <x:f>AD39*'損益分岐設定'!$B$5+AE39*'損益分岐設定'!$B$6+AF39*'損益分岐設定'!$B$7</x:f>
        <x:v>3000</x:v>
      </x:c>
      <x:c r="G39" s="7" t="n">
        <x:f>AG39+(AH39+AI39)*('損益分岐設定'!$B$29+0.5*'損益分岐設定'!$B$30)+AK39*'損益分岐設定'!$B$32+(AJ39+AK39/'損益分岐設定'!$B$28*'損益分岐設定'!$B$26)*('損益分岐設定'!$B$29+'損益分岐設定'!$B$31*'損益分岐設定'!$B$30)</x:f>
        <x:v>624.5857601900386</x:v>
      </x:c>
      <x:c r="H39" s="7" t="n">
        <x:f>AL39*E39</x:f>
        <x:v>0</x:v>
      </x:c>
      <x:c r="I39" s="7" t="n">
        <x:f>F39*(1-D39-'損益分岐設定'!$B$10)-G39-H39</x:f>
        <x:v>1367.4142398099611</x:v>
      </x:c>
      <x:c r="J39" s="1" t="n">
        <x:f>IF(MIN(V39:Y39)&gt;1000,"範囲内なし",MIN(V39:Y39))</x:f>
        <x:v>20</x:v>
      </x:c>
      <x:c r="K39" s="1" t="n">
        <x:f>IF(MAX(Z39:AC39)&gt;=1000,"範囲内なし",MAX(1,MAX(Z39:AC39)+1))</x:f>
        <x:v>20</x:v>
      </x:c>
      <x:c r="L39" s="7" t="n">
        <x:f>10*I39-R39</x:f>
        <x:v>-8336.792228208185</x:v>
      </x:c>
      <x:c r="M39" s="7" t="n">
        <x:f>30*I39-S39</x:f>
        <x:v>14511.492567991038</x:v>
      </x:c>
      <x:c r="N39" s="7" t="n">
        <x:f>50*I39-S39</x:f>
        <x:v>41859.77736419027</x:v>
      </x:c>
      <x:c r="O39" s="7" t="n">
        <x:f>100*I39-S39</x:f>
        <x:v>110230.48935468832</x:v>
      </x:c>
      <x:c r="P39" s="7" t="n">
        <x:f>300*I39-T39</x:f>
        <x:v>361713.3373166805</x:v>
      </x:c>
      <x:c r="Q39" s="7" t="n">
        <x:f>1000*I39-U39</x:f>
        <x:v>1288903.3051836533</x:v>
      </x:c>
      <x:c r="R3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39*'損益分岐設定'!$B$12*'損益分岐設定'!$B$11</x:f>
        <x:v>22010.934626307797</x:v>
      </x:c>
      <x:c r="S3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39*'損益分岐設定'!$B$12*'損益分岐設定'!$B$11</x:f>
        <x:v>26510.934626307797</x:v>
      </x:c>
      <x:c r="T3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39*'損益分岐設定'!$B$12*'損益分岐設定'!$B$11</x:f>
        <x:v>48510.9346263078</x:v>
      </x:c>
      <x:c r="U3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39*'損益分岐設定'!$B$12*'損益分岐設定'!$B$11</x:f>
        <x:v>78510.9346263078</x:v>
      </x:c>
      <x:c r="V39" s="1" t="n">
        <x:f>IF(I39&lt;=0,1001,IF(MAX('損益分岐設定'!B37,ROUNDUP(R39/I39,0))&lt;='損益分岐設定'!C37,MAX('損益分岐設定'!B37,ROUNDUP(R39/I39,0)),1001))</x:f>
        <x:v>1001</x:v>
      </x:c>
      <x:c r="W39" s="1" t="n">
        <x:f>IF(I39&lt;=0,1001,IF(MAX('損益分岐設定'!B38,ROUNDUP(S39/I39,0))&lt;='損益分岐設定'!C38,MAX('損益分岐設定'!B38,ROUNDUP(S39/I39,0)),1001))</x:f>
        <x:v>20</x:v>
      </x:c>
      <x:c r="X39" s="1" t="n">
        <x:f>IF(I39&lt;=0,1001,IF(MAX('損益分岐設定'!B39,ROUNDUP(T39/I39,0))&lt;='損益分岐設定'!C39,MAX('損益分岐設定'!B39,ROUNDUP(T39/I39,0)),1001))</x:f>
        <x:v>101</x:v>
      </x:c>
      <x:c r="Y39" s="1" t="n">
        <x:f>IF(I39&lt;=0,1001,IF(MAX('損益分岐設定'!B40,ROUNDUP(U39/I39,0))&lt;='損益分岐設定'!C40,MAX('損益分岐設定'!B40,ROUNDUP(U39/I39,0)),1001))</x:f>
        <x:v>501</x:v>
      </x:c>
      <x:c r="Z39" s="1" t="n">
        <x:f>IF(I39&lt;=0,'損益分岐設定'!C37,IF('損益分岐設定'!C37*I39-R39&lt;0,'損益分岐設定'!C37,IF('損益分岐設定'!B37*I39-R39&gt;=0,0,ROUNDUP(R39/I39,0)-1)))</x:f>
        <x:v>10</x:v>
      </x:c>
      <x:c r="AA39" s="1" t="n">
        <x:f>IF(I39&lt;=0,'損益分岐設定'!C38,IF('損益分岐設定'!C38*I39-S39&lt;0,'損益分岐設定'!C38,IF('損益分岐設定'!B38*I39-S39&gt;=0,0,ROUNDUP(S39/I39,0)-1)))</x:f>
        <x:v>19</x:v>
      </x:c>
      <x:c r="AB39" s="1" t="n">
        <x:f>IF(I39&lt;=0,'損益分岐設定'!C39,IF('損益分岐設定'!C39*I39-T39&lt;0,'損益分岐設定'!C39,IF('損益分岐設定'!B39*I39-T39&gt;=0,0,ROUNDUP(T39/I39,0)-1)))</x:f>
        <x:v>0</x:v>
      </x:c>
      <x:c r="AC39" s="1" t="n">
        <x:f>IF(I39&lt;=0,'損益分岐設定'!C40,IF('損益分岐設定'!C40*I39-U39&lt;0,'損益分岐設定'!C40,IF('損益分岐設定'!B40*I39-U39&gt;=0,0,ROUNDUP(U39/I39,0)-1)))</x:f>
        <x:v>0</x:v>
      </x:c>
      <x:c r="AD39" s="1" t="n">
        <x:v>1</x:v>
      </x:c>
      <x:c r="AE39" s="1" t="n">
        <x:v>0</x:v>
      </x:c>
      <x:c r="AF39" s="1" t="n">
        <x:v>0</x:v>
      </x:c>
      <x:c r="AG39" s="1" t="n">
        <x:f>AD39*('損益分岐設定'!$C$57*(1-'損益分岐設定'!$B$51)+'損益分岐設定'!$C$58*'損益分岐設定'!$B$51)+AE39*('損益分岐設定'!$C$60*(1-'損益分岐設定'!$B$51)+'損益分岐設定'!$C$61*'損益分岐設定'!$B$51)+AF39*('損益分岐設定'!$C$63*(1-'損益分岐設定'!$B$51)+'損益分岐設定'!$C$64*'損益分岐設定'!$B$51)</x:f>
        <x:v>621.5522041015626</x:v>
      </x:c>
      <x:c r="AH39" s="1" t="n">
        <x:f>AD39*('損益分岐設定'!$D$57*(1-'損益分岐設定'!$B$51)+'損益分岐設定'!$D$58*'損益分岐設定'!$B$51)+AE39*('損益分岐設定'!$D$60*(1-'損益分岐設定'!$B$51)+'損益分岐設定'!$D$61*'損益分岐設定'!$B$51)+AF39*('損益分岐設定'!$D$63*(1-'損益分岐設定'!$B$51)+'損益分岐設定'!$D$64*'損益分岐設定'!$B$51)</x:f>
        <x:v>48</x:v>
      </x:c>
      <x:c r="AI39" s="1" t="n">
        <x:f>AD39*('損益分岐設定'!$E$57*(1-'損益分岐設定'!$B$51)+'損益分岐設定'!$E$58*'損益分岐設定'!$B$51)+AE39*('損益分岐設定'!$E$60*(1-'損益分岐設定'!$B$51)+'損益分岐設定'!$E$61*'損益分岐設定'!$B$51)+AF39*('損益分岐設定'!$E$63*(1-'損益分岐設定'!$B$51)+'損益分岐設定'!$E$64*'損益分岐設定'!$B$51)</x:f>
        <x:v>56</x:v>
      </x:c>
      <x:c r="AJ39" s="1" t="n">
        <x:f>(AD39*('損益分岐設定'!$F$57*(1-'損益分岐設定'!$B$51)+'損益分岐設定'!$F$58*'損益分岐設定'!$B$51)+AE39*('損益分岐設定'!$F$60*(1-'損益分岐設定'!$B$51)+'損益分岐設定'!$F$61*'損益分岐設定'!$B$51)+AF39*('損益分岐設定'!$F$63*(1-'損益分岐設定'!$B$51)+'損益分岐設定'!$F$64*'損益分岐設定'!$B$51)*1)*'損益分岐設定'!$B$22</x:f>
        <x:v>456</x:v>
      </x:c>
      <x:c r="AK39" s="1" t="n">
        <x:f>AD39*('損益分岐設定'!$G$57*(1-'損益分岐設定'!$B$51)+'損益分岐設定'!$G$58*'損益分岐設定'!$B$51)+AE39*('損益分岐設定'!$G$60*(1-'損益分岐設定'!$B$51)+'損益分岐設定'!$G$61*'損益分岐設定'!$B$51)+AF39*('損益分岐設定'!$G$63*(1-'損益分岐設定'!$B$51)+'損益分岐設定'!$G$64*'損益分岐設定'!$B$51)</x:f>
        <x:v>400</x:v>
      </x:c>
      <x:c r="AL39" s="1" t="n">
        <x:f>AD39*('損益分岐設定'!$H$57*(1-'損益分岐設定'!$B$51)+'損益分岐設定'!$H$58*'損益分岐設定'!$B$51)+AE39*('損益分岐設定'!$H$60*(1-'損益分岐設定'!$B$51)+'損益分岐設定'!$H$61*'損益分岐設定'!$B$51)+AF39*('損益分岐設定'!$H$63*(1-'損益分岐設定'!$B$51)+'損益分岐設定'!$H$64*'損益分岐設定'!$B$51)</x:f>
        <x:v>726.6666666666667</x:v>
      </x:c>
      <x:c r="AM39" s="1" t="n">
        <x:f>MAX(1,ROUNDUP('損益分岐設定'!C37*AJ39/('損益分岐設定'!$B$23*'損益分岐設定'!$B$24*3600*'損益分岐設定'!$B$25),0))</x:f>
        <x:v>1</x:v>
      </x:c>
      <x:c r="AN39" s="1" t="n">
        <x:f>MAX(2,ROUNDUP('損益分岐設定'!C38*AJ39/('損益分岐設定'!$B$23*'損益分岐設定'!$B$24*3600*'損益分岐設定'!$B$25),0))</x:f>
        <x:v>2</x:v>
      </x:c>
      <x:c r="AO39" s="1" t="n">
        <x:f>MAX(2,ROUNDUP('損益分岐設定'!C39*AJ39/('損益分岐設定'!$B$23*'損益分岐設定'!$B$24*3600*'損益分岐設定'!$B$25),0))</x:f>
        <x:v>2</x:v>
      </x:c>
      <x:c r="AP39" s="1" t="n">
        <x:f>MAX(2,ROUNDUP('損益分岐設定'!C40*AJ39/('損益分岐設定'!$B$23*'損益分岐設定'!$B$24*3600*'損益分岐設定'!$B$25),0))</x:f>
        <x:v>2</x:v>
      </x:c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 ht="23" customHeight="1">
      <x:c r="A40" s="1" t="str">
        <x:v>Run</x:v>
      </x:c>
      <x:c r="B40" s="1" t="str">
        <x:v>Starter</x:v>
      </x:c>
      <x:c r="C40" s="1" t="str">
        <x:v>標準+高位混在</x:v>
      </x:c>
      <x:c r="D40" s="21" t="n">
        <x:v>0.3</x:v>
      </x:c>
      <x:c r="E40" s="1" t="n">
        <x:v>1</x:v>
      </x:c>
      <x:c r="F40" s="7" t="n">
        <x:f>AD40*'損益分岐設定'!$B$5+AE40*'損益分岐設定'!$B$6+AF40*'損益分岐設定'!$B$7</x:f>
        <x:v>3000</x:v>
      </x:c>
      <x:c r="G40" s="7" t="n">
        <x:f>AG40+(AH40+AI40)*('損益分岐設定'!$B$29+0.5*'損益分岐設定'!$B$30)+AK40*'損益分岐設定'!$B$32+(AJ40+AK40/'損益分岐設定'!$B$28*'損益分岐設定'!$B$26)*('損益分岐設定'!$B$29+'損益分岐設定'!$B$31*'損益分岐設定'!$B$30)</x:f>
        <x:v>624.5857601900386</x:v>
      </x:c>
      <x:c r="H40" s="7" t="n">
        <x:f>AL40*E40</x:f>
        <x:v>726.6666666666667</x:v>
      </x:c>
      <x:c r="I40" s="7" t="n">
        <x:f>F40*(1-D40-'損益分岐設定'!$B$10)-G40-H40</x:f>
        <x:v>640.7475731432944</x:v>
      </x:c>
      <x:c r="J40" s="1" t="n">
        <x:f>IF(MIN(V40:Y40)&gt;1000,"範囲内なし",MIN(V40:Y40))</x:f>
        <x:v>54</x:v>
      </x:c>
      <x:c r="K40" s="1" t="n">
        <x:f>IF(MAX(Z40:AC40)&gt;=1000,"範囲内なし",MAX(1,MAX(Z40:AC40)+1))</x:f>
        <x:v>54</x:v>
      </x:c>
      <x:c r="L40" s="7" t="n">
        <x:f>10*I40-R40</x:f>
        <x:v>-23603.458894874853</x:v>
      </x:c>
      <x:c r="M40" s="7" t="n">
        <x:f>30*I40-S40</x:f>
        <x:v>-15288.507432008966</x:v>
      </x:c>
      <x:c r="N40" s="7" t="n">
        <x:f>50*I40-S40</x:f>
        <x:v>-2473.5559691430753</x:v>
      </x:c>
      <x:c r="O40" s="7" t="n">
        <x:f>100*I40-S40</x:f>
        <x:v>29563.822688021646</x:v>
      </x:c>
      <x:c r="P40" s="7" t="n">
        <x:f>300*I40-T40</x:f>
        <x:v>135713.33731668052</x:v>
      </x:c>
      <x:c r="Q40" s="7" t="n">
        <x:f>1000*I40-U40</x:f>
        <x:v>554236.6385169866</x:v>
      </x:c>
      <x:c r="R4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40*'損益分岐設定'!$B$12*'損益分岐設定'!$B$11</x:f>
        <x:v>30010.934626307797</x:v>
      </x:c>
      <x:c r="S4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40*'損益分岐設定'!$B$12*'損益分岐設定'!$B$11</x:f>
        <x:v>34510.9346263078</x:v>
      </x:c>
      <x:c r="T4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40*'損益分岐設定'!$B$12*'損益分岐設定'!$B$11</x:f>
        <x:v>56510.9346263078</x:v>
      </x:c>
      <x:c r="U4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40*'損益分岐設定'!$B$12*'損益分岐設定'!$B$11</x:f>
        <x:v>86510.9346263078</x:v>
      </x:c>
      <x:c r="V40" s="1" t="n">
        <x:f>IF(I40&lt;=0,1001,IF(MAX('損益分岐設定'!B37,ROUNDUP(R40/I40,0))&lt;='損益分岐設定'!C37,MAX('損益分岐設定'!B37,ROUNDUP(R40/I40,0)),1001))</x:f>
        <x:v>1001</x:v>
      </x:c>
      <x:c r="W40" s="1" t="n">
        <x:f>IF(I40&lt;=0,1001,IF(MAX('損益分岐設定'!B38,ROUNDUP(S40/I40,0))&lt;='損益分岐設定'!C38,MAX('損益分岐設定'!B38,ROUNDUP(S40/I40,0)),1001))</x:f>
        <x:v>54</x:v>
      </x:c>
      <x:c r="X40" s="1" t="n">
        <x:f>IF(I40&lt;=0,1001,IF(MAX('損益分岐設定'!B39,ROUNDUP(T40/I40,0))&lt;='損益分岐設定'!C39,MAX('損益分岐設定'!B39,ROUNDUP(T40/I40,0)),1001))</x:f>
        <x:v>101</x:v>
      </x:c>
      <x:c r="Y40" s="1" t="n">
        <x:f>IF(I40&lt;=0,1001,IF(MAX('損益分岐設定'!B40,ROUNDUP(U40/I40,0))&lt;='損益分岐設定'!C40,MAX('損益分岐設定'!B40,ROUNDUP(U40/I40,0)),1001))</x:f>
        <x:v>501</x:v>
      </x:c>
      <x:c r="Z40" s="1" t="n">
        <x:f>IF(I40&lt;=0,'損益分岐設定'!C37,IF('損益分岐設定'!C37*I40-R40&lt;0,'損益分岐設定'!C37,IF('損益分岐設定'!B37*I40-R40&gt;=0,0,ROUNDUP(R40/I40,0)-1)))</x:f>
        <x:v>10</x:v>
      </x:c>
      <x:c r="AA40" s="1" t="n">
        <x:f>IF(I40&lt;=0,'損益分岐設定'!C38,IF('損益分岐設定'!C38*I40-S40&lt;0,'損益分岐設定'!C38,IF('損益分岐設定'!B38*I40-S40&gt;=0,0,ROUNDUP(S40/I40,0)-1)))</x:f>
        <x:v>53</x:v>
      </x:c>
      <x:c r="AB40" s="1" t="n">
        <x:f>IF(I40&lt;=0,'損益分岐設定'!C39,IF('損益分岐設定'!C39*I40-T40&lt;0,'損益分岐設定'!C39,IF('損益分岐設定'!B39*I40-T40&gt;=0,0,ROUNDUP(T40/I40,0)-1)))</x:f>
        <x:v>0</x:v>
      </x:c>
      <x:c r="AC40" s="1" t="n">
        <x:f>IF(I40&lt;=0,'損益分岐設定'!C40,IF('損益分岐設定'!C40*I40-U40&lt;0,'損益分岐設定'!C40,IF('損益分岐設定'!B40*I40-U40&gt;=0,0,ROUNDUP(U40/I40,0)-1)))</x:f>
        <x:v>0</x:v>
      </x:c>
      <x:c r="AD40" s="1" t="n">
        <x:v>1</x:v>
      </x:c>
      <x:c r="AE40" s="1" t="n">
        <x:v>0</x:v>
      </x:c>
      <x:c r="AF40" s="1" t="n">
        <x:v>0</x:v>
      </x:c>
      <x:c r="AG40" s="1" t="n">
        <x:f>AD40*('損益分岐設定'!$C$57*(1-'損益分岐設定'!$B$51)+'損益分岐設定'!$C$58*'損益分岐設定'!$B$51)+AE40*('損益分岐設定'!$C$60*(1-'損益分岐設定'!$B$51)+'損益分岐設定'!$C$61*'損益分岐設定'!$B$51)+AF40*('損益分岐設定'!$C$63*(1-'損益分岐設定'!$B$51)+'損益分岐設定'!$C$64*'損益分岐設定'!$B$51)</x:f>
        <x:v>621.5522041015626</x:v>
      </x:c>
      <x:c r="AH40" s="1" t="n">
        <x:f>AD40*('損益分岐設定'!$D$57*(1-'損益分岐設定'!$B$51)+'損益分岐設定'!$D$58*'損益分岐設定'!$B$51)+AE40*('損益分岐設定'!$D$60*(1-'損益分岐設定'!$B$51)+'損益分岐設定'!$D$61*'損益分岐設定'!$B$51)+AF40*('損益分岐設定'!$D$63*(1-'損益分岐設定'!$B$51)+'損益分岐設定'!$D$64*'損益分岐設定'!$B$51)</x:f>
        <x:v>48</x:v>
      </x:c>
      <x:c r="AI40" s="1" t="n">
        <x:f>AD40*('損益分岐設定'!$E$57*(1-'損益分岐設定'!$B$51)+'損益分岐設定'!$E$58*'損益分岐設定'!$B$51)+AE40*('損益分岐設定'!$E$60*(1-'損益分岐設定'!$B$51)+'損益分岐設定'!$E$61*'損益分岐設定'!$B$51)+AF40*('損益分岐設定'!$E$63*(1-'損益分岐設定'!$B$51)+'損益分岐設定'!$E$64*'損益分岐設定'!$B$51)</x:f>
        <x:v>56</x:v>
      </x:c>
      <x:c r="AJ40" s="1" t="n">
        <x:f>(AD40*('損益分岐設定'!$F$57*(1-'損益分岐設定'!$B$51)+'損益分岐設定'!$F$58*'損益分岐設定'!$B$51)+AE40*('損益分岐設定'!$F$60*(1-'損益分岐設定'!$B$51)+'損益分岐設定'!$F$61*'損益分岐設定'!$B$51)+AF40*('損益分岐設定'!$F$63*(1-'損益分岐設定'!$B$51)+'損益分岐設定'!$F$64*'損益分岐設定'!$B$51)*1)*'損益分岐設定'!$B$22</x:f>
        <x:v>456</x:v>
      </x:c>
      <x:c r="AK40" s="1" t="n">
        <x:f>AD40*('損益分岐設定'!$G$57*(1-'損益分岐設定'!$B$51)+'損益分岐設定'!$G$58*'損益分岐設定'!$B$51)+AE40*('損益分岐設定'!$G$60*(1-'損益分岐設定'!$B$51)+'損益分岐設定'!$G$61*'損益分岐設定'!$B$51)+AF40*('損益分岐設定'!$G$63*(1-'損益分岐設定'!$B$51)+'損益分岐設定'!$G$64*'損益分岐設定'!$B$51)</x:f>
        <x:v>400</x:v>
      </x:c>
      <x:c r="AL40" s="1" t="n">
        <x:f>AD40*('損益分岐設定'!$H$57*(1-'損益分岐設定'!$B$51)+'損益分岐設定'!$H$58*'損益分岐設定'!$B$51)+AE40*('損益分岐設定'!$H$60*(1-'損益分岐設定'!$B$51)+'損益分岐設定'!$H$61*'損益分岐設定'!$B$51)+AF40*('損益分岐設定'!$H$63*(1-'損益分岐設定'!$B$51)+'損益分岐設定'!$H$64*'損益分岐設定'!$B$51)</x:f>
        <x:v>726.6666666666667</x:v>
      </x:c>
      <x:c r="AM40" s="1" t="n">
        <x:f>MAX(1,ROUNDUP('損益分岐設定'!C37*AJ40/('損益分岐設定'!$B$23*'損益分岐設定'!$B$24*3600*'損益分岐設定'!$B$25),0))</x:f>
        <x:v>1</x:v>
      </x:c>
      <x:c r="AN40" s="1" t="n">
        <x:f>MAX(2,ROUNDUP('損益分岐設定'!C38*AJ40/('損益分岐設定'!$B$23*'損益分岐設定'!$B$24*3600*'損益分岐設定'!$B$25),0))</x:f>
        <x:v>2</x:v>
      </x:c>
      <x:c r="AO40" s="1" t="n">
        <x:f>MAX(2,ROUNDUP('損益分岐設定'!C39*AJ40/('損益分岐設定'!$B$23*'損益分岐設定'!$B$24*3600*'損益分岐設定'!$B$25),0))</x:f>
        <x:v>2</x:v>
      </x:c>
      <x:c r="AP40" s="1" t="n">
        <x:f>MAX(2,ROUNDUP('損益分岐設定'!C40*AJ40/('損益分岐設定'!$B$23*'損益分岐設定'!$B$24*3600*'損益分岐設定'!$B$25),0))</x:f>
        <x:v>2</x:v>
      </x:c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 ht="23" customHeight="1">
      <x:c r="A41" s="1" t="str">
        <x:v>Run</x:v>
      </x:c>
      <x:c r="B41" s="1" t="str">
        <x:v>Starter</x:v>
      </x:c>
      <x:c r="C41" s="1" t="str">
        <x:v>標準+高位混在</x:v>
      </x:c>
      <x:c r="D41" s="21" t="n">
        <x:v>0.4</x:v>
      </x:c>
      <x:c r="E41" s="1" t="n">
        <x:v>0</x:v>
      </x:c>
      <x:c r="F41" s="7" t="n">
        <x:f>AD41*'損益分岐設定'!$B$5+AE41*'損益分岐設定'!$B$6+AF41*'損益分岐設定'!$B$7</x:f>
        <x:v>3000</x:v>
      </x:c>
      <x:c r="G41" s="7" t="n">
        <x:f>AG41+(AH41+AI41)*('損益分岐設定'!$B$29+0.5*'損益分岐設定'!$B$30)+AK41*'損益分岐設定'!$B$32+(AJ41+AK41/'損益分岐設定'!$B$28*'損益分岐設定'!$B$26)*('損益分岐設定'!$B$29+'損益分岐設定'!$B$31*'損益分岐設定'!$B$30)</x:f>
        <x:v>624.5857601900386</x:v>
      </x:c>
      <x:c r="H41" s="7" t="n">
        <x:f>AL41*E41</x:f>
        <x:v>0</x:v>
      </x:c>
      <x:c r="I41" s="7" t="n">
        <x:f>F41*(1-D41-'損益分岐設定'!$B$10)-G41-H41</x:f>
        <x:v>1067.4142398099611</x:v>
      </x:c>
      <x:c r="J41" s="1" t="n">
        <x:f>IF(MIN(V41:Y41)&gt;1000,"範囲内なし",MIN(V41:Y41))</x:f>
        <x:v>25</x:v>
      </x:c>
      <x:c r="K41" s="1" t="n">
        <x:f>IF(MAX(Z41:AC41)&gt;=1000,"範囲内なし",MAX(1,MAX(Z41:AC41)+1))</x:f>
        <x:v>25</x:v>
      </x:c>
      <x:c r="L41" s="7" t="n">
        <x:f>10*I41-R41</x:f>
        <x:v>-11336.792228208185</x:v>
      </x:c>
      <x:c r="M41" s="7" t="n">
        <x:f>30*I41-S41</x:f>
        <x:v>5511.4925679910375</x:v>
      </x:c>
      <x:c r="N41" s="7" t="n">
        <x:f>50*I41-S41</x:f>
        <x:v>26859.77736419026</x:v>
      </x:c>
      <x:c r="O41" s="7" t="n">
        <x:f>100*I41-S41</x:f>
        <x:v>80230.48935468832</x:v>
      </x:c>
      <x:c r="P41" s="7" t="n">
        <x:f>300*I41-T41</x:f>
        <x:v>271713.3373166805</x:v>
      </x:c>
      <x:c r="Q41" s="7" t="n">
        <x:f>1000*I41-U41</x:f>
        <x:v>988903.3051836533</x:v>
      </x:c>
      <x:c r="R4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41*'損益分岐設定'!$B$12*'損益分岐設定'!$B$11</x:f>
        <x:v>22010.934626307797</x:v>
      </x:c>
      <x:c r="S4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41*'損益分岐設定'!$B$12*'損益分岐設定'!$B$11</x:f>
        <x:v>26510.934626307797</x:v>
      </x:c>
      <x:c r="T4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41*'損益分岐設定'!$B$12*'損益分岐設定'!$B$11</x:f>
        <x:v>48510.9346263078</x:v>
      </x:c>
      <x:c r="U4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41*'損益分岐設定'!$B$12*'損益分岐設定'!$B$11</x:f>
        <x:v>78510.9346263078</x:v>
      </x:c>
      <x:c r="V41" s="1" t="n">
        <x:f>IF(I41&lt;=0,1001,IF(MAX('損益分岐設定'!B37,ROUNDUP(R41/I41,0))&lt;='損益分岐設定'!C37,MAX('損益分岐設定'!B37,ROUNDUP(R41/I41,0)),1001))</x:f>
        <x:v>1001</x:v>
      </x:c>
      <x:c r="W41" s="1" t="n">
        <x:f>IF(I41&lt;=0,1001,IF(MAX('損益分岐設定'!B38,ROUNDUP(S41/I41,0))&lt;='損益分岐設定'!C38,MAX('損益分岐設定'!B38,ROUNDUP(S41/I41,0)),1001))</x:f>
        <x:v>25</x:v>
      </x:c>
      <x:c r="X41" s="1" t="n">
        <x:f>IF(I41&lt;=0,1001,IF(MAX('損益分岐設定'!B39,ROUNDUP(T41/I41,0))&lt;='損益分岐設定'!C39,MAX('損益分岐設定'!B39,ROUNDUP(T41/I41,0)),1001))</x:f>
        <x:v>101</x:v>
      </x:c>
      <x:c r="Y41" s="1" t="n">
        <x:f>IF(I41&lt;=0,1001,IF(MAX('損益分岐設定'!B40,ROUNDUP(U41/I41,0))&lt;='損益分岐設定'!C40,MAX('損益分岐設定'!B40,ROUNDUP(U41/I41,0)),1001))</x:f>
        <x:v>501</x:v>
      </x:c>
      <x:c r="Z41" s="1" t="n">
        <x:f>IF(I41&lt;=0,'損益分岐設定'!C37,IF('損益分岐設定'!C37*I41-R41&lt;0,'損益分岐設定'!C37,IF('損益分岐設定'!B37*I41-R41&gt;=0,0,ROUNDUP(R41/I41,0)-1)))</x:f>
        <x:v>10</x:v>
      </x:c>
      <x:c r="AA41" s="1" t="n">
        <x:f>IF(I41&lt;=0,'損益分岐設定'!C38,IF('損益分岐設定'!C38*I41-S41&lt;0,'損益分岐設定'!C38,IF('損益分岐設定'!B38*I41-S41&gt;=0,0,ROUNDUP(S41/I41,0)-1)))</x:f>
        <x:v>24</x:v>
      </x:c>
      <x:c r="AB41" s="1" t="n">
        <x:f>IF(I41&lt;=0,'損益分岐設定'!C39,IF('損益分岐設定'!C39*I41-T41&lt;0,'損益分岐設定'!C39,IF('損益分岐設定'!B39*I41-T41&gt;=0,0,ROUNDUP(T41/I41,0)-1)))</x:f>
        <x:v>0</x:v>
      </x:c>
      <x:c r="AC41" s="1" t="n">
        <x:f>IF(I41&lt;=0,'損益分岐設定'!C40,IF('損益分岐設定'!C40*I41-U41&lt;0,'損益分岐設定'!C40,IF('損益分岐設定'!B40*I41-U41&gt;=0,0,ROUNDUP(U41/I41,0)-1)))</x:f>
        <x:v>0</x:v>
      </x:c>
      <x:c r="AD41" s="1" t="n">
        <x:v>1</x:v>
      </x:c>
      <x:c r="AE41" s="1" t="n">
        <x:v>0</x:v>
      </x:c>
      <x:c r="AF41" s="1" t="n">
        <x:v>0</x:v>
      </x:c>
      <x:c r="AG41" s="1" t="n">
        <x:f>AD41*('損益分岐設定'!$C$57*(1-'損益分岐設定'!$B$51)+'損益分岐設定'!$C$58*'損益分岐設定'!$B$51)+AE41*('損益分岐設定'!$C$60*(1-'損益分岐設定'!$B$51)+'損益分岐設定'!$C$61*'損益分岐設定'!$B$51)+AF41*('損益分岐設定'!$C$63*(1-'損益分岐設定'!$B$51)+'損益分岐設定'!$C$64*'損益分岐設定'!$B$51)</x:f>
        <x:v>621.5522041015626</x:v>
      </x:c>
      <x:c r="AH41" s="1" t="n">
        <x:f>AD41*('損益分岐設定'!$D$57*(1-'損益分岐設定'!$B$51)+'損益分岐設定'!$D$58*'損益分岐設定'!$B$51)+AE41*('損益分岐設定'!$D$60*(1-'損益分岐設定'!$B$51)+'損益分岐設定'!$D$61*'損益分岐設定'!$B$51)+AF41*('損益分岐設定'!$D$63*(1-'損益分岐設定'!$B$51)+'損益分岐設定'!$D$64*'損益分岐設定'!$B$51)</x:f>
        <x:v>48</x:v>
      </x:c>
      <x:c r="AI41" s="1" t="n">
        <x:f>AD41*('損益分岐設定'!$E$57*(1-'損益分岐設定'!$B$51)+'損益分岐設定'!$E$58*'損益分岐設定'!$B$51)+AE41*('損益分岐設定'!$E$60*(1-'損益分岐設定'!$B$51)+'損益分岐設定'!$E$61*'損益分岐設定'!$B$51)+AF41*('損益分岐設定'!$E$63*(1-'損益分岐設定'!$B$51)+'損益分岐設定'!$E$64*'損益分岐設定'!$B$51)</x:f>
        <x:v>56</x:v>
      </x:c>
      <x:c r="AJ41" s="1" t="n">
        <x:f>(AD41*('損益分岐設定'!$F$57*(1-'損益分岐設定'!$B$51)+'損益分岐設定'!$F$58*'損益分岐設定'!$B$51)+AE41*('損益分岐設定'!$F$60*(1-'損益分岐設定'!$B$51)+'損益分岐設定'!$F$61*'損益分岐設定'!$B$51)+AF41*('損益分岐設定'!$F$63*(1-'損益分岐設定'!$B$51)+'損益分岐設定'!$F$64*'損益分岐設定'!$B$51)*1)*'損益分岐設定'!$B$22</x:f>
        <x:v>456</x:v>
      </x:c>
      <x:c r="AK41" s="1" t="n">
        <x:f>AD41*('損益分岐設定'!$G$57*(1-'損益分岐設定'!$B$51)+'損益分岐設定'!$G$58*'損益分岐設定'!$B$51)+AE41*('損益分岐設定'!$G$60*(1-'損益分岐設定'!$B$51)+'損益分岐設定'!$G$61*'損益分岐設定'!$B$51)+AF41*('損益分岐設定'!$G$63*(1-'損益分岐設定'!$B$51)+'損益分岐設定'!$G$64*'損益分岐設定'!$B$51)</x:f>
        <x:v>400</x:v>
      </x:c>
      <x:c r="AL41" s="1" t="n">
        <x:f>AD41*('損益分岐設定'!$H$57*(1-'損益分岐設定'!$B$51)+'損益分岐設定'!$H$58*'損益分岐設定'!$B$51)+AE41*('損益分岐設定'!$H$60*(1-'損益分岐設定'!$B$51)+'損益分岐設定'!$H$61*'損益分岐設定'!$B$51)+AF41*('損益分岐設定'!$H$63*(1-'損益分岐設定'!$B$51)+'損益分岐設定'!$H$64*'損益分岐設定'!$B$51)</x:f>
        <x:v>726.6666666666667</x:v>
      </x:c>
      <x:c r="AM41" s="1" t="n">
        <x:f>MAX(1,ROUNDUP('損益分岐設定'!C37*AJ41/('損益分岐設定'!$B$23*'損益分岐設定'!$B$24*3600*'損益分岐設定'!$B$25),0))</x:f>
        <x:v>1</x:v>
      </x:c>
      <x:c r="AN41" s="1" t="n">
        <x:f>MAX(2,ROUNDUP('損益分岐設定'!C38*AJ41/('損益分岐設定'!$B$23*'損益分岐設定'!$B$24*3600*'損益分岐設定'!$B$25),0))</x:f>
        <x:v>2</x:v>
      </x:c>
      <x:c r="AO41" s="1" t="n">
        <x:f>MAX(2,ROUNDUP('損益分岐設定'!C39*AJ41/('損益分岐設定'!$B$23*'損益分岐設定'!$B$24*3600*'損益分岐設定'!$B$25),0))</x:f>
        <x:v>2</x:v>
      </x:c>
      <x:c r="AP41" s="1" t="n">
        <x:f>MAX(2,ROUNDUP('損益分岐設定'!C40*AJ41/('損益分岐設定'!$B$23*'損益分岐設定'!$B$24*3600*'損益分岐設定'!$B$25),0))</x:f>
        <x:v>2</x:v>
      </x:c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 ht="23" customHeight="1">
      <x:c r="A42" s="1" t="str">
        <x:v>Run</x:v>
      </x:c>
      <x:c r="B42" s="1" t="str">
        <x:v>Starter</x:v>
      </x:c>
      <x:c r="C42" s="1" t="str">
        <x:v>標準+高位混在</x:v>
      </x:c>
      <x:c r="D42" s="21" t="n">
        <x:v>0.4</x:v>
      </x:c>
      <x:c r="E42" s="1" t="n">
        <x:v>1</x:v>
      </x:c>
      <x:c r="F42" s="7" t="n">
        <x:f>AD42*'損益分岐設定'!$B$5+AE42*'損益分岐設定'!$B$6+AF42*'損益分岐設定'!$B$7</x:f>
        <x:v>3000</x:v>
      </x:c>
      <x:c r="G42" s="7" t="n">
        <x:f>AG42+(AH42+AI42)*('損益分岐設定'!$B$29+0.5*'損益分岐設定'!$B$30)+AK42*'損益分岐設定'!$B$32+(AJ42+AK42/'損益分岐設定'!$B$28*'損益分岐設定'!$B$26)*('損益分岐設定'!$B$29+'損益分岐設定'!$B$31*'損益分岐設定'!$B$30)</x:f>
        <x:v>624.5857601900386</x:v>
      </x:c>
      <x:c r="H42" s="7" t="n">
        <x:f>AL42*E42</x:f>
        <x:v>726.6666666666667</x:v>
      </x:c>
      <x:c r="I42" s="7" t="n">
        <x:f>F42*(1-D42-'損益分岐設定'!$B$10)-G42-H42</x:f>
        <x:v>340.7475731432944</x:v>
      </x:c>
      <x:c r="J42" s="1" t="n">
        <x:f>IF(MIN(V42:Y42)&gt;1000,"範囲内なし",MIN(V42:Y42))</x:f>
        <x:v>166</x:v>
      </x:c>
      <x:c r="K42" s="1" t="n">
        <x:f>IF(MAX(Z42:AC42)&gt;=1000,"範囲内なし",MAX(1,MAX(Z42:AC42)+1))</x:f>
        <x:v>166</x:v>
      </x:c>
      <x:c r="L42" s="7" t="n">
        <x:f>10*I42-R42</x:f>
        <x:v>-26603.458894874853</x:v>
      </x:c>
      <x:c r="M42" s="7" t="n">
        <x:f>30*I42-S42</x:f>
        <x:v>-24288.507432008962</x:v>
      </x:c>
      <x:c r="N42" s="7" t="n">
        <x:f>50*I42-S42</x:f>
        <x:v>-17473.555969143075</x:v>
      </x:c>
      <x:c r="O42" s="7" t="n">
        <x:f>100*I42-S42</x:f>
        <x:v>-436.1773119783538</x:v>
      </x:c>
      <x:c r="P42" s="7" t="n">
        <x:f>300*I42-T42</x:f>
        <x:v>45713.33731668052</x:v>
      </x:c>
      <x:c r="Q42" s="7" t="n">
        <x:f>1000*I42-U42</x:f>
        <x:v>254236.63851698663</x:v>
      </x:c>
      <x:c r="R4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42*'損益分岐設定'!$B$12*'損益分岐設定'!$B$11</x:f>
        <x:v>30010.934626307797</x:v>
      </x:c>
      <x:c r="S4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42*'損益分岐設定'!$B$12*'損益分岐設定'!$B$11</x:f>
        <x:v>34510.9346263078</x:v>
      </x:c>
      <x:c r="T4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42*'損益分岐設定'!$B$12*'損益分岐設定'!$B$11</x:f>
        <x:v>56510.9346263078</x:v>
      </x:c>
      <x:c r="U4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42*'損益分岐設定'!$B$12*'損益分岐設定'!$B$11</x:f>
        <x:v>86510.9346263078</x:v>
      </x:c>
      <x:c r="V42" s="1" t="n">
        <x:f>IF(I42&lt;=0,1001,IF(MAX('損益分岐設定'!B37,ROUNDUP(R42/I42,0))&lt;='損益分岐設定'!C37,MAX('損益分岐設定'!B37,ROUNDUP(R42/I42,0)),1001))</x:f>
        <x:v>1001</x:v>
      </x:c>
      <x:c r="W42" s="1" t="n">
        <x:f>IF(I42&lt;=0,1001,IF(MAX('損益分岐設定'!B38,ROUNDUP(S42/I42,0))&lt;='損益分岐設定'!C38,MAX('損益分岐設定'!B38,ROUNDUP(S42/I42,0)),1001))</x:f>
        <x:v>1001</x:v>
      </x:c>
      <x:c r="X42" s="1" t="n">
        <x:f>IF(I42&lt;=0,1001,IF(MAX('損益分岐設定'!B39,ROUNDUP(T42/I42,0))&lt;='損益分岐設定'!C39,MAX('損益分岐設定'!B39,ROUNDUP(T42/I42,0)),1001))</x:f>
        <x:v>166</x:v>
      </x:c>
      <x:c r="Y42" s="1" t="n">
        <x:f>IF(I42&lt;=0,1001,IF(MAX('損益分岐設定'!B40,ROUNDUP(U42/I42,0))&lt;='損益分岐設定'!C40,MAX('損益分岐設定'!B40,ROUNDUP(U42/I42,0)),1001))</x:f>
        <x:v>501</x:v>
      </x:c>
      <x:c r="Z42" s="1" t="n">
        <x:f>IF(I42&lt;=0,'損益分岐設定'!C37,IF('損益分岐設定'!C37*I42-R42&lt;0,'損益分岐設定'!C37,IF('損益分岐設定'!B37*I42-R42&gt;=0,0,ROUNDUP(R42/I42,0)-1)))</x:f>
        <x:v>10</x:v>
      </x:c>
      <x:c r="AA42" s="1" t="n">
        <x:f>IF(I42&lt;=0,'損益分岐設定'!C38,IF('損益分岐設定'!C38*I42-S42&lt;0,'損益分岐設定'!C38,IF('損益分岐設定'!B38*I42-S42&gt;=0,0,ROUNDUP(S42/I42,0)-1)))</x:f>
        <x:v>100</x:v>
      </x:c>
      <x:c r="AB42" s="1" t="n">
        <x:f>IF(I42&lt;=0,'損益分岐設定'!C39,IF('損益分岐設定'!C39*I42-T42&lt;0,'損益分岐設定'!C39,IF('損益分岐設定'!B39*I42-T42&gt;=0,0,ROUNDUP(T42/I42,0)-1)))</x:f>
        <x:v>165</x:v>
      </x:c>
      <x:c r="AC42" s="1" t="n">
        <x:f>IF(I42&lt;=0,'損益分岐設定'!C40,IF('損益分岐設定'!C40*I42-U42&lt;0,'損益分岐設定'!C40,IF('損益分岐設定'!B40*I42-U42&gt;=0,0,ROUNDUP(U42/I42,0)-1)))</x:f>
        <x:v>0</x:v>
      </x:c>
      <x:c r="AD42" s="1" t="n">
        <x:v>1</x:v>
      </x:c>
      <x:c r="AE42" s="1" t="n">
        <x:v>0</x:v>
      </x:c>
      <x:c r="AF42" s="1" t="n">
        <x:v>0</x:v>
      </x:c>
      <x:c r="AG42" s="1" t="n">
        <x:f>AD42*('損益分岐設定'!$C$57*(1-'損益分岐設定'!$B$51)+'損益分岐設定'!$C$58*'損益分岐設定'!$B$51)+AE42*('損益分岐設定'!$C$60*(1-'損益分岐設定'!$B$51)+'損益分岐設定'!$C$61*'損益分岐設定'!$B$51)+AF42*('損益分岐設定'!$C$63*(1-'損益分岐設定'!$B$51)+'損益分岐設定'!$C$64*'損益分岐設定'!$B$51)</x:f>
        <x:v>621.5522041015626</x:v>
      </x:c>
      <x:c r="AH42" s="1" t="n">
        <x:f>AD42*('損益分岐設定'!$D$57*(1-'損益分岐設定'!$B$51)+'損益分岐設定'!$D$58*'損益分岐設定'!$B$51)+AE42*('損益分岐設定'!$D$60*(1-'損益分岐設定'!$B$51)+'損益分岐設定'!$D$61*'損益分岐設定'!$B$51)+AF42*('損益分岐設定'!$D$63*(1-'損益分岐設定'!$B$51)+'損益分岐設定'!$D$64*'損益分岐設定'!$B$51)</x:f>
        <x:v>48</x:v>
      </x:c>
      <x:c r="AI42" s="1" t="n">
        <x:f>AD42*('損益分岐設定'!$E$57*(1-'損益分岐設定'!$B$51)+'損益分岐設定'!$E$58*'損益分岐設定'!$B$51)+AE42*('損益分岐設定'!$E$60*(1-'損益分岐設定'!$B$51)+'損益分岐設定'!$E$61*'損益分岐設定'!$B$51)+AF42*('損益分岐設定'!$E$63*(1-'損益分岐設定'!$B$51)+'損益分岐設定'!$E$64*'損益分岐設定'!$B$51)</x:f>
        <x:v>56</x:v>
      </x:c>
      <x:c r="AJ42" s="1" t="n">
        <x:f>(AD42*('損益分岐設定'!$F$57*(1-'損益分岐設定'!$B$51)+'損益分岐設定'!$F$58*'損益分岐設定'!$B$51)+AE42*('損益分岐設定'!$F$60*(1-'損益分岐設定'!$B$51)+'損益分岐設定'!$F$61*'損益分岐設定'!$B$51)+AF42*('損益分岐設定'!$F$63*(1-'損益分岐設定'!$B$51)+'損益分岐設定'!$F$64*'損益分岐設定'!$B$51)*1)*'損益分岐設定'!$B$22</x:f>
        <x:v>456</x:v>
      </x:c>
      <x:c r="AK42" s="1" t="n">
        <x:f>AD42*('損益分岐設定'!$G$57*(1-'損益分岐設定'!$B$51)+'損益分岐設定'!$G$58*'損益分岐設定'!$B$51)+AE42*('損益分岐設定'!$G$60*(1-'損益分岐設定'!$B$51)+'損益分岐設定'!$G$61*'損益分岐設定'!$B$51)+AF42*('損益分岐設定'!$G$63*(1-'損益分岐設定'!$B$51)+'損益分岐設定'!$G$64*'損益分岐設定'!$B$51)</x:f>
        <x:v>400</x:v>
      </x:c>
      <x:c r="AL42" s="1" t="n">
        <x:f>AD42*('損益分岐設定'!$H$57*(1-'損益分岐設定'!$B$51)+'損益分岐設定'!$H$58*'損益分岐設定'!$B$51)+AE42*('損益分岐設定'!$H$60*(1-'損益分岐設定'!$B$51)+'損益分岐設定'!$H$61*'損益分岐設定'!$B$51)+AF42*('損益分岐設定'!$H$63*(1-'損益分岐設定'!$B$51)+'損益分岐設定'!$H$64*'損益分岐設定'!$B$51)</x:f>
        <x:v>726.6666666666667</x:v>
      </x:c>
      <x:c r="AM42" s="1" t="n">
        <x:f>MAX(1,ROUNDUP('損益分岐設定'!C37*AJ42/('損益分岐設定'!$B$23*'損益分岐設定'!$B$24*3600*'損益分岐設定'!$B$25),0))</x:f>
        <x:v>1</x:v>
      </x:c>
      <x:c r="AN42" s="1" t="n">
        <x:f>MAX(2,ROUNDUP('損益分岐設定'!C38*AJ42/('損益分岐設定'!$B$23*'損益分岐設定'!$B$24*3600*'損益分岐設定'!$B$25),0))</x:f>
        <x:v>2</x:v>
      </x:c>
      <x:c r="AO42" s="1" t="n">
        <x:f>MAX(2,ROUNDUP('損益分岐設定'!C39*AJ42/('損益分岐設定'!$B$23*'損益分岐設定'!$B$24*3600*'損益分岐設定'!$B$25),0))</x:f>
        <x:v>2</x:v>
      </x:c>
      <x:c r="AP42" s="1" t="n">
        <x:f>MAX(2,ROUNDUP('損益分岐設定'!C40*AJ42/('損益分岐設定'!$B$23*'損益分岐設定'!$B$24*3600*'損益分岐設定'!$B$25),0))</x:f>
        <x:v>2</x:v>
      </x:c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 ht="23" customHeight="1">
      <x:c r="A43" s="1" t="str">
        <x:v>Run</x:v>
      </x:c>
      <x:c r="B43" s="1" t="str">
        <x:v>Starter</x:v>
      </x:c>
      <x:c r="C43" s="1" t="str">
        <x:v>標準+高位混在</x:v>
      </x:c>
      <x:c r="D43" s="21" t="n">
        <x:v>0.5</x:v>
      </x:c>
      <x:c r="E43" s="1" t="n">
        <x:v>0</x:v>
      </x:c>
      <x:c r="F43" s="7" t="n">
        <x:f>AD43*'損益分岐設定'!$B$5+AE43*'損益分岐設定'!$B$6+AF43*'損益分岐設定'!$B$7</x:f>
        <x:v>3000</x:v>
      </x:c>
      <x:c r="G43" s="7" t="n">
        <x:f>AG43+(AH43+AI43)*('損益分岐設定'!$B$29+0.5*'損益分岐設定'!$B$30)+AK43*'損益分岐設定'!$B$32+(AJ43+AK43/'損益分岐設定'!$B$28*'損益分岐設定'!$B$26)*('損益分岐設定'!$B$29+'損益分岐設定'!$B$31*'損益分岐設定'!$B$30)</x:f>
        <x:v>624.5857601900386</x:v>
      </x:c>
      <x:c r="H43" s="7" t="n">
        <x:f>AL43*E43</x:f>
        <x:v>0</x:v>
      </x:c>
      <x:c r="I43" s="7" t="n">
        <x:f>F43*(1-D43-'損益分岐設定'!$B$10)-G43-H43</x:f>
        <x:v>767.4142398099614</x:v>
      </x:c>
      <x:c r="J43" s="1" t="n">
        <x:f>IF(MIN(V43:Y43)&gt;1000,"範囲内なし",MIN(V43:Y43))</x:f>
        <x:v>35</x:v>
      </x:c>
      <x:c r="K43" s="1" t="n">
        <x:f>IF(MAX(Z43:AC43)&gt;=1000,"範囲内なし",MAX(1,MAX(Z43:AC43)+1))</x:f>
        <x:v>35</x:v>
      </x:c>
      <x:c r="L43" s="7" t="n">
        <x:f>10*I43-R43</x:f>
        <x:v>-14336.792228208184</x:v>
      </x:c>
      <x:c r="M43" s="7" t="n">
        <x:f>30*I43-S43</x:f>
        <x:v>-3488.507432008955</x:v>
      </x:c>
      <x:c r="N43" s="7" t="n">
        <x:f>50*I43-S43</x:f>
        <x:v>11859.777364190275</x:v>
      </x:c>
      <x:c r="O43" s="7" t="n">
        <x:f>100*I43-S43</x:f>
        <x:v>50230.48935468835</x:v>
      </x:c>
      <x:c r="P43" s="7" t="n">
        <x:f>300*I43-T43</x:f>
        <x:v>181713.3373166806</x:v>
      </x:c>
      <x:c r="Q43" s="7" t="n">
        <x:f>1000*I43-U43</x:f>
        <x:v>688903.3051836536</x:v>
      </x:c>
      <x:c r="R4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43*'損益分岐設定'!$B$12*'損益分岐設定'!$B$11</x:f>
        <x:v>22010.934626307797</x:v>
      </x:c>
      <x:c r="S4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43*'損益分岐設定'!$B$12*'損益分岐設定'!$B$11</x:f>
        <x:v>26510.934626307797</x:v>
      </x:c>
      <x:c r="T4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43*'損益分岐設定'!$B$12*'損益分岐設定'!$B$11</x:f>
        <x:v>48510.9346263078</x:v>
      </x:c>
      <x:c r="U4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43*'損益分岐設定'!$B$12*'損益分岐設定'!$B$11</x:f>
        <x:v>78510.9346263078</x:v>
      </x:c>
      <x:c r="V43" s="1" t="n">
        <x:f>IF(I43&lt;=0,1001,IF(MAX('損益分岐設定'!B37,ROUNDUP(R43/I43,0))&lt;='損益分岐設定'!C37,MAX('損益分岐設定'!B37,ROUNDUP(R43/I43,0)),1001))</x:f>
        <x:v>1001</x:v>
      </x:c>
      <x:c r="W43" s="1" t="n">
        <x:f>IF(I43&lt;=0,1001,IF(MAX('損益分岐設定'!B38,ROUNDUP(S43/I43,0))&lt;='損益分岐設定'!C38,MAX('損益分岐設定'!B38,ROUNDUP(S43/I43,0)),1001))</x:f>
        <x:v>35</x:v>
      </x:c>
      <x:c r="X43" s="1" t="n">
        <x:f>IF(I43&lt;=0,1001,IF(MAX('損益分岐設定'!B39,ROUNDUP(T43/I43,0))&lt;='損益分岐設定'!C39,MAX('損益分岐設定'!B39,ROUNDUP(T43/I43,0)),1001))</x:f>
        <x:v>101</x:v>
      </x:c>
      <x:c r="Y43" s="1" t="n">
        <x:f>IF(I43&lt;=0,1001,IF(MAX('損益分岐設定'!B40,ROUNDUP(U43/I43,0))&lt;='損益分岐設定'!C40,MAX('損益分岐設定'!B40,ROUNDUP(U43/I43,0)),1001))</x:f>
        <x:v>501</x:v>
      </x:c>
      <x:c r="Z43" s="1" t="n">
        <x:f>IF(I43&lt;=0,'損益分岐設定'!C37,IF('損益分岐設定'!C37*I43-R43&lt;0,'損益分岐設定'!C37,IF('損益分岐設定'!B37*I43-R43&gt;=0,0,ROUNDUP(R43/I43,0)-1)))</x:f>
        <x:v>10</x:v>
      </x:c>
      <x:c r="AA43" s="1" t="n">
        <x:f>IF(I43&lt;=0,'損益分岐設定'!C38,IF('損益分岐設定'!C38*I43-S43&lt;0,'損益分岐設定'!C38,IF('損益分岐設定'!B38*I43-S43&gt;=0,0,ROUNDUP(S43/I43,0)-1)))</x:f>
        <x:v>34</x:v>
      </x:c>
      <x:c r="AB43" s="1" t="n">
        <x:f>IF(I43&lt;=0,'損益分岐設定'!C39,IF('損益分岐設定'!C39*I43-T43&lt;0,'損益分岐設定'!C39,IF('損益分岐設定'!B39*I43-T43&gt;=0,0,ROUNDUP(T43/I43,0)-1)))</x:f>
        <x:v>0</x:v>
      </x:c>
      <x:c r="AC43" s="1" t="n">
        <x:f>IF(I43&lt;=0,'損益分岐設定'!C40,IF('損益分岐設定'!C40*I43-U43&lt;0,'損益分岐設定'!C40,IF('損益分岐設定'!B40*I43-U43&gt;=0,0,ROUNDUP(U43/I43,0)-1)))</x:f>
        <x:v>0</x:v>
      </x:c>
      <x:c r="AD43" s="1" t="n">
        <x:v>1</x:v>
      </x:c>
      <x:c r="AE43" s="1" t="n">
        <x:v>0</x:v>
      </x:c>
      <x:c r="AF43" s="1" t="n">
        <x:v>0</x:v>
      </x:c>
      <x:c r="AG43" s="1" t="n">
        <x:f>AD43*('損益分岐設定'!$C$57*(1-'損益分岐設定'!$B$51)+'損益分岐設定'!$C$58*'損益分岐設定'!$B$51)+AE43*('損益分岐設定'!$C$60*(1-'損益分岐設定'!$B$51)+'損益分岐設定'!$C$61*'損益分岐設定'!$B$51)+AF43*('損益分岐設定'!$C$63*(1-'損益分岐設定'!$B$51)+'損益分岐設定'!$C$64*'損益分岐設定'!$B$51)</x:f>
        <x:v>621.5522041015626</x:v>
      </x:c>
      <x:c r="AH43" s="1" t="n">
        <x:f>AD43*('損益分岐設定'!$D$57*(1-'損益分岐設定'!$B$51)+'損益分岐設定'!$D$58*'損益分岐設定'!$B$51)+AE43*('損益分岐設定'!$D$60*(1-'損益分岐設定'!$B$51)+'損益分岐設定'!$D$61*'損益分岐設定'!$B$51)+AF43*('損益分岐設定'!$D$63*(1-'損益分岐設定'!$B$51)+'損益分岐設定'!$D$64*'損益分岐設定'!$B$51)</x:f>
        <x:v>48</x:v>
      </x:c>
      <x:c r="AI43" s="1" t="n">
        <x:f>AD43*('損益分岐設定'!$E$57*(1-'損益分岐設定'!$B$51)+'損益分岐設定'!$E$58*'損益分岐設定'!$B$51)+AE43*('損益分岐設定'!$E$60*(1-'損益分岐設定'!$B$51)+'損益分岐設定'!$E$61*'損益分岐設定'!$B$51)+AF43*('損益分岐設定'!$E$63*(1-'損益分岐設定'!$B$51)+'損益分岐設定'!$E$64*'損益分岐設定'!$B$51)</x:f>
        <x:v>56</x:v>
      </x:c>
      <x:c r="AJ43" s="1" t="n">
        <x:f>(AD43*('損益分岐設定'!$F$57*(1-'損益分岐設定'!$B$51)+'損益分岐設定'!$F$58*'損益分岐設定'!$B$51)+AE43*('損益分岐設定'!$F$60*(1-'損益分岐設定'!$B$51)+'損益分岐設定'!$F$61*'損益分岐設定'!$B$51)+AF43*('損益分岐設定'!$F$63*(1-'損益分岐設定'!$B$51)+'損益分岐設定'!$F$64*'損益分岐設定'!$B$51)*1)*'損益分岐設定'!$B$22</x:f>
        <x:v>456</x:v>
      </x:c>
      <x:c r="AK43" s="1" t="n">
        <x:f>AD43*('損益分岐設定'!$G$57*(1-'損益分岐設定'!$B$51)+'損益分岐設定'!$G$58*'損益分岐設定'!$B$51)+AE43*('損益分岐設定'!$G$60*(1-'損益分岐設定'!$B$51)+'損益分岐設定'!$G$61*'損益分岐設定'!$B$51)+AF43*('損益分岐設定'!$G$63*(1-'損益分岐設定'!$B$51)+'損益分岐設定'!$G$64*'損益分岐設定'!$B$51)</x:f>
        <x:v>400</x:v>
      </x:c>
      <x:c r="AL43" s="1" t="n">
        <x:f>AD43*('損益分岐設定'!$H$57*(1-'損益分岐設定'!$B$51)+'損益分岐設定'!$H$58*'損益分岐設定'!$B$51)+AE43*('損益分岐設定'!$H$60*(1-'損益分岐設定'!$B$51)+'損益分岐設定'!$H$61*'損益分岐設定'!$B$51)+AF43*('損益分岐設定'!$H$63*(1-'損益分岐設定'!$B$51)+'損益分岐設定'!$H$64*'損益分岐設定'!$B$51)</x:f>
        <x:v>726.6666666666667</x:v>
      </x:c>
      <x:c r="AM43" s="1" t="n">
        <x:f>MAX(1,ROUNDUP('損益分岐設定'!C37*AJ43/('損益分岐設定'!$B$23*'損益分岐設定'!$B$24*3600*'損益分岐設定'!$B$25),0))</x:f>
        <x:v>1</x:v>
      </x:c>
      <x:c r="AN43" s="1" t="n">
        <x:f>MAX(2,ROUNDUP('損益分岐設定'!C38*AJ43/('損益分岐設定'!$B$23*'損益分岐設定'!$B$24*3600*'損益分岐設定'!$B$25),0))</x:f>
        <x:v>2</x:v>
      </x:c>
      <x:c r="AO43" s="1" t="n">
        <x:f>MAX(2,ROUNDUP('損益分岐設定'!C39*AJ43/('損益分岐設定'!$B$23*'損益分岐設定'!$B$24*3600*'損益分岐設定'!$B$25),0))</x:f>
        <x:v>2</x:v>
      </x:c>
      <x:c r="AP43" s="1" t="n">
        <x:f>MAX(2,ROUNDUP('損益分岐設定'!C40*AJ43/('損益分岐設定'!$B$23*'損益分岐設定'!$B$24*3600*'損益分岐設定'!$B$25),0))</x:f>
        <x:v>2</x:v>
      </x:c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 ht="23" customHeight="1">
      <x:c r="A44" s="1" t="str">
        <x:v>Run</x:v>
      </x:c>
      <x:c r="B44" s="1" t="str">
        <x:v>Starter</x:v>
      </x:c>
      <x:c r="C44" s="1" t="str">
        <x:v>標準+高位混在</x:v>
      </x:c>
      <x:c r="D44" s="21" t="n">
        <x:v>0.5</x:v>
      </x:c>
      <x:c r="E44" s="1" t="n">
        <x:v>1</x:v>
      </x:c>
      <x:c r="F44" s="7" t="n">
        <x:f>AD44*'損益分岐設定'!$B$5+AE44*'損益分岐設定'!$B$6+AF44*'損益分岐設定'!$B$7</x:f>
        <x:v>3000</x:v>
      </x:c>
      <x:c r="G44" s="7" t="n">
        <x:f>AG44+(AH44+AI44)*('損益分岐設定'!$B$29+0.5*'損益分岐設定'!$B$30)+AK44*'損益分岐設定'!$B$32+(AJ44+AK44/'損益分岐設定'!$B$28*'損益分岐設定'!$B$26)*('損益分岐設定'!$B$29+'損益分岐設定'!$B$31*'損益分岐設定'!$B$30)</x:f>
        <x:v>624.5857601900386</x:v>
      </x:c>
      <x:c r="H44" s="7" t="n">
        <x:f>AL44*E44</x:f>
        <x:v>726.6666666666667</x:v>
      </x:c>
      <x:c r="I44" s="7" t="n">
        <x:f>F44*(1-D44-'損益分岐設定'!$B$10)-G44-H44</x:f>
        <x:v>40.74757314329463</x:v>
      </x:c>
      <x:c r="J44" s="1" t="str">
        <x:f>IF(MIN(V44:Y44)&gt;1000,"範囲内なし",MIN(V44:Y44))</x:f>
        <x:v>範囲内なし</x:v>
      </x:c>
      <x:c r="K44" s="1" t="str">
        <x:f>IF(MAX(Z44:AC44)&gt;=1000,"範囲内なし",MAX(1,MAX(Z44:AC44)+1))</x:f>
        <x:v>範囲内なし</x:v>
      </x:c>
      <x:c r="L44" s="7" t="n">
        <x:f>10*I44-R44</x:f>
        <x:v>-29603.45889487485</x:v>
      </x:c>
      <x:c r="M44" s="7" t="n">
        <x:f>30*I44-S44</x:f>
        <x:v>-33288.507432008955</x:v>
      </x:c>
      <x:c r="N44" s="7" t="n">
        <x:f>50*I44-S44</x:f>
        <x:v>-32473.555969143064</x:v>
      </x:c>
      <x:c r="O44" s="7" t="n">
        <x:f>100*I44-S44</x:f>
        <x:v>-30436.177311978332</x:v>
      </x:c>
      <x:c r="P44" s="7" t="n">
        <x:f>300*I44-T44</x:f>
        <x:v>-44286.66268331941</x:v>
      </x:c>
      <x:c r="Q44" s="7" t="n">
        <x:f>1000*I44-U44</x:f>
        <x:v>-45763.36148301317</x:v>
      </x:c>
      <x:c r="R4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44*'損益分岐設定'!$B$12*'損益分岐設定'!$B$11</x:f>
        <x:v>30010.934626307797</x:v>
      </x:c>
      <x:c r="S4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44*'損益分岐設定'!$B$12*'損益分岐設定'!$B$11</x:f>
        <x:v>34510.9346263078</x:v>
      </x:c>
      <x:c r="T4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44*'損益分岐設定'!$B$12*'損益分岐設定'!$B$11</x:f>
        <x:v>56510.9346263078</x:v>
      </x:c>
      <x:c r="U4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44*'損益分岐設定'!$B$12*'損益分岐設定'!$B$11</x:f>
        <x:v>86510.9346263078</x:v>
      </x:c>
      <x:c r="V44" s="1" t="n">
        <x:f>IF(I44&lt;=0,1001,IF(MAX('損益分岐設定'!B37,ROUNDUP(R44/I44,0))&lt;='損益分岐設定'!C37,MAX('損益分岐設定'!B37,ROUNDUP(R44/I44,0)),1001))</x:f>
        <x:v>1001</x:v>
      </x:c>
      <x:c r="W44" s="1" t="n">
        <x:f>IF(I44&lt;=0,1001,IF(MAX('損益分岐設定'!B38,ROUNDUP(S44/I44,0))&lt;='損益分岐設定'!C38,MAX('損益分岐設定'!B38,ROUNDUP(S44/I44,0)),1001))</x:f>
        <x:v>1001</x:v>
      </x:c>
      <x:c r="X44" s="1" t="n">
        <x:f>IF(I44&lt;=0,1001,IF(MAX('損益分岐設定'!B39,ROUNDUP(T44/I44,0))&lt;='損益分岐設定'!C39,MAX('損益分岐設定'!B39,ROUNDUP(T44/I44,0)),1001))</x:f>
        <x:v>1001</x:v>
      </x:c>
      <x:c r="Y44" s="1" t="n">
        <x:f>IF(I44&lt;=0,1001,IF(MAX('損益分岐設定'!B40,ROUNDUP(U44/I44,0))&lt;='損益分岐設定'!C40,MAX('損益分岐設定'!B40,ROUNDUP(U44/I44,0)),1001))</x:f>
        <x:v>1001</x:v>
      </x:c>
      <x:c r="Z44" s="1" t="n">
        <x:f>IF(I44&lt;=0,'損益分岐設定'!C37,IF('損益分岐設定'!C37*I44-R44&lt;0,'損益分岐設定'!C37,IF('損益分岐設定'!B37*I44-R44&gt;=0,0,ROUNDUP(R44/I44,0)-1)))</x:f>
        <x:v>10</x:v>
      </x:c>
      <x:c r="AA44" s="1" t="n">
        <x:f>IF(I44&lt;=0,'損益分岐設定'!C38,IF('損益分岐設定'!C38*I44-S44&lt;0,'損益分岐設定'!C38,IF('損益分岐設定'!B38*I44-S44&gt;=0,0,ROUNDUP(S44/I44,0)-1)))</x:f>
        <x:v>100</x:v>
      </x:c>
      <x:c r="AB44" s="1" t="n">
        <x:f>IF(I44&lt;=0,'損益分岐設定'!C39,IF('損益分岐設定'!C39*I44-T44&lt;0,'損益分岐設定'!C39,IF('損益分岐設定'!B39*I44-T44&gt;=0,0,ROUNDUP(T44/I44,0)-1)))</x:f>
        <x:v>500</x:v>
      </x:c>
      <x:c r="AC44" s="1" t="n">
        <x:f>IF(I44&lt;=0,'損益分岐設定'!C40,IF('損益分岐設定'!C40*I44-U44&lt;0,'損益分岐設定'!C40,IF('損益分岐設定'!B40*I44-U44&gt;=0,0,ROUNDUP(U44/I44,0)-1)))</x:f>
        <x:v>1000</x:v>
      </x:c>
      <x:c r="AD44" s="1" t="n">
        <x:v>1</x:v>
      </x:c>
      <x:c r="AE44" s="1" t="n">
        <x:v>0</x:v>
      </x:c>
      <x:c r="AF44" s="1" t="n">
        <x:v>0</x:v>
      </x:c>
      <x:c r="AG44" s="1" t="n">
        <x:f>AD44*('損益分岐設定'!$C$57*(1-'損益分岐設定'!$B$51)+'損益分岐設定'!$C$58*'損益分岐設定'!$B$51)+AE44*('損益分岐設定'!$C$60*(1-'損益分岐設定'!$B$51)+'損益分岐設定'!$C$61*'損益分岐設定'!$B$51)+AF44*('損益分岐設定'!$C$63*(1-'損益分岐設定'!$B$51)+'損益分岐設定'!$C$64*'損益分岐設定'!$B$51)</x:f>
        <x:v>621.5522041015626</x:v>
      </x:c>
      <x:c r="AH44" s="1" t="n">
        <x:f>AD44*('損益分岐設定'!$D$57*(1-'損益分岐設定'!$B$51)+'損益分岐設定'!$D$58*'損益分岐設定'!$B$51)+AE44*('損益分岐設定'!$D$60*(1-'損益分岐設定'!$B$51)+'損益分岐設定'!$D$61*'損益分岐設定'!$B$51)+AF44*('損益分岐設定'!$D$63*(1-'損益分岐設定'!$B$51)+'損益分岐設定'!$D$64*'損益分岐設定'!$B$51)</x:f>
        <x:v>48</x:v>
      </x:c>
      <x:c r="AI44" s="1" t="n">
        <x:f>AD44*('損益分岐設定'!$E$57*(1-'損益分岐設定'!$B$51)+'損益分岐設定'!$E$58*'損益分岐設定'!$B$51)+AE44*('損益分岐設定'!$E$60*(1-'損益分岐設定'!$B$51)+'損益分岐設定'!$E$61*'損益分岐設定'!$B$51)+AF44*('損益分岐設定'!$E$63*(1-'損益分岐設定'!$B$51)+'損益分岐設定'!$E$64*'損益分岐設定'!$B$51)</x:f>
        <x:v>56</x:v>
      </x:c>
      <x:c r="AJ44" s="1" t="n">
        <x:f>(AD44*('損益分岐設定'!$F$57*(1-'損益分岐設定'!$B$51)+'損益分岐設定'!$F$58*'損益分岐設定'!$B$51)+AE44*('損益分岐設定'!$F$60*(1-'損益分岐設定'!$B$51)+'損益分岐設定'!$F$61*'損益分岐設定'!$B$51)+AF44*('損益分岐設定'!$F$63*(1-'損益分岐設定'!$B$51)+'損益分岐設定'!$F$64*'損益分岐設定'!$B$51)*1)*'損益分岐設定'!$B$22</x:f>
        <x:v>456</x:v>
      </x:c>
      <x:c r="AK44" s="1" t="n">
        <x:f>AD44*('損益分岐設定'!$G$57*(1-'損益分岐設定'!$B$51)+'損益分岐設定'!$G$58*'損益分岐設定'!$B$51)+AE44*('損益分岐設定'!$G$60*(1-'損益分岐設定'!$B$51)+'損益分岐設定'!$G$61*'損益分岐設定'!$B$51)+AF44*('損益分岐設定'!$G$63*(1-'損益分岐設定'!$B$51)+'損益分岐設定'!$G$64*'損益分岐設定'!$B$51)</x:f>
        <x:v>400</x:v>
      </x:c>
      <x:c r="AL44" s="1" t="n">
        <x:f>AD44*('損益分岐設定'!$H$57*(1-'損益分岐設定'!$B$51)+'損益分岐設定'!$H$58*'損益分岐設定'!$B$51)+AE44*('損益分岐設定'!$H$60*(1-'損益分岐設定'!$B$51)+'損益分岐設定'!$H$61*'損益分岐設定'!$B$51)+AF44*('損益分岐設定'!$H$63*(1-'損益分岐設定'!$B$51)+'損益分岐設定'!$H$64*'損益分岐設定'!$B$51)</x:f>
        <x:v>726.6666666666667</x:v>
      </x:c>
      <x:c r="AM44" s="1" t="n">
        <x:f>MAX(1,ROUNDUP('損益分岐設定'!C37*AJ44/('損益分岐設定'!$B$23*'損益分岐設定'!$B$24*3600*'損益分岐設定'!$B$25),0))</x:f>
        <x:v>1</x:v>
      </x:c>
      <x:c r="AN44" s="1" t="n">
        <x:f>MAX(2,ROUNDUP('損益分岐設定'!C38*AJ44/('損益分岐設定'!$B$23*'損益分岐設定'!$B$24*3600*'損益分岐設定'!$B$25),0))</x:f>
        <x:v>2</x:v>
      </x:c>
      <x:c r="AO44" s="1" t="n">
        <x:f>MAX(2,ROUNDUP('損益分岐設定'!C39*AJ44/('損益分岐設定'!$B$23*'損益分岐設定'!$B$24*3600*'損益分岐設定'!$B$25),0))</x:f>
        <x:v>2</x:v>
      </x:c>
      <x:c r="AP44" s="1" t="n">
        <x:f>MAX(2,ROUNDUP('損益分岐設定'!C40*AJ44/('損益分岐設定'!$B$23*'損益分岐設定'!$B$24*3600*'損益分岐設定'!$B$25),0))</x:f>
        <x:v>2</x:v>
      </x:c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 ht="23" customHeight="1">
      <x:c r="A45" s="1" t="str">
        <x:v>Run</x:v>
      </x:c>
      <x:c r="B45" s="1" t="str">
        <x:v>Business</x:v>
      </x:c>
      <x:c r="C45" s="1" t="str">
        <x:v>低位</x:v>
      </x:c>
      <x:c r="D45" s="21" t="n">
        <x:v>0</x:v>
      </x:c>
      <x:c r="E45" s="1" t="n">
        <x:v>0</x:v>
      </x:c>
      <x:c r="F45" s="7" t="n">
        <x:f>AD45*'損益分岐設定'!$B$5+AE45*'損益分岐設定'!$B$6+AF45*'損益分岐設定'!$B$7</x:f>
        <x:v>5000</x:v>
      </x:c>
      <x:c r="G45" s="7" t="n">
        <x:f>AG45+(AH45+AI45)*('損益分岐設定'!$B$29+0.5*'損益分岐設定'!$B$30)+AK45*'損益分岐設定'!$B$32+(AJ45+AK45/'損益分岐設定'!$B$28*'損益分岐設定'!$B$26)*('損益分岐設定'!$B$29+'損益分岐設定'!$B$31*'損益分岐設定'!$B$30)</x:f>
        <x:v>115.82319710606825</x:v>
      </x:c>
      <x:c r="H45" s="7" t="n">
        <x:f>AL45*E45</x:f>
        <x:v>0</x:v>
      </x:c>
      <x:c r="I45" s="7" t="n">
        <x:f>F45*(1-D45-'損益分岐設定'!$B$10)-G45-H45</x:f>
        <x:v>4704.176802893931</x:v>
      </x:c>
      <x:c r="J45" s="1" t="n">
        <x:f>IF(MIN(V45:Y45)&gt;1000,"範囲内なし",MIN(V45:Y45))</x:f>
        <x:v>5</x:v>
      </x:c>
      <x:c r="K45" s="1" t="n">
        <x:f>IF(MAX(Z45:AC45)&gt;=1000,"範囲内なし",MAX(1,MAX(Z45:AC45)+1))</x:f>
        <x:v>5</x:v>
      </x:c>
      <x:c r="L45" s="7" t="n">
        <x:f>10*I45-R45</x:f>
        <x:v>25030.83340263152</x:v>
      </x:c>
      <x:c r="M45" s="7" t="n">
        <x:f>30*I45-S45</x:f>
        <x:v>114614.36946051015</x:v>
      </x:c>
      <x:c r="N45" s="7" t="n">
        <x:f>50*I45-S45</x:f>
        <x:v>208697.90551838875</x:v>
      </x:c>
      <x:c r="O45" s="7" t="n">
        <x:f>100*I45-S45</x:f>
        <x:v>443906.7456630853</x:v>
      </x:c>
      <x:c r="P45" s="7" t="n">
        <x:f>300*I45-T45</x:f>
        <x:v>1362742.1062418716</x:v>
      </x:c>
      <x:c r="Q45" s="7" t="n">
        <x:f>1000*I45-U45</x:f>
        <x:v>4625665.868267624</x:v>
      </x:c>
      <x:c r="R4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45*'損益分岐設定'!$B$12*'損益分岐設定'!$B$11</x:f>
        <x:v>22010.934626307797</x:v>
      </x:c>
      <x:c r="S4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45*'損益分岐設定'!$B$12*'損益分岐設定'!$B$11</x:f>
        <x:v>26510.934626307797</x:v>
      </x:c>
      <x:c r="T4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45*'損益分岐設定'!$B$12*'損益分岐設定'!$B$11</x:f>
        <x:v>48510.9346263078</x:v>
      </x:c>
      <x:c r="U4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45*'損益分岐設定'!$B$12*'損益分岐設定'!$B$11</x:f>
        <x:v>78510.9346263078</x:v>
      </x:c>
      <x:c r="V45" s="1" t="n">
        <x:f>IF(I45&lt;=0,1001,IF(MAX('損益分岐設定'!B37,ROUNDUP(R45/I45,0))&lt;='損益分岐設定'!C37,MAX('損益分岐設定'!B37,ROUNDUP(R45/I45,0)),1001))</x:f>
        <x:v>5</x:v>
      </x:c>
      <x:c r="W45" s="1" t="n">
        <x:f>IF(I45&lt;=0,1001,IF(MAX('損益分岐設定'!B38,ROUNDUP(S45/I45,0))&lt;='損益分岐設定'!C38,MAX('損益分岐設定'!B38,ROUNDUP(S45/I45,0)),1001))</x:f>
        <x:v>11</x:v>
      </x:c>
      <x:c r="X45" s="1" t="n">
        <x:f>IF(I45&lt;=0,1001,IF(MAX('損益分岐設定'!B39,ROUNDUP(T45/I45,0))&lt;='損益分岐設定'!C39,MAX('損益分岐設定'!B39,ROUNDUP(T45/I45,0)),1001))</x:f>
        <x:v>101</x:v>
      </x:c>
      <x:c r="Y45" s="1" t="n">
        <x:f>IF(I45&lt;=0,1001,IF(MAX('損益分岐設定'!B40,ROUNDUP(U45/I45,0))&lt;='損益分岐設定'!C40,MAX('損益分岐設定'!B40,ROUNDUP(U45/I45,0)),1001))</x:f>
        <x:v>501</x:v>
      </x:c>
      <x:c r="Z45" s="1" t="n">
        <x:f>IF(I45&lt;=0,'損益分岐設定'!C37,IF('損益分岐設定'!C37*I45-R45&lt;0,'損益分岐設定'!C37,IF('損益分岐設定'!B37*I45-R45&gt;=0,0,ROUNDUP(R45/I45,0)-1)))</x:f>
        <x:v>4</x:v>
      </x:c>
      <x:c r="AA45" s="1" t="n">
        <x:f>IF(I45&lt;=0,'損益分岐設定'!C38,IF('損益分岐設定'!C38*I45-S45&lt;0,'損益分岐設定'!C38,IF('損益分岐設定'!B38*I45-S45&gt;=0,0,ROUNDUP(S45/I45,0)-1)))</x:f>
        <x:v>0</x:v>
      </x:c>
      <x:c r="AB45" s="1" t="n">
        <x:f>IF(I45&lt;=0,'損益分岐設定'!C39,IF('損益分岐設定'!C39*I45-T45&lt;0,'損益分岐設定'!C39,IF('損益分岐設定'!B39*I45-T45&gt;=0,0,ROUNDUP(T45/I45,0)-1)))</x:f>
        <x:v>0</x:v>
      </x:c>
      <x:c r="AC45" s="1" t="n">
        <x:f>IF(I45&lt;=0,'損益分岐設定'!C40,IF('損益分岐設定'!C40*I45-U45&lt;0,'損益分岐設定'!C40,IF('損益分岐設定'!B40*I45-U45&gt;=0,0,ROUNDUP(U45/I45,0)-1)))</x:f>
        <x:v>0</x:v>
      </x:c>
      <x:c r="AD45" s="1" t="n">
        <x:v>0</x:v>
      </x:c>
      <x:c r="AE45" s="1" t="n">
        <x:v>1</x:v>
      </x:c>
      <x:c r="AF45" s="1" t="n">
        <x:v>0</x:v>
      </x:c>
      <x:c r="AG45" s="1" t="n">
        <x:f>AD45*'損益分岐設定'!$C$56+AE45*'損益分岐設定'!$C$59+AF45*'損益分岐設定'!$C$62</x:f>
        <x:v>115.42604943847657</x:v>
      </x:c>
      <x:c r="AH45" s="1" t="n">
        <x:f>AD45*'損益分岐設定'!$D$56+AE45*'損益分岐設定'!$D$59+AF45*'損益分岐設定'!$D$62</x:f>
        <x:v>30</x:v>
      </x:c>
      <x:c r="AI45" s="1" t="n">
        <x:f>AD45*'損益分岐設定'!$E$56+AE45*'損益分岐設定'!$E$59+AF45*'損益分岐設定'!$E$62</x:f>
        <x:v>20</x:v>
      </x:c>
      <x:c r="AJ45" s="1" t="n">
        <x:f>(AD45*'損益分岐設定'!$F$56+AE45*'損益分岐設定'!$F$59+AF45*'損益分岐設定'!$F$62*1)*'損益分岐設定'!$B$22</x:f>
        <x:v>30</x:v>
      </x:c>
      <x:c r="AK45" s="1" t="n">
        <x:f>AD45*'損益分岐設定'!$G$56+AE45*'損益分岐設定'!$G$59+AF45*'損益分岐設定'!$G$62</x:f>
        <x:v>100</x:v>
      </x:c>
      <x:c r="AL45" s="1" t="n">
        <x:f>AD45*'損益分岐設定'!$H$56+AE45*'損益分岐設定'!$H$59+AF45*'損益分岐設定'!$H$62</x:f>
        <x:v>333.3333333333333</x:v>
      </x:c>
      <x:c r="AM45" s="1" t="n">
        <x:f>MAX(1,ROUNDUP('損益分岐設定'!C37*AJ45/('損益分岐設定'!$B$23*'損益分岐設定'!$B$24*3600*'損益分岐設定'!$B$25),0))</x:f>
        <x:v>1</x:v>
      </x:c>
      <x:c r="AN45" s="1" t="n">
        <x:f>MAX(2,ROUNDUP('損益分岐設定'!C38*AJ45/('損益分岐設定'!$B$23*'損益分岐設定'!$B$24*3600*'損益分岐設定'!$B$25),0))</x:f>
        <x:v>2</x:v>
      </x:c>
      <x:c r="AO45" s="1" t="n">
        <x:f>MAX(2,ROUNDUP('損益分岐設定'!C39*AJ45/('損益分岐設定'!$B$23*'損益分岐設定'!$B$24*3600*'損益分岐設定'!$B$25),0))</x:f>
        <x:v>2</x:v>
      </x:c>
      <x:c r="AP45" s="1" t="n">
        <x:f>MAX(2,ROUNDUP('損益分岐設定'!C40*AJ45/('損益分岐設定'!$B$23*'損益分岐設定'!$B$24*3600*'損益分岐設定'!$B$25),0))</x:f>
        <x:v>2</x:v>
      </x:c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 ht="23" customHeight="1">
      <x:c r="A46" s="1" t="str">
        <x:v>Run</x:v>
      </x:c>
      <x:c r="B46" s="1" t="str">
        <x:v>Business</x:v>
      </x:c>
      <x:c r="C46" s="1" t="str">
        <x:v>低位</x:v>
      </x:c>
      <x:c r="D46" s="21" t="n">
        <x:v>0</x:v>
      </x:c>
      <x:c r="E46" s="1" t="n">
        <x:v>1</x:v>
      </x:c>
      <x:c r="F46" s="7" t="n">
        <x:f>AD46*'損益分岐設定'!$B$5+AE46*'損益分岐設定'!$B$6+AF46*'損益分岐設定'!$B$7</x:f>
        <x:v>5000</x:v>
      </x:c>
      <x:c r="G46" s="7" t="n">
        <x:f>AG46+(AH46+AI46)*('損益分岐設定'!$B$29+0.5*'損益分岐設定'!$B$30)+AK46*'損益分岐設定'!$B$32+(AJ46+AK46/'損益分岐設定'!$B$28*'損益分岐設定'!$B$26)*('損益分岐設定'!$B$29+'損益分岐設定'!$B$31*'損益分岐設定'!$B$30)</x:f>
        <x:v>115.82319710606825</x:v>
      </x:c>
      <x:c r="H46" s="7" t="n">
        <x:f>AL46*E46</x:f>
        <x:v>333.3333333333333</x:v>
      </x:c>
      <x:c r="I46" s="7" t="n">
        <x:f>F46*(1-D46-'損益分岐設定'!$B$10)-G46-H46</x:f>
        <x:v>4370.843469560598</x:v>
      </x:c>
      <x:c r="J46" s="1" t="n">
        <x:f>IF(MIN(V46:Y46)&gt;1000,"範囲内なし",MIN(V46:Y46))</x:f>
        <x:v>7</x:v>
      </x:c>
      <x:c r="K46" s="1" t="n">
        <x:f>IF(MAX(Z46:AC46)&gt;=1000,"範囲内なし",MAX(1,MAX(Z46:AC46)+1))</x:f>
        <x:v>7</x:v>
      </x:c>
      <x:c r="L46" s="7" t="n">
        <x:f>10*I46-R46</x:f>
        <x:v>13697.500069298185</x:v>
      </x:c>
      <x:c r="M46" s="7" t="n">
        <x:f>30*I46-S46</x:f>
        <x:v>96614.36946051015</x:v>
      </x:c>
      <x:c r="N46" s="7" t="n">
        <x:f>50*I46-S46</x:f>
        <x:v>184031.23885172213</x:v>
      </x:c>
      <x:c r="O46" s="7" t="n">
        <x:f>100*I46-S46</x:f>
        <x:v>402573.41232975206</x:v>
      </x:c>
      <x:c r="P46" s="7" t="n">
        <x:f>300*I46-T46</x:f>
        <x:v>1254742.1062418716</x:v>
      </x:c>
      <x:c r="Q46" s="7" t="n">
        <x:f>1000*I46-U46</x:f>
        <x:v>4284332.53493429</x:v>
      </x:c>
      <x:c r="R4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46*'損益分岐設定'!$B$12*'損益分岐設定'!$B$11</x:f>
        <x:v>30010.934626307797</x:v>
      </x:c>
      <x:c r="S4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46*'損益分岐設定'!$B$12*'損益分岐設定'!$B$11</x:f>
        <x:v>34510.9346263078</x:v>
      </x:c>
      <x:c r="T4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46*'損益分岐設定'!$B$12*'損益分岐設定'!$B$11</x:f>
        <x:v>56510.9346263078</x:v>
      </x:c>
      <x:c r="U4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46*'損益分岐設定'!$B$12*'損益分岐設定'!$B$11</x:f>
        <x:v>86510.9346263078</x:v>
      </x:c>
      <x:c r="V46" s="1" t="n">
        <x:f>IF(I46&lt;=0,1001,IF(MAX('損益分岐設定'!B37,ROUNDUP(R46/I46,0))&lt;='損益分岐設定'!C37,MAX('損益分岐設定'!B37,ROUNDUP(R46/I46,0)),1001))</x:f>
        <x:v>7</x:v>
      </x:c>
      <x:c r="W46" s="1" t="n">
        <x:f>IF(I46&lt;=0,1001,IF(MAX('損益分岐設定'!B38,ROUNDUP(S46/I46,0))&lt;='損益分岐設定'!C38,MAX('損益分岐設定'!B38,ROUNDUP(S46/I46,0)),1001))</x:f>
        <x:v>11</x:v>
      </x:c>
      <x:c r="X46" s="1" t="n">
        <x:f>IF(I46&lt;=0,1001,IF(MAX('損益分岐設定'!B39,ROUNDUP(T46/I46,0))&lt;='損益分岐設定'!C39,MAX('損益分岐設定'!B39,ROUNDUP(T46/I46,0)),1001))</x:f>
        <x:v>101</x:v>
      </x:c>
      <x:c r="Y46" s="1" t="n">
        <x:f>IF(I46&lt;=0,1001,IF(MAX('損益分岐設定'!B40,ROUNDUP(U46/I46,0))&lt;='損益分岐設定'!C40,MAX('損益分岐設定'!B40,ROUNDUP(U46/I46,0)),1001))</x:f>
        <x:v>501</x:v>
      </x:c>
      <x:c r="Z46" s="1" t="n">
        <x:f>IF(I46&lt;=0,'損益分岐設定'!C37,IF('損益分岐設定'!C37*I46-R46&lt;0,'損益分岐設定'!C37,IF('損益分岐設定'!B37*I46-R46&gt;=0,0,ROUNDUP(R46/I46,0)-1)))</x:f>
        <x:v>6</x:v>
      </x:c>
      <x:c r="AA46" s="1" t="n">
        <x:f>IF(I46&lt;=0,'損益分岐設定'!C38,IF('損益分岐設定'!C38*I46-S46&lt;0,'損益分岐設定'!C38,IF('損益分岐設定'!B38*I46-S46&gt;=0,0,ROUNDUP(S46/I46,0)-1)))</x:f>
        <x:v>0</x:v>
      </x:c>
      <x:c r="AB46" s="1" t="n">
        <x:f>IF(I46&lt;=0,'損益分岐設定'!C39,IF('損益分岐設定'!C39*I46-T46&lt;0,'損益分岐設定'!C39,IF('損益分岐設定'!B39*I46-T46&gt;=0,0,ROUNDUP(T46/I46,0)-1)))</x:f>
        <x:v>0</x:v>
      </x:c>
      <x:c r="AC46" s="1" t="n">
        <x:f>IF(I46&lt;=0,'損益分岐設定'!C40,IF('損益分岐設定'!C40*I46-U46&lt;0,'損益分岐設定'!C40,IF('損益分岐設定'!B40*I46-U46&gt;=0,0,ROUNDUP(U46/I46,0)-1)))</x:f>
        <x:v>0</x:v>
      </x:c>
      <x:c r="AD46" s="1" t="n">
        <x:v>0</x:v>
      </x:c>
      <x:c r="AE46" s="1" t="n">
        <x:v>1</x:v>
      </x:c>
      <x:c r="AF46" s="1" t="n">
        <x:v>0</x:v>
      </x:c>
      <x:c r="AG46" s="1" t="n">
        <x:f>AD46*'損益分岐設定'!$C$56+AE46*'損益分岐設定'!$C$59+AF46*'損益分岐設定'!$C$62</x:f>
        <x:v>115.42604943847657</x:v>
      </x:c>
      <x:c r="AH46" s="1" t="n">
        <x:f>AD46*'損益分岐設定'!$D$56+AE46*'損益分岐設定'!$D$59+AF46*'損益分岐設定'!$D$62</x:f>
        <x:v>30</x:v>
      </x:c>
      <x:c r="AI46" s="1" t="n">
        <x:f>AD46*'損益分岐設定'!$E$56+AE46*'損益分岐設定'!$E$59+AF46*'損益分岐設定'!$E$62</x:f>
        <x:v>20</x:v>
      </x:c>
      <x:c r="AJ46" s="1" t="n">
        <x:f>(AD46*'損益分岐設定'!$F$56+AE46*'損益分岐設定'!$F$59+AF46*'損益分岐設定'!$F$62*1)*'損益分岐設定'!$B$22</x:f>
        <x:v>30</x:v>
      </x:c>
      <x:c r="AK46" s="1" t="n">
        <x:f>AD46*'損益分岐設定'!$G$56+AE46*'損益分岐設定'!$G$59+AF46*'損益分岐設定'!$G$62</x:f>
        <x:v>100</x:v>
      </x:c>
      <x:c r="AL46" s="1" t="n">
        <x:f>AD46*'損益分岐設定'!$H$56+AE46*'損益分岐設定'!$H$59+AF46*'損益分岐設定'!$H$62</x:f>
        <x:v>333.3333333333333</x:v>
      </x:c>
      <x:c r="AM46" s="1" t="n">
        <x:f>MAX(1,ROUNDUP('損益分岐設定'!C37*AJ46/('損益分岐設定'!$B$23*'損益分岐設定'!$B$24*3600*'損益分岐設定'!$B$25),0))</x:f>
        <x:v>1</x:v>
      </x:c>
      <x:c r="AN46" s="1" t="n">
        <x:f>MAX(2,ROUNDUP('損益分岐設定'!C38*AJ46/('損益分岐設定'!$B$23*'損益分岐設定'!$B$24*3600*'損益分岐設定'!$B$25),0))</x:f>
        <x:v>2</x:v>
      </x:c>
      <x:c r="AO46" s="1" t="n">
        <x:f>MAX(2,ROUNDUP('損益分岐設定'!C39*AJ46/('損益分岐設定'!$B$23*'損益分岐設定'!$B$24*3600*'損益分岐設定'!$B$25),0))</x:f>
        <x:v>2</x:v>
      </x:c>
      <x:c r="AP46" s="1" t="n">
        <x:f>MAX(2,ROUNDUP('損益分岐設定'!C40*AJ46/('損益分岐設定'!$B$23*'損益分岐設定'!$B$24*3600*'損益分岐設定'!$B$25),0))</x:f>
        <x:v>2</x:v>
      </x:c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 ht="23" customHeight="1">
      <x:c r="A47" s="1" t="str">
        <x:v>Run</x:v>
      </x:c>
      <x:c r="B47" s="1" t="str">
        <x:v>Business</x:v>
      </x:c>
      <x:c r="C47" s="1" t="str">
        <x:v>低位</x:v>
      </x:c>
      <x:c r="D47" s="21" t="n">
        <x:v>0.2</x:v>
      </x:c>
      <x:c r="E47" s="1" t="n">
        <x:v>0</x:v>
      </x:c>
      <x:c r="F47" s="7" t="n">
        <x:f>AD47*'損益分岐設定'!$B$5+AE47*'損益分岐設定'!$B$6+AF47*'損益分岐設定'!$B$7</x:f>
        <x:v>5000</x:v>
      </x:c>
      <x:c r="G47" s="7" t="n">
        <x:f>AG47+(AH47+AI47)*('損益分岐設定'!$B$29+0.5*'損益分岐設定'!$B$30)+AK47*'損益分岐設定'!$B$32+(AJ47+AK47/'損益分岐設定'!$B$28*'損益分岐設定'!$B$26)*('損益分岐設定'!$B$29+'損益分岐設定'!$B$31*'損益分岐設定'!$B$30)</x:f>
        <x:v>115.82319710606825</x:v>
      </x:c>
      <x:c r="H47" s="7" t="n">
        <x:f>AL47*E47</x:f>
        <x:v>0</x:v>
      </x:c>
      <x:c r="I47" s="7" t="n">
        <x:f>F47*(1-D47-'損益分岐設定'!$B$10)-G47-H47</x:f>
        <x:v>3704.176802893932</x:v>
      </x:c>
      <x:c r="J47" s="1" t="n">
        <x:f>IF(MIN(V47:Y47)&gt;1000,"範囲内なし",MIN(V47:Y47))</x:f>
        <x:v>6</x:v>
      </x:c>
      <x:c r="K47" s="1" t="n">
        <x:f>IF(MAX(Z47:AC47)&gt;=1000,"範囲内なし",MAX(1,MAX(Z47:AC47)+1))</x:f>
        <x:v>6</x:v>
      </x:c>
      <x:c r="L47" s="7" t="n">
        <x:f>10*I47-R47</x:f>
        <x:v>15030.83340263152</x:v>
      </x:c>
      <x:c r="M47" s="7" t="n">
        <x:f>30*I47-S47</x:f>
        <x:v>84614.36946051015</x:v>
      </x:c>
      <x:c r="N47" s="7" t="n">
        <x:f>50*I47-S47</x:f>
        <x:v>158697.90551838878</x:v>
      </x:c>
      <x:c r="O47" s="7" t="n">
        <x:f>100*I47-S47</x:f>
        <x:v>343906.74566308537</x:v>
      </x:c>
      <x:c r="P47" s="7" t="n">
        <x:f>300*I47-T47</x:f>
        <x:v>1062742.1062418718</x:v>
      </x:c>
      <x:c r="Q47" s="7" t="n">
        <x:f>1000*I47-U47</x:f>
        <x:v>3625665.868267624</x:v>
      </x:c>
      <x:c r="R4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47*'損益分岐設定'!$B$12*'損益分岐設定'!$B$11</x:f>
        <x:v>22010.934626307797</x:v>
      </x:c>
      <x:c r="S4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47*'損益分岐設定'!$B$12*'損益分岐設定'!$B$11</x:f>
        <x:v>26510.934626307797</x:v>
      </x:c>
      <x:c r="T4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47*'損益分岐設定'!$B$12*'損益分岐設定'!$B$11</x:f>
        <x:v>48510.9346263078</x:v>
      </x:c>
      <x:c r="U4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47*'損益分岐設定'!$B$12*'損益分岐設定'!$B$11</x:f>
        <x:v>78510.9346263078</x:v>
      </x:c>
      <x:c r="V47" s="1" t="n">
        <x:f>IF(I47&lt;=0,1001,IF(MAX('損益分岐設定'!B37,ROUNDUP(R47/I47,0))&lt;='損益分岐設定'!C37,MAX('損益分岐設定'!B37,ROUNDUP(R47/I47,0)),1001))</x:f>
        <x:v>6</x:v>
      </x:c>
      <x:c r="W47" s="1" t="n">
        <x:f>IF(I47&lt;=0,1001,IF(MAX('損益分岐設定'!B38,ROUNDUP(S47/I47,0))&lt;='損益分岐設定'!C38,MAX('損益分岐設定'!B38,ROUNDUP(S47/I47,0)),1001))</x:f>
        <x:v>11</x:v>
      </x:c>
      <x:c r="X47" s="1" t="n">
        <x:f>IF(I47&lt;=0,1001,IF(MAX('損益分岐設定'!B39,ROUNDUP(T47/I47,0))&lt;='損益分岐設定'!C39,MAX('損益分岐設定'!B39,ROUNDUP(T47/I47,0)),1001))</x:f>
        <x:v>101</x:v>
      </x:c>
      <x:c r="Y47" s="1" t="n">
        <x:f>IF(I47&lt;=0,1001,IF(MAX('損益分岐設定'!B40,ROUNDUP(U47/I47,0))&lt;='損益分岐設定'!C40,MAX('損益分岐設定'!B40,ROUNDUP(U47/I47,0)),1001))</x:f>
        <x:v>501</x:v>
      </x:c>
      <x:c r="Z47" s="1" t="n">
        <x:f>IF(I47&lt;=0,'損益分岐設定'!C37,IF('損益分岐設定'!C37*I47-R47&lt;0,'損益分岐設定'!C37,IF('損益分岐設定'!B37*I47-R47&gt;=0,0,ROUNDUP(R47/I47,0)-1)))</x:f>
        <x:v>5</x:v>
      </x:c>
      <x:c r="AA47" s="1" t="n">
        <x:f>IF(I47&lt;=0,'損益分岐設定'!C38,IF('損益分岐設定'!C38*I47-S47&lt;0,'損益分岐設定'!C38,IF('損益分岐設定'!B38*I47-S47&gt;=0,0,ROUNDUP(S47/I47,0)-1)))</x:f>
        <x:v>0</x:v>
      </x:c>
      <x:c r="AB47" s="1" t="n">
        <x:f>IF(I47&lt;=0,'損益分岐設定'!C39,IF('損益分岐設定'!C39*I47-T47&lt;0,'損益分岐設定'!C39,IF('損益分岐設定'!B39*I47-T47&gt;=0,0,ROUNDUP(T47/I47,0)-1)))</x:f>
        <x:v>0</x:v>
      </x:c>
      <x:c r="AC47" s="1" t="n">
        <x:f>IF(I47&lt;=0,'損益分岐設定'!C40,IF('損益分岐設定'!C40*I47-U47&lt;0,'損益分岐設定'!C40,IF('損益分岐設定'!B40*I47-U47&gt;=0,0,ROUNDUP(U47/I47,0)-1)))</x:f>
        <x:v>0</x:v>
      </x:c>
      <x:c r="AD47" s="1" t="n">
        <x:v>0</x:v>
      </x:c>
      <x:c r="AE47" s="1" t="n">
        <x:v>1</x:v>
      </x:c>
      <x:c r="AF47" s="1" t="n">
        <x:v>0</x:v>
      </x:c>
      <x:c r="AG47" s="1" t="n">
        <x:f>AD47*'損益分岐設定'!$C$56+AE47*'損益分岐設定'!$C$59+AF47*'損益分岐設定'!$C$62</x:f>
        <x:v>115.42604943847657</x:v>
      </x:c>
      <x:c r="AH47" s="1" t="n">
        <x:f>AD47*'損益分岐設定'!$D$56+AE47*'損益分岐設定'!$D$59+AF47*'損益分岐設定'!$D$62</x:f>
        <x:v>30</x:v>
      </x:c>
      <x:c r="AI47" s="1" t="n">
        <x:f>AD47*'損益分岐設定'!$E$56+AE47*'損益分岐設定'!$E$59+AF47*'損益分岐設定'!$E$62</x:f>
        <x:v>20</x:v>
      </x:c>
      <x:c r="AJ47" s="1" t="n">
        <x:f>(AD47*'損益分岐設定'!$F$56+AE47*'損益分岐設定'!$F$59+AF47*'損益分岐設定'!$F$62*1)*'損益分岐設定'!$B$22</x:f>
        <x:v>30</x:v>
      </x:c>
      <x:c r="AK47" s="1" t="n">
        <x:f>AD47*'損益分岐設定'!$G$56+AE47*'損益分岐設定'!$G$59+AF47*'損益分岐設定'!$G$62</x:f>
        <x:v>100</x:v>
      </x:c>
      <x:c r="AL47" s="1" t="n">
        <x:f>AD47*'損益分岐設定'!$H$56+AE47*'損益分岐設定'!$H$59+AF47*'損益分岐設定'!$H$62</x:f>
        <x:v>333.3333333333333</x:v>
      </x:c>
      <x:c r="AM47" s="1" t="n">
        <x:f>MAX(1,ROUNDUP('損益分岐設定'!C37*AJ47/('損益分岐設定'!$B$23*'損益分岐設定'!$B$24*3600*'損益分岐設定'!$B$25),0))</x:f>
        <x:v>1</x:v>
      </x:c>
      <x:c r="AN47" s="1" t="n">
        <x:f>MAX(2,ROUNDUP('損益分岐設定'!C38*AJ47/('損益分岐設定'!$B$23*'損益分岐設定'!$B$24*3600*'損益分岐設定'!$B$25),0))</x:f>
        <x:v>2</x:v>
      </x:c>
      <x:c r="AO47" s="1" t="n">
        <x:f>MAX(2,ROUNDUP('損益分岐設定'!C39*AJ47/('損益分岐設定'!$B$23*'損益分岐設定'!$B$24*3600*'損益分岐設定'!$B$25),0))</x:f>
        <x:v>2</x:v>
      </x:c>
      <x:c r="AP47" s="1" t="n">
        <x:f>MAX(2,ROUNDUP('損益分岐設定'!C40*AJ47/('損益分岐設定'!$B$23*'損益分岐設定'!$B$24*3600*'損益分岐設定'!$B$25),0))</x:f>
        <x:v>2</x:v>
      </x:c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 ht="23" customHeight="1">
      <x:c r="A48" s="1" t="str">
        <x:v>Run</x:v>
      </x:c>
      <x:c r="B48" s="1" t="str">
        <x:v>Business</x:v>
      </x:c>
      <x:c r="C48" s="1" t="str">
        <x:v>低位</x:v>
      </x:c>
      <x:c r="D48" s="21" t="n">
        <x:v>0.2</x:v>
      </x:c>
      <x:c r="E48" s="1" t="n">
        <x:v>1</x:v>
      </x:c>
      <x:c r="F48" s="7" t="n">
        <x:f>AD48*'損益分岐設定'!$B$5+AE48*'損益分岐設定'!$B$6+AF48*'損益分岐設定'!$B$7</x:f>
        <x:v>5000</x:v>
      </x:c>
      <x:c r="G48" s="7" t="n">
        <x:f>AG48+(AH48+AI48)*('損益分岐設定'!$B$29+0.5*'損益分岐設定'!$B$30)+AK48*'損益分岐設定'!$B$32+(AJ48+AK48/'損益分岐設定'!$B$28*'損益分岐設定'!$B$26)*('損益分岐設定'!$B$29+'損益分岐設定'!$B$31*'損益分岐設定'!$B$30)</x:f>
        <x:v>115.82319710606825</x:v>
      </x:c>
      <x:c r="H48" s="7" t="n">
        <x:f>AL48*E48</x:f>
        <x:v>333.3333333333333</x:v>
      </x:c>
      <x:c r="I48" s="7" t="n">
        <x:f>F48*(1-D48-'損益分岐設定'!$B$10)-G48-H48</x:f>
        <x:v>3370.8434695605984</x:v>
      </x:c>
      <x:c r="J48" s="1" t="n">
        <x:f>IF(MIN(V48:Y48)&gt;1000,"範囲内なし",MIN(V48:Y48))</x:f>
        <x:v>9</x:v>
      </x:c>
      <x:c r="K48" s="1" t="n">
        <x:f>IF(MAX(Z48:AC48)&gt;=1000,"範囲内なし",MAX(1,MAX(Z48:AC48)+1))</x:f>
        <x:v>9</x:v>
      </x:c>
      <x:c r="L48" s="7" t="n">
        <x:f>10*I48-R48</x:f>
        <x:v>3697.500069298185</x:v>
      </x:c>
      <x:c r="M48" s="7" t="n">
        <x:f>30*I48-S48</x:f>
        <x:v>66614.36946051015</x:v>
      </x:c>
      <x:c r="N48" s="7" t="n">
        <x:f>50*I48-S48</x:f>
        <x:v>134031.23885172213</x:v>
      </x:c>
      <x:c r="O48" s="7" t="n">
        <x:f>100*I48-S48</x:f>
        <x:v>302573.41232975206</x:v>
      </x:c>
      <x:c r="P48" s="7" t="n">
        <x:f>300*I48-T48</x:f>
        <x:v>954742.1062418717</x:v>
      </x:c>
      <x:c r="Q48" s="7" t="n">
        <x:f>1000*I48-U48</x:f>
        <x:v>3284332.5349342907</x:v>
      </x:c>
      <x:c r="R4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48*'損益分岐設定'!$B$12*'損益分岐設定'!$B$11</x:f>
        <x:v>30010.934626307797</x:v>
      </x:c>
      <x:c r="S4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48*'損益分岐設定'!$B$12*'損益分岐設定'!$B$11</x:f>
        <x:v>34510.9346263078</x:v>
      </x:c>
      <x:c r="T4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48*'損益分岐設定'!$B$12*'損益分岐設定'!$B$11</x:f>
        <x:v>56510.9346263078</x:v>
      </x:c>
      <x:c r="U4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48*'損益分岐設定'!$B$12*'損益分岐設定'!$B$11</x:f>
        <x:v>86510.9346263078</x:v>
      </x:c>
      <x:c r="V48" s="1" t="n">
        <x:f>IF(I48&lt;=0,1001,IF(MAX('損益分岐設定'!B37,ROUNDUP(R48/I48,0))&lt;='損益分岐設定'!C37,MAX('損益分岐設定'!B37,ROUNDUP(R48/I48,0)),1001))</x:f>
        <x:v>9</x:v>
      </x:c>
      <x:c r="W48" s="1" t="n">
        <x:f>IF(I48&lt;=0,1001,IF(MAX('損益分岐設定'!B38,ROUNDUP(S48/I48,0))&lt;='損益分岐設定'!C38,MAX('損益分岐設定'!B38,ROUNDUP(S48/I48,0)),1001))</x:f>
        <x:v>11</x:v>
      </x:c>
      <x:c r="X48" s="1" t="n">
        <x:f>IF(I48&lt;=0,1001,IF(MAX('損益分岐設定'!B39,ROUNDUP(T48/I48,0))&lt;='損益分岐設定'!C39,MAX('損益分岐設定'!B39,ROUNDUP(T48/I48,0)),1001))</x:f>
        <x:v>101</x:v>
      </x:c>
      <x:c r="Y48" s="1" t="n">
        <x:f>IF(I48&lt;=0,1001,IF(MAX('損益分岐設定'!B40,ROUNDUP(U48/I48,0))&lt;='損益分岐設定'!C40,MAX('損益分岐設定'!B40,ROUNDUP(U48/I48,0)),1001))</x:f>
        <x:v>501</x:v>
      </x:c>
      <x:c r="Z48" s="1" t="n">
        <x:f>IF(I48&lt;=0,'損益分岐設定'!C37,IF('損益分岐設定'!C37*I48-R48&lt;0,'損益分岐設定'!C37,IF('損益分岐設定'!B37*I48-R48&gt;=0,0,ROUNDUP(R48/I48,0)-1)))</x:f>
        <x:v>8</x:v>
      </x:c>
      <x:c r="AA48" s="1" t="n">
        <x:f>IF(I48&lt;=0,'損益分岐設定'!C38,IF('損益分岐設定'!C38*I48-S48&lt;0,'損益分岐設定'!C38,IF('損益分岐設定'!B38*I48-S48&gt;=0,0,ROUNDUP(S48/I48,0)-1)))</x:f>
        <x:v>0</x:v>
      </x:c>
      <x:c r="AB48" s="1" t="n">
        <x:f>IF(I48&lt;=0,'損益分岐設定'!C39,IF('損益分岐設定'!C39*I48-T48&lt;0,'損益分岐設定'!C39,IF('損益分岐設定'!B39*I48-T48&gt;=0,0,ROUNDUP(T48/I48,0)-1)))</x:f>
        <x:v>0</x:v>
      </x:c>
      <x:c r="AC48" s="1" t="n">
        <x:f>IF(I48&lt;=0,'損益分岐設定'!C40,IF('損益分岐設定'!C40*I48-U48&lt;0,'損益分岐設定'!C40,IF('損益分岐設定'!B40*I48-U48&gt;=0,0,ROUNDUP(U48/I48,0)-1)))</x:f>
        <x:v>0</x:v>
      </x:c>
      <x:c r="AD48" s="1" t="n">
        <x:v>0</x:v>
      </x:c>
      <x:c r="AE48" s="1" t="n">
        <x:v>1</x:v>
      </x:c>
      <x:c r="AF48" s="1" t="n">
        <x:v>0</x:v>
      </x:c>
      <x:c r="AG48" s="1" t="n">
        <x:f>AD48*'損益分岐設定'!$C$56+AE48*'損益分岐設定'!$C$59+AF48*'損益分岐設定'!$C$62</x:f>
        <x:v>115.42604943847657</x:v>
      </x:c>
      <x:c r="AH48" s="1" t="n">
        <x:f>AD48*'損益分岐設定'!$D$56+AE48*'損益分岐設定'!$D$59+AF48*'損益分岐設定'!$D$62</x:f>
        <x:v>30</x:v>
      </x:c>
      <x:c r="AI48" s="1" t="n">
        <x:f>AD48*'損益分岐設定'!$E$56+AE48*'損益分岐設定'!$E$59+AF48*'損益分岐設定'!$E$62</x:f>
        <x:v>20</x:v>
      </x:c>
      <x:c r="AJ48" s="1" t="n">
        <x:f>(AD48*'損益分岐設定'!$F$56+AE48*'損益分岐設定'!$F$59+AF48*'損益分岐設定'!$F$62*1)*'損益分岐設定'!$B$22</x:f>
        <x:v>30</x:v>
      </x:c>
      <x:c r="AK48" s="1" t="n">
        <x:f>AD48*'損益分岐設定'!$G$56+AE48*'損益分岐設定'!$G$59+AF48*'損益分岐設定'!$G$62</x:f>
        <x:v>100</x:v>
      </x:c>
      <x:c r="AL48" s="1" t="n">
        <x:f>AD48*'損益分岐設定'!$H$56+AE48*'損益分岐設定'!$H$59+AF48*'損益分岐設定'!$H$62</x:f>
        <x:v>333.3333333333333</x:v>
      </x:c>
      <x:c r="AM48" s="1" t="n">
        <x:f>MAX(1,ROUNDUP('損益分岐設定'!C37*AJ48/('損益分岐設定'!$B$23*'損益分岐設定'!$B$24*3600*'損益分岐設定'!$B$25),0))</x:f>
        <x:v>1</x:v>
      </x:c>
      <x:c r="AN48" s="1" t="n">
        <x:f>MAX(2,ROUNDUP('損益分岐設定'!C38*AJ48/('損益分岐設定'!$B$23*'損益分岐設定'!$B$24*3600*'損益分岐設定'!$B$25),0))</x:f>
        <x:v>2</x:v>
      </x:c>
      <x:c r="AO48" s="1" t="n">
        <x:f>MAX(2,ROUNDUP('損益分岐設定'!C39*AJ48/('損益分岐設定'!$B$23*'損益分岐設定'!$B$24*3600*'損益分岐設定'!$B$25),0))</x:f>
        <x:v>2</x:v>
      </x:c>
      <x:c r="AP48" s="1" t="n">
        <x:f>MAX(2,ROUNDUP('損益分岐設定'!C40*AJ48/('損益分岐設定'!$B$23*'損益分岐設定'!$B$24*3600*'損益分岐設定'!$B$25),0))</x:f>
        <x:v>2</x:v>
      </x:c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 ht="23" customHeight="1">
      <x:c r="A49" s="1" t="str">
        <x:v>Run</x:v>
      </x:c>
      <x:c r="B49" s="1" t="str">
        <x:v>Business</x:v>
      </x:c>
      <x:c r="C49" s="1" t="str">
        <x:v>低位</x:v>
      </x:c>
      <x:c r="D49" s="21" t="n">
        <x:v>0.3</x:v>
      </x:c>
      <x:c r="E49" s="1" t="n">
        <x:v>0</x:v>
      </x:c>
      <x:c r="F49" s="7" t="n">
        <x:f>AD49*'損益分岐設定'!$B$5+AE49*'損益分岐設定'!$B$6+AF49*'損益分岐設定'!$B$7</x:f>
        <x:v>5000</x:v>
      </x:c>
      <x:c r="G49" s="7" t="n">
        <x:f>AG49+(AH49+AI49)*('損益分岐設定'!$B$29+0.5*'損益分岐設定'!$B$30)+AK49*'損益分岐設定'!$B$32+(AJ49+AK49/'損益分岐設定'!$B$28*'損益分岐設定'!$B$26)*('損益分岐設定'!$B$29+'損益分岐設定'!$B$31*'損益分岐設定'!$B$30)</x:f>
        <x:v>115.82319710606825</x:v>
      </x:c>
      <x:c r="H49" s="7" t="n">
        <x:f>AL49*E49</x:f>
        <x:v>0</x:v>
      </x:c>
      <x:c r="I49" s="7" t="n">
        <x:f>F49*(1-D49-'損益分岐設定'!$B$10)-G49-H49</x:f>
        <x:v>3204.1768028939314</x:v>
      </x:c>
      <x:c r="J49" s="1" t="n">
        <x:f>IF(MIN(V49:Y49)&gt;1000,"範囲内なし",MIN(V49:Y49))</x:f>
        <x:v>7</x:v>
      </x:c>
      <x:c r="K49" s="1" t="n">
        <x:f>IF(MAX(Z49:AC49)&gt;=1000,"範囲内なし",MAX(1,MAX(Z49:AC49)+1))</x:f>
        <x:v>7</x:v>
      </x:c>
      <x:c r="L49" s="7" t="n">
        <x:f>10*I49-R49</x:f>
        <x:v>10030.833402631517</x:v>
      </x:c>
      <x:c r="M49" s="7" t="n">
        <x:f>30*I49-S49</x:f>
        <x:v>69614.36946051015</x:v>
      </x:c>
      <x:c r="N49" s="7" t="n">
        <x:f>50*I49-S49</x:f>
        <x:v>133697.90551838875</x:v>
      </x:c>
      <x:c r="O49" s="7" t="n">
        <x:f>100*I49-S49</x:f>
        <x:v>293906.7456630853</x:v>
      </x:c>
      <x:c r="P49" s="7" t="n">
        <x:f>300*I49-T49</x:f>
        <x:v>912742.1062418716</x:v>
      </x:c>
      <x:c r="Q49" s="7" t="n">
        <x:f>1000*I49-U49</x:f>
        <x:v>3125665.8682676237</x:v>
      </x:c>
      <x:c r="R4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49*'損益分岐設定'!$B$12*'損益分岐設定'!$B$11</x:f>
        <x:v>22010.934626307797</x:v>
      </x:c>
      <x:c r="S4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49*'損益分岐設定'!$B$12*'損益分岐設定'!$B$11</x:f>
        <x:v>26510.934626307797</x:v>
      </x:c>
      <x:c r="T4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49*'損益分岐設定'!$B$12*'損益分岐設定'!$B$11</x:f>
        <x:v>48510.9346263078</x:v>
      </x:c>
      <x:c r="U4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49*'損益分岐設定'!$B$12*'損益分岐設定'!$B$11</x:f>
        <x:v>78510.9346263078</x:v>
      </x:c>
      <x:c r="V49" s="1" t="n">
        <x:f>IF(I49&lt;=0,1001,IF(MAX('損益分岐設定'!B37,ROUNDUP(R49/I49,0))&lt;='損益分岐設定'!C37,MAX('損益分岐設定'!B37,ROUNDUP(R49/I49,0)),1001))</x:f>
        <x:v>7</x:v>
      </x:c>
      <x:c r="W49" s="1" t="n">
        <x:f>IF(I49&lt;=0,1001,IF(MAX('損益分岐設定'!B38,ROUNDUP(S49/I49,0))&lt;='損益分岐設定'!C38,MAX('損益分岐設定'!B38,ROUNDUP(S49/I49,0)),1001))</x:f>
        <x:v>11</x:v>
      </x:c>
      <x:c r="X49" s="1" t="n">
        <x:f>IF(I49&lt;=0,1001,IF(MAX('損益分岐設定'!B39,ROUNDUP(T49/I49,0))&lt;='損益分岐設定'!C39,MAX('損益分岐設定'!B39,ROUNDUP(T49/I49,0)),1001))</x:f>
        <x:v>101</x:v>
      </x:c>
      <x:c r="Y49" s="1" t="n">
        <x:f>IF(I49&lt;=0,1001,IF(MAX('損益分岐設定'!B40,ROUNDUP(U49/I49,0))&lt;='損益分岐設定'!C40,MAX('損益分岐設定'!B40,ROUNDUP(U49/I49,0)),1001))</x:f>
        <x:v>501</x:v>
      </x:c>
      <x:c r="Z49" s="1" t="n">
        <x:f>IF(I49&lt;=0,'損益分岐設定'!C37,IF('損益分岐設定'!C37*I49-R49&lt;0,'損益分岐設定'!C37,IF('損益分岐設定'!B37*I49-R49&gt;=0,0,ROUNDUP(R49/I49,0)-1)))</x:f>
        <x:v>6</x:v>
      </x:c>
      <x:c r="AA49" s="1" t="n">
        <x:f>IF(I49&lt;=0,'損益分岐設定'!C38,IF('損益分岐設定'!C38*I49-S49&lt;0,'損益分岐設定'!C38,IF('損益分岐設定'!B38*I49-S49&gt;=0,0,ROUNDUP(S49/I49,0)-1)))</x:f>
        <x:v>0</x:v>
      </x:c>
      <x:c r="AB49" s="1" t="n">
        <x:f>IF(I49&lt;=0,'損益分岐設定'!C39,IF('損益分岐設定'!C39*I49-T49&lt;0,'損益分岐設定'!C39,IF('損益分岐設定'!B39*I49-T49&gt;=0,0,ROUNDUP(T49/I49,0)-1)))</x:f>
        <x:v>0</x:v>
      </x:c>
      <x:c r="AC49" s="1" t="n">
        <x:f>IF(I49&lt;=0,'損益分岐設定'!C40,IF('損益分岐設定'!C40*I49-U49&lt;0,'損益分岐設定'!C40,IF('損益分岐設定'!B40*I49-U49&gt;=0,0,ROUNDUP(U49/I49,0)-1)))</x:f>
        <x:v>0</x:v>
      </x:c>
      <x:c r="AD49" s="1" t="n">
        <x:v>0</x:v>
      </x:c>
      <x:c r="AE49" s="1" t="n">
        <x:v>1</x:v>
      </x:c>
      <x:c r="AF49" s="1" t="n">
        <x:v>0</x:v>
      </x:c>
      <x:c r="AG49" s="1" t="n">
        <x:f>AD49*'損益分岐設定'!$C$56+AE49*'損益分岐設定'!$C$59+AF49*'損益分岐設定'!$C$62</x:f>
        <x:v>115.42604943847657</x:v>
      </x:c>
      <x:c r="AH49" s="1" t="n">
        <x:f>AD49*'損益分岐設定'!$D$56+AE49*'損益分岐設定'!$D$59+AF49*'損益分岐設定'!$D$62</x:f>
        <x:v>30</x:v>
      </x:c>
      <x:c r="AI49" s="1" t="n">
        <x:f>AD49*'損益分岐設定'!$E$56+AE49*'損益分岐設定'!$E$59+AF49*'損益分岐設定'!$E$62</x:f>
        <x:v>20</x:v>
      </x:c>
      <x:c r="AJ49" s="1" t="n">
        <x:f>(AD49*'損益分岐設定'!$F$56+AE49*'損益分岐設定'!$F$59+AF49*'損益分岐設定'!$F$62*1)*'損益分岐設定'!$B$22</x:f>
        <x:v>30</x:v>
      </x:c>
      <x:c r="AK49" s="1" t="n">
        <x:f>AD49*'損益分岐設定'!$G$56+AE49*'損益分岐設定'!$G$59+AF49*'損益分岐設定'!$G$62</x:f>
        <x:v>100</x:v>
      </x:c>
      <x:c r="AL49" s="1" t="n">
        <x:f>AD49*'損益分岐設定'!$H$56+AE49*'損益分岐設定'!$H$59+AF49*'損益分岐設定'!$H$62</x:f>
        <x:v>333.3333333333333</x:v>
      </x:c>
      <x:c r="AM49" s="1" t="n">
        <x:f>MAX(1,ROUNDUP('損益分岐設定'!C37*AJ49/('損益分岐設定'!$B$23*'損益分岐設定'!$B$24*3600*'損益分岐設定'!$B$25),0))</x:f>
        <x:v>1</x:v>
      </x:c>
      <x:c r="AN49" s="1" t="n">
        <x:f>MAX(2,ROUNDUP('損益分岐設定'!C38*AJ49/('損益分岐設定'!$B$23*'損益分岐設定'!$B$24*3600*'損益分岐設定'!$B$25),0))</x:f>
        <x:v>2</x:v>
      </x:c>
      <x:c r="AO49" s="1" t="n">
        <x:f>MAX(2,ROUNDUP('損益分岐設定'!C39*AJ49/('損益分岐設定'!$B$23*'損益分岐設定'!$B$24*3600*'損益分岐設定'!$B$25),0))</x:f>
        <x:v>2</x:v>
      </x:c>
      <x:c r="AP49" s="1" t="n">
        <x:f>MAX(2,ROUNDUP('損益分岐設定'!C40*AJ49/('損益分岐設定'!$B$23*'損益分岐設定'!$B$24*3600*'損益分岐設定'!$B$25),0))</x:f>
        <x:v>2</x:v>
      </x:c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 ht="23" customHeight="1">
      <x:c r="A50" s="1" t="str">
        <x:v>Run</x:v>
      </x:c>
      <x:c r="B50" s="1" t="str">
        <x:v>Business</x:v>
      </x:c>
      <x:c r="C50" s="1" t="str">
        <x:v>低位</x:v>
      </x:c>
      <x:c r="D50" s="21" t="n">
        <x:v>0.3</x:v>
      </x:c>
      <x:c r="E50" s="1" t="n">
        <x:v>1</x:v>
      </x:c>
      <x:c r="F50" s="7" t="n">
        <x:f>AD50*'損益分岐設定'!$B$5+AE50*'損益分岐設定'!$B$6+AF50*'損益分岐設定'!$B$7</x:f>
        <x:v>5000</x:v>
      </x:c>
      <x:c r="G50" s="7" t="n">
        <x:f>AG50+(AH50+AI50)*('損益分岐設定'!$B$29+0.5*'損益分岐設定'!$B$30)+AK50*'損益分岐設定'!$B$32+(AJ50+AK50/'損益分岐設定'!$B$28*'損益分岐設定'!$B$26)*('損益分岐設定'!$B$29+'損益分岐設定'!$B$31*'損益分岐設定'!$B$30)</x:f>
        <x:v>115.82319710606825</x:v>
      </x:c>
      <x:c r="H50" s="7" t="n">
        <x:f>AL50*E50</x:f>
        <x:v>333.3333333333333</x:v>
      </x:c>
      <x:c r="I50" s="7" t="n">
        <x:f>F50*(1-D50-'損益分岐設定'!$B$10)-G50-H50</x:f>
        <x:v>2870.843469560598</x:v>
      </x:c>
      <x:c r="J50" s="1" t="n">
        <x:f>IF(MIN(V50:Y50)&gt;1000,"範囲内なし",MIN(V50:Y50))</x:f>
        <x:v>13</x:v>
      </x:c>
      <x:c r="K50" s="1" t="n">
        <x:f>IF(MAX(Z50:AC50)&gt;=1000,"範囲内なし",MAX(1,MAX(Z50:AC50)+1))</x:f>
        <x:v>13</x:v>
      </x:c>
      <x:c r="L50" s="7" t="n">
        <x:f>10*I50-R50</x:f>
        <x:v>-1302.4999307018188</x:v>
      </x:c>
      <x:c r="M50" s="7" t="n">
        <x:f>30*I50-S50</x:f>
        <x:v>51614.36946051014</x:v>
      </x:c>
      <x:c r="N50" s="7" t="n">
        <x:f>50*I50-S50</x:f>
        <x:v>109031.2388517221</x:v>
      </x:c>
      <x:c r="O50" s="7" t="n">
        <x:f>100*I50-S50</x:f>
        <x:v>252573.412329752</x:v>
      </x:c>
      <x:c r="P50" s="7" t="n">
        <x:f>300*I50-T50</x:f>
        <x:v>804742.1062418716</x:v>
      </x:c>
      <x:c r="Q50" s="7" t="n">
        <x:f>1000*I50-U50</x:f>
        <x:v>2784332.53493429</x:v>
      </x:c>
      <x:c r="R5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50*'損益分岐設定'!$B$12*'損益分岐設定'!$B$11</x:f>
        <x:v>30010.934626307797</x:v>
      </x:c>
      <x:c r="S5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50*'損益分岐設定'!$B$12*'損益分岐設定'!$B$11</x:f>
        <x:v>34510.9346263078</x:v>
      </x:c>
      <x:c r="T5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50*'損益分岐設定'!$B$12*'損益分岐設定'!$B$11</x:f>
        <x:v>56510.9346263078</x:v>
      </x:c>
      <x:c r="U5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50*'損益分岐設定'!$B$12*'損益分岐設定'!$B$11</x:f>
        <x:v>86510.9346263078</x:v>
      </x:c>
      <x:c r="V50" s="1" t="n">
        <x:f>IF(I50&lt;=0,1001,IF(MAX('損益分岐設定'!B37,ROUNDUP(R50/I50,0))&lt;='損益分岐設定'!C37,MAX('損益分岐設定'!B37,ROUNDUP(R50/I50,0)),1001))</x:f>
        <x:v>1001</x:v>
      </x:c>
      <x:c r="W50" s="1" t="n">
        <x:f>IF(I50&lt;=0,1001,IF(MAX('損益分岐設定'!B38,ROUNDUP(S50/I50,0))&lt;='損益分岐設定'!C38,MAX('損益分岐設定'!B38,ROUNDUP(S50/I50,0)),1001))</x:f>
        <x:v>13</x:v>
      </x:c>
      <x:c r="X50" s="1" t="n">
        <x:f>IF(I50&lt;=0,1001,IF(MAX('損益分岐設定'!B39,ROUNDUP(T50/I50,0))&lt;='損益分岐設定'!C39,MAX('損益分岐設定'!B39,ROUNDUP(T50/I50,0)),1001))</x:f>
        <x:v>101</x:v>
      </x:c>
      <x:c r="Y50" s="1" t="n">
        <x:f>IF(I50&lt;=0,1001,IF(MAX('損益分岐設定'!B40,ROUNDUP(U50/I50,0))&lt;='損益分岐設定'!C40,MAX('損益分岐設定'!B40,ROUNDUP(U50/I50,0)),1001))</x:f>
        <x:v>501</x:v>
      </x:c>
      <x:c r="Z50" s="1" t="n">
        <x:f>IF(I50&lt;=0,'損益分岐設定'!C37,IF('損益分岐設定'!C37*I50-R50&lt;0,'損益分岐設定'!C37,IF('損益分岐設定'!B37*I50-R50&gt;=0,0,ROUNDUP(R50/I50,0)-1)))</x:f>
        <x:v>10</x:v>
      </x:c>
      <x:c r="AA50" s="1" t="n">
        <x:f>IF(I50&lt;=0,'損益分岐設定'!C38,IF('損益分岐設定'!C38*I50-S50&lt;0,'損益分岐設定'!C38,IF('損益分岐設定'!B38*I50-S50&gt;=0,0,ROUNDUP(S50/I50,0)-1)))</x:f>
        <x:v>12</x:v>
      </x:c>
      <x:c r="AB50" s="1" t="n">
        <x:f>IF(I50&lt;=0,'損益分岐設定'!C39,IF('損益分岐設定'!C39*I50-T50&lt;0,'損益分岐設定'!C39,IF('損益分岐設定'!B39*I50-T50&gt;=0,0,ROUNDUP(T50/I50,0)-1)))</x:f>
        <x:v>0</x:v>
      </x:c>
      <x:c r="AC50" s="1" t="n">
        <x:f>IF(I50&lt;=0,'損益分岐設定'!C40,IF('損益分岐設定'!C40*I50-U50&lt;0,'損益分岐設定'!C40,IF('損益分岐設定'!B40*I50-U50&gt;=0,0,ROUNDUP(U50/I50,0)-1)))</x:f>
        <x:v>0</x:v>
      </x:c>
      <x:c r="AD50" s="1" t="n">
        <x:v>0</x:v>
      </x:c>
      <x:c r="AE50" s="1" t="n">
        <x:v>1</x:v>
      </x:c>
      <x:c r="AF50" s="1" t="n">
        <x:v>0</x:v>
      </x:c>
      <x:c r="AG50" s="1" t="n">
        <x:f>AD50*'損益分岐設定'!$C$56+AE50*'損益分岐設定'!$C$59+AF50*'損益分岐設定'!$C$62</x:f>
        <x:v>115.42604943847657</x:v>
      </x:c>
      <x:c r="AH50" s="1" t="n">
        <x:f>AD50*'損益分岐設定'!$D$56+AE50*'損益分岐設定'!$D$59+AF50*'損益分岐設定'!$D$62</x:f>
        <x:v>30</x:v>
      </x:c>
      <x:c r="AI50" s="1" t="n">
        <x:f>AD50*'損益分岐設定'!$E$56+AE50*'損益分岐設定'!$E$59+AF50*'損益分岐設定'!$E$62</x:f>
        <x:v>20</x:v>
      </x:c>
      <x:c r="AJ50" s="1" t="n">
        <x:f>(AD50*'損益分岐設定'!$F$56+AE50*'損益分岐設定'!$F$59+AF50*'損益分岐設定'!$F$62*1)*'損益分岐設定'!$B$22</x:f>
        <x:v>30</x:v>
      </x:c>
      <x:c r="AK50" s="1" t="n">
        <x:f>AD50*'損益分岐設定'!$G$56+AE50*'損益分岐設定'!$G$59+AF50*'損益分岐設定'!$G$62</x:f>
        <x:v>100</x:v>
      </x:c>
      <x:c r="AL50" s="1" t="n">
        <x:f>AD50*'損益分岐設定'!$H$56+AE50*'損益分岐設定'!$H$59+AF50*'損益分岐設定'!$H$62</x:f>
        <x:v>333.3333333333333</x:v>
      </x:c>
      <x:c r="AM50" s="1" t="n">
        <x:f>MAX(1,ROUNDUP('損益分岐設定'!C37*AJ50/('損益分岐設定'!$B$23*'損益分岐設定'!$B$24*3600*'損益分岐設定'!$B$25),0))</x:f>
        <x:v>1</x:v>
      </x:c>
      <x:c r="AN50" s="1" t="n">
        <x:f>MAX(2,ROUNDUP('損益分岐設定'!C38*AJ50/('損益分岐設定'!$B$23*'損益分岐設定'!$B$24*3600*'損益分岐設定'!$B$25),0))</x:f>
        <x:v>2</x:v>
      </x:c>
      <x:c r="AO50" s="1" t="n">
        <x:f>MAX(2,ROUNDUP('損益分岐設定'!C39*AJ50/('損益分岐設定'!$B$23*'損益分岐設定'!$B$24*3600*'損益分岐設定'!$B$25),0))</x:f>
        <x:v>2</x:v>
      </x:c>
      <x:c r="AP50" s="1" t="n">
        <x:f>MAX(2,ROUNDUP('損益分岐設定'!C40*AJ50/('損益分岐設定'!$B$23*'損益分岐設定'!$B$24*3600*'損益分岐設定'!$B$25),0))</x:f>
        <x:v>2</x:v>
      </x:c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 ht="23" customHeight="1">
      <x:c r="A51" s="1" t="str">
        <x:v>Run</x:v>
      </x:c>
      <x:c r="B51" s="1" t="str">
        <x:v>Business</x:v>
      </x:c>
      <x:c r="C51" s="1" t="str">
        <x:v>低位</x:v>
      </x:c>
      <x:c r="D51" s="21" t="n">
        <x:v>0.4</x:v>
      </x:c>
      <x:c r="E51" s="1" t="n">
        <x:v>0</x:v>
      </x:c>
      <x:c r="F51" s="7" t="n">
        <x:f>AD51*'損益分岐設定'!$B$5+AE51*'損益分岐設定'!$B$6+AF51*'損益分岐設定'!$B$7</x:f>
        <x:v>5000</x:v>
      </x:c>
      <x:c r="G51" s="7" t="n">
        <x:f>AG51+(AH51+AI51)*('損益分岐設定'!$B$29+0.5*'損益分岐設定'!$B$30)+AK51*'損益分岐設定'!$B$32+(AJ51+AK51/'損益分岐設定'!$B$28*'損益分岐設定'!$B$26)*('損益分岐設定'!$B$29+'損益分岐設定'!$B$31*'損益分岐設定'!$B$30)</x:f>
        <x:v>115.82319710606825</x:v>
      </x:c>
      <x:c r="H51" s="7" t="n">
        <x:f>AL51*E51</x:f>
        <x:v>0</x:v>
      </x:c>
      <x:c r="I51" s="7" t="n">
        <x:f>F51*(1-D51-'損益分岐設定'!$B$10)-G51-H51</x:f>
        <x:v>2704.1768028939314</x:v>
      </x:c>
      <x:c r="J51" s="1" t="n">
        <x:f>IF(MIN(V51:Y51)&gt;1000,"範囲内なし",MIN(V51:Y51))</x:f>
        <x:v>9</x:v>
      </x:c>
      <x:c r="K51" s="1" t="n">
        <x:f>IF(MAX(Z51:AC51)&gt;=1000,"範囲内なし",MAX(1,MAX(Z51:AC51)+1))</x:f>
        <x:v>9</x:v>
      </x:c>
      <x:c r="L51" s="7" t="n">
        <x:f>10*I51-R51</x:f>
        <x:v>5030.833402631517</x:v>
      </x:c>
      <x:c r="M51" s="7" t="n">
        <x:f>30*I51-S51</x:f>
        <x:v>54614.36946051014</x:v>
      </x:c>
      <x:c r="N51" s="7" t="n">
        <x:f>50*I51-S51</x:f>
        <x:v>108697.90551838875</x:v>
      </x:c>
      <x:c r="O51" s="7" t="n">
        <x:f>100*I51-S51</x:f>
        <x:v>243906.7456630853</x:v>
      </x:c>
      <x:c r="P51" s="7" t="n">
        <x:f>300*I51-T51</x:f>
        <x:v>762742.1062418716</x:v>
      </x:c>
      <x:c r="Q51" s="7" t="n">
        <x:f>1000*I51-U51</x:f>
        <x:v>2625665.8682676237</x:v>
      </x:c>
      <x:c r="R5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51*'損益分岐設定'!$B$12*'損益分岐設定'!$B$11</x:f>
        <x:v>22010.934626307797</x:v>
      </x:c>
      <x:c r="S5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51*'損益分岐設定'!$B$12*'損益分岐設定'!$B$11</x:f>
        <x:v>26510.934626307797</x:v>
      </x:c>
      <x:c r="T5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51*'損益分岐設定'!$B$12*'損益分岐設定'!$B$11</x:f>
        <x:v>48510.9346263078</x:v>
      </x:c>
      <x:c r="U5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51*'損益分岐設定'!$B$12*'損益分岐設定'!$B$11</x:f>
        <x:v>78510.9346263078</x:v>
      </x:c>
      <x:c r="V51" s="1" t="n">
        <x:f>IF(I51&lt;=0,1001,IF(MAX('損益分岐設定'!B37,ROUNDUP(R51/I51,0))&lt;='損益分岐設定'!C37,MAX('損益分岐設定'!B37,ROUNDUP(R51/I51,0)),1001))</x:f>
        <x:v>9</x:v>
      </x:c>
      <x:c r="W51" s="1" t="n">
        <x:f>IF(I51&lt;=0,1001,IF(MAX('損益分岐設定'!B38,ROUNDUP(S51/I51,0))&lt;='損益分岐設定'!C38,MAX('損益分岐設定'!B38,ROUNDUP(S51/I51,0)),1001))</x:f>
        <x:v>11</x:v>
      </x:c>
      <x:c r="X51" s="1" t="n">
        <x:f>IF(I51&lt;=0,1001,IF(MAX('損益分岐設定'!B39,ROUNDUP(T51/I51,0))&lt;='損益分岐設定'!C39,MAX('損益分岐設定'!B39,ROUNDUP(T51/I51,0)),1001))</x:f>
        <x:v>101</x:v>
      </x:c>
      <x:c r="Y51" s="1" t="n">
        <x:f>IF(I51&lt;=0,1001,IF(MAX('損益分岐設定'!B40,ROUNDUP(U51/I51,0))&lt;='損益分岐設定'!C40,MAX('損益分岐設定'!B40,ROUNDUP(U51/I51,0)),1001))</x:f>
        <x:v>501</x:v>
      </x:c>
      <x:c r="Z51" s="1" t="n">
        <x:f>IF(I51&lt;=0,'損益分岐設定'!C37,IF('損益分岐設定'!C37*I51-R51&lt;0,'損益分岐設定'!C37,IF('損益分岐設定'!B37*I51-R51&gt;=0,0,ROUNDUP(R51/I51,0)-1)))</x:f>
        <x:v>8</x:v>
      </x:c>
      <x:c r="AA51" s="1" t="n">
        <x:f>IF(I51&lt;=0,'損益分岐設定'!C38,IF('損益分岐設定'!C38*I51-S51&lt;0,'損益分岐設定'!C38,IF('損益分岐設定'!B38*I51-S51&gt;=0,0,ROUNDUP(S51/I51,0)-1)))</x:f>
        <x:v>0</x:v>
      </x:c>
      <x:c r="AB51" s="1" t="n">
        <x:f>IF(I51&lt;=0,'損益分岐設定'!C39,IF('損益分岐設定'!C39*I51-T51&lt;0,'損益分岐設定'!C39,IF('損益分岐設定'!B39*I51-T51&gt;=0,0,ROUNDUP(T51/I51,0)-1)))</x:f>
        <x:v>0</x:v>
      </x:c>
      <x:c r="AC51" s="1" t="n">
        <x:f>IF(I51&lt;=0,'損益分岐設定'!C40,IF('損益分岐設定'!C40*I51-U51&lt;0,'損益分岐設定'!C40,IF('損益分岐設定'!B40*I51-U51&gt;=0,0,ROUNDUP(U51/I51,0)-1)))</x:f>
        <x:v>0</x:v>
      </x:c>
      <x:c r="AD51" s="1" t="n">
        <x:v>0</x:v>
      </x:c>
      <x:c r="AE51" s="1" t="n">
        <x:v>1</x:v>
      </x:c>
      <x:c r="AF51" s="1" t="n">
        <x:v>0</x:v>
      </x:c>
      <x:c r="AG51" s="1" t="n">
        <x:f>AD51*'損益分岐設定'!$C$56+AE51*'損益分岐設定'!$C$59+AF51*'損益分岐設定'!$C$62</x:f>
        <x:v>115.42604943847657</x:v>
      </x:c>
      <x:c r="AH51" s="1" t="n">
        <x:f>AD51*'損益分岐設定'!$D$56+AE51*'損益分岐設定'!$D$59+AF51*'損益分岐設定'!$D$62</x:f>
        <x:v>30</x:v>
      </x:c>
      <x:c r="AI51" s="1" t="n">
        <x:f>AD51*'損益分岐設定'!$E$56+AE51*'損益分岐設定'!$E$59+AF51*'損益分岐設定'!$E$62</x:f>
        <x:v>20</x:v>
      </x:c>
      <x:c r="AJ51" s="1" t="n">
        <x:f>(AD51*'損益分岐設定'!$F$56+AE51*'損益分岐設定'!$F$59+AF51*'損益分岐設定'!$F$62*1)*'損益分岐設定'!$B$22</x:f>
        <x:v>30</x:v>
      </x:c>
      <x:c r="AK51" s="1" t="n">
        <x:f>AD51*'損益分岐設定'!$G$56+AE51*'損益分岐設定'!$G$59+AF51*'損益分岐設定'!$G$62</x:f>
        <x:v>100</x:v>
      </x:c>
      <x:c r="AL51" s="1" t="n">
        <x:f>AD51*'損益分岐設定'!$H$56+AE51*'損益分岐設定'!$H$59+AF51*'損益分岐設定'!$H$62</x:f>
        <x:v>333.3333333333333</x:v>
      </x:c>
      <x:c r="AM51" s="1" t="n">
        <x:f>MAX(1,ROUNDUP('損益分岐設定'!C37*AJ51/('損益分岐設定'!$B$23*'損益分岐設定'!$B$24*3600*'損益分岐設定'!$B$25),0))</x:f>
        <x:v>1</x:v>
      </x:c>
      <x:c r="AN51" s="1" t="n">
        <x:f>MAX(2,ROUNDUP('損益分岐設定'!C38*AJ51/('損益分岐設定'!$B$23*'損益分岐設定'!$B$24*3600*'損益分岐設定'!$B$25),0))</x:f>
        <x:v>2</x:v>
      </x:c>
      <x:c r="AO51" s="1" t="n">
        <x:f>MAX(2,ROUNDUP('損益分岐設定'!C39*AJ51/('損益分岐設定'!$B$23*'損益分岐設定'!$B$24*3600*'損益分岐設定'!$B$25),0))</x:f>
        <x:v>2</x:v>
      </x:c>
      <x:c r="AP51" s="1" t="n">
        <x:f>MAX(2,ROUNDUP('損益分岐設定'!C40*AJ51/('損益分岐設定'!$B$23*'損益分岐設定'!$B$24*3600*'損益分岐設定'!$B$25),0))</x:f>
        <x:v>2</x:v>
      </x:c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 ht="23" customHeight="1">
      <x:c r="A52" s="1" t="str">
        <x:v>Run</x:v>
      </x:c>
      <x:c r="B52" s="1" t="str">
        <x:v>Business</x:v>
      </x:c>
      <x:c r="C52" s="1" t="str">
        <x:v>低位</x:v>
      </x:c>
      <x:c r="D52" s="21" t="n">
        <x:v>0.4</x:v>
      </x:c>
      <x:c r="E52" s="1" t="n">
        <x:v>1</x:v>
      </x:c>
      <x:c r="F52" s="7" t="n">
        <x:f>AD52*'損益分岐設定'!$B$5+AE52*'損益分岐設定'!$B$6+AF52*'損益分岐設定'!$B$7</x:f>
        <x:v>5000</x:v>
      </x:c>
      <x:c r="G52" s="7" t="n">
        <x:f>AG52+(AH52+AI52)*('損益分岐設定'!$B$29+0.5*'損益分岐設定'!$B$30)+AK52*'損益分岐設定'!$B$32+(AJ52+AK52/'損益分岐設定'!$B$28*'損益分岐設定'!$B$26)*('損益分岐設定'!$B$29+'損益分岐設定'!$B$31*'損益分岐設定'!$B$30)</x:f>
        <x:v>115.82319710606825</x:v>
      </x:c>
      <x:c r="H52" s="7" t="n">
        <x:f>AL52*E52</x:f>
        <x:v>333.3333333333333</x:v>
      </x:c>
      <x:c r="I52" s="7" t="n">
        <x:f>F52*(1-D52-'損益分岐設定'!$B$10)-G52-H52</x:f>
        <x:v>2370.843469560598</x:v>
      </x:c>
      <x:c r="J52" s="1" t="n">
        <x:f>IF(MIN(V52:Y52)&gt;1000,"範囲内なし",MIN(V52:Y52))</x:f>
        <x:v>15</x:v>
      </x:c>
      <x:c r="K52" s="1" t="n">
        <x:f>IF(MAX(Z52:AC52)&gt;=1000,"範囲内なし",MAX(1,MAX(Z52:AC52)+1))</x:f>
        <x:v>15</x:v>
      </x:c>
      <x:c r="L52" s="7" t="n">
        <x:f>10*I52-R52</x:f>
        <x:v>-6302.499930701819</x:v>
      </x:c>
      <x:c r="M52" s="7" t="n">
        <x:f>30*I52-S52</x:f>
        <x:v>36614.36946051014</x:v>
      </x:c>
      <x:c r="N52" s="7" t="n">
        <x:f>50*I52-S52</x:f>
        <x:v>84031.2388517221</x:v>
      </x:c>
      <x:c r="O52" s="7" t="n">
        <x:f>100*I52-S52</x:f>
        <x:v>202573.412329752</x:v>
      </x:c>
      <x:c r="P52" s="7" t="n">
        <x:f>300*I52-T52</x:f>
        <x:v>654742.1062418716</x:v>
      </x:c>
      <x:c r="Q52" s="7" t="n">
        <x:f>1000*I52-U52</x:f>
        <x:v>2284332.53493429</x:v>
      </x:c>
      <x:c r="R5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52*'損益分岐設定'!$B$12*'損益分岐設定'!$B$11</x:f>
        <x:v>30010.934626307797</x:v>
      </x:c>
      <x:c r="S5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52*'損益分岐設定'!$B$12*'損益分岐設定'!$B$11</x:f>
        <x:v>34510.9346263078</x:v>
      </x:c>
      <x:c r="T5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52*'損益分岐設定'!$B$12*'損益分岐設定'!$B$11</x:f>
        <x:v>56510.9346263078</x:v>
      </x:c>
      <x:c r="U5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52*'損益分岐設定'!$B$12*'損益分岐設定'!$B$11</x:f>
        <x:v>86510.9346263078</x:v>
      </x:c>
      <x:c r="V52" s="1" t="n">
        <x:f>IF(I52&lt;=0,1001,IF(MAX('損益分岐設定'!B37,ROUNDUP(R52/I52,0))&lt;='損益分岐設定'!C37,MAX('損益分岐設定'!B37,ROUNDUP(R52/I52,0)),1001))</x:f>
        <x:v>1001</x:v>
      </x:c>
      <x:c r="W52" s="1" t="n">
        <x:f>IF(I52&lt;=0,1001,IF(MAX('損益分岐設定'!B38,ROUNDUP(S52/I52,0))&lt;='損益分岐設定'!C38,MAX('損益分岐設定'!B38,ROUNDUP(S52/I52,0)),1001))</x:f>
        <x:v>15</x:v>
      </x:c>
      <x:c r="X52" s="1" t="n">
        <x:f>IF(I52&lt;=0,1001,IF(MAX('損益分岐設定'!B39,ROUNDUP(T52/I52,0))&lt;='損益分岐設定'!C39,MAX('損益分岐設定'!B39,ROUNDUP(T52/I52,0)),1001))</x:f>
        <x:v>101</x:v>
      </x:c>
      <x:c r="Y52" s="1" t="n">
        <x:f>IF(I52&lt;=0,1001,IF(MAX('損益分岐設定'!B40,ROUNDUP(U52/I52,0))&lt;='損益分岐設定'!C40,MAX('損益分岐設定'!B40,ROUNDUP(U52/I52,0)),1001))</x:f>
        <x:v>501</x:v>
      </x:c>
      <x:c r="Z52" s="1" t="n">
        <x:f>IF(I52&lt;=0,'損益分岐設定'!C37,IF('損益分岐設定'!C37*I52-R52&lt;0,'損益分岐設定'!C37,IF('損益分岐設定'!B37*I52-R52&gt;=0,0,ROUNDUP(R52/I52,0)-1)))</x:f>
        <x:v>10</x:v>
      </x:c>
      <x:c r="AA52" s="1" t="n">
        <x:f>IF(I52&lt;=0,'損益分岐設定'!C38,IF('損益分岐設定'!C38*I52-S52&lt;0,'損益分岐設定'!C38,IF('損益分岐設定'!B38*I52-S52&gt;=0,0,ROUNDUP(S52/I52,0)-1)))</x:f>
        <x:v>14</x:v>
      </x:c>
      <x:c r="AB52" s="1" t="n">
        <x:f>IF(I52&lt;=0,'損益分岐設定'!C39,IF('損益分岐設定'!C39*I52-T52&lt;0,'損益分岐設定'!C39,IF('損益分岐設定'!B39*I52-T52&gt;=0,0,ROUNDUP(T52/I52,0)-1)))</x:f>
        <x:v>0</x:v>
      </x:c>
      <x:c r="AC52" s="1" t="n">
        <x:f>IF(I52&lt;=0,'損益分岐設定'!C40,IF('損益分岐設定'!C40*I52-U52&lt;0,'損益分岐設定'!C40,IF('損益分岐設定'!B40*I52-U52&gt;=0,0,ROUNDUP(U52/I52,0)-1)))</x:f>
        <x:v>0</x:v>
      </x:c>
      <x:c r="AD52" s="1" t="n">
        <x:v>0</x:v>
      </x:c>
      <x:c r="AE52" s="1" t="n">
        <x:v>1</x:v>
      </x:c>
      <x:c r="AF52" s="1" t="n">
        <x:v>0</x:v>
      </x:c>
      <x:c r="AG52" s="1" t="n">
        <x:f>AD52*'損益分岐設定'!$C$56+AE52*'損益分岐設定'!$C$59+AF52*'損益分岐設定'!$C$62</x:f>
        <x:v>115.42604943847657</x:v>
      </x:c>
      <x:c r="AH52" s="1" t="n">
        <x:f>AD52*'損益分岐設定'!$D$56+AE52*'損益分岐設定'!$D$59+AF52*'損益分岐設定'!$D$62</x:f>
        <x:v>30</x:v>
      </x:c>
      <x:c r="AI52" s="1" t="n">
        <x:f>AD52*'損益分岐設定'!$E$56+AE52*'損益分岐設定'!$E$59+AF52*'損益分岐設定'!$E$62</x:f>
        <x:v>20</x:v>
      </x:c>
      <x:c r="AJ52" s="1" t="n">
        <x:f>(AD52*'損益分岐設定'!$F$56+AE52*'損益分岐設定'!$F$59+AF52*'損益分岐設定'!$F$62*1)*'損益分岐設定'!$B$22</x:f>
        <x:v>30</x:v>
      </x:c>
      <x:c r="AK52" s="1" t="n">
        <x:f>AD52*'損益分岐設定'!$G$56+AE52*'損益分岐設定'!$G$59+AF52*'損益分岐設定'!$G$62</x:f>
        <x:v>100</x:v>
      </x:c>
      <x:c r="AL52" s="1" t="n">
        <x:f>AD52*'損益分岐設定'!$H$56+AE52*'損益分岐設定'!$H$59+AF52*'損益分岐設定'!$H$62</x:f>
        <x:v>333.3333333333333</x:v>
      </x:c>
      <x:c r="AM52" s="1" t="n">
        <x:f>MAX(1,ROUNDUP('損益分岐設定'!C37*AJ52/('損益分岐設定'!$B$23*'損益分岐設定'!$B$24*3600*'損益分岐設定'!$B$25),0))</x:f>
        <x:v>1</x:v>
      </x:c>
      <x:c r="AN52" s="1" t="n">
        <x:f>MAX(2,ROUNDUP('損益分岐設定'!C38*AJ52/('損益分岐設定'!$B$23*'損益分岐設定'!$B$24*3600*'損益分岐設定'!$B$25),0))</x:f>
        <x:v>2</x:v>
      </x:c>
      <x:c r="AO52" s="1" t="n">
        <x:f>MAX(2,ROUNDUP('損益分岐設定'!C39*AJ52/('損益分岐設定'!$B$23*'損益分岐設定'!$B$24*3600*'損益分岐設定'!$B$25),0))</x:f>
        <x:v>2</x:v>
      </x:c>
      <x:c r="AP52" s="1" t="n">
        <x:f>MAX(2,ROUNDUP('損益分岐設定'!C40*AJ52/('損益分岐設定'!$B$23*'損益分岐設定'!$B$24*3600*'損益分岐設定'!$B$25),0))</x:f>
        <x:v>2</x:v>
      </x:c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 ht="23" customHeight="1">
      <x:c r="A53" s="1" t="str">
        <x:v>Run</x:v>
      </x:c>
      <x:c r="B53" s="1" t="str">
        <x:v>Business</x:v>
      </x:c>
      <x:c r="C53" s="1" t="str">
        <x:v>低位</x:v>
      </x:c>
      <x:c r="D53" s="21" t="n">
        <x:v>0.5</x:v>
      </x:c>
      <x:c r="E53" s="1" t="n">
        <x:v>0</x:v>
      </x:c>
      <x:c r="F53" s="7" t="n">
        <x:f>AD53*'損益分岐設定'!$B$5+AE53*'損益分岐設定'!$B$6+AF53*'損益分岐設定'!$B$7</x:f>
        <x:v>5000</x:v>
      </x:c>
      <x:c r="G53" s="7" t="n">
        <x:f>AG53+(AH53+AI53)*('損益分岐設定'!$B$29+0.5*'損益分岐設定'!$B$30)+AK53*'損益分岐設定'!$B$32+(AJ53+AK53/'損益分岐設定'!$B$28*'損益分岐設定'!$B$26)*('損益分岐設定'!$B$29+'損益分岐設定'!$B$31*'損益分岐設定'!$B$30)</x:f>
        <x:v>115.82319710606825</x:v>
      </x:c>
      <x:c r="H53" s="7" t="n">
        <x:f>AL53*E53</x:f>
        <x:v>0</x:v>
      </x:c>
      <x:c r="I53" s="7" t="n">
        <x:f>F53*(1-D53-'損益分岐設定'!$B$10)-G53-H53</x:f>
        <x:v>2204.176802893932</x:v>
      </x:c>
      <x:c r="J53" s="1" t="n">
        <x:f>IF(MIN(V53:Y53)&gt;1000,"範囲内なし",MIN(V53:Y53))</x:f>
        <x:v>10</x:v>
      </x:c>
      <x:c r="K53" s="1" t="n">
        <x:f>IF(MAX(Z53:AC53)&gt;=1000,"範囲内なし",MAX(1,MAX(Z53:AC53)+1))</x:f>
        <x:v>13</x:v>
      </x:c>
      <x:c r="L53" s="7" t="n">
        <x:f>10*I53-R53</x:f>
        <x:v>30.833402631520585</x:v>
      </x:c>
      <x:c r="M53" s="7" t="n">
        <x:f>30*I53-S53</x:f>
        <x:v>39614.369460510155</x:v>
      </x:c>
      <x:c r="N53" s="7" t="n">
        <x:f>50*I53-S53</x:f>
        <x:v>83697.90551838878</x:v>
      </x:c>
      <x:c r="O53" s="7" t="n">
        <x:f>100*I53-S53</x:f>
        <x:v>193906.74566308537</x:v>
      </x:c>
      <x:c r="P53" s="7" t="n">
        <x:f>300*I53-T53</x:f>
        <x:v>612742.1062418717</x:v>
      </x:c>
      <x:c r="Q53" s="7" t="n">
        <x:f>1000*I53-U53</x:f>
        <x:v>2125665.868267624</x:v>
      </x:c>
      <x:c r="R5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53*'損益分岐設定'!$B$12*'損益分岐設定'!$B$11</x:f>
        <x:v>22010.934626307797</x:v>
      </x:c>
      <x:c r="S5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53*'損益分岐設定'!$B$12*'損益分岐設定'!$B$11</x:f>
        <x:v>26510.934626307797</x:v>
      </x:c>
      <x:c r="T5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53*'損益分岐設定'!$B$12*'損益分岐設定'!$B$11</x:f>
        <x:v>48510.9346263078</x:v>
      </x:c>
      <x:c r="U5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53*'損益分岐設定'!$B$12*'損益分岐設定'!$B$11</x:f>
        <x:v>78510.9346263078</x:v>
      </x:c>
      <x:c r="V53" s="1" t="n">
        <x:f>IF(I53&lt;=0,1001,IF(MAX('損益分岐設定'!B37,ROUNDUP(R53/I53,0))&lt;='損益分岐設定'!C37,MAX('損益分岐設定'!B37,ROUNDUP(R53/I53,0)),1001))</x:f>
        <x:v>10</x:v>
      </x:c>
      <x:c r="W53" s="1" t="n">
        <x:f>IF(I53&lt;=0,1001,IF(MAX('損益分岐設定'!B38,ROUNDUP(S53/I53,0))&lt;='損益分岐設定'!C38,MAX('損益分岐設定'!B38,ROUNDUP(S53/I53,0)),1001))</x:f>
        <x:v>13</x:v>
      </x:c>
      <x:c r="X53" s="1" t="n">
        <x:f>IF(I53&lt;=0,1001,IF(MAX('損益分岐設定'!B39,ROUNDUP(T53/I53,0))&lt;='損益分岐設定'!C39,MAX('損益分岐設定'!B39,ROUNDUP(T53/I53,0)),1001))</x:f>
        <x:v>101</x:v>
      </x:c>
      <x:c r="Y53" s="1" t="n">
        <x:f>IF(I53&lt;=0,1001,IF(MAX('損益分岐設定'!B40,ROUNDUP(U53/I53,0))&lt;='損益分岐設定'!C40,MAX('損益分岐設定'!B40,ROUNDUP(U53/I53,0)),1001))</x:f>
        <x:v>501</x:v>
      </x:c>
      <x:c r="Z53" s="1" t="n">
        <x:f>IF(I53&lt;=0,'損益分岐設定'!C37,IF('損益分岐設定'!C37*I53-R53&lt;0,'損益分岐設定'!C37,IF('損益分岐設定'!B37*I53-R53&gt;=0,0,ROUNDUP(R53/I53,0)-1)))</x:f>
        <x:v>9</x:v>
      </x:c>
      <x:c r="AA53" s="1" t="n">
        <x:f>IF(I53&lt;=0,'損益分岐設定'!C38,IF('損益分岐設定'!C38*I53-S53&lt;0,'損益分岐設定'!C38,IF('損益分岐設定'!B38*I53-S53&gt;=0,0,ROUNDUP(S53/I53,0)-1)))</x:f>
        <x:v>12</x:v>
      </x:c>
      <x:c r="AB53" s="1" t="n">
        <x:f>IF(I53&lt;=0,'損益分岐設定'!C39,IF('損益分岐設定'!C39*I53-T53&lt;0,'損益分岐設定'!C39,IF('損益分岐設定'!B39*I53-T53&gt;=0,0,ROUNDUP(T53/I53,0)-1)))</x:f>
        <x:v>0</x:v>
      </x:c>
      <x:c r="AC53" s="1" t="n">
        <x:f>IF(I53&lt;=0,'損益分岐設定'!C40,IF('損益分岐設定'!C40*I53-U53&lt;0,'損益分岐設定'!C40,IF('損益分岐設定'!B40*I53-U53&gt;=0,0,ROUNDUP(U53/I53,0)-1)))</x:f>
        <x:v>0</x:v>
      </x:c>
      <x:c r="AD53" s="1" t="n">
        <x:v>0</x:v>
      </x:c>
      <x:c r="AE53" s="1" t="n">
        <x:v>1</x:v>
      </x:c>
      <x:c r="AF53" s="1" t="n">
        <x:v>0</x:v>
      </x:c>
      <x:c r="AG53" s="1" t="n">
        <x:f>AD53*'損益分岐設定'!$C$56+AE53*'損益分岐設定'!$C$59+AF53*'損益分岐設定'!$C$62</x:f>
        <x:v>115.42604943847657</x:v>
      </x:c>
      <x:c r="AH53" s="1" t="n">
        <x:f>AD53*'損益分岐設定'!$D$56+AE53*'損益分岐設定'!$D$59+AF53*'損益分岐設定'!$D$62</x:f>
        <x:v>30</x:v>
      </x:c>
      <x:c r="AI53" s="1" t="n">
        <x:f>AD53*'損益分岐設定'!$E$56+AE53*'損益分岐設定'!$E$59+AF53*'損益分岐設定'!$E$62</x:f>
        <x:v>20</x:v>
      </x:c>
      <x:c r="AJ53" s="1" t="n">
        <x:f>(AD53*'損益分岐設定'!$F$56+AE53*'損益分岐設定'!$F$59+AF53*'損益分岐設定'!$F$62*1)*'損益分岐設定'!$B$22</x:f>
        <x:v>30</x:v>
      </x:c>
      <x:c r="AK53" s="1" t="n">
        <x:f>AD53*'損益分岐設定'!$G$56+AE53*'損益分岐設定'!$G$59+AF53*'損益分岐設定'!$G$62</x:f>
        <x:v>100</x:v>
      </x:c>
      <x:c r="AL53" s="1" t="n">
        <x:f>AD53*'損益分岐設定'!$H$56+AE53*'損益分岐設定'!$H$59+AF53*'損益分岐設定'!$H$62</x:f>
        <x:v>333.3333333333333</x:v>
      </x:c>
      <x:c r="AM53" s="1" t="n">
        <x:f>MAX(1,ROUNDUP('損益分岐設定'!C37*AJ53/('損益分岐設定'!$B$23*'損益分岐設定'!$B$24*3600*'損益分岐設定'!$B$25),0))</x:f>
        <x:v>1</x:v>
      </x:c>
      <x:c r="AN53" s="1" t="n">
        <x:f>MAX(2,ROUNDUP('損益分岐設定'!C38*AJ53/('損益分岐設定'!$B$23*'損益分岐設定'!$B$24*3600*'損益分岐設定'!$B$25),0))</x:f>
        <x:v>2</x:v>
      </x:c>
      <x:c r="AO53" s="1" t="n">
        <x:f>MAX(2,ROUNDUP('損益分岐設定'!C39*AJ53/('損益分岐設定'!$B$23*'損益分岐設定'!$B$24*3600*'損益分岐設定'!$B$25),0))</x:f>
        <x:v>2</x:v>
      </x:c>
      <x:c r="AP53" s="1" t="n">
        <x:f>MAX(2,ROUNDUP('損益分岐設定'!C40*AJ53/('損益分岐設定'!$B$23*'損益分岐設定'!$B$24*3600*'損益分岐設定'!$B$25),0))</x:f>
        <x:v>2</x:v>
      </x:c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 ht="23" customHeight="1">
      <x:c r="A54" s="1" t="str">
        <x:v>Run</x:v>
      </x:c>
      <x:c r="B54" s="1" t="str">
        <x:v>Business</x:v>
      </x:c>
      <x:c r="C54" s="1" t="str">
        <x:v>低位</x:v>
      </x:c>
      <x:c r="D54" s="21" t="n">
        <x:v>0.5</x:v>
      </x:c>
      <x:c r="E54" s="1" t="n">
        <x:v>1</x:v>
      </x:c>
      <x:c r="F54" s="7" t="n">
        <x:f>AD54*'損益分岐設定'!$B$5+AE54*'損益分岐設定'!$B$6+AF54*'損益分岐設定'!$B$7</x:f>
        <x:v>5000</x:v>
      </x:c>
      <x:c r="G54" s="7" t="n">
        <x:f>AG54+(AH54+AI54)*('損益分岐設定'!$B$29+0.5*'損益分岐設定'!$B$30)+AK54*'損益分岐設定'!$B$32+(AJ54+AK54/'損益分岐設定'!$B$28*'損益分岐設定'!$B$26)*('損益分岐設定'!$B$29+'損益分岐設定'!$B$31*'損益分岐設定'!$B$30)</x:f>
        <x:v>115.82319710606825</x:v>
      </x:c>
      <x:c r="H54" s="7" t="n">
        <x:f>AL54*E54</x:f>
        <x:v>333.3333333333333</x:v>
      </x:c>
      <x:c r="I54" s="7" t="n">
        <x:f>F54*(1-D54-'損益分岐設定'!$B$10)-G54-H54</x:f>
        <x:v>1870.8434695605986</x:v>
      </x:c>
      <x:c r="J54" s="1" t="n">
        <x:f>IF(MIN(V54:Y54)&gt;1000,"範囲内なし",MIN(V54:Y54))</x:f>
        <x:v>19</x:v>
      </x:c>
      <x:c r="K54" s="1" t="n">
        <x:f>IF(MAX(Z54:AC54)&gt;=1000,"範囲内なし",MAX(1,MAX(Z54:AC54)+1))</x:f>
        <x:v>19</x:v>
      </x:c>
      <x:c r="L54" s="7" t="n">
        <x:f>10*I54-R54</x:f>
        <x:v>-11302.499930701812</x:v>
      </x:c>
      <x:c r="M54" s="7" t="n">
        <x:f>30*I54-S54</x:f>
        <x:v>21614.369460510163</x:v>
      </x:c>
      <x:c r="N54" s="7" t="n">
        <x:f>50*I54-S54</x:f>
        <x:v>59031.23885172213</x:v>
      </x:c>
      <x:c r="O54" s="7" t="n">
        <x:f>100*I54-S54</x:f>
        <x:v>152573.41232975206</x:v>
      </x:c>
      <x:c r="P54" s="7" t="n">
        <x:f>300*I54-T54</x:f>
        <x:v>504742.1062418717</x:v>
      </x:c>
      <x:c r="Q54" s="7" t="n">
        <x:f>1000*I54-U54</x:f>
        <x:v>1784332.5349342907</x:v>
      </x:c>
      <x:c r="R5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54*'損益分岐設定'!$B$12*'損益分岐設定'!$B$11</x:f>
        <x:v>30010.934626307797</x:v>
      </x:c>
      <x:c r="S5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54*'損益分岐設定'!$B$12*'損益分岐設定'!$B$11</x:f>
        <x:v>34510.9346263078</x:v>
      </x:c>
      <x:c r="T5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54*'損益分岐設定'!$B$12*'損益分岐設定'!$B$11</x:f>
        <x:v>56510.9346263078</x:v>
      </x:c>
      <x:c r="U5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54*'損益分岐設定'!$B$12*'損益分岐設定'!$B$11</x:f>
        <x:v>86510.9346263078</x:v>
      </x:c>
      <x:c r="V54" s="1" t="n">
        <x:f>IF(I54&lt;=0,1001,IF(MAX('損益分岐設定'!B37,ROUNDUP(R54/I54,0))&lt;='損益分岐設定'!C37,MAX('損益分岐設定'!B37,ROUNDUP(R54/I54,0)),1001))</x:f>
        <x:v>1001</x:v>
      </x:c>
      <x:c r="W54" s="1" t="n">
        <x:f>IF(I54&lt;=0,1001,IF(MAX('損益分岐設定'!B38,ROUNDUP(S54/I54,0))&lt;='損益分岐設定'!C38,MAX('損益分岐設定'!B38,ROUNDUP(S54/I54,0)),1001))</x:f>
        <x:v>19</x:v>
      </x:c>
      <x:c r="X54" s="1" t="n">
        <x:f>IF(I54&lt;=0,1001,IF(MAX('損益分岐設定'!B39,ROUNDUP(T54/I54,0))&lt;='損益分岐設定'!C39,MAX('損益分岐設定'!B39,ROUNDUP(T54/I54,0)),1001))</x:f>
        <x:v>101</x:v>
      </x:c>
      <x:c r="Y54" s="1" t="n">
        <x:f>IF(I54&lt;=0,1001,IF(MAX('損益分岐設定'!B40,ROUNDUP(U54/I54,0))&lt;='損益分岐設定'!C40,MAX('損益分岐設定'!B40,ROUNDUP(U54/I54,0)),1001))</x:f>
        <x:v>501</x:v>
      </x:c>
      <x:c r="Z54" s="1" t="n">
        <x:f>IF(I54&lt;=0,'損益分岐設定'!C37,IF('損益分岐設定'!C37*I54-R54&lt;0,'損益分岐設定'!C37,IF('損益分岐設定'!B37*I54-R54&gt;=0,0,ROUNDUP(R54/I54,0)-1)))</x:f>
        <x:v>10</x:v>
      </x:c>
      <x:c r="AA54" s="1" t="n">
        <x:f>IF(I54&lt;=0,'損益分岐設定'!C38,IF('損益分岐設定'!C38*I54-S54&lt;0,'損益分岐設定'!C38,IF('損益分岐設定'!B38*I54-S54&gt;=0,0,ROUNDUP(S54/I54,0)-1)))</x:f>
        <x:v>18</x:v>
      </x:c>
      <x:c r="AB54" s="1" t="n">
        <x:f>IF(I54&lt;=0,'損益分岐設定'!C39,IF('損益分岐設定'!C39*I54-T54&lt;0,'損益分岐設定'!C39,IF('損益分岐設定'!B39*I54-T54&gt;=0,0,ROUNDUP(T54/I54,0)-1)))</x:f>
        <x:v>0</x:v>
      </x:c>
      <x:c r="AC54" s="1" t="n">
        <x:f>IF(I54&lt;=0,'損益分岐設定'!C40,IF('損益分岐設定'!C40*I54-U54&lt;0,'損益分岐設定'!C40,IF('損益分岐設定'!B40*I54-U54&gt;=0,0,ROUNDUP(U54/I54,0)-1)))</x:f>
        <x:v>0</x:v>
      </x:c>
      <x:c r="AD54" s="1" t="n">
        <x:v>0</x:v>
      </x:c>
      <x:c r="AE54" s="1" t="n">
        <x:v>1</x:v>
      </x:c>
      <x:c r="AF54" s="1" t="n">
        <x:v>0</x:v>
      </x:c>
      <x:c r="AG54" s="1" t="n">
        <x:f>AD54*'損益分岐設定'!$C$56+AE54*'損益分岐設定'!$C$59+AF54*'損益分岐設定'!$C$62</x:f>
        <x:v>115.42604943847657</x:v>
      </x:c>
      <x:c r="AH54" s="1" t="n">
        <x:f>AD54*'損益分岐設定'!$D$56+AE54*'損益分岐設定'!$D$59+AF54*'損益分岐設定'!$D$62</x:f>
        <x:v>30</x:v>
      </x:c>
      <x:c r="AI54" s="1" t="n">
        <x:f>AD54*'損益分岐設定'!$E$56+AE54*'損益分岐設定'!$E$59+AF54*'損益分岐設定'!$E$62</x:f>
        <x:v>20</x:v>
      </x:c>
      <x:c r="AJ54" s="1" t="n">
        <x:f>(AD54*'損益分岐設定'!$F$56+AE54*'損益分岐設定'!$F$59+AF54*'損益分岐設定'!$F$62*1)*'損益分岐設定'!$B$22</x:f>
        <x:v>30</x:v>
      </x:c>
      <x:c r="AK54" s="1" t="n">
        <x:f>AD54*'損益分岐設定'!$G$56+AE54*'損益分岐設定'!$G$59+AF54*'損益分岐設定'!$G$62</x:f>
        <x:v>100</x:v>
      </x:c>
      <x:c r="AL54" s="1" t="n">
        <x:f>AD54*'損益分岐設定'!$H$56+AE54*'損益分岐設定'!$H$59+AF54*'損益分岐設定'!$H$62</x:f>
        <x:v>333.3333333333333</x:v>
      </x:c>
      <x:c r="AM54" s="1" t="n">
        <x:f>MAX(1,ROUNDUP('損益分岐設定'!C37*AJ54/('損益分岐設定'!$B$23*'損益分岐設定'!$B$24*3600*'損益分岐設定'!$B$25),0))</x:f>
        <x:v>1</x:v>
      </x:c>
      <x:c r="AN54" s="1" t="n">
        <x:f>MAX(2,ROUNDUP('損益分岐設定'!C38*AJ54/('損益分岐設定'!$B$23*'損益分岐設定'!$B$24*3600*'損益分岐設定'!$B$25),0))</x:f>
        <x:v>2</x:v>
      </x:c>
      <x:c r="AO54" s="1" t="n">
        <x:f>MAX(2,ROUNDUP('損益分岐設定'!C39*AJ54/('損益分岐設定'!$B$23*'損益分岐設定'!$B$24*3600*'損益分岐設定'!$B$25),0))</x:f>
        <x:v>2</x:v>
      </x:c>
      <x:c r="AP54" s="1" t="n">
        <x:f>MAX(2,ROUNDUP('損益分岐設定'!C40*AJ54/('損益分岐設定'!$B$23*'損益分岐設定'!$B$24*3600*'損益分岐設定'!$B$25),0))</x:f>
        <x:v>2</x:v>
      </x:c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 ht="23" customHeight="1">
      <x:c r="A55" s="1" t="str">
        <x:v>Run</x:v>
      </x:c>
      <x:c r="B55" s="1" t="str">
        <x:v>Business</x:v>
      </x:c>
      <x:c r="C55" s="1" t="str">
        <x:v>標準</x:v>
      </x:c>
      <x:c r="D55" s="21" t="n">
        <x:v>0</x:v>
      </x:c>
      <x:c r="E55" s="1" t="n">
        <x:v>0</x:v>
      </x:c>
      <x:c r="F55" s="7" t="n">
        <x:f>AD55*'損益分岐設定'!$B$5+AE55*'損益分岐設定'!$B$6+AF55*'損益分岐設定'!$B$7</x:f>
        <x:v>5000</x:v>
      </x:c>
      <x:c r="G55" s="7" t="n">
        <x:f>AG55+(AH55+AI55)*('損益分岐設定'!$B$29+0.5*'損益分岐設定'!$B$30)+AK55*'損益分岐設定'!$B$32+(AJ55+AK55/'損益分岐設定'!$B$28*'損益分岐設定'!$B$26)*('損益分岐設定'!$B$29+'損益分岐設定'!$B$31*'損益分岐設定'!$B$30)</x:f>
        <x:v>445.42048958224115</x:v>
      </x:c>
      <x:c r="H55" s="7" t="n">
        <x:f>AL55*E55</x:f>
        <x:v>0</x:v>
      </x:c>
      <x:c r="I55" s="7" t="n">
        <x:f>F55*(1-D55-'損益分岐設定'!$B$10)-G55-H55</x:f>
        <x:v>4374.579510417759</x:v>
      </x:c>
      <x:c r="J55" s="1" t="n">
        <x:f>IF(MIN(V55:Y55)&gt;1000,"範囲内なし",MIN(V55:Y55))</x:f>
        <x:v>6</x:v>
      </x:c>
      <x:c r="K55" s="1" t="n">
        <x:f>IF(MAX(Z55:AC55)&gt;=1000,"範囲内なし",MAX(1,MAX(Z55:AC55)+1))</x:f>
        <x:v>6</x:v>
      </x:c>
      <x:c r="L55" s="7" t="n">
        <x:f>10*I55-R55</x:f>
        <x:v>21734.86047786979</x:v>
      </x:c>
      <x:c r="M55" s="7" t="n">
        <x:f>30*I55-S55</x:f>
        <x:v>104726.45068622497</x:v>
      </x:c>
      <x:c r="N55" s="7" t="n">
        <x:f>50*I55-S55</x:f>
        <x:v>192218.04089458013</x:v>
      </x:c>
      <x:c r="O55" s="7" t="n">
        <x:f>100*I55-S55</x:f>
        <x:v>410947.01641546807</x:v>
      </x:c>
      <x:c r="P55" s="7" t="n">
        <x:f>300*I55-T55</x:f>
        <x:v>1263862.9184990197</x:v>
      </x:c>
      <x:c r="Q55" s="7" t="n">
        <x:f>1000*I55-U55</x:f>
        <x:v>4296068.57579145</x:v>
      </x:c>
      <x:c r="R5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55*'損益分岐設定'!$B$12*'損益分岐設定'!$B$11</x:f>
        <x:v>22010.934626307797</x:v>
      </x:c>
      <x:c r="S5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55*'損益分岐設定'!$B$12*'損益分岐設定'!$B$11</x:f>
        <x:v>26510.934626307797</x:v>
      </x:c>
      <x:c r="T5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55*'損益分岐設定'!$B$12*'損益分岐設定'!$B$11</x:f>
        <x:v>48510.9346263078</x:v>
      </x:c>
      <x:c r="U5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55*'損益分岐設定'!$B$12*'損益分岐設定'!$B$11</x:f>
        <x:v>78510.9346263078</x:v>
      </x:c>
      <x:c r="V55" s="1" t="n">
        <x:f>IF(I55&lt;=0,1001,IF(MAX('損益分岐設定'!B37,ROUNDUP(R55/I55,0))&lt;='損益分岐設定'!C37,MAX('損益分岐設定'!B37,ROUNDUP(R55/I55,0)),1001))</x:f>
        <x:v>6</x:v>
      </x:c>
      <x:c r="W55" s="1" t="n">
        <x:f>IF(I55&lt;=0,1001,IF(MAX('損益分岐設定'!B38,ROUNDUP(S55/I55,0))&lt;='損益分岐設定'!C38,MAX('損益分岐設定'!B38,ROUNDUP(S55/I55,0)),1001))</x:f>
        <x:v>11</x:v>
      </x:c>
      <x:c r="X55" s="1" t="n">
        <x:f>IF(I55&lt;=0,1001,IF(MAX('損益分岐設定'!B39,ROUNDUP(T55/I55,0))&lt;='損益分岐設定'!C39,MAX('損益分岐設定'!B39,ROUNDUP(T55/I55,0)),1001))</x:f>
        <x:v>101</x:v>
      </x:c>
      <x:c r="Y55" s="1" t="n">
        <x:f>IF(I55&lt;=0,1001,IF(MAX('損益分岐設定'!B40,ROUNDUP(U55/I55,0))&lt;='損益分岐設定'!C40,MAX('損益分岐設定'!B40,ROUNDUP(U55/I55,0)),1001))</x:f>
        <x:v>501</x:v>
      </x:c>
      <x:c r="Z55" s="1" t="n">
        <x:f>IF(I55&lt;=0,'損益分岐設定'!C37,IF('損益分岐設定'!C37*I55-R55&lt;0,'損益分岐設定'!C37,IF('損益分岐設定'!B37*I55-R55&gt;=0,0,ROUNDUP(R55/I55,0)-1)))</x:f>
        <x:v>5</x:v>
      </x:c>
      <x:c r="AA55" s="1" t="n">
        <x:f>IF(I55&lt;=0,'損益分岐設定'!C38,IF('損益分岐設定'!C38*I55-S55&lt;0,'損益分岐設定'!C38,IF('損益分岐設定'!B38*I55-S55&gt;=0,0,ROUNDUP(S55/I55,0)-1)))</x:f>
        <x:v>0</x:v>
      </x:c>
      <x:c r="AB55" s="1" t="n">
        <x:f>IF(I55&lt;=0,'損益分岐設定'!C39,IF('損益分岐設定'!C39*I55-T55&lt;0,'損益分岐設定'!C39,IF('損益分岐設定'!B39*I55-T55&gt;=0,0,ROUNDUP(T55/I55,0)-1)))</x:f>
        <x:v>0</x:v>
      </x:c>
      <x:c r="AC55" s="1" t="n">
        <x:f>IF(I55&lt;=0,'損益分岐設定'!C40,IF('損益分岐設定'!C40*I55-U55&lt;0,'損益分岐設定'!C40,IF('損益分岐設定'!B40*I55-U55&gt;=0,0,ROUNDUP(U55/I55,0)-1)))</x:f>
        <x:v>0</x:v>
      </x:c>
      <x:c r="AD55" s="1" t="n">
        <x:v>0</x:v>
      </x:c>
      <x:c r="AE55" s="1" t="n">
        <x:v>1</x:v>
      </x:c>
      <x:c r="AF55" s="1" t="n">
        <x:v>0</x:v>
      </x:c>
      <x:c r="AG55" s="1" t="n">
        <x:f>AD55*'損益分岐設定'!$C$57+AE55*'損益分岐設定'!$C$60+AF55*'損益分岐設定'!$C$63</x:f>
        <x:v>441.58457275390623</x:v>
      </x:c>
      <x:c r="AH55" s="1" t="n">
        <x:f>AD55*'損益分岐設定'!$D$57+AE55*'損益分岐設定'!$D$60+AF55*'損益分岐設定'!$D$63</x:f>
        <x:v>120</x:v>
      </x:c>
      <x:c r="AI55" s="1" t="n">
        <x:f>AD55*'損益分岐設定'!$E$57+AE55*'損益分岐設定'!$E$60+AF55*'損益分岐設定'!$E$63</x:f>
        <x:v>120</x:v>
      </x:c>
      <x:c r="AJ55" s="1" t="n">
        <x:f>(AD55*'損益分岐設定'!$F$57+AE55*'損益分岐設定'!$F$60+AF55*'損益分岐設定'!$F$63*1)*'損益分岐設定'!$B$22</x:f>
        <x:v>480</x:v>
      </x:c>
      <x:c r="AK55" s="1" t="n">
        <x:f>AD55*'損益分岐設定'!$G$57+AE55*'損益分岐設定'!$G$60+AF55*'損益分岐設定'!$G$63</x:f>
        <x:v>800</x:v>
      </x:c>
      <x:c r="AL55" s="1" t="n">
        <x:f>AD55*'損益分岐設定'!$H$57+AE55*'損益分岐設定'!$H$60+AF55*'損益分岐設定'!$H$63</x:f>
        <x:v>666.6666666666666</x:v>
      </x:c>
      <x:c r="AM55" s="1" t="n">
        <x:f>MAX(1,ROUNDUP('損益分岐設定'!C37*AJ55/('損益分岐設定'!$B$23*'損益分岐設定'!$B$24*3600*'損益分岐設定'!$B$25),0))</x:f>
        <x:v>1</x:v>
      </x:c>
      <x:c r="AN55" s="1" t="n">
        <x:f>MAX(2,ROUNDUP('損益分岐設定'!C38*AJ55/('損益分岐設定'!$B$23*'損益分岐設定'!$B$24*3600*'損益分岐設定'!$B$25),0))</x:f>
        <x:v>2</x:v>
      </x:c>
      <x:c r="AO55" s="1" t="n">
        <x:f>MAX(2,ROUNDUP('損益分岐設定'!C39*AJ55/('損益分岐設定'!$B$23*'損益分岐設定'!$B$24*3600*'損益分岐設定'!$B$25),0))</x:f>
        <x:v>2</x:v>
      </x:c>
      <x:c r="AP55" s="1" t="n">
        <x:f>MAX(2,ROUNDUP('損益分岐設定'!C40*AJ55/('損益分岐設定'!$B$23*'損益分岐設定'!$B$24*3600*'損益分岐設定'!$B$25),0))</x:f>
        <x:v>2</x:v>
      </x:c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 ht="23" customHeight="1">
      <x:c r="A56" s="1" t="str">
        <x:v>Run</x:v>
      </x:c>
      <x:c r="B56" s="1" t="str">
        <x:v>Business</x:v>
      </x:c>
      <x:c r="C56" s="1" t="str">
        <x:v>標準</x:v>
      </x:c>
      <x:c r="D56" s="21" t="n">
        <x:v>0</x:v>
      </x:c>
      <x:c r="E56" s="1" t="n">
        <x:v>1</x:v>
      </x:c>
      <x:c r="F56" s="7" t="n">
        <x:f>AD56*'損益分岐設定'!$B$5+AE56*'損益分岐設定'!$B$6+AF56*'損益分岐設定'!$B$7</x:f>
        <x:v>5000</x:v>
      </x:c>
      <x:c r="G56" s="7" t="n">
        <x:f>AG56+(AH56+AI56)*('損益分岐設定'!$B$29+0.5*'損益分岐設定'!$B$30)+AK56*'損益分岐設定'!$B$32+(AJ56+AK56/'損益分岐設定'!$B$28*'損益分岐設定'!$B$26)*('損益分岐設定'!$B$29+'損益分岐設定'!$B$31*'損益分岐設定'!$B$30)</x:f>
        <x:v>445.42048958224115</x:v>
      </x:c>
      <x:c r="H56" s="7" t="n">
        <x:f>AL56*E56</x:f>
        <x:v>666.6666666666666</x:v>
      </x:c>
      <x:c r="I56" s="7" t="n">
        <x:f>F56*(1-D56-'損益分岐設定'!$B$10)-G56-H56</x:f>
        <x:v>3707.912843751092</x:v>
      </x:c>
      <x:c r="J56" s="1" t="n">
        <x:f>IF(MIN(V56:Y56)&gt;1000,"範囲内なし",MIN(V56:Y56))</x:f>
        <x:v>9</x:v>
      </x:c>
      <x:c r="K56" s="1" t="n">
        <x:f>IF(MAX(Z56:AC56)&gt;=1000,"範囲内なし",MAX(1,MAX(Z56:AC56)+1))</x:f>
        <x:v>9</x:v>
      </x:c>
      <x:c r="L56" s="7" t="n">
        <x:f>10*I56-R56</x:f>
        <x:v>7068.193811203128</x:v>
      </x:c>
      <x:c r="M56" s="7" t="n">
        <x:f>30*I56-S56</x:f>
        <x:v>76726.45068622497</x:v>
      </x:c>
      <x:c r="N56" s="7" t="n">
        <x:f>50*I56-S56</x:f>
        <x:v>150884.70756124682</x:v>
      </x:c>
      <x:c r="O56" s="7" t="n">
        <x:f>100*I56-S56</x:f>
        <x:v>336280.34974880144</x:v>
      </x:c>
      <x:c r="P56" s="7" t="n">
        <x:f>300*I56-T56</x:f>
        <x:v>1055862.91849902</x:v>
      </x:c>
      <x:c r="Q56" s="7" t="n">
        <x:f>1000*I56-U56</x:f>
        <x:v>3621401.909124784</x:v>
      </x:c>
      <x:c r="R5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56*'損益分岐設定'!$B$12*'損益分岐設定'!$B$11</x:f>
        <x:v>30010.934626307797</x:v>
      </x:c>
      <x:c r="S5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56*'損益分岐設定'!$B$12*'損益分岐設定'!$B$11</x:f>
        <x:v>34510.9346263078</x:v>
      </x:c>
      <x:c r="T5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56*'損益分岐設定'!$B$12*'損益分岐設定'!$B$11</x:f>
        <x:v>56510.9346263078</x:v>
      </x:c>
      <x:c r="U5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56*'損益分岐設定'!$B$12*'損益分岐設定'!$B$11</x:f>
        <x:v>86510.9346263078</x:v>
      </x:c>
      <x:c r="V56" s="1" t="n">
        <x:f>IF(I56&lt;=0,1001,IF(MAX('損益分岐設定'!B37,ROUNDUP(R56/I56,0))&lt;='損益分岐設定'!C37,MAX('損益分岐設定'!B37,ROUNDUP(R56/I56,0)),1001))</x:f>
        <x:v>9</x:v>
      </x:c>
      <x:c r="W56" s="1" t="n">
        <x:f>IF(I56&lt;=0,1001,IF(MAX('損益分岐設定'!B38,ROUNDUP(S56/I56,0))&lt;='損益分岐設定'!C38,MAX('損益分岐設定'!B38,ROUNDUP(S56/I56,0)),1001))</x:f>
        <x:v>11</x:v>
      </x:c>
      <x:c r="X56" s="1" t="n">
        <x:f>IF(I56&lt;=0,1001,IF(MAX('損益分岐設定'!B39,ROUNDUP(T56/I56,0))&lt;='損益分岐設定'!C39,MAX('損益分岐設定'!B39,ROUNDUP(T56/I56,0)),1001))</x:f>
        <x:v>101</x:v>
      </x:c>
      <x:c r="Y56" s="1" t="n">
        <x:f>IF(I56&lt;=0,1001,IF(MAX('損益分岐設定'!B40,ROUNDUP(U56/I56,0))&lt;='損益分岐設定'!C40,MAX('損益分岐設定'!B40,ROUNDUP(U56/I56,0)),1001))</x:f>
        <x:v>501</x:v>
      </x:c>
      <x:c r="Z56" s="1" t="n">
        <x:f>IF(I56&lt;=0,'損益分岐設定'!C37,IF('損益分岐設定'!C37*I56-R56&lt;0,'損益分岐設定'!C37,IF('損益分岐設定'!B37*I56-R56&gt;=0,0,ROUNDUP(R56/I56,0)-1)))</x:f>
        <x:v>8</x:v>
      </x:c>
      <x:c r="AA56" s="1" t="n">
        <x:f>IF(I56&lt;=0,'損益分岐設定'!C38,IF('損益分岐設定'!C38*I56-S56&lt;0,'損益分岐設定'!C38,IF('損益分岐設定'!B38*I56-S56&gt;=0,0,ROUNDUP(S56/I56,0)-1)))</x:f>
        <x:v>0</x:v>
      </x:c>
      <x:c r="AB56" s="1" t="n">
        <x:f>IF(I56&lt;=0,'損益分岐設定'!C39,IF('損益分岐設定'!C39*I56-T56&lt;0,'損益分岐設定'!C39,IF('損益分岐設定'!B39*I56-T56&gt;=0,0,ROUNDUP(T56/I56,0)-1)))</x:f>
        <x:v>0</x:v>
      </x:c>
      <x:c r="AC56" s="1" t="n">
        <x:f>IF(I56&lt;=0,'損益分岐設定'!C40,IF('損益分岐設定'!C40*I56-U56&lt;0,'損益分岐設定'!C40,IF('損益分岐設定'!B40*I56-U56&gt;=0,0,ROUNDUP(U56/I56,0)-1)))</x:f>
        <x:v>0</x:v>
      </x:c>
      <x:c r="AD56" s="1" t="n">
        <x:v>0</x:v>
      </x:c>
      <x:c r="AE56" s="1" t="n">
        <x:v>1</x:v>
      </x:c>
      <x:c r="AF56" s="1" t="n">
        <x:v>0</x:v>
      </x:c>
      <x:c r="AG56" s="1" t="n">
        <x:f>AD56*'損益分岐設定'!$C$57+AE56*'損益分岐設定'!$C$60+AF56*'損益分岐設定'!$C$63</x:f>
        <x:v>441.58457275390623</x:v>
      </x:c>
      <x:c r="AH56" s="1" t="n">
        <x:f>AD56*'損益分岐設定'!$D$57+AE56*'損益分岐設定'!$D$60+AF56*'損益分岐設定'!$D$63</x:f>
        <x:v>120</x:v>
      </x:c>
      <x:c r="AI56" s="1" t="n">
        <x:f>AD56*'損益分岐設定'!$E$57+AE56*'損益分岐設定'!$E$60+AF56*'損益分岐設定'!$E$63</x:f>
        <x:v>120</x:v>
      </x:c>
      <x:c r="AJ56" s="1" t="n">
        <x:f>(AD56*'損益分岐設定'!$F$57+AE56*'損益分岐設定'!$F$60+AF56*'損益分岐設定'!$F$63*1)*'損益分岐設定'!$B$22</x:f>
        <x:v>480</x:v>
      </x:c>
      <x:c r="AK56" s="1" t="n">
        <x:f>AD56*'損益分岐設定'!$G$57+AE56*'損益分岐設定'!$G$60+AF56*'損益分岐設定'!$G$63</x:f>
        <x:v>800</x:v>
      </x:c>
      <x:c r="AL56" s="1" t="n">
        <x:f>AD56*'損益分岐設定'!$H$57+AE56*'損益分岐設定'!$H$60+AF56*'損益分岐設定'!$H$63</x:f>
        <x:v>666.6666666666666</x:v>
      </x:c>
      <x:c r="AM56" s="1" t="n">
        <x:f>MAX(1,ROUNDUP('損益分岐設定'!C37*AJ56/('損益分岐設定'!$B$23*'損益分岐設定'!$B$24*3600*'損益分岐設定'!$B$25),0))</x:f>
        <x:v>1</x:v>
      </x:c>
      <x:c r="AN56" s="1" t="n">
        <x:f>MAX(2,ROUNDUP('損益分岐設定'!C38*AJ56/('損益分岐設定'!$B$23*'損益分岐設定'!$B$24*3600*'損益分岐設定'!$B$25),0))</x:f>
        <x:v>2</x:v>
      </x:c>
      <x:c r="AO56" s="1" t="n">
        <x:f>MAX(2,ROUNDUP('損益分岐設定'!C39*AJ56/('損益分岐設定'!$B$23*'損益分岐設定'!$B$24*3600*'損益分岐設定'!$B$25),0))</x:f>
        <x:v>2</x:v>
      </x:c>
      <x:c r="AP56" s="1" t="n">
        <x:f>MAX(2,ROUNDUP('損益分岐設定'!C40*AJ56/('損益分岐設定'!$B$23*'損益分岐設定'!$B$24*3600*'損益分岐設定'!$B$25),0))</x:f>
        <x:v>2</x:v>
      </x:c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 ht="23" customHeight="1">
      <x:c r="A57" s="1" t="str">
        <x:v>Run</x:v>
      </x:c>
      <x:c r="B57" s="1" t="str">
        <x:v>Business</x:v>
      </x:c>
      <x:c r="C57" s="1" t="str">
        <x:v>標準</x:v>
      </x:c>
      <x:c r="D57" s="21" t="n">
        <x:v>0.2</x:v>
      </x:c>
      <x:c r="E57" s="1" t="n">
        <x:v>0</x:v>
      </x:c>
      <x:c r="F57" s="7" t="n">
        <x:f>AD57*'損益分岐設定'!$B$5+AE57*'損益分岐設定'!$B$6+AF57*'損益分岐設定'!$B$7</x:f>
        <x:v>5000</x:v>
      </x:c>
      <x:c r="G57" s="7" t="n">
        <x:f>AG57+(AH57+AI57)*('損益分岐設定'!$B$29+0.5*'損益分岐設定'!$B$30)+AK57*'損益分岐設定'!$B$32+(AJ57+AK57/'損益分岐設定'!$B$28*'損益分岐設定'!$B$26)*('損益分岐設定'!$B$29+'損益分岐設定'!$B$31*'損益分岐設定'!$B$30)</x:f>
        <x:v>445.42048958224115</x:v>
      </x:c>
      <x:c r="H57" s="7" t="n">
        <x:f>AL57*E57</x:f>
        <x:v>0</x:v>
      </x:c>
      <x:c r="I57" s="7" t="n">
        <x:f>F57*(1-D57-'損益分岐設定'!$B$10)-G57-H57</x:f>
        <x:v>3374.5795104177587</x:v>
      </x:c>
      <x:c r="J57" s="1" t="n">
        <x:f>IF(MIN(V57:Y57)&gt;1000,"範囲内なし",MIN(V57:Y57))</x:f>
        <x:v>7</x:v>
      </x:c>
      <x:c r="K57" s="1" t="n">
        <x:f>IF(MAX(Z57:AC57)&gt;=1000,"範囲内なし",MAX(1,MAX(Z57:AC57)+1))</x:f>
        <x:v>7</x:v>
      </x:c>
      <x:c r="L57" s="7" t="n">
        <x:f>10*I57-R57</x:f>
        <x:v>11734.860477869792</x:v>
      </x:c>
      <x:c r="M57" s="7" t="n">
        <x:f>30*I57-S57</x:f>
        <x:v>74726.45068622497</x:v>
      </x:c>
      <x:c r="N57" s="7" t="n">
        <x:f>50*I57-S57</x:f>
        <x:v>142218.04089458013</x:v>
      </x:c>
      <x:c r="O57" s="7" t="n">
        <x:f>100*I57-S57</x:f>
        <x:v>310947.01641546807</x:v>
      </x:c>
      <x:c r="P57" s="7" t="n">
        <x:f>300*I57-T57</x:f>
        <x:v>963862.9184990198</x:v>
      </x:c>
      <x:c r="Q57" s="7" t="n">
        <x:f>1000*I57-U57</x:f>
        <x:v>3296068.5757914507</x:v>
      </x:c>
      <x:c r="R5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57*'損益分岐設定'!$B$12*'損益分岐設定'!$B$11</x:f>
        <x:v>22010.934626307797</x:v>
      </x:c>
      <x:c r="S5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57*'損益分岐設定'!$B$12*'損益分岐設定'!$B$11</x:f>
        <x:v>26510.934626307797</x:v>
      </x:c>
      <x:c r="T5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57*'損益分岐設定'!$B$12*'損益分岐設定'!$B$11</x:f>
        <x:v>48510.9346263078</x:v>
      </x:c>
      <x:c r="U5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57*'損益分岐設定'!$B$12*'損益分岐設定'!$B$11</x:f>
        <x:v>78510.9346263078</x:v>
      </x:c>
      <x:c r="V57" s="1" t="n">
        <x:f>IF(I57&lt;=0,1001,IF(MAX('損益分岐設定'!B37,ROUNDUP(R57/I57,0))&lt;='損益分岐設定'!C37,MAX('損益分岐設定'!B37,ROUNDUP(R57/I57,0)),1001))</x:f>
        <x:v>7</x:v>
      </x:c>
      <x:c r="W57" s="1" t="n">
        <x:f>IF(I57&lt;=0,1001,IF(MAX('損益分岐設定'!B38,ROUNDUP(S57/I57,0))&lt;='損益分岐設定'!C38,MAX('損益分岐設定'!B38,ROUNDUP(S57/I57,0)),1001))</x:f>
        <x:v>11</x:v>
      </x:c>
      <x:c r="X57" s="1" t="n">
        <x:f>IF(I57&lt;=0,1001,IF(MAX('損益分岐設定'!B39,ROUNDUP(T57/I57,0))&lt;='損益分岐設定'!C39,MAX('損益分岐設定'!B39,ROUNDUP(T57/I57,0)),1001))</x:f>
        <x:v>101</x:v>
      </x:c>
      <x:c r="Y57" s="1" t="n">
        <x:f>IF(I57&lt;=0,1001,IF(MAX('損益分岐設定'!B40,ROUNDUP(U57/I57,0))&lt;='損益分岐設定'!C40,MAX('損益分岐設定'!B40,ROUNDUP(U57/I57,0)),1001))</x:f>
        <x:v>501</x:v>
      </x:c>
      <x:c r="Z57" s="1" t="n">
        <x:f>IF(I57&lt;=0,'損益分岐設定'!C37,IF('損益分岐設定'!C37*I57-R57&lt;0,'損益分岐設定'!C37,IF('損益分岐設定'!B37*I57-R57&gt;=0,0,ROUNDUP(R57/I57,0)-1)))</x:f>
        <x:v>6</x:v>
      </x:c>
      <x:c r="AA57" s="1" t="n">
        <x:f>IF(I57&lt;=0,'損益分岐設定'!C38,IF('損益分岐設定'!C38*I57-S57&lt;0,'損益分岐設定'!C38,IF('損益分岐設定'!B38*I57-S57&gt;=0,0,ROUNDUP(S57/I57,0)-1)))</x:f>
        <x:v>0</x:v>
      </x:c>
      <x:c r="AB57" s="1" t="n">
        <x:f>IF(I57&lt;=0,'損益分岐設定'!C39,IF('損益分岐設定'!C39*I57-T57&lt;0,'損益分岐設定'!C39,IF('損益分岐設定'!B39*I57-T57&gt;=0,0,ROUNDUP(T57/I57,0)-1)))</x:f>
        <x:v>0</x:v>
      </x:c>
      <x:c r="AC57" s="1" t="n">
        <x:f>IF(I57&lt;=0,'損益分岐設定'!C40,IF('損益分岐設定'!C40*I57-U57&lt;0,'損益分岐設定'!C40,IF('損益分岐設定'!B40*I57-U57&gt;=0,0,ROUNDUP(U57/I57,0)-1)))</x:f>
        <x:v>0</x:v>
      </x:c>
      <x:c r="AD57" s="1" t="n">
        <x:v>0</x:v>
      </x:c>
      <x:c r="AE57" s="1" t="n">
        <x:v>1</x:v>
      </x:c>
      <x:c r="AF57" s="1" t="n">
        <x:v>0</x:v>
      </x:c>
      <x:c r="AG57" s="1" t="n">
        <x:f>AD57*'損益分岐設定'!$C$57+AE57*'損益分岐設定'!$C$60+AF57*'損益分岐設定'!$C$63</x:f>
        <x:v>441.58457275390623</x:v>
      </x:c>
      <x:c r="AH57" s="1" t="n">
        <x:f>AD57*'損益分岐設定'!$D$57+AE57*'損益分岐設定'!$D$60+AF57*'損益分岐設定'!$D$63</x:f>
        <x:v>120</x:v>
      </x:c>
      <x:c r="AI57" s="1" t="n">
        <x:f>AD57*'損益分岐設定'!$E$57+AE57*'損益分岐設定'!$E$60+AF57*'損益分岐設定'!$E$63</x:f>
        <x:v>120</x:v>
      </x:c>
      <x:c r="AJ57" s="1" t="n">
        <x:f>(AD57*'損益分岐設定'!$F$57+AE57*'損益分岐設定'!$F$60+AF57*'損益分岐設定'!$F$63*1)*'損益分岐設定'!$B$22</x:f>
        <x:v>480</x:v>
      </x:c>
      <x:c r="AK57" s="1" t="n">
        <x:f>AD57*'損益分岐設定'!$G$57+AE57*'損益分岐設定'!$G$60+AF57*'損益分岐設定'!$G$63</x:f>
        <x:v>800</x:v>
      </x:c>
      <x:c r="AL57" s="1" t="n">
        <x:f>AD57*'損益分岐設定'!$H$57+AE57*'損益分岐設定'!$H$60+AF57*'損益分岐設定'!$H$63</x:f>
        <x:v>666.6666666666666</x:v>
      </x:c>
      <x:c r="AM57" s="1" t="n">
        <x:f>MAX(1,ROUNDUP('損益分岐設定'!C37*AJ57/('損益分岐設定'!$B$23*'損益分岐設定'!$B$24*3600*'損益分岐設定'!$B$25),0))</x:f>
        <x:v>1</x:v>
      </x:c>
      <x:c r="AN57" s="1" t="n">
        <x:f>MAX(2,ROUNDUP('損益分岐設定'!C38*AJ57/('損益分岐設定'!$B$23*'損益分岐設定'!$B$24*3600*'損益分岐設定'!$B$25),0))</x:f>
        <x:v>2</x:v>
      </x:c>
      <x:c r="AO57" s="1" t="n">
        <x:f>MAX(2,ROUNDUP('損益分岐設定'!C39*AJ57/('損益分岐設定'!$B$23*'損益分岐設定'!$B$24*3600*'損益分岐設定'!$B$25),0))</x:f>
        <x:v>2</x:v>
      </x:c>
      <x:c r="AP57" s="1" t="n">
        <x:f>MAX(2,ROUNDUP('損益分岐設定'!C40*AJ57/('損益分岐設定'!$B$23*'損益分岐設定'!$B$24*3600*'損益分岐設定'!$B$25),0))</x:f>
        <x:v>2</x:v>
      </x:c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 ht="23" customHeight="1">
      <x:c r="A58" s="1" t="str">
        <x:v>Run</x:v>
      </x:c>
      <x:c r="B58" s="1" t="str">
        <x:v>Business</x:v>
      </x:c>
      <x:c r="C58" s="1" t="str">
        <x:v>標準</x:v>
      </x:c>
      <x:c r="D58" s="21" t="n">
        <x:v>0.2</x:v>
      </x:c>
      <x:c r="E58" s="1" t="n">
        <x:v>1</x:v>
      </x:c>
      <x:c r="F58" s="7" t="n">
        <x:f>AD58*'損益分岐設定'!$B$5+AE58*'損益分岐設定'!$B$6+AF58*'損益分岐設定'!$B$7</x:f>
        <x:v>5000</x:v>
      </x:c>
      <x:c r="G58" s="7" t="n">
        <x:f>AG58+(AH58+AI58)*('損益分岐設定'!$B$29+0.5*'損益分岐設定'!$B$30)+AK58*'損益分岐設定'!$B$32+(AJ58+AK58/'損益分岐設定'!$B$28*'損益分岐設定'!$B$26)*('損益分岐設定'!$B$29+'損益分岐設定'!$B$31*'損益分岐設定'!$B$30)</x:f>
        <x:v>445.42048958224115</x:v>
      </x:c>
      <x:c r="H58" s="7" t="n">
        <x:f>AL58*E58</x:f>
        <x:v>666.6666666666666</x:v>
      </x:c>
      <x:c r="I58" s="7" t="n">
        <x:f>F58*(1-D58-'損益分岐設定'!$B$10)-G58-H58</x:f>
        <x:v>2707.912843751092</x:v>
      </x:c>
      <x:c r="J58" s="1" t="n">
        <x:f>IF(MIN(V58:Y58)&gt;1000,"範囲内なし",MIN(V58:Y58))</x:f>
        <x:v>13</x:v>
      </x:c>
      <x:c r="K58" s="1" t="n">
        <x:f>IF(MAX(Z58:AC58)&gt;=1000,"範囲内なし",MAX(1,MAX(Z58:AC58)+1))</x:f>
        <x:v>13</x:v>
      </x:c>
      <x:c r="L58" s="7" t="n">
        <x:f>10*I58-R58</x:f>
        <x:v>-2931.806188796876</x:v>
      </x:c>
      <x:c r="M58" s="7" t="n">
        <x:f>30*I58-S58</x:f>
        <x:v>46726.45068622496</x:v>
      </x:c>
      <x:c r="N58" s="7" t="n">
        <x:f>50*I58-S58</x:f>
        <x:v>100884.70756124682</x:v>
      </x:c>
      <x:c r="O58" s="7" t="n">
        <x:f>100*I58-S58</x:f>
        <x:v>236280.34974880144</x:v>
      </x:c>
      <x:c r="P58" s="7" t="n">
        <x:f>300*I58-T58</x:f>
        <x:v>755862.9184990198</x:v>
      </x:c>
      <x:c r="Q58" s="7" t="n">
        <x:f>1000*I58-U58</x:f>
        <x:v>2621401.909124784</x:v>
      </x:c>
      <x:c r="R5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58*'損益分岐設定'!$B$12*'損益分岐設定'!$B$11</x:f>
        <x:v>30010.934626307797</x:v>
      </x:c>
      <x:c r="S5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58*'損益分岐設定'!$B$12*'損益分岐設定'!$B$11</x:f>
        <x:v>34510.9346263078</x:v>
      </x:c>
      <x:c r="T5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58*'損益分岐設定'!$B$12*'損益分岐設定'!$B$11</x:f>
        <x:v>56510.9346263078</x:v>
      </x:c>
      <x:c r="U5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58*'損益分岐設定'!$B$12*'損益分岐設定'!$B$11</x:f>
        <x:v>86510.9346263078</x:v>
      </x:c>
      <x:c r="V58" s="1" t="n">
        <x:f>IF(I58&lt;=0,1001,IF(MAX('損益分岐設定'!B37,ROUNDUP(R58/I58,0))&lt;='損益分岐設定'!C37,MAX('損益分岐設定'!B37,ROUNDUP(R58/I58,0)),1001))</x:f>
        <x:v>1001</x:v>
      </x:c>
      <x:c r="W58" s="1" t="n">
        <x:f>IF(I58&lt;=0,1001,IF(MAX('損益分岐設定'!B38,ROUNDUP(S58/I58,0))&lt;='損益分岐設定'!C38,MAX('損益分岐設定'!B38,ROUNDUP(S58/I58,0)),1001))</x:f>
        <x:v>13</x:v>
      </x:c>
      <x:c r="X58" s="1" t="n">
        <x:f>IF(I58&lt;=0,1001,IF(MAX('損益分岐設定'!B39,ROUNDUP(T58/I58,0))&lt;='損益分岐設定'!C39,MAX('損益分岐設定'!B39,ROUNDUP(T58/I58,0)),1001))</x:f>
        <x:v>101</x:v>
      </x:c>
      <x:c r="Y58" s="1" t="n">
        <x:f>IF(I58&lt;=0,1001,IF(MAX('損益分岐設定'!B40,ROUNDUP(U58/I58,0))&lt;='損益分岐設定'!C40,MAX('損益分岐設定'!B40,ROUNDUP(U58/I58,0)),1001))</x:f>
        <x:v>501</x:v>
      </x:c>
      <x:c r="Z58" s="1" t="n">
        <x:f>IF(I58&lt;=0,'損益分岐設定'!C37,IF('損益分岐設定'!C37*I58-R58&lt;0,'損益分岐設定'!C37,IF('損益分岐設定'!B37*I58-R58&gt;=0,0,ROUNDUP(R58/I58,0)-1)))</x:f>
        <x:v>10</x:v>
      </x:c>
      <x:c r="AA58" s="1" t="n">
        <x:f>IF(I58&lt;=0,'損益分岐設定'!C38,IF('損益分岐設定'!C38*I58-S58&lt;0,'損益分岐設定'!C38,IF('損益分岐設定'!B38*I58-S58&gt;=0,0,ROUNDUP(S58/I58,0)-1)))</x:f>
        <x:v>12</x:v>
      </x:c>
      <x:c r="AB58" s="1" t="n">
        <x:f>IF(I58&lt;=0,'損益分岐設定'!C39,IF('損益分岐設定'!C39*I58-T58&lt;0,'損益分岐設定'!C39,IF('損益分岐設定'!B39*I58-T58&gt;=0,0,ROUNDUP(T58/I58,0)-1)))</x:f>
        <x:v>0</x:v>
      </x:c>
      <x:c r="AC58" s="1" t="n">
        <x:f>IF(I58&lt;=0,'損益分岐設定'!C40,IF('損益分岐設定'!C40*I58-U58&lt;0,'損益分岐設定'!C40,IF('損益分岐設定'!B40*I58-U58&gt;=0,0,ROUNDUP(U58/I58,0)-1)))</x:f>
        <x:v>0</x:v>
      </x:c>
      <x:c r="AD58" s="1" t="n">
        <x:v>0</x:v>
      </x:c>
      <x:c r="AE58" s="1" t="n">
        <x:v>1</x:v>
      </x:c>
      <x:c r="AF58" s="1" t="n">
        <x:v>0</x:v>
      </x:c>
      <x:c r="AG58" s="1" t="n">
        <x:f>AD58*'損益分岐設定'!$C$57+AE58*'損益分岐設定'!$C$60+AF58*'損益分岐設定'!$C$63</x:f>
        <x:v>441.58457275390623</x:v>
      </x:c>
      <x:c r="AH58" s="1" t="n">
        <x:f>AD58*'損益分岐設定'!$D$57+AE58*'損益分岐設定'!$D$60+AF58*'損益分岐設定'!$D$63</x:f>
        <x:v>120</x:v>
      </x:c>
      <x:c r="AI58" s="1" t="n">
        <x:f>AD58*'損益分岐設定'!$E$57+AE58*'損益分岐設定'!$E$60+AF58*'損益分岐設定'!$E$63</x:f>
        <x:v>120</x:v>
      </x:c>
      <x:c r="AJ58" s="1" t="n">
        <x:f>(AD58*'損益分岐設定'!$F$57+AE58*'損益分岐設定'!$F$60+AF58*'損益分岐設定'!$F$63*1)*'損益分岐設定'!$B$22</x:f>
        <x:v>480</x:v>
      </x:c>
      <x:c r="AK58" s="1" t="n">
        <x:f>AD58*'損益分岐設定'!$G$57+AE58*'損益分岐設定'!$G$60+AF58*'損益分岐設定'!$G$63</x:f>
        <x:v>800</x:v>
      </x:c>
      <x:c r="AL58" s="1" t="n">
        <x:f>AD58*'損益分岐設定'!$H$57+AE58*'損益分岐設定'!$H$60+AF58*'損益分岐設定'!$H$63</x:f>
        <x:v>666.6666666666666</x:v>
      </x:c>
      <x:c r="AM58" s="1" t="n">
        <x:f>MAX(1,ROUNDUP('損益分岐設定'!C37*AJ58/('損益分岐設定'!$B$23*'損益分岐設定'!$B$24*3600*'損益分岐設定'!$B$25),0))</x:f>
        <x:v>1</x:v>
      </x:c>
      <x:c r="AN58" s="1" t="n">
        <x:f>MAX(2,ROUNDUP('損益分岐設定'!C38*AJ58/('損益分岐設定'!$B$23*'損益分岐設定'!$B$24*3600*'損益分岐設定'!$B$25),0))</x:f>
        <x:v>2</x:v>
      </x:c>
      <x:c r="AO58" s="1" t="n">
        <x:f>MAX(2,ROUNDUP('損益分岐設定'!C39*AJ58/('損益分岐設定'!$B$23*'損益分岐設定'!$B$24*3600*'損益分岐設定'!$B$25),0))</x:f>
        <x:v>2</x:v>
      </x:c>
      <x:c r="AP58" s="1" t="n">
        <x:f>MAX(2,ROUNDUP('損益分岐設定'!C40*AJ58/('損益分岐設定'!$B$23*'損益分岐設定'!$B$24*3600*'損益分岐設定'!$B$25),0))</x:f>
        <x:v>2</x:v>
      </x:c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 ht="23" customHeight="1">
      <x:c r="A59" s="1" t="str">
        <x:v>Run</x:v>
      </x:c>
      <x:c r="B59" s="1" t="str">
        <x:v>Business</x:v>
      </x:c>
      <x:c r="C59" s="1" t="str">
        <x:v>標準</x:v>
      </x:c>
      <x:c r="D59" s="21" t="n">
        <x:v>0.3</x:v>
      </x:c>
      <x:c r="E59" s="1" t="n">
        <x:v>0</x:v>
      </x:c>
      <x:c r="F59" s="7" t="n">
        <x:f>AD59*'損益分岐設定'!$B$5+AE59*'損益分岐設定'!$B$6+AF59*'損益分岐設定'!$B$7</x:f>
        <x:v>5000</x:v>
      </x:c>
      <x:c r="G59" s="7" t="n">
        <x:f>AG59+(AH59+AI59)*('損益分岐設定'!$B$29+0.5*'損益分岐設定'!$B$30)+AK59*'損益分岐設定'!$B$32+(AJ59+AK59/'損益分岐設定'!$B$28*'損益分岐設定'!$B$26)*('損益分岐設定'!$B$29+'損益分岐設定'!$B$31*'損益分岐設定'!$B$30)</x:f>
        <x:v>445.42048958224115</x:v>
      </x:c>
      <x:c r="H59" s="7" t="n">
        <x:f>AL59*E59</x:f>
        <x:v>0</x:v>
      </x:c>
      <x:c r="I59" s="7" t="n">
        <x:f>F59*(1-D59-'損益分岐設定'!$B$10)-G59-H59</x:f>
        <x:v>2874.5795104177582</x:v>
      </x:c>
      <x:c r="J59" s="1" t="n">
        <x:f>IF(MIN(V59:Y59)&gt;1000,"範囲内なし",MIN(V59:Y59))</x:f>
        <x:v>8</x:v>
      </x:c>
      <x:c r="K59" s="1" t="n">
        <x:f>IF(MAX(Z59:AC59)&gt;=1000,"範囲内なし",MAX(1,MAX(Z59:AC59)+1))</x:f>
        <x:v>8</x:v>
      </x:c>
      <x:c r="L59" s="7" t="n">
        <x:f>10*I59-R59</x:f>
        <x:v>6734.8604778697845</x:v>
      </x:c>
      <x:c r="M59" s="7" t="n">
        <x:f>30*I59-S59</x:f>
        <x:v>59726.45068622495</x:v>
      </x:c>
      <x:c r="N59" s="7" t="n">
        <x:f>50*I59-S59</x:f>
        <x:v>117218.0408945801</x:v>
      </x:c>
      <x:c r="O59" s="7" t="n">
        <x:f>100*I59-S59</x:f>
        <x:v>260947.016415468</x:v>
      </x:c>
      <x:c r="P59" s="7" t="n">
        <x:f>300*I59-T59</x:f>
        <x:v>813862.9184990197</x:v>
      </x:c>
      <x:c r="Q59" s="7" t="n">
        <x:f>1000*I59-U59</x:f>
        <x:v>2796068.57579145</x:v>
      </x:c>
      <x:c r="R5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59*'損益分岐設定'!$B$12*'損益分岐設定'!$B$11</x:f>
        <x:v>22010.934626307797</x:v>
      </x:c>
      <x:c r="S5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59*'損益分岐設定'!$B$12*'損益分岐設定'!$B$11</x:f>
        <x:v>26510.934626307797</x:v>
      </x:c>
      <x:c r="T5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59*'損益分岐設定'!$B$12*'損益分岐設定'!$B$11</x:f>
        <x:v>48510.9346263078</x:v>
      </x:c>
      <x:c r="U5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59*'損益分岐設定'!$B$12*'損益分岐設定'!$B$11</x:f>
        <x:v>78510.9346263078</x:v>
      </x:c>
      <x:c r="V59" s="1" t="n">
        <x:f>IF(I59&lt;=0,1001,IF(MAX('損益分岐設定'!B37,ROUNDUP(R59/I59,0))&lt;='損益分岐設定'!C37,MAX('損益分岐設定'!B37,ROUNDUP(R59/I59,0)),1001))</x:f>
        <x:v>8</x:v>
      </x:c>
      <x:c r="W59" s="1" t="n">
        <x:f>IF(I59&lt;=0,1001,IF(MAX('損益分岐設定'!B38,ROUNDUP(S59/I59,0))&lt;='損益分岐設定'!C38,MAX('損益分岐設定'!B38,ROUNDUP(S59/I59,0)),1001))</x:f>
        <x:v>11</x:v>
      </x:c>
      <x:c r="X59" s="1" t="n">
        <x:f>IF(I59&lt;=0,1001,IF(MAX('損益分岐設定'!B39,ROUNDUP(T59/I59,0))&lt;='損益分岐設定'!C39,MAX('損益分岐設定'!B39,ROUNDUP(T59/I59,0)),1001))</x:f>
        <x:v>101</x:v>
      </x:c>
      <x:c r="Y59" s="1" t="n">
        <x:f>IF(I59&lt;=0,1001,IF(MAX('損益分岐設定'!B40,ROUNDUP(U59/I59,0))&lt;='損益分岐設定'!C40,MAX('損益分岐設定'!B40,ROUNDUP(U59/I59,0)),1001))</x:f>
        <x:v>501</x:v>
      </x:c>
      <x:c r="Z59" s="1" t="n">
        <x:f>IF(I59&lt;=0,'損益分岐設定'!C37,IF('損益分岐設定'!C37*I59-R59&lt;0,'損益分岐設定'!C37,IF('損益分岐設定'!B37*I59-R59&gt;=0,0,ROUNDUP(R59/I59,0)-1)))</x:f>
        <x:v>7</x:v>
      </x:c>
      <x:c r="AA59" s="1" t="n">
        <x:f>IF(I59&lt;=0,'損益分岐設定'!C38,IF('損益分岐設定'!C38*I59-S59&lt;0,'損益分岐設定'!C38,IF('損益分岐設定'!B38*I59-S59&gt;=0,0,ROUNDUP(S59/I59,0)-1)))</x:f>
        <x:v>0</x:v>
      </x:c>
      <x:c r="AB59" s="1" t="n">
        <x:f>IF(I59&lt;=0,'損益分岐設定'!C39,IF('損益分岐設定'!C39*I59-T59&lt;0,'損益分岐設定'!C39,IF('損益分岐設定'!B39*I59-T59&gt;=0,0,ROUNDUP(T59/I59,0)-1)))</x:f>
        <x:v>0</x:v>
      </x:c>
      <x:c r="AC59" s="1" t="n">
        <x:f>IF(I59&lt;=0,'損益分岐設定'!C40,IF('損益分岐設定'!C40*I59-U59&lt;0,'損益分岐設定'!C40,IF('損益分岐設定'!B40*I59-U59&gt;=0,0,ROUNDUP(U59/I59,0)-1)))</x:f>
        <x:v>0</x:v>
      </x:c>
      <x:c r="AD59" s="1" t="n">
        <x:v>0</x:v>
      </x:c>
      <x:c r="AE59" s="1" t="n">
        <x:v>1</x:v>
      </x:c>
      <x:c r="AF59" s="1" t="n">
        <x:v>0</x:v>
      </x:c>
      <x:c r="AG59" s="1" t="n">
        <x:f>AD59*'損益分岐設定'!$C$57+AE59*'損益分岐設定'!$C$60+AF59*'損益分岐設定'!$C$63</x:f>
        <x:v>441.58457275390623</x:v>
      </x:c>
      <x:c r="AH59" s="1" t="n">
        <x:f>AD59*'損益分岐設定'!$D$57+AE59*'損益分岐設定'!$D$60+AF59*'損益分岐設定'!$D$63</x:f>
        <x:v>120</x:v>
      </x:c>
      <x:c r="AI59" s="1" t="n">
        <x:f>AD59*'損益分岐設定'!$E$57+AE59*'損益分岐設定'!$E$60+AF59*'損益分岐設定'!$E$63</x:f>
        <x:v>120</x:v>
      </x:c>
      <x:c r="AJ59" s="1" t="n">
        <x:f>(AD59*'損益分岐設定'!$F$57+AE59*'損益分岐設定'!$F$60+AF59*'損益分岐設定'!$F$63*1)*'損益分岐設定'!$B$22</x:f>
        <x:v>480</x:v>
      </x:c>
      <x:c r="AK59" s="1" t="n">
        <x:f>AD59*'損益分岐設定'!$G$57+AE59*'損益分岐設定'!$G$60+AF59*'損益分岐設定'!$G$63</x:f>
        <x:v>800</x:v>
      </x:c>
      <x:c r="AL59" s="1" t="n">
        <x:f>AD59*'損益分岐設定'!$H$57+AE59*'損益分岐設定'!$H$60+AF59*'損益分岐設定'!$H$63</x:f>
        <x:v>666.6666666666666</x:v>
      </x:c>
      <x:c r="AM59" s="1" t="n">
        <x:f>MAX(1,ROUNDUP('損益分岐設定'!C37*AJ59/('損益分岐設定'!$B$23*'損益分岐設定'!$B$24*3600*'損益分岐設定'!$B$25),0))</x:f>
        <x:v>1</x:v>
      </x:c>
      <x:c r="AN59" s="1" t="n">
        <x:f>MAX(2,ROUNDUP('損益分岐設定'!C38*AJ59/('損益分岐設定'!$B$23*'損益分岐設定'!$B$24*3600*'損益分岐設定'!$B$25),0))</x:f>
        <x:v>2</x:v>
      </x:c>
      <x:c r="AO59" s="1" t="n">
        <x:f>MAX(2,ROUNDUP('損益分岐設定'!C39*AJ59/('損益分岐設定'!$B$23*'損益分岐設定'!$B$24*3600*'損益分岐設定'!$B$25),0))</x:f>
        <x:v>2</x:v>
      </x:c>
      <x:c r="AP59" s="1" t="n">
        <x:f>MAX(2,ROUNDUP('損益分岐設定'!C40*AJ59/('損益分岐設定'!$B$23*'損益分岐設定'!$B$24*3600*'損益分岐設定'!$B$25),0))</x:f>
        <x:v>2</x:v>
      </x:c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 ht="23" customHeight="1">
      <x:c r="A60" s="1" t="str">
        <x:v>Run</x:v>
      </x:c>
      <x:c r="B60" s="1" t="str">
        <x:v>Business</x:v>
      </x:c>
      <x:c r="C60" s="1" t="str">
        <x:v>標準</x:v>
      </x:c>
      <x:c r="D60" s="21" t="n">
        <x:v>0.3</x:v>
      </x:c>
      <x:c r="E60" s="1" t="n">
        <x:v>1</x:v>
      </x:c>
      <x:c r="F60" s="7" t="n">
        <x:f>AD60*'損益分岐設定'!$B$5+AE60*'損益分岐設定'!$B$6+AF60*'損益分岐設定'!$B$7</x:f>
        <x:v>5000</x:v>
      </x:c>
      <x:c r="G60" s="7" t="n">
        <x:f>AG60+(AH60+AI60)*('損益分岐設定'!$B$29+0.5*'損益分岐設定'!$B$30)+AK60*'損益分岐設定'!$B$32+(AJ60+AK60/'損益分岐設定'!$B$28*'損益分岐設定'!$B$26)*('損益分岐設定'!$B$29+'損益分岐設定'!$B$31*'損益分岐設定'!$B$30)</x:f>
        <x:v>445.42048958224115</x:v>
      </x:c>
      <x:c r="H60" s="7" t="n">
        <x:f>AL60*E60</x:f>
        <x:v>666.6666666666666</x:v>
      </x:c>
      <x:c r="I60" s="7" t="n">
        <x:f>F60*(1-D60-'損益分岐設定'!$B$10)-G60-H60</x:f>
        <x:v>2207.9128437510917</x:v>
      </x:c>
      <x:c r="J60" s="1" t="n">
        <x:f>IF(MIN(V60:Y60)&gt;1000,"範囲内なし",MIN(V60:Y60))</x:f>
        <x:v>16</x:v>
      </x:c>
      <x:c r="K60" s="1" t="n">
        <x:f>IF(MAX(Z60:AC60)&gt;=1000,"範囲内なし",MAX(1,MAX(Z60:AC60)+1))</x:f>
        <x:v>16</x:v>
      </x:c>
      <x:c r="L60" s="7" t="n">
        <x:f>10*I60-R60</x:f>
        <x:v>-7931.80618879688</x:v>
      </x:c>
      <x:c r="M60" s="7" t="n">
        <x:f>30*I60-S60</x:f>
        <x:v>31726.450686224947</x:v>
      </x:c>
      <x:c r="N60" s="7" t="n">
        <x:f>50*I60-S60</x:f>
        <x:v>75884.70756124679</x:v>
      </x:c>
      <x:c r="O60" s="7" t="n">
        <x:f>100*I60-S60</x:f>
        <x:v>186280.34974880138</x:v>
      </x:c>
      <x:c r="P60" s="7" t="n">
        <x:f>300*I60-T60</x:f>
        <x:v>605862.9184990197</x:v>
      </x:c>
      <x:c r="Q60" s="7" t="n">
        <x:f>1000*I60-U60</x:f>
        <x:v>2121401.9091247837</x:v>
      </x:c>
      <x:c r="R6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60*'損益分岐設定'!$B$12*'損益分岐設定'!$B$11</x:f>
        <x:v>30010.934626307797</x:v>
      </x:c>
      <x:c r="S6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60*'損益分岐設定'!$B$12*'損益分岐設定'!$B$11</x:f>
        <x:v>34510.9346263078</x:v>
      </x:c>
      <x:c r="T6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60*'損益分岐設定'!$B$12*'損益分岐設定'!$B$11</x:f>
        <x:v>56510.9346263078</x:v>
      </x:c>
      <x:c r="U6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60*'損益分岐設定'!$B$12*'損益分岐設定'!$B$11</x:f>
        <x:v>86510.9346263078</x:v>
      </x:c>
      <x:c r="V60" s="1" t="n">
        <x:f>IF(I60&lt;=0,1001,IF(MAX('損益分岐設定'!B37,ROUNDUP(R60/I60,0))&lt;='損益分岐設定'!C37,MAX('損益分岐設定'!B37,ROUNDUP(R60/I60,0)),1001))</x:f>
        <x:v>1001</x:v>
      </x:c>
      <x:c r="W60" s="1" t="n">
        <x:f>IF(I60&lt;=0,1001,IF(MAX('損益分岐設定'!B38,ROUNDUP(S60/I60,0))&lt;='損益分岐設定'!C38,MAX('損益分岐設定'!B38,ROUNDUP(S60/I60,0)),1001))</x:f>
        <x:v>16</x:v>
      </x:c>
      <x:c r="X60" s="1" t="n">
        <x:f>IF(I60&lt;=0,1001,IF(MAX('損益分岐設定'!B39,ROUNDUP(T60/I60,0))&lt;='損益分岐設定'!C39,MAX('損益分岐設定'!B39,ROUNDUP(T60/I60,0)),1001))</x:f>
        <x:v>101</x:v>
      </x:c>
      <x:c r="Y60" s="1" t="n">
        <x:f>IF(I60&lt;=0,1001,IF(MAX('損益分岐設定'!B40,ROUNDUP(U60/I60,0))&lt;='損益分岐設定'!C40,MAX('損益分岐設定'!B40,ROUNDUP(U60/I60,0)),1001))</x:f>
        <x:v>501</x:v>
      </x:c>
      <x:c r="Z60" s="1" t="n">
        <x:f>IF(I60&lt;=0,'損益分岐設定'!C37,IF('損益分岐設定'!C37*I60-R60&lt;0,'損益分岐設定'!C37,IF('損益分岐設定'!B37*I60-R60&gt;=0,0,ROUNDUP(R60/I60,0)-1)))</x:f>
        <x:v>10</x:v>
      </x:c>
      <x:c r="AA60" s="1" t="n">
        <x:f>IF(I60&lt;=0,'損益分岐設定'!C38,IF('損益分岐設定'!C38*I60-S60&lt;0,'損益分岐設定'!C38,IF('損益分岐設定'!B38*I60-S60&gt;=0,0,ROUNDUP(S60/I60,0)-1)))</x:f>
        <x:v>15</x:v>
      </x:c>
      <x:c r="AB60" s="1" t="n">
        <x:f>IF(I60&lt;=0,'損益分岐設定'!C39,IF('損益分岐設定'!C39*I60-T60&lt;0,'損益分岐設定'!C39,IF('損益分岐設定'!B39*I60-T60&gt;=0,0,ROUNDUP(T60/I60,0)-1)))</x:f>
        <x:v>0</x:v>
      </x:c>
      <x:c r="AC60" s="1" t="n">
        <x:f>IF(I60&lt;=0,'損益分岐設定'!C40,IF('損益分岐設定'!C40*I60-U60&lt;0,'損益分岐設定'!C40,IF('損益分岐設定'!B40*I60-U60&gt;=0,0,ROUNDUP(U60/I60,0)-1)))</x:f>
        <x:v>0</x:v>
      </x:c>
      <x:c r="AD60" s="1" t="n">
        <x:v>0</x:v>
      </x:c>
      <x:c r="AE60" s="1" t="n">
        <x:v>1</x:v>
      </x:c>
      <x:c r="AF60" s="1" t="n">
        <x:v>0</x:v>
      </x:c>
      <x:c r="AG60" s="1" t="n">
        <x:f>AD60*'損益分岐設定'!$C$57+AE60*'損益分岐設定'!$C$60+AF60*'損益分岐設定'!$C$63</x:f>
        <x:v>441.58457275390623</x:v>
      </x:c>
      <x:c r="AH60" s="1" t="n">
        <x:f>AD60*'損益分岐設定'!$D$57+AE60*'損益分岐設定'!$D$60+AF60*'損益分岐設定'!$D$63</x:f>
        <x:v>120</x:v>
      </x:c>
      <x:c r="AI60" s="1" t="n">
        <x:f>AD60*'損益分岐設定'!$E$57+AE60*'損益分岐設定'!$E$60+AF60*'損益分岐設定'!$E$63</x:f>
        <x:v>120</x:v>
      </x:c>
      <x:c r="AJ60" s="1" t="n">
        <x:f>(AD60*'損益分岐設定'!$F$57+AE60*'損益分岐設定'!$F$60+AF60*'損益分岐設定'!$F$63*1)*'損益分岐設定'!$B$22</x:f>
        <x:v>480</x:v>
      </x:c>
      <x:c r="AK60" s="1" t="n">
        <x:f>AD60*'損益分岐設定'!$G$57+AE60*'損益分岐設定'!$G$60+AF60*'損益分岐設定'!$G$63</x:f>
        <x:v>800</x:v>
      </x:c>
      <x:c r="AL60" s="1" t="n">
        <x:f>AD60*'損益分岐設定'!$H$57+AE60*'損益分岐設定'!$H$60+AF60*'損益分岐設定'!$H$63</x:f>
        <x:v>666.6666666666666</x:v>
      </x:c>
      <x:c r="AM60" s="1" t="n">
        <x:f>MAX(1,ROUNDUP('損益分岐設定'!C37*AJ60/('損益分岐設定'!$B$23*'損益分岐設定'!$B$24*3600*'損益分岐設定'!$B$25),0))</x:f>
        <x:v>1</x:v>
      </x:c>
      <x:c r="AN60" s="1" t="n">
        <x:f>MAX(2,ROUNDUP('損益分岐設定'!C38*AJ60/('損益分岐設定'!$B$23*'損益分岐設定'!$B$24*3600*'損益分岐設定'!$B$25),0))</x:f>
        <x:v>2</x:v>
      </x:c>
      <x:c r="AO60" s="1" t="n">
        <x:f>MAX(2,ROUNDUP('損益分岐設定'!C39*AJ60/('損益分岐設定'!$B$23*'損益分岐設定'!$B$24*3600*'損益分岐設定'!$B$25),0))</x:f>
        <x:v>2</x:v>
      </x:c>
      <x:c r="AP60" s="1" t="n">
        <x:f>MAX(2,ROUNDUP('損益分岐設定'!C40*AJ60/('損益分岐設定'!$B$23*'損益分岐設定'!$B$24*3600*'損益分岐設定'!$B$25),0))</x:f>
        <x:v>2</x:v>
      </x:c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 ht="23" customHeight="1">
      <x:c r="A61" s="1" t="str">
        <x:v>Run</x:v>
      </x:c>
      <x:c r="B61" s="1" t="str">
        <x:v>Business</x:v>
      </x:c>
      <x:c r="C61" s="1" t="str">
        <x:v>標準</x:v>
      </x:c>
      <x:c r="D61" s="21" t="n">
        <x:v>0.4</x:v>
      </x:c>
      <x:c r="E61" s="1" t="n">
        <x:v>0</x:v>
      </x:c>
      <x:c r="F61" s="7" t="n">
        <x:f>AD61*'損益分岐設定'!$B$5+AE61*'損益分岐設定'!$B$6+AF61*'損益分岐設定'!$B$7</x:f>
        <x:v>5000</x:v>
      </x:c>
      <x:c r="G61" s="7" t="n">
        <x:f>AG61+(AH61+AI61)*('損益分岐設定'!$B$29+0.5*'損益分岐設定'!$B$30)+AK61*'損益分岐設定'!$B$32+(AJ61+AK61/'損益分岐設定'!$B$28*'損益分岐設定'!$B$26)*('損益分岐設定'!$B$29+'損益分岐設定'!$B$31*'損益分岐設定'!$B$30)</x:f>
        <x:v>445.42048958224115</x:v>
      </x:c>
      <x:c r="H61" s="7" t="n">
        <x:f>AL61*E61</x:f>
        <x:v>0</x:v>
      </x:c>
      <x:c r="I61" s="7" t="n">
        <x:f>F61*(1-D61-'損益分岐設定'!$B$10)-G61-H61</x:f>
        <x:v>2374.5795104177582</x:v>
      </x:c>
      <x:c r="J61" s="1" t="n">
        <x:f>IF(MIN(V61:Y61)&gt;1000,"範囲内なし",MIN(V61:Y61))</x:f>
        <x:v>10</x:v>
      </x:c>
      <x:c r="K61" s="1" t="n">
        <x:f>IF(MAX(Z61:AC61)&gt;=1000,"範囲内なし",MAX(1,MAX(Z61:AC61)+1))</x:f>
        <x:v>12</x:v>
      </x:c>
      <x:c r="L61" s="7" t="n">
        <x:f>10*I61-R61</x:f>
        <x:v>1734.8604778697845</x:v>
      </x:c>
      <x:c r="M61" s="7" t="n">
        <x:f>30*I61-S61</x:f>
        <x:v>44726.45068622495</x:v>
      </x:c>
      <x:c r="N61" s="7" t="n">
        <x:f>50*I61-S61</x:f>
        <x:v>92218.0408945801</x:v>
      </x:c>
      <x:c r="O61" s="7" t="n">
        <x:f>100*I61-S61</x:f>
        <x:v>210947.016415468</x:v>
      </x:c>
      <x:c r="P61" s="7" t="n">
        <x:f>300*I61-T61</x:f>
        <x:v>663862.9184990197</x:v>
      </x:c>
      <x:c r="Q61" s="7" t="n">
        <x:f>1000*I61-U61</x:f>
        <x:v>2296068.57579145</x:v>
      </x:c>
      <x:c r="R6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61*'損益分岐設定'!$B$12*'損益分岐設定'!$B$11</x:f>
        <x:v>22010.934626307797</x:v>
      </x:c>
      <x:c r="S6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61*'損益分岐設定'!$B$12*'損益分岐設定'!$B$11</x:f>
        <x:v>26510.934626307797</x:v>
      </x:c>
      <x:c r="T6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61*'損益分岐設定'!$B$12*'損益分岐設定'!$B$11</x:f>
        <x:v>48510.9346263078</x:v>
      </x:c>
      <x:c r="U6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61*'損益分岐設定'!$B$12*'損益分岐設定'!$B$11</x:f>
        <x:v>78510.9346263078</x:v>
      </x:c>
      <x:c r="V61" s="1" t="n">
        <x:f>IF(I61&lt;=0,1001,IF(MAX('損益分岐設定'!B37,ROUNDUP(R61/I61,0))&lt;='損益分岐設定'!C37,MAX('損益分岐設定'!B37,ROUNDUP(R61/I61,0)),1001))</x:f>
        <x:v>10</x:v>
      </x:c>
      <x:c r="W61" s="1" t="n">
        <x:f>IF(I61&lt;=0,1001,IF(MAX('損益分岐設定'!B38,ROUNDUP(S61/I61,0))&lt;='損益分岐設定'!C38,MAX('損益分岐設定'!B38,ROUNDUP(S61/I61,0)),1001))</x:f>
        <x:v>12</x:v>
      </x:c>
      <x:c r="X61" s="1" t="n">
        <x:f>IF(I61&lt;=0,1001,IF(MAX('損益分岐設定'!B39,ROUNDUP(T61/I61,0))&lt;='損益分岐設定'!C39,MAX('損益分岐設定'!B39,ROUNDUP(T61/I61,0)),1001))</x:f>
        <x:v>101</x:v>
      </x:c>
      <x:c r="Y61" s="1" t="n">
        <x:f>IF(I61&lt;=0,1001,IF(MAX('損益分岐設定'!B40,ROUNDUP(U61/I61,0))&lt;='損益分岐設定'!C40,MAX('損益分岐設定'!B40,ROUNDUP(U61/I61,0)),1001))</x:f>
        <x:v>501</x:v>
      </x:c>
      <x:c r="Z61" s="1" t="n">
        <x:f>IF(I61&lt;=0,'損益分岐設定'!C37,IF('損益分岐設定'!C37*I61-R61&lt;0,'損益分岐設定'!C37,IF('損益分岐設定'!B37*I61-R61&gt;=0,0,ROUNDUP(R61/I61,0)-1)))</x:f>
        <x:v>9</x:v>
      </x:c>
      <x:c r="AA61" s="1" t="n">
        <x:f>IF(I61&lt;=0,'損益分岐設定'!C38,IF('損益分岐設定'!C38*I61-S61&lt;0,'損益分岐設定'!C38,IF('損益分岐設定'!B38*I61-S61&gt;=0,0,ROUNDUP(S61/I61,0)-1)))</x:f>
        <x:v>11</x:v>
      </x:c>
      <x:c r="AB61" s="1" t="n">
        <x:f>IF(I61&lt;=0,'損益分岐設定'!C39,IF('損益分岐設定'!C39*I61-T61&lt;0,'損益分岐設定'!C39,IF('損益分岐設定'!B39*I61-T61&gt;=0,0,ROUNDUP(T61/I61,0)-1)))</x:f>
        <x:v>0</x:v>
      </x:c>
      <x:c r="AC61" s="1" t="n">
        <x:f>IF(I61&lt;=0,'損益分岐設定'!C40,IF('損益分岐設定'!C40*I61-U61&lt;0,'損益分岐設定'!C40,IF('損益分岐設定'!B40*I61-U61&gt;=0,0,ROUNDUP(U61/I61,0)-1)))</x:f>
        <x:v>0</x:v>
      </x:c>
      <x:c r="AD61" s="1" t="n">
        <x:v>0</x:v>
      </x:c>
      <x:c r="AE61" s="1" t="n">
        <x:v>1</x:v>
      </x:c>
      <x:c r="AF61" s="1" t="n">
        <x:v>0</x:v>
      </x:c>
      <x:c r="AG61" s="1" t="n">
        <x:f>AD61*'損益分岐設定'!$C$57+AE61*'損益分岐設定'!$C$60+AF61*'損益分岐設定'!$C$63</x:f>
        <x:v>441.58457275390623</x:v>
      </x:c>
      <x:c r="AH61" s="1" t="n">
        <x:f>AD61*'損益分岐設定'!$D$57+AE61*'損益分岐設定'!$D$60+AF61*'損益分岐設定'!$D$63</x:f>
        <x:v>120</x:v>
      </x:c>
      <x:c r="AI61" s="1" t="n">
        <x:f>AD61*'損益分岐設定'!$E$57+AE61*'損益分岐設定'!$E$60+AF61*'損益分岐設定'!$E$63</x:f>
        <x:v>120</x:v>
      </x:c>
      <x:c r="AJ61" s="1" t="n">
        <x:f>(AD61*'損益分岐設定'!$F$57+AE61*'損益分岐設定'!$F$60+AF61*'損益分岐設定'!$F$63*1)*'損益分岐設定'!$B$22</x:f>
        <x:v>480</x:v>
      </x:c>
      <x:c r="AK61" s="1" t="n">
        <x:f>AD61*'損益分岐設定'!$G$57+AE61*'損益分岐設定'!$G$60+AF61*'損益分岐設定'!$G$63</x:f>
        <x:v>800</x:v>
      </x:c>
      <x:c r="AL61" s="1" t="n">
        <x:f>AD61*'損益分岐設定'!$H$57+AE61*'損益分岐設定'!$H$60+AF61*'損益分岐設定'!$H$63</x:f>
        <x:v>666.6666666666666</x:v>
      </x:c>
      <x:c r="AM61" s="1" t="n">
        <x:f>MAX(1,ROUNDUP('損益分岐設定'!C37*AJ61/('損益分岐設定'!$B$23*'損益分岐設定'!$B$24*3600*'損益分岐設定'!$B$25),0))</x:f>
        <x:v>1</x:v>
      </x:c>
      <x:c r="AN61" s="1" t="n">
        <x:f>MAX(2,ROUNDUP('損益分岐設定'!C38*AJ61/('損益分岐設定'!$B$23*'損益分岐設定'!$B$24*3600*'損益分岐設定'!$B$25),0))</x:f>
        <x:v>2</x:v>
      </x:c>
      <x:c r="AO61" s="1" t="n">
        <x:f>MAX(2,ROUNDUP('損益分岐設定'!C39*AJ61/('損益分岐設定'!$B$23*'損益分岐設定'!$B$24*3600*'損益分岐設定'!$B$25),0))</x:f>
        <x:v>2</x:v>
      </x:c>
      <x:c r="AP61" s="1" t="n">
        <x:f>MAX(2,ROUNDUP('損益分岐設定'!C40*AJ61/('損益分岐設定'!$B$23*'損益分岐設定'!$B$24*3600*'損益分岐設定'!$B$25),0))</x:f>
        <x:v>2</x:v>
      </x:c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 ht="23" customHeight="1">
      <x:c r="A62" s="1" t="str">
        <x:v>Run</x:v>
      </x:c>
      <x:c r="B62" s="1" t="str">
        <x:v>Business</x:v>
      </x:c>
      <x:c r="C62" s="1" t="str">
        <x:v>標準</x:v>
      </x:c>
      <x:c r="D62" s="21" t="n">
        <x:v>0.4</x:v>
      </x:c>
      <x:c r="E62" s="1" t="n">
        <x:v>1</x:v>
      </x:c>
      <x:c r="F62" s="7" t="n">
        <x:f>AD62*'損益分岐設定'!$B$5+AE62*'損益分岐設定'!$B$6+AF62*'損益分岐設定'!$B$7</x:f>
        <x:v>5000</x:v>
      </x:c>
      <x:c r="G62" s="7" t="n">
        <x:f>AG62+(AH62+AI62)*('損益分岐設定'!$B$29+0.5*'損益分岐設定'!$B$30)+AK62*'損益分岐設定'!$B$32+(AJ62+AK62/'損益分岐設定'!$B$28*'損益分岐設定'!$B$26)*('損益分岐設定'!$B$29+'損益分岐設定'!$B$31*'損益分岐設定'!$B$30)</x:f>
        <x:v>445.42048958224115</x:v>
      </x:c>
      <x:c r="H62" s="7" t="n">
        <x:f>AL62*E62</x:f>
        <x:v>666.6666666666666</x:v>
      </x:c>
      <x:c r="I62" s="7" t="n">
        <x:f>F62*(1-D62-'損益分岐設定'!$B$10)-G62-H62</x:f>
        <x:v>1707.9128437510917</x:v>
      </x:c>
      <x:c r="J62" s="1" t="n">
        <x:f>IF(MIN(V62:Y62)&gt;1000,"範囲内なし",MIN(V62:Y62))</x:f>
        <x:v>21</x:v>
      </x:c>
      <x:c r="K62" s="1" t="n">
        <x:f>IF(MAX(Z62:AC62)&gt;=1000,"範囲内なし",MAX(1,MAX(Z62:AC62)+1))</x:f>
        <x:v>21</x:v>
      </x:c>
      <x:c r="L62" s="7" t="n">
        <x:f>10*I62-R62</x:f>
        <x:v>-12931.80618879688</x:v>
      </x:c>
      <x:c r="M62" s="7" t="n">
        <x:f>30*I62-S62</x:f>
        <x:v>16726.450686224955</x:v>
      </x:c>
      <x:c r="N62" s="7" t="n">
        <x:f>50*I62-S62</x:f>
        <x:v>50884.707561246796</x:v>
      </x:c>
      <x:c r="O62" s="7" t="n">
        <x:f>100*I62-S62</x:f>
        <x:v>136280.34974880138</x:v>
      </x:c>
      <x:c r="P62" s="7" t="n">
        <x:f>300*I62-T62</x:f>
        <x:v>455862.9184990197</x:v>
      </x:c>
      <x:c r="Q62" s="7" t="n">
        <x:f>1000*I62-U62</x:f>
        <x:v>1621401.909124784</x:v>
      </x:c>
      <x:c r="R6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62*'損益分岐設定'!$B$12*'損益分岐設定'!$B$11</x:f>
        <x:v>30010.934626307797</x:v>
      </x:c>
      <x:c r="S6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62*'損益分岐設定'!$B$12*'損益分岐設定'!$B$11</x:f>
        <x:v>34510.9346263078</x:v>
      </x:c>
      <x:c r="T6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62*'損益分岐設定'!$B$12*'損益分岐設定'!$B$11</x:f>
        <x:v>56510.9346263078</x:v>
      </x:c>
      <x:c r="U6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62*'損益分岐設定'!$B$12*'損益分岐設定'!$B$11</x:f>
        <x:v>86510.9346263078</x:v>
      </x:c>
      <x:c r="V62" s="1" t="n">
        <x:f>IF(I62&lt;=0,1001,IF(MAX('損益分岐設定'!B37,ROUNDUP(R62/I62,0))&lt;='損益分岐設定'!C37,MAX('損益分岐設定'!B37,ROUNDUP(R62/I62,0)),1001))</x:f>
        <x:v>1001</x:v>
      </x:c>
      <x:c r="W62" s="1" t="n">
        <x:f>IF(I62&lt;=0,1001,IF(MAX('損益分岐設定'!B38,ROUNDUP(S62/I62,0))&lt;='損益分岐設定'!C38,MAX('損益分岐設定'!B38,ROUNDUP(S62/I62,0)),1001))</x:f>
        <x:v>21</x:v>
      </x:c>
      <x:c r="X62" s="1" t="n">
        <x:f>IF(I62&lt;=0,1001,IF(MAX('損益分岐設定'!B39,ROUNDUP(T62/I62,0))&lt;='損益分岐設定'!C39,MAX('損益分岐設定'!B39,ROUNDUP(T62/I62,0)),1001))</x:f>
        <x:v>101</x:v>
      </x:c>
      <x:c r="Y62" s="1" t="n">
        <x:f>IF(I62&lt;=0,1001,IF(MAX('損益分岐設定'!B40,ROUNDUP(U62/I62,0))&lt;='損益分岐設定'!C40,MAX('損益分岐設定'!B40,ROUNDUP(U62/I62,0)),1001))</x:f>
        <x:v>501</x:v>
      </x:c>
      <x:c r="Z62" s="1" t="n">
        <x:f>IF(I62&lt;=0,'損益分岐設定'!C37,IF('損益分岐設定'!C37*I62-R62&lt;0,'損益分岐設定'!C37,IF('損益分岐設定'!B37*I62-R62&gt;=0,0,ROUNDUP(R62/I62,0)-1)))</x:f>
        <x:v>10</x:v>
      </x:c>
      <x:c r="AA62" s="1" t="n">
        <x:f>IF(I62&lt;=0,'損益分岐設定'!C38,IF('損益分岐設定'!C38*I62-S62&lt;0,'損益分岐設定'!C38,IF('損益分岐設定'!B38*I62-S62&gt;=0,0,ROUNDUP(S62/I62,0)-1)))</x:f>
        <x:v>20</x:v>
      </x:c>
      <x:c r="AB62" s="1" t="n">
        <x:f>IF(I62&lt;=0,'損益分岐設定'!C39,IF('損益分岐設定'!C39*I62-T62&lt;0,'損益分岐設定'!C39,IF('損益分岐設定'!B39*I62-T62&gt;=0,0,ROUNDUP(T62/I62,0)-1)))</x:f>
        <x:v>0</x:v>
      </x:c>
      <x:c r="AC62" s="1" t="n">
        <x:f>IF(I62&lt;=0,'損益分岐設定'!C40,IF('損益分岐設定'!C40*I62-U62&lt;0,'損益分岐設定'!C40,IF('損益分岐設定'!B40*I62-U62&gt;=0,0,ROUNDUP(U62/I62,0)-1)))</x:f>
        <x:v>0</x:v>
      </x:c>
      <x:c r="AD62" s="1" t="n">
        <x:v>0</x:v>
      </x:c>
      <x:c r="AE62" s="1" t="n">
        <x:v>1</x:v>
      </x:c>
      <x:c r="AF62" s="1" t="n">
        <x:v>0</x:v>
      </x:c>
      <x:c r="AG62" s="1" t="n">
        <x:f>AD62*'損益分岐設定'!$C$57+AE62*'損益分岐設定'!$C$60+AF62*'損益分岐設定'!$C$63</x:f>
        <x:v>441.58457275390623</x:v>
      </x:c>
      <x:c r="AH62" s="1" t="n">
        <x:f>AD62*'損益分岐設定'!$D$57+AE62*'損益分岐設定'!$D$60+AF62*'損益分岐設定'!$D$63</x:f>
        <x:v>120</x:v>
      </x:c>
      <x:c r="AI62" s="1" t="n">
        <x:f>AD62*'損益分岐設定'!$E$57+AE62*'損益分岐設定'!$E$60+AF62*'損益分岐設定'!$E$63</x:f>
        <x:v>120</x:v>
      </x:c>
      <x:c r="AJ62" s="1" t="n">
        <x:f>(AD62*'損益分岐設定'!$F$57+AE62*'損益分岐設定'!$F$60+AF62*'損益分岐設定'!$F$63*1)*'損益分岐設定'!$B$22</x:f>
        <x:v>480</x:v>
      </x:c>
      <x:c r="AK62" s="1" t="n">
        <x:f>AD62*'損益分岐設定'!$G$57+AE62*'損益分岐設定'!$G$60+AF62*'損益分岐設定'!$G$63</x:f>
        <x:v>800</x:v>
      </x:c>
      <x:c r="AL62" s="1" t="n">
        <x:f>AD62*'損益分岐設定'!$H$57+AE62*'損益分岐設定'!$H$60+AF62*'損益分岐設定'!$H$63</x:f>
        <x:v>666.6666666666666</x:v>
      </x:c>
      <x:c r="AM62" s="1" t="n">
        <x:f>MAX(1,ROUNDUP('損益分岐設定'!C37*AJ62/('損益分岐設定'!$B$23*'損益分岐設定'!$B$24*3600*'損益分岐設定'!$B$25),0))</x:f>
        <x:v>1</x:v>
      </x:c>
      <x:c r="AN62" s="1" t="n">
        <x:f>MAX(2,ROUNDUP('損益分岐設定'!C38*AJ62/('損益分岐設定'!$B$23*'損益分岐設定'!$B$24*3600*'損益分岐設定'!$B$25),0))</x:f>
        <x:v>2</x:v>
      </x:c>
      <x:c r="AO62" s="1" t="n">
        <x:f>MAX(2,ROUNDUP('損益分岐設定'!C39*AJ62/('損益分岐設定'!$B$23*'損益分岐設定'!$B$24*3600*'損益分岐設定'!$B$25),0))</x:f>
        <x:v>2</x:v>
      </x:c>
      <x:c r="AP62" s="1" t="n">
        <x:f>MAX(2,ROUNDUP('損益分岐設定'!C40*AJ62/('損益分岐設定'!$B$23*'損益分岐設定'!$B$24*3600*'損益分岐設定'!$B$25),0))</x:f>
        <x:v>2</x:v>
      </x:c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 ht="23" customHeight="1">
      <x:c r="A63" s="1" t="str">
        <x:v>Run</x:v>
      </x:c>
      <x:c r="B63" s="1" t="str">
        <x:v>Business</x:v>
      </x:c>
      <x:c r="C63" s="1" t="str">
        <x:v>標準</x:v>
      </x:c>
      <x:c r="D63" s="21" t="n">
        <x:v>0.5</x:v>
      </x:c>
      <x:c r="E63" s="1" t="n">
        <x:v>0</x:v>
      </x:c>
      <x:c r="F63" s="7" t="n">
        <x:f>AD63*'損益分岐設定'!$B$5+AE63*'損益分岐設定'!$B$6+AF63*'損益分岐設定'!$B$7</x:f>
        <x:v>5000</x:v>
      </x:c>
      <x:c r="G63" s="7" t="n">
        <x:f>AG63+(AH63+AI63)*('損益分岐設定'!$B$29+0.5*'損益分岐設定'!$B$30)+AK63*'損益分岐設定'!$B$32+(AJ63+AK63/'損益分岐設定'!$B$28*'損益分岐設定'!$B$26)*('損益分岐設定'!$B$29+'損益分岐設定'!$B$31*'損益分岐設定'!$B$30)</x:f>
        <x:v>445.42048958224115</x:v>
      </x:c>
      <x:c r="H63" s="7" t="n">
        <x:f>AL63*E63</x:f>
        <x:v>0</x:v>
      </x:c>
      <x:c r="I63" s="7" t="n">
        <x:f>F63*(1-D63-'損益分岐設定'!$B$10)-G63-H63</x:f>
        <x:v>1874.579510417759</x:v>
      </x:c>
      <x:c r="J63" s="1" t="n">
        <x:f>IF(MIN(V63:Y63)&gt;1000,"範囲内なし",MIN(V63:Y63))</x:f>
        <x:v>15</x:v>
      </x:c>
      <x:c r="K63" s="1" t="n">
        <x:f>IF(MAX(Z63:AC63)&gt;=1000,"範囲内なし",MAX(1,MAX(Z63:AC63)+1))</x:f>
        <x:v>15</x:v>
      </x:c>
      <x:c r="L63" s="7" t="n">
        <x:f>10*I63-R63</x:f>
        <x:v>-3265.139522130208</x:v>
      </x:c>
      <x:c r="M63" s="7" t="n">
        <x:f>30*I63-S63</x:f>
        <x:v>29726.45068622497</x:v>
      </x:c>
      <x:c r="N63" s="7" t="n">
        <x:f>50*I63-S63</x:f>
        <x:v>67218.04089458016</x:v>
      </x:c>
      <x:c r="O63" s="7" t="n">
        <x:f>100*I63-S63</x:f>
        <x:v>160947.0164154681</x:v>
      </x:c>
      <x:c r="P63" s="7" t="n">
        <x:f>300*I63-T63</x:f>
        <x:v>513862.9184990198</x:v>
      </x:c>
      <x:c r="Q63" s="7" t="n">
        <x:f>1000*I63-U63</x:f>
        <x:v>1796068.5757914511</x:v>
      </x:c>
      <x:c r="R6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63*'損益分岐設定'!$B$12*'損益分岐設定'!$B$11</x:f>
        <x:v>22010.934626307797</x:v>
      </x:c>
      <x:c r="S6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63*'損益分岐設定'!$B$12*'損益分岐設定'!$B$11</x:f>
        <x:v>26510.934626307797</x:v>
      </x:c>
      <x:c r="T6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63*'損益分岐設定'!$B$12*'損益分岐設定'!$B$11</x:f>
        <x:v>48510.9346263078</x:v>
      </x:c>
      <x:c r="U6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63*'損益分岐設定'!$B$12*'損益分岐設定'!$B$11</x:f>
        <x:v>78510.9346263078</x:v>
      </x:c>
      <x:c r="V63" s="1" t="n">
        <x:f>IF(I63&lt;=0,1001,IF(MAX('損益分岐設定'!B37,ROUNDUP(R63/I63,0))&lt;='損益分岐設定'!C37,MAX('損益分岐設定'!B37,ROUNDUP(R63/I63,0)),1001))</x:f>
        <x:v>1001</x:v>
      </x:c>
      <x:c r="W63" s="1" t="n">
        <x:f>IF(I63&lt;=0,1001,IF(MAX('損益分岐設定'!B38,ROUNDUP(S63/I63,0))&lt;='損益分岐設定'!C38,MAX('損益分岐設定'!B38,ROUNDUP(S63/I63,0)),1001))</x:f>
        <x:v>15</x:v>
      </x:c>
      <x:c r="X63" s="1" t="n">
        <x:f>IF(I63&lt;=0,1001,IF(MAX('損益分岐設定'!B39,ROUNDUP(T63/I63,0))&lt;='損益分岐設定'!C39,MAX('損益分岐設定'!B39,ROUNDUP(T63/I63,0)),1001))</x:f>
        <x:v>101</x:v>
      </x:c>
      <x:c r="Y63" s="1" t="n">
        <x:f>IF(I63&lt;=0,1001,IF(MAX('損益分岐設定'!B40,ROUNDUP(U63/I63,0))&lt;='損益分岐設定'!C40,MAX('損益分岐設定'!B40,ROUNDUP(U63/I63,0)),1001))</x:f>
        <x:v>501</x:v>
      </x:c>
      <x:c r="Z63" s="1" t="n">
        <x:f>IF(I63&lt;=0,'損益分岐設定'!C37,IF('損益分岐設定'!C37*I63-R63&lt;0,'損益分岐設定'!C37,IF('損益分岐設定'!B37*I63-R63&gt;=0,0,ROUNDUP(R63/I63,0)-1)))</x:f>
        <x:v>10</x:v>
      </x:c>
      <x:c r="AA63" s="1" t="n">
        <x:f>IF(I63&lt;=0,'損益分岐設定'!C38,IF('損益分岐設定'!C38*I63-S63&lt;0,'損益分岐設定'!C38,IF('損益分岐設定'!B38*I63-S63&gt;=0,0,ROUNDUP(S63/I63,0)-1)))</x:f>
        <x:v>14</x:v>
      </x:c>
      <x:c r="AB63" s="1" t="n">
        <x:f>IF(I63&lt;=0,'損益分岐設定'!C39,IF('損益分岐設定'!C39*I63-T63&lt;0,'損益分岐設定'!C39,IF('損益分岐設定'!B39*I63-T63&gt;=0,0,ROUNDUP(T63/I63,0)-1)))</x:f>
        <x:v>0</x:v>
      </x:c>
      <x:c r="AC63" s="1" t="n">
        <x:f>IF(I63&lt;=0,'損益分岐設定'!C40,IF('損益分岐設定'!C40*I63-U63&lt;0,'損益分岐設定'!C40,IF('損益分岐設定'!B40*I63-U63&gt;=0,0,ROUNDUP(U63/I63,0)-1)))</x:f>
        <x:v>0</x:v>
      </x:c>
      <x:c r="AD63" s="1" t="n">
        <x:v>0</x:v>
      </x:c>
      <x:c r="AE63" s="1" t="n">
        <x:v>1</x:v>
      </x:c>
      <x:c r="AF63" s="1" t="n">
        <x:v>0</x:v>
      </x:c>
      <x:c r="AG63" s="1" t="n">
        <x:f>AD63*'損益分岐設定'!$C$57+AE63*'損益分岐設定'!$C$60+AF63*'損益分岐設定'!$C$63</x:f>
        <x:v>441.58457275390623</x:v>
      </x:c>
      <x:c r="AH63" s="1" t="n">
        <x:f>AD63*'損益分岐設定'!$D$57+AE63*'損益分岐設定'!$D$60+AF63*'損益分岐設定'!$D$63</x:f>
        <x:v>120</x:v>
      </x:c>
      <x:c r="AI63" s="1" t="n">
        <x:f>AD63*'損益分岐設定'!$E$57+AE63*'損益分岐設定'!$E$60+AF63*'損益分岐設定'!$E$63</x:f>
        <x:v>120</x:v>
      </x:c>
      <x:c r="AJ63" s="1" t="n">
        <x:f>(AD63*'損益分岐設定'!$F$57+AE63*'損益分岐設定'!$F$60+AF63*'損益分岐設定'!$F$63*1)*'損益分岐設定'!$B$22</x:f>
        <x:v>480</x:v>
      </x:c>
      <x:c r="AK63" s="1" t="n">
        <x:f>AD63*'損益分岐設定'!$G$57+AE63*'損益分岐設定'!$G$60+AF63*'損益分岐設定'!$G$63</x:f>
        <x:v>800</x:v>
      </x:c>
      <x:c r="AL63" s="1" t="n">
        <x:f>AD63*'損益分岐設定'!$H$57+AE63*'損益分岐設定'!$H$60+AF63*'損益分岐設定'!$H$63</x:f>
        <x:v>666.6666666666666</x:v>
      </x:c>
      <x:c r="AM63" s="1" t="n">
        <x:f>MAX(1,ROUNDUP('損益分岐設定'!C37*AJ63/('損益分岐設定'!$B$23*'損益分岐設定'!$B$24*3600*'損益分岐設定'!$B$25),0))</x:f>
        <x:v>1</x:v>
      </x:c>
      <x:c r="AN63" s="1" t="n">
        <x:f>MAX(2,ROUNDUP('損益分岐設定'!C38*AJ63/('損益分岐設定'!$B$23*'損益分岐設定'!$B$24*3600*'損益分岐設定'!$B$25),0))</x:f>
        <x:v>2</x:v>
      </x:c>
      <x:c r="AO63" s="1" t="n">
        <x:f>MAX(2,ROUNDUP('損益分岐設定'!C39*AJ63/('損益分岐設定'!$B$23*'損益分岐設定'!$B$24*3600*'損益分岐設定'!$B$25),0))</x:f>
        <x:v>2</x:v>
      </x:c>
      <x:c r="AP63" s="1" t="n">
        <x:f>MAX(2,ROUNDUP('損益分岐設定'!C40*AJ63/('損益分岐設定'!$B$23*'損益分岐設定'!$B$24*3600*'損益分岐設定'!$B$25),0))</x:f>
        <x:v>2</x:v>
      </x:c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 ht="23" customHeight="1">
      <x:c r="A64" s="1" t="str">
        <x:v>Run</x:v>
      </x:c>
      <x:c r="B64" s="1" t="str">
        <x:v>Business</x:v>
      </x:c>
      <x:c r="C64" s="1" t="str">
        <x:v>標準</x:v>
      </x:c>
      <x:c r="D64" s="21" t="n">
        <x:v>0.5</x:v>
      </x:c>
      <x:c r="E64" s="1" t="n">
        <x:v>1</x:v>
      </x:c>
      <x:c r="F64" s="7" t="n">
        <x:f>AD64*'損益分岐設定'!$B$5+AE64*'損益分岐設定'!$B$6+AF64*'損益分岐設定'!$B$7</x:f>
        <x:v>5000</x:v>
      </x:c>
      <x:c r="G64" s="7" t="n">
        <x:f>AG64+(AH64+AI64)*('損益分岐設定'!$B$29+0.5*'損益分岐設定'!$B$30)+AK64*'損益分岐設定'!$B$32+(AJ64+AK64/'損益分岐設定'!$B$28*'損益分岐設定'!$B$26)*('損益分岐設定'!$B$29+'損益分岐設定'!$B$31*'損益分岐設定'!$B$30)</x:f>
        <x:v>445.42048958224115</x:v>
      </x:c>
      <x:c r="H64" s="7" t="n">
        <x:f>AL64*E64</x:f>
        <x:v>666.6666666666666</x:v>
      </x:c>
      <x:c r="I64" s="7" t="n">
        <x:f>F64*(1-D64-'損益分岐設定'!$B$10)-G64-H64</x:f>
        <x:v>1207.9128437510922</x:v>
      </x:c>
      <x:c r="J64" s="1" t="n">
        <x:f>IF(MIN(V64:Y64)&gt;1000,"範囲内なし",MIN(V64:Y64))</x:f>
        <x:v>29</x:v>
      </x:c>
      <x:c r="K64" s="1" t="n">
        <x:f>IF(MAX(Z64:AC64)&gt;=1000,"範囲内なし",MAX(1,MAX(Z64:AC64)+1))</x:f>
        <x:v>29</x:v>
      </x:c>
      <x:c r="L64" s="7" t="n">
        <x:f>10*I64-R64</x:f>
        <x:v>-17931.806188796876</x:v>
      </x:c>
      <x:c r="M64" s="7" t="n">
        <x:f>30*I64-S64</x:f>
        <x:v>1726.450686224969</x:v>
      </x:c>
      <x:c r="N64" s="7" t="n">
        <x:f>50*I64-S64</x:f>
        <x:v>25884.70756124681</x:v>
      </x:c>
      <x:c r="O64" s="7" t="n">
        <x:f>100*I64-S64</x:f>
        <x:v>86280.34974880141</x:v>
      </x:c>
      <x:c r="P64" s="7" t="n">
        <x:f>300*I64-T64</x:f>
        <x:v>305862.91849901987</x:v>
      </x:c>
      <x:c r="Q64" s="7" t="n">
        <x:f>1000*I64-U64</x:f>
        <x:v>1121401.9091247844</x:v>
      </x:c>
      <x:c r="R6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64*'損益分岐設定'!$B$12*'損益分岐設定'!$B$11</x:f>
        <x:v>30010.934626307797</x:v>
      </x:c>
      <x:c r="S6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64*'損益分岐設定'!$B$12*'損益分岐設定'!$B$11</x:f>
        <x:v>34510.9346263078</x:v>
      </x:c>
      <x:c r="T6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64*'損益分岐設定'!$B$12*'損益分岐設定'!$B$11</x:f>
        <x:v>56510.9346263078</x:v>
      </x:c>
      <x:c r="U6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64*'損益分岐設定'!$B$12*'損益分岐設定'!$B$11</x:f>
        <x:v>86510.9346263078</x:v>
      </x:c>
      <x:c r="V64" s="1" t="n">
        <x:f>IF(I64&lt;=0,1001,IF(MAX('損益分岐設定'!B37,ROUNDUP(R64/I64,0))&lt;='損益分岐設定'!C37,MAX('損益分岐設定'!B37,ROUNDUP(R64/I64,0)),1001))</x:f>
        <x:v>1001</x:v>
      </x:c>
      <x:c r="W64" s="1" t="n">
        <x:f>IF(I64&lt;=0,1001,IF(MAX('損益分岐設定'!B38,ROUNDUP(S64/I64,0))&lt;='損益分岐設定'!C38,MAX('損益分岐設定'!B38,ROUNDUP(S64/I64,0)),1001))</x:f>
        <x:v>29</x:v>
      </x:c>
      <x:c r="X64" s="1" t="n">
        <x:f>IF(I64&lt;=0,1001,IF(MAX('損益分岐設定'!B39,ROUNDUP(T64/I64,0))&lt;='損益分岐設定'!C39,MAX('損益分岐設定'!B39,ROUNDUP(T64/I64,0)),1001))</x:f>
        <x:v>101</x:v>
      </x:c>
      <x:c r="Y64" s="1" t="n">
        <x:f>IF(I64&lt;=0,1001,IF(MAX('損益分岐設定'!B40,ROUNDUP(U64/I64,0))&lt;='損益分岐設定'!C40,MAX('損益分岐設定'!B40,ROUNDUP(U64/I64,0)),1001))</x:f>
        <x:v>501</x:v>
      </x:c>
      <x:c r="Z64" s="1" t="n">
        <x:f>IF(I64&lt;=0,'損益分岐設定'!C37,IF('損益分岐設定'!C37*I64-R64&lt;0,'損益分岐設定'!C37,IF('損益分岐設定'!B37*I64-R64&gt;=0,0,ROUNDUP(R64/I64,0)-1)))</x:f>
        <x:v>10</x:v>
      </x:c>
      <x:c r="AA64" s="1" t="n">
        <x:f>IF(I64&lt;=0,'損益分岐設定'!C38,IF('損益分岐設定'!C38*I64-S64&lt;0,'損益分岐設定'!C38,IF('損益分岐設定'!B38*I64-S64&gt;=0,0,ROUNDUP(S64/I64,0)-1)))</x:f>
        <x:v>28</x:v>
      </x:c>
      <x:c r="AB64" s="1" t="n">
        <x:f>IF(I64&lt;=0,'損益分岐設定'!C39,IF('損益分岐設定'!C39*I64-T64&lt;0,'損益分岐設定'!C39,IF('損益分岐設定'!B39*I64-T64&gt;=0,0,ROUNDUP(T64/I64,0)-1)))</x:f>
        <x:v>0</x:v>
      </x:c>
      <x:c r="AC64" s="1" t="n">
        <x:f>IF(I64&lt;=0,'損益分岐設定'!C40,IF('損益分岐設定'!C40*I64-U64&lt;0,'損益分岐設定'!C40,IF('損益分岐設定'!B40*I64-U64&gt;=0,0,ROUNDUP(U64/I64,0)-1)))</x:f>
        <x:v>0</x:v>
      </x:c>
      <x:c r="AD64" s="1" t="n">
        <x:v>0</x:v>
      </x:c>
      <x:c r="AE64" s="1" t="n">
        <x:v>1</x:v>
      </x:c>
      <x:c r="AF64" s="1" t="n">
        <x:v>0</x:v>
      </x:c>
      <x:c r="AG64" s="1" t="n">
        <x:f>AD64*'損益分岐設定'!$C$57+AE64*'損益分岐設定'!$C$60+AF64*'損益分岐設定'!$C$63</x:f>
        <x:v>441.58457275390623</x:v>
      </x:c>
      <x:c r="AH64" s="1" t="n">
        <x:f>AD64*'損益分岐設定'!$D$57+AE64*'損益分岐設定'!$D$60+AF64*'損益分岐設定'!$D$63</x:f>
        <x:v>120</x:v>
      </x:c>
      <x:c r="AI64" s="1" t="n">
        <x:f>AD64*'損益分岐設定'!$E$57+AE64*'損益分岐設定'!$E$60+AF64*'損益分岐設定'!$E$63</x:f>
        <x:v>120</x:v>
      </x:c>
      <x:c r="AJ64" s="1" t="n">
        <x:f>(AD64*'損益分岐設定'!$F$57+AE64*'損益分岐設定'!$F$60+AF64*'損益分岐設定'!$F$63*1)*'損益分岐設定'!$B$22</x:f>
        <x:v>480</x:v>
      </x:c>
      <x:c r="AK64" s="1" t="n">
        <x:f>AD64*'損益分岐設定'!$G$57+AE64*'損益分岐設定'!$G$60+AF64*'損益分岐設定'!$G$63</x:f>
        <x:v>800</x:v>
      </x:c>
      <x:c r="AL64" s="1" t="n">
        <x:f>AD64*'損益分岐設定'!$H$57+AE64*'損益分岐設定'!$H$60+AF64*'損益分岐設定'!$H$63</x:f>
        <x:v>666.6666666666666</x:v>
      </x:c>
      <x:c r="AM64" s="1" t="n">
        <x:f>MAX(1,ROUNDUP('損益分岐設定'!C37*AJ64/('損益分岐設定'!$B$23*'損益分岐設定'!$B$24*3600*'損益分岐設定'!$B$25),0))</x:f>
        <x:v>1</x:v>
      </x:c>
      <x:c r="AN64" s="1" t="n">
        <x:f>MAX(2,ROUNDUP('損益分岐設定'!C38*AJ64/('損益分岐設定'!$B$23*'損益分岐設定'!$B$24*3600*'損益分岐設定'!$B$25),0))</x:f>
        <x:v>2</x:v>
      </x:c>
      <x:c r="AO64" s="1" t="n">
        <x:f>MAX(2,ROUNDUP('損益分岐設定'!C39*AJ64/('損益分岐設定'!$B$23*'損益分岐設定'!$B$24*3600*'損益分岐設定'!$B$25),0))</x:f>
        <x:v>2</x:v>
      </x:c>
      <x:c r="AP64" s="1" t="n">
        <x:f>MAX(2,ROUNDUP('損益分岐設定'!C40*AJ64/('損益分岐設定'!$B$23*'損益分岐設定'!$B$24*3600*'損益分岐設定'!$B$25),0))</x:f>
        <x:v>2</x:v>
      </x:c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 ht="23" customHeight="1">
      <x:c r="A65" s="1" t="str">
        <x:v>Run</x:v>
      </x:c>
      <x:c r="B65" s="1" t="str">
        <x:v>Business</x:v>
      </x:c>
      <x:c r="C65" s="1" t="str">
        <x:v>高位</x:v>
      </x:c>
      <x:c r="D65" s="21" t="n">
        <x:v>0</x:v>
      </x:c>
      <x:c r="E65" s="1" t="n">
        <x:v>0</x:v>
      </x:c>
      <x:c r="F65" s="7" t="n">
        <x:f>AD65*'損益分岐設定'!$B$5+AE65*'損益分岐設定'!$B$6+AF65*'損益分岐設定'!$B$7</x:f>
        <x:v>5000</x:v>
      </x:c>
      <x:c r="G65" s="7" t="n">
        <x:f>AG65+(AH65+AI65)*('損益分岐設定'!$B$29+0.5*'損益分岐設定'!$B$30)+AK65*'損益分岐設定'!$B$32+(AJ65+AK65/'損益分岐設定'!$B$28*'損益分岐設定'!$B$26)*('損益分岐設定'!$B$29+'損益分岐設定'!$B$31*'損益分岐設定'!$B$30)</x:f>
        <x:v>9960.033245471808</x:v>
      </x:c>
      <x:c r="H65" s="7" t="n">
        <x:f>AL65*E65</x:f>
        <x:v>0</x:v>
      </x:c>
      <x:c r="I65" s="7" t="n">
        <x:f>F65*(1-D65-'損益分岐設定'!$B$10)-G65-H65</x:f>
        <x:v>-5140.033245471808</x:v>
      </x:c>
      <x:c r="J65" s="1" t="str">
        <x:f>IF(MIN(V65:Y65)&gt;1000,"範囲内なし",MIN(V65:Y65))</x:f>
        <x:v>範囲内なし</x:v>
      </x:c>
      <x:c r="K65" s="1" t="str">
        <x:f>IF(MAX(Z65:AC65)&gt;=1000,"範囲内なし",MAX(1,MAX(Z65:AC65)+1))</x:f>
        <x:v>範囲内なし</x:v>
      </x:c>
      <x:c r="L65" s="7" t="n">
        <x:f>10*I65-R65</x:f>
        <x:v>-73411.26708102587</x:v>
      </x:c>
      <x:c r="M65" s="7" t="n">
        <x:f>30*I65-S65</x:f>
        <x:v>-180711.93199046206</x:v>
      </x:c>
      <x:c r="N65" s="7" t="n">
        <x:f>50*I65-S65</x:f>
        <x:v>-283512.5968998982</x:v>
      </x:c>
      <x:c r="O65" s="7" t="n">
        <x:f>100*I65-S65</x:f>
        <x:v>-540514.2591734886</x:v>
      </x:c>
      <x:c r="P65" s="7" t="n">
        <x:f>300*I65-T65</x:f>
        <x:v>-1590520.9082678503</x:v>
      </x:c>
      <x:c r="Q65" s="7" t="n">
        <x:f>1000*I65-U65</x:f>
        <x:v>-5218544.180098116</x:v>
      </x:c>
      <x:c r="R6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65*'損益分岐設定'!$B$12*'損益分岐設定'!$B$11</x:f>
        <x:v>22010.934626307797</x:v>
      </x:c>
      <x:c r="S6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65*'損益分岐設定'!$B$12*'損益分岐設定'!$B$11</x:f>
        <x:v>26510.934626307797</x:v>
      </x:c>
      <x:c r="T6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65*'損益分岐設定'!$B$12*'損益分岐設定'!$B$11</x:f>
        <x:v>48510.9346263078</x:v>
      </x:c>
      <x:c r="U6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65*'損益分岐設定'!$B$12*'損益分岐設定'!$B$11</x:f>
        <x:v>78510.9346263078</x:v>
      </x:c>
      <x:c r="V65" s="1" t="n">
        <x:f>IF(I65&lt;=0,1001,IF(MAX('損益分岐設定'!B37,ROUNDUP(R65/I65,0))&lt;='損益分岐設定'!C37,MAX('損益分岐設定'!B37,ROUNDUP(R65/I65,0)),1001))</x:f>
        <x:v>1001</x:v>
      </x:c>
      <x:c r="W65" s="1" t="n">
        <x:f>IF(I65&lt;=0,1001,IF(MAX('損益分岐設定'!B38,ROUNDUP(S65/I65,0))&lt;='損益分岐設定'!C38,MAX('損益分岐設定'!B38,ROUNDUP(S65/I65,0)),1001))</x:f>
        <x:v>1001</x:v>
      </x:c>
      <x:c r="X65" s="1" t="n">
        <x:f>IF(I65&lt;=0,1001,IF(MAX('損益分岐設定'!B39,ROUNDUP(T65/I65,0))&lt;='損益分岐設定'!C39,MAX('損益分岐設定'!B39,ROUNDUP(T65/I65,0)),1001))</x:f>
        <x:v>1001</x:v>
      </x:c>
      <x:c r="Y65" s="1" t="n">
        <x:f>IF(I65&lt;=0,1001,IF(MAX('損益分岐設定'!B40,ROUNDUP(U65/I65,0))&lt;='損益分岐設定'!C40,MAX('損益分岐設定'!B40,ROUNDUP(U65/I65,0)),1001))</x:f>
        <x:v>1001</x:v>
      </x:c>
      <x:c r="Z65" s="1" t="n">
        <x:f>IF(I65&lt;=0,'損益分岐設定'!C37,IF('損益分岐設定'!C37*I65-R65&lt;0,'損益分岐設定'!C37,IF('損益分岐設定'!B37*I65-R65&gt;=0,0,ROUNDUP(R65/I65,0)-1)))</x:f>
        <x:v>10</x:v>
      </x:c>
      <x:c r="AA65" s="1" t="n">
        <x:f>IF(I65&lt;=0,'損益分岐設定'!C38,IF('損益分岐設定'!C38*I65-S65&lt;0,'損益分岐設定'!C38,IF('損益分岐設定'!B38*I65-S65&gt;=0,0,ROUNDUP(S65/I65,0)-1)))</x:f>
        <x:v>100</x:v>
      </x:c>
      <x:c r="AB65" s="1" t="n">
        <x:f>IF(I65&lt;=0,'損益分岐設定'!C39,IF('損益分岐設定'!C39*I65-T65&lt;0,'損益分岐設定'!C39,IF('損益分岐設定'!B39*I65-T65&gt;=0,0,ROUNDUP(T65/I65,0)-1)))</x:f>
        <x:v>500</x:v>
      </x:c>
      <x:c r="AC65" s="1" t="n">
        <x:f>IF(I65&lt;=0,'損益分岐設定'!C40,IF('損益分岐設定'!C40*I65-U65&lt;0,'損益分岐設定'!C40,IF('損益分岐設定'!B40*I65-U65&gt;=0,0,ROUNDUP(U65/I65,0)-1)))</x:f>
        <x:v>1000</x:v>
      </x:c>
      <x:c r="AD65" s="1" t="n">
        <x:v>0</x:v>
      </x:c>
      <x:c r="AE65" s="1" t="n">
        <x:v>1</x:v>
      </x:c>
      <x:c r="AF65" s="1" t="n">
        <x:v>0</x:v>
      </x:c>
      <x:c r="AG65" s="1" t="n">
        <x:f>AD65*'損益分岐設定'!$C$58+AE65*'損益分岐設定'!$C$61+AF65*'損益分岐設定'!$C$64</x:f>
        <x:v>9914.705791015625</x:v>
      </x:c>
      <x:c r="AH65" s="1" t="n">
        <x:f>AD65*'損益分岐設定'!$D$58+AE65*'損益分岐設定'!$D$61+AF65*'損益分岐設定'!$D$64</x:f>
        <x:v>480</x:v>
      </x:c>
      <x:c r="AI65" s="1" t="n">
        <x:f>AD65*'損益分岐設定'!$E$58+AE65*'損益分岐設定'!$E$61+AF65*'損益分岐設定'!$E$64</x:f>
        <x:v>640</x:v>
      </x:c>
      <x:c r="AJ65" s="1" t="n">
        <x:f>(AD65*'損益分岐設定'!$F$58+AE65*'損益分岐設定'!$F$61+AF65*'損益分岐設定'!$F$64*1)*'損益分岐設定'!$B$22</x:f>
        <x:v>7200</x:v>
      </x:c>
      <x:c r="AK65" s="1" t="n">
        <x:f>AD65*'損益分岐設定'!$G$58+AE65*'損益分岐設定'!$G$61+AF65*'損益分岐設定'!$G$64</x:f>
        <x:v>4800</x:v>
      </x:c>
      <x:c r="AL65" s="1" t="n">
        <x:f>AD65*'損益分岐設定'!$H$58+AE65*'損益分岐設定'!$H$61+AF65*'損益分岐設定'!$H$64</x:f>
        <x:v>1466.6666666666665</x:v>
      </x:c>
      <x:c r="AM65" s="1" t="n">
        <x:f>MAX(1,ROUNDUP('損益分岐設定'!C37*AJ65/('損益分岐設定'!$B$23*'損益分岐設定'!$B$24*3600*'損益分岐設定'!$B$25),0))</x:f>
        <x:v>1</x:v>
      </x:c>
      <x:c r="AN65" s="1" t="n">
        <x:f>MAX(2,ROUNDUP('損益分岐設定'!C38*AJ65/('損益分岐設定'!$B$23*'損益分岐設定'!$B$24*3600*'損益分岐設定'!$B$25),0))</x:f>
        <x:v>2</x:v>
      </x:c>
      <x:c r="AO65" s="1" t="n">
        <x:f>MAX(2,ROUNDUP('損益分岐設定'!C39*AJ65/('損益分岐設定'!$B$23*'損益分岐設定'!$B$24*3600*'損益分岐設定'!$B$25),0))</x:f>
        <x:v>8</x:v>
      </x:c>
      <x:c r="AP65" s="1" t="n">
        <x:f>MAX(2,ROUNDUP('損益分岐設定'!C40*AJ65/('損益分岐設定'!$B$23*'損益分岐設定'!$B$24*3600*'損益分岐設定'!$B$25),0))</x:f>
        <x:v>15</x:v>
      </x:c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 ht="23" customHeight="1">
      <x:c r="A66" s="1" t="str">
        <x:v>Run</x:v>
      </x:c>
      <x:c r="B66" s="1" t="str">
        <x:v>Business</x:v>
      </x:c>
      <x:c r="C66" s="1" t="str">
        <x:v>高位</x:v>
      </x:c>
      <x:c r="D66" s="21" t="n">
        <x:v>0</x:v>
      </x:c>
      <x:c r="E66" s="1" t="n">
        <x:v>1</x:v>
      </x:c>
      <x:c r="F66" s="7" t="n">
        <x:f>AD66*'損益分岐設定'!$B$5+AE66*'損益分岐設定'!$B$6+AF66*'損益分岐設定'!$B$7</x:f>
        <x:v>5000</x:v>
      </x:c>
      <x:c r="G66" s="7" t="n">
        <x:f>AG66+(AH66+AI66)*('損益分岐設定'!$B$29+0.5*'損益分岐設定'!$B$30)+AK66*'損益分岐設定'!$B$32+(AJ66+AK66/'損益分岐設定'!$B$28*'損益分岐設定'!$B$26)*('損益分岐設定'!$B$29+'損益分岐設定'!$B$31*'損益分岐設定'!$B$30)</x:f>
        <x:v>9960.033245471808</x:v>
      </x:c>
      <x:c r="H66" s="7" t="n">
        <x:f>AL66*E66</x:f>
        <x:v>1466.6666666666665</x:v>
      </x:c>
      <x:c r="I66" s="7" t="n">
        <x:f>F66*(1-D66-'損益分岐設定'!$B$10)-G66-H66</x:f>
        <x:v>-6606.699912138474</x:v>
      </x:c>
      <x:c r="J66" s="1" t="str">
        <x:f>IF(MIN(V66:Y66)&gt;1000,"範囲内なし",MIN(V66:Y66))</x:f>
        <x:v>範囲内なし</x:v>
      </x:c>
      <x:c r="K66" s="1" t="str">
        <x:f>IF(MAX(Z66:AC66)&gt;=1000,"範囲内なし",MAX(1,MAX(Z66:AC66)+1))</x:f>
        <x:v>範囲内なし</x:v>
      </x:c>
      <x:c r="L66" s="7" t="n">
        <x:f>10*I66-R66</x:f>
        <x:v>-96077.93374769253</x:v>
      </x:c>
      <x:c r="M66" s="7" t="n">
        <x:f>30*I66-S66</x:f>
        <x:v>-232711.93199046204</x:v>
      </x:c>
      <x:c r="N66" s="7" t="n">
        <x:f>50*I66-S66</x:f>
        <x:v>-364845.9302332315</x:v>
      </x:c>
      <x:c r="O66" s="7" t="n">
        <x:f>100*I66-S66</x:f>
        <x:v>-695180.9258401552</x:v>
      </x:c>
      <x:c r="P66" s="7" t="n">
        <x:f>300*I66-T66</x:f>
        <x:v>-2038520.90826785</x:v>
      </x:c>
      <x:c r="Q66" s="7" t="n">
        <x:f>1000*I66-U66</x:f>
        <x:v>-6693210.846764782</x:v>
      </x:c>
      <x:c r="R6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66*'損益分岐設定'!$B$12*'損益分岐設定'!$B$11</x:f>
        <x:v>30010.934626307797</x:v>
      </x:c>
      <x:c r="S6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66*'損益分岐設定'!$B$12*'損益分岐設定'!$B$11</x:f>
        <x:v>34510.9346263078</x:v>
      </x:c>
      <x:c r="T6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66*'損益分岐設定'!$B$12*'損益分岐設定'!$B$11</x:f>
        <x:v>56510.9346263078</x:v>
      </x:c>
      <x:c r="U6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66*'損益分岐設定'!$B$12*'損益分岐設定'!$B$11</x:f>
        <x:v>86510.9346263078</x:v>
      </x:c>
      <x:c r="V66" s="1" t="n">
        <x:f>IF(I66&lt;=0,1001,IF(MAX('損益分岐設定'!B37,ROUNDUP(R66/I66,0))&lt;='損益分岐設定'!C37,MAX('損益分岐設定'!B37,ROUNDUP(R66/I66,0)),1001))</x:f>
        <x:v>1001</x:v>
      </x:c>
      <x:c r="W66" s="1" t="n">
        <x:f>IF(I66&lt;=0,1001,IF(MAX('損益分岐設定'!B38,ROUNDUP(S66/I66,0))&lt;='損益分岐設定'!C38,MAX('損益分岐設定'!B38,ROUNDUP(S66/I66,0)),1001))</x:f>
        <x:v>1001</x:v>
      </x:c>
      <x:c r="X66" s="1" t="n">
        <x:f>IF(I66&lt;=0,1001,IF(MAX('損益分岐設定'!B39,ROUNDUP(T66/I66,0))&lt;='損益分岐設定'!C39,MAX('損益分岐設定'!B39,ROUNDUP(T66/I66,0)),1001))</x:f>
        <x:v>1001</x:v>
      </x:c>
      <x:c r="Y66" s="1" t="n">
        <x:f>IF(I66&lt;=0,1001,IF(MAX('損益分岐設定'!B40,ROUNDUP(U66/I66,0))&lt;='損益分岐設定'!C40,MAX('損益分岐設定'!B40,ROUNDUP(U66/I66,0)),1001))</x:f>
        <x:v>1001</x:v>
      </x:c>
      <x:c r="Z66" s="1" t="n">
        <x:f>IF(I66&lt;=0,'損益分岐設定'!C37,IF('損益分岐設定'!C37*I66-R66&lt;0,'損益分岐設定'!C37,IF('損益分岐設定'!B37*I66-R66&gt;=0,0,ROUNDUP(R66/I66,0)-1)))</x:f>
        <x:v>10</x:v>
      </x:c>
      <x:c r="AA66" s="1" t="n">
        <x:f>IF(I66&lt;=0,'損益分岐設定'!C38,IF('損益分岐設定'!C38*I66-S66&lt;0,'損益分岐設定'!C38,IF('損益分岐設定'!B38*I66-S66&gt;=0,0,ROUNDUP(S66/I66,0)-1)))</x:f>
        <x:v>100</x:v>
      </x:c>
      <x:c r="AB66" s="1" t="n">
        <x:f>IF(I66&lt;=0,'損益分岐設定'!C39,IF('損益分岐設定'!C39*I66-T66&lt;0,'損益分岐設定'!C39,IF('損益分岐設定'!B39*I66-T66&gt;=0,0,ROUNDUP(T66/I66,0)-1)))</x:f>
        <x:v>500</x:v>
      </x:c>
      <x:c r="AC66" s="1" t="n">
        <x:f>IF(I66&lt;=0,'損益分岐設定'!C40,IF('損益分岐設定'!C40*I66-U66&lt;0,'損益分岐設定'!C40,IF('損益分岐設定'!B40*I66-U66&gt;=0,0,ROUNDUP(U66/I66,0)-1)))</x:f>
        <x:v>1000</x:v>
      </x:c>
      <x:c r="AD66" s="1" t="n">
        <x:v>0</x:v>
      </x:c>
      <x:c r="AE66" s="1" t="n">
        <x:v>1</x:v>
      </x:c>
      <x:c r="AF66" s="1" t="n">
        <x:v>0</x:v>
      </x:c>
      <x:c r="AG66" s="1" t="n">
        <x:f>AD66*'損益分岐設定'!$C$58+AE66*'損益分岐設定'!$C$61+AF66*'損益分岐設定'!$C$64</x:f>
        <x:v>9914.705791015625</x:v>
      </x:c>
      <x:c r="AH66" s="1" t="n">
        <x:f>AD66*'損益分岐設定'!$D$58+AE66*'損益分岐設定'!$D$61+AF66*'損益分岐設定'!$D$64</x:f>
        <x:v>480</x:v>
      </x:c>
      <x:c r="AI66" s="1" t="n">
        <x:f>AD66*'損益分岐設定'!$E$58+AE66*'損益分岐設定'!$E$61+AF66*'損益分岐設定'!$E$64</x:f>
        <x:v>640</x:v>
      </x:c>
      <x:c r="AJ66" s="1" t="n">
        <x:f>(AD66*'損益分岐設定'!$F$58+AE66*'損益分岐設定'!$F$61+AF66*'損益分岐設定'!$F$64*1)*'損益分岐設定'!$B$22</x:f>
        <x:v>7200</x:v>
      </x:c>
      <x:c r="AK66" s="1" t="n">
        <x:f>AD66*'損益分岐設定'!$G$58+AE66*'損益分岐設定'!$G$61+AF66*'損益分岐設定'!$G$64</x:f>
        <x:v>4800</x:v>
      </x:c>
      <x:c r="AL66" s="1" t="n">
        <x:f>AD66*'損益分岐設定'!$H$58+AE66*'損益分岐設定'!$H$61+AF66*'損益分岐設定'!$H$64</x:f>
        <x:v>1466.6666666666665</x:v>
      </x:c>
      <x:c r="AM66" s="1" t="n">
        <x:f>MAX(1,ROUNDUP('損益分岐設定'!C37*AJ66/('損益分岐設定'!$B$23*'損益分岐設定'!$B$24*3600*'損益分岐設定'!$B$25),0))</x:f>
        <x:v>1</x:v>
      </x:c>
      <x:c r="AN66" s="1" t="n">
        <x:f>MAX(2,ROUNDUP('損益分岐設定'!C38*AJ66/('損益分岐設定'!$B$23*'損益分岐設定'!$B$24*3600*'損益分岐設定'!$B$25),0))</x:f>
        <x:v>2</x:v>
      </x:c>
      <x:c r="AO66" s="1" t="n">
        <x:f>MAX(2,ROUNDUP('損益分岐設定'!C39*AJ66/('損益分岐設定'!$B$23*'損益分岐設定'!$B$24*3600*'損益分岐設定'!$B$25),0))</x:f>
        <x:v>8</x:v>
      </x:c>
      <x:c r="AP66" s="1" t="n">
        <x:f>MAX(2,ROUNDUP('損益分岐設定'!C40*AJ66/('損益分岐設定'!$B$23*'損益分岐設定'!$B$24*3600*'損益分岐設定'!$B$25),0))</x:f>
        <x:v>15</x:v>
      </x:c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 ht="23" customHeight="1">
      <x:c r="A67" s="1" t="str">
        <x:v>Run</x:v>
      </x:c>
      <x:c r="B67" s="1" t="str">
        <x:v>Business</x:v>
      </x:c>
      <x:c r="C67" s="1" t="str">
        <x:v>高位</x:v>
      </x:c>
      <x:c r="D67" s="21" t="n">
        <x:v>0.2</x:v>
      </x:c>
      <x:c r="E67" s="1" t="n">
        <x:v>0</x:v>
      </x:c>
      <x:c r="F67" s="7" t="n">
        <x:f>AD67*'損益分岐設定'!$B$5+AE67*'損益分岐設定'!$B$6+AF67*'損益分岐設定'!$B$7</x:f>
        <x:v>5000</x:v>
      </x:c>
      <x:c r="G67" s="7" t="n">
        <x:f>AG67+(AH67+AI67)*('損益分岐設定'!$B$29+0.5*'損益分岐設定'!$B$30)+AK67*'損益分岐設定'!$B$32+(AJ67+AK67/'損益分岐設定'!$B$28*'損益分岐設定'!$B$26)*('損益分岐設定'!$B$29+'損益分岐設定'!$B$31*'損益分岐設定'!$B$30)</x:f>
        <x:v>9960.033245471808</x:v>
      </x:c>
      <x:c r="H67" s="7" t="n">
        <x:f>AL67*E67</x:f>
        <x:v>0</x:v>
      </x:c>
      <x:c r="I67" s="7" t="n">
        <x:f>F67*(1-D67-'損益分岐設定'!$B$10)-G67-H67</x:f>
        <x:v>-6140.033245471808</x:v>
      </x:c>
      <x:c r="J67" s="1" t="str">
        <x:f>IF(MIN(V67:Y67)&gt;1000,"範囲内なし",MIN(V67:Y67))</x:f>
        <x:v>範囲内なし</x:v>
      </x:c>
      <x:c r="K67" s="1" t="str">
        <x:f>IF(MAX(Z67:AC67)&gt;=1000,"範囲内なし",MAX(1,MAX(Z67:AC67)+1))</x:f>
        <x:v>範囲内なし</x:v>
      </x:c>
      <x:c r="L67" s="7" t="n">
        <x:f>10*I67-R67</x:f>
        <x:v>-83411.26708102587</x:v>
      </x:c>
      <x:c r="M67" s="7" t="n">
        <x:f>30*I67-S67</x:f>
        <x:v>-210711.93199046206</x:v>
      </x:c>
      <x:c r="N67" s="7" t="n">
        <x:f>50*I67-S67</x:f>
        <x:v>-333512.5968998982</x:v>
      </x:c>
      <x:c r="O67" s="7" t="n">
        <x:f>100*I67-S67</x:f>
        <x:v>-640514.2591734886</x:v>
      </x:c>
      <x:c r="P67" s="7" t="n">
        <x:f>300*I67-T67</x:f>
        <x:v>-1890520.9082678503</x:v>
      </x:c>
      <x:c r="Q67" s="7" t="n">
        <x:f>1000*I67-U67</x:f>
        <x:v>-6218544.180098116</x:v>
      </x:c>
      <x:c r="R6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67*'損益分岐設定'!$B$12*'損益分岐設定'!$B$11</x:f>
        <x:v>22010.934626307797</x:v>
      </x:c>
      <x:c r="S6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67*'損益分岐設定'!$B$12*'損益分岐設定'!$B$11</x:f>
        <x:v>26510.934626307797</x:v>
      </x:c>
      <x:c r="T6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67*'損益分岐設定'!$B$12*'損益分岐設定'!$B$11</x:f>
        <x:v>48510.9346263078</x:v>
      </x:c>
      <x:c r="U6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67*'損益分岐設定'!$B$12*'損益分岐設定'!$B$11</x:f>
        <x:v>78510.9346263078</x:v>
      </x:c>
      <x:c r="V67" s="1" t="n">
        <x:f>IF(I67&lt;=0,1001,IF(MAX('損益分岐設定'!B37,ROUNDUP(R67/I67,0))&lt;='損益分岐設定'!C37,MAX('損益分岐設定'!B37,ROUNDUP(R67/I67,0)),1001))</x:f>
        <x:v>1001</x:v>
      </x:c>
      <x:c r="W67" s="1" t="n">
        <x:f>IF(I67&lt;=0,1001,IF(MAX('損益分岐設定'!B38,ROUNDUP(S67/I67,0))&lt;='損益分岐設定'!C38,MAX('損益分岐設定'!B38,ROUNDUP(S67/I67,0)),1001))</x:f>
        <x:v>1001</x:v>
      </x:c>
      <x:c r="X67" s="1" t="n">
        <x:f>IF(I67&lt;=0,1001,IF(MAX('損益分岐設定'!B39,ROUNDUP(T67/I67,0))&lt;='損益分岐設定'!C39,MAX('損益分岐設定'!B39,ROUNDUP(T67/I67,0)),1001))</x:f>
        <x:v>1001</x:v>
      </x:c>
      <x:c r="Y67" s="1" t="n">
        <x:f>IF(I67&lt;=0,1001,IF(MAX('損益分岐設定'!B40,ROUNDUP(U67/I67,0))&lt;='損益分岐設定'!C40,MAX('損益分岐設定'!B40,ROUNDUP(U67/I67,0)),1001))</x:f>
        <x:v>1001</x:v>
      </x:c>
      <x:c r="Z67" s="1" t="n">
        <x:f>IF(I67&lt;=0,'損益分岐設定'!C37,IF('損益分岐設定'!C37*I67-R67&lt;0,'損益分岐設定'!C37,IF('損益分岐設定'!B37*I67-R67&gt;=0,0,ROUNDUP(R67/I67,0)-1)))</x:f>
        <x:v>10</x:v>
      </x:c>
      <x:c r="AA67" s="1" t="n">
        <x:f>IF(I67&lt;=0,'損益分岐設定'!C38,IF('損益分岐設定'!C38*I67-S67&lt;0,'損益分岐設定'!C38,IF('損益分岐設定'!B38*I67-S67&gt;=0,0,ROUNDUP(S67/I67,0)-1)))</x:f>
        <x:v>100</x:v>
      </x:c>
      <x:c r="AB67" s="1" t="n">
        <x:f>IF(I67&lt;=0,'損益分岐設定'!C39,IF('損益分岐設定'!C39*I67-T67&lt;0,'損益分岐設定'!C39,IF('損益分岐設定'!B39*I67-T67&gt;=0,0,ROUNDUP(T67/I67,0)-1)))</x:f>
        <x:v>500</x:v>
      </x:c>
      <x:c r="AC67" s="1" t="n">
        <x:f>IF(I67&lt;=0,'損益分岐設定'!C40,IF('損益分岐設定'!C40*I67-U67&lt;0,'損益分岐設定'!C40,IF('損益分岐設定'!B40*I67-U67&gt;=0,0,ROUNDUP(U67/I67,0)-1)))</x:f>
        <x:v>1000</x:v>
      </x:c>
      <x:c r="AD67" s="1" t="n">
        <x:v>0</x:v>
      </x:c>
      <x:c r="AE67" s="1" t="n">
        <x:v>1</x:v>
      </x:c>
      <x:c r="AF67" s="1" t="n">
        <x:v>0</x:v>
      </x:c>
      <x:c r="AG67" s="1" t="n">
        <x:f>AD67*'損益分岐設定'!$C$58+AE67*'損益分岐設定'!$C$61+AF67*'損益分岐設定'!$C$64</x:f>
        <x:v>9914.705791015625</x:v>
      </x:c>
      <x:c r="AH67" s="1" t="n">
        <x:f>AD67*'損益分岐設定'!$D$58+AE67*'損益分岐設定'!$D$61+AF67*'損益分岐設定'!$D$64</x:f>
        <x:v>480</x:v>
      </x:c>
      <x:c r="AI67" s="1" t="n">
        <x:f>AD67*'損益分岐設定'!$E$58+AE67*'損益分岐設定'!$E$61+AF67*'損益分岐設定'!$E$64</x:f>
        <x:v>640</x:v>
      </x:c>
      <x:c r="AJ67" s="1" t="n">
        <x:f>(AD67*'損益分岐設定'!$F$58+AE67*'損益分岐設定'!$F$61+AF67*'損益分岐設定'!$F$64*1)*'損益分岐設定'!$B$22</x:f>
        <x:v>7200</x:v>
      </x:c>
      <x:c r="AK67" s="1" t="n">
        <x:f>AD67*'損益分岐設定'!$G$58+AE67*'損益分岐設定'!$G$61+AF67*'損益分岐設定'!$G$64</x:f>
        <x:v>4800</x:v>
      </x:c>
      <x:c r="AL67" s="1" t="n">
        <x:f>AD67*'損益分岐設定'!$H$58+AE67*'損益分岐設定'!$H$61+AF67*'損益分岐設定'!$H$64</x:f>
        <x:v>1466.6666666666665</x:v>
      </x:c>
      <x:c r="AM67" s="1" t="n">
        <x:f>MAX(1,ROUNDUP('損益分岐設定'!C37*AJ67/('損益分岐設定'!$B$23*'損益分岐設定'!$B$24*3600*'損益分岐設定'!$B$25),0))</x:f>
        <x:v>1</x:v>
      </x:c>
      <x:c r="AN67" s="1" t="n">
        <x:f>MAX(2,ROUNDUP('損益分岐設定'!C38*AJ67/('損益分岐設定'!$B$23*'損益分岐設定'!$B$24*3600*'損益分岐設定'!$B$25),0))</x:f>
        <x:v>2</x:v>
      </x:c>
      <x:c r="AO67" s="1" t="n">
        <x:f>MAX(2,ROUNDUP('損益分岐設定'!C39*AJ67/('損益分岐設定'!$B$23*'損益分岐設定'!$B$24*3600*'損益分岐設定'!$B$25),0))</x:f>
        <x:v>8</x:v>
      </x:c>
      <x:c r="AP67" s="1" t="n">
        <x:f>MAX(2,ROUNDUP('損益分岐設定'!C40*AJ67/('損益分岐設定'!$B$23*'損益分岐設定'!$B$24*3600*'損益分岐設定'!$B$25),0))</x:f>
        <x:v>15</x:v>
      </x:c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 ht="23" customHeight="1">
      <x:c r="A68" s="1" t="str">
        <x:v>Run</x:v>
      </x:c>
      <x:c r="B68" s="1" t="str">
        <x:v>Business</x:v>
      </x:c>
      <x:c r="C68" s="1" t="str">
        <x:v>高位</x:v>
      </x:c>
      <x:c r="D68" s="21" t="n">
        <x:v>0.2</x:v>
      </x:c>
      <x:c r="E68" s="1" t="n">
        <x:v>1</x:v>
      </x:c>
      <x:c r="F68" s="7" t="n">
        <x:f>AD68*'損益分岐設定'!$B$5+AE68*'損益分岐設定'!$B$6+AF68*'損益分岐設定'!$B$7</x:f>
        <x:v>5000</x:v>
      </x:c>
      <x:c r="G68" s="7" t="n">
        <x:f>AG68+(AH68+AI68)*('損益分岐設定'!$B$29+0.5*'損益分岐設定'!$B$30)+AK68*'損益分岐設定'!$B$32+(AJ68+AK68/'損益分岐設定'!$B$28*'損益分岐設定'!$B$26)*('損益分岐設定'!$B$29+'損益分岐設定'!$B$31*'損益分岐設定'!$B$30)</x:f>
        <x:v>9960.033245471808</x:v>
      </x:c>
      <x:c r="H68" s="7" t="n">
        <x:f>AL68*E68</x:f>
        <x:v>1466.6666666666665</x:v>
      </x:c>
      <x:c r="I68" s="7" t="n">
        <x:f>F68*(1-D68-'損益分岐設定'!$B$10)-G68-H68</x:f>
        <x:v>-7606.699912138474</x:v>
      </x:c>
      <x:c r="J68" s="1" t="str">
        <x:f>IF(MIN(V68:Y68)&gt;1000,"範囲内なし",MIN(V68:Y68))</x:f>
        <x:v>範囲内なし</x:v>
      </x:c>
      <x:c r="K68" s="1" t="str">
        <x:f>IF(MAX(Z68:AC68)&gt;=1000,"範囲内なし",MAX(1,MAX(Z68:AC68)+1))</x:f>
        <x:v>範囲内なし</x:v>
      </x:c>
      <x:c r="L68" s="7" t="n">
        <x:f>10*I68-R68</x:f>
        <x:v>-106077.93374769253</x:v>
      </x:c>
      <x:c r="M68" s="7" t="n">
        <x:f>30*I68-S68</x:f>
        <x:v>-262711.931990462</x:v>
      </x:c>
      <x:c r="N68" s="7" t="n">
        <x:f>50*I68-S68</x:f>
        <x:v>-414845.9302332315</x:v>
      </x:c>
      <x:c r="O68" s="7" t="n">
        <x:f>100*I68-S68</x:f>
        <x:v>-795180.9258401552</x:v>
      </x:c>
      <x:c r="P68" s="7" t="n">
        <x:f>300*I68-T68</x:f>
        <x:v>-2338520.90826785</x:v>
      </x:c>
      <x:c r="Q68" s="7" t="n">
        <x:f>1000*I68-U68</x:f>
        <x:v>-7693210.846764782</x:v>
      </x:c>
      <x:c r="R6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68*'損益分岐設定'!$B$12*'損益分岐設定'!$B$11</x:f>
        <x:v>30010.934626307797</x:v>
      </x:c>
      <x:c r="S6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68*'損益分岐設定'!$B$12*'損益分岐設定'!$B$11</x:f>
        <x:v>34510.9346263078</x:v>
      </x:c>
      <x:c r="T6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68*'損益分岐設定'!$B$12*'損益分岐設定'!$B$11</x:f>
        <x:v>56510.9346263078</x:v>
      </x:c>
      <x:c r="U6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68*'損益分岐設定'!$B$12*'損益分岐設定'!$B$11</x:f>
        <x:v>86510.9346263078</x:v>
      </x:c>
      <x:c r="V68" s="1" t="n">
        <x:f>IF(I68&lt;=0,1001,IF(MAX('損益分岐設定'!B37,ROUNDUP(R68/I68,0))&lt;='損益分岐設定'!C37,MAX('損益分岐設定'!B37,ROUNDUP(R68/I68,0)),1001))</x:f>
        <x:v>1001</x:v>
      </x:c>
      <x:c r="W68" s="1" t="n">
        <x:f>IF(I68&lt;=0,1001,IF(MAX('損益分岐設定'!B38,ROUNDUP(S68/I68,0))&lt;='損益分岐設定'!C38,MAX('損益分岐設定'!B38,ROUNDUP(S68/I68,0)),1001))</x:f>
        <x:v>1001</x:v>
      </x:c>
      <x:c r="X68" s="1" t="n">
        <x:f>IF(I68&lt;=0,1001,IF(MAX('損益分岐設定'!B39,ROUNDUP(T68/I68,0))&lt;='損益分岐設定'!C39,MAX('損益分岐設定'!B39,ROUNDUP(T68/I68,0)),1001))</x:f>
        <x:v>1001</x:v>
      </x:c>
      <x:c r="Y68" s="1" t="n">
        <x:f>IF(I68&lt;=0,1001,IF(MAX('損益分岐設定'!B40,ROUNDUP(U68/I68,0))&lt;='損益分岐設定'!C40,MAX('損益分岐設定'!B40,ROUNDUP(U68/I68,0)),1001))</x:f>
        <x:v>1001</x:v>
      </x:c>
      <x:c r="Z68" s="1" t="n">
        <x:f>IF(I68&lt;=0,'損益分岐設定'!C37,IF('損益分岐設定'!C37*I68-R68&lt;0,'損益分岐設定'!C37,IF('損益分岐設定'!B37*I68-R68&gt;=0,0,ROUNDUP(R68/I68,0)-1)))</x:f>
        <x:v>10</x:v>
      </x:c>
      <x:c r="AA68" s="1" t="n">
        <x:f>IF(I68&lt;=0,'損益分岐設定'!C38,IF('損益分岐設定'!C38*I68-S68&lt;0,'損益分岐設定'!C38,IF('損益分岐設定'!B38*I68-S68&gt;=0,0,ROUNDUP(S68/I68,0)-1)))</x:f>
        <x:v>100</x:v>
      </x:c>
      <x:c r="AB68" s="1" t="n">
        <x:f>IF(I68&lt;=0,'損益分岐設定'!C39,IF('損益分岐設定'!C39*I68-T68&lt;0,'損益分岐設定'!C39,IF('損益分岐設定'!B39*I68-T68&gt;=0,0,ROUNDUP(T68/I68,0)-1)))</x:f>
        <x:v>500</x:v>
      </x:c>
      <x:c r="AC68" s="1" t="n">
        <x:f>IF(I68&lt;=0,'損益分岐設定'!C40,IF('損益分岐設定'!C40*I68-U68&lt;0,'損益分岐設定'!C40,IF('損益分岐設定'!B40*I68-U68&gt;=0,0,ROUNDUP(U68/I68,0)-1)))</x:f>
        <x:v>1000</x:v>
      </x:c>
      <x:c r="AD68" s="1" t="n">
        <x:v>0</x:v>
      </x:c>
      <x:c r="AE68" s="1" t="n">
        <x:v>1</x:v>
      </x:c>
      <x:c r="AF68" s="1" t="n">
        <x:v>0</x:v>
      </x:c>
      <x:c r="AG68" s="1" t="n">
        <x:f>AD68*'損益分岐設定'!$C$58+AE68*'損益分岐設定'!$C$61+AF68*'損益分岐設定'!$C$64</x:f>
        <x:v>9914.705791015625</x:v>
      </x:c>
      <x:c r="AH68" s="1" t="n">
        <x:f>AD68*'損益分岐設定'!$D$58+AE68*'損益分岐設定'!$D$61+AF68*'損益分岐設定'!$D$64</x:f>
        <x:v>480</x:v>
      </x:c>
      <x:c r="AI68" s="1" t="n">
        <x:f>AD68*'損益分岐設定'!$E$58+AE68*'損益分岐設定'!$E$61+AF68*'損益分岐設定'!$E$64</x:f>
        <x:v>640</x:v>
      </x:c>
      <x:c r="AJ68" s="1" t="n">
        <x:f>(AD68*'損益分岐設定'!$F$58+AE68*'損益分岐設定'!$F$61+AF68*'損益分岐設定'!$F$64*1)*'損益分岐設定'!$B$22</x:f>
        <x:v>7200</x:v>
      </x:c>
      <x:c r="AK68" s="1" t="n">
        <x:f>AD68*'損益分岐設定'!$G$58+AE68*'損益分岐設定'!$G$61+AF68*'損益分岐設定'!$G$64</x:f>
        <x:v>4800</x:v>
      </x:c>
      <x:c r="AL68" s="1" t="n">
        <x:f>AD68*'損益分岐設定'!$H$58+AE68*'損益分岐設定'!$H$61+AF68*'損益分岐設定'!$H$64</x:f>
        <x:v>1466.6666666666665</x:v>
      </x:c>
      <x:c r="AM68" s="1" t="n">
        <x:f>MAX(1,ROUNDUP('損益分岐設定'!C37*AJ68/('損益分岐設定'!$B$23*'損益分岐設定'!$B$24*3600*'損益分岐設定'!$B$25),0))</x:f>
        <x:v>1</x:v>
      </x:c>
      <x:c r="AN68" s="1" t="n">
        <x:f>MAX(2,ROUNDUP('損益分岐設定'!C38*AJ68/('損益分岐設定'!$B$23*'損益分岐設定'!$B$24*3600*'損益分岐設定'!$B$25),0))</x:f>
        <x:v>2</x:v>
      </x:c>
      <x:c r="AO68" s="1" t="n">
        <x:f>MAX(2,ROUNDUP('損益分岐設定'!C39*AJ68/('損益分岐設定'!$B$23*'損益分岐設定'!$B$24*3600*'損益分岐設定'!$B$25),0))</x:f>
        <x:v>8</x:v>
      </x:c>
      <x:c r="AP68" s="1" t="n">
        <x:f>MAX(2,ROUNDUP('損益分岐設定'!C40*AJ68/('損益分岐設定'!$B$23*'損益分岐設定'!$B$24*3600*'損益分岐設定'!$B$25),0))</x:f>
        <x:v>15</x:v>
      </x:c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 ht="23" customHeight="1">
      <x:c r="A69" s="1" t="str">
        <x:v>Run</x:v>
      </x:c>
      <x:c r="B69" s="1" t="str">
        <x:v>Business</x:v>
      </x:c>
      <x:c r="C69" s="1" t="str">
        <x:v>高位</x:v>
      </x:c>
      <x:c r="D69" s="21" t="n">
        <x:v>0.3</x:v>
      </x:c>
      <x:c r="E69" s="1" t="n">
        <x:v>0</x:v>
      </x:c>
      <x:c r="F69" s="7" t="n">
        <x:f>AD69*'損益分岐設定'!$B$5+AE69*'損益分岐設定'!$B$6+AF69*'損益分岐設定'!$B$7</x:f>
        <x:v>5000</x:v>
      </x:c>
      <x:c r="G69" s="7" t="n">
        <x:f>AG69+(AH69+AI69)*('損益分岐設定'!$B$29+0.5*'損益分岐設定'!$B$30)+AK69*'損益分岐設定'!$B$32+(AJ69+AK69/'損益分岐設定'!$B$28*'損益分岐設定'!$B$26)*('損益分岐設定'!$B$29+'損益分岐設定'!$B$31*'損益分岐設定'!$B$30)</x:f>
        <x:v>9960.033245471808</x:v>
      </x:c>
      <x:c r="H69" s="7" t="n">
        <x:f>AL69*E69</x:f>
        <x:v>0</x:v>
      </x:c>
      <x:c r="I69" s="7" t="n">
        <x:f>F69*(1-D69-'損益分岐設定'!$B$10)-G69-H69</x:f>
        <x:v>-6640.033245471808</x:v>
      </x:c>
      <x:c r="J69" s="1" t="str">
        <x:f>IF(MIN(V69:Y69)&gt;1000,"範囲内なし",MIN(V69:Y69))</x:f>
        <x:v>範囲内なし</x:v>
      </x:c>
      <x:c r="K69" s="1" t="str">
        <x:f>IF(MAX(Z69:AC69)&gt;=1000,"範囲内なし",MAX(1,MAX(Z69:AC69)+1))</x:f>
        <x:v>範囲内なし</x:v>
      </x:c>
      <x:c r="L69" s="7" t="n">
        <x:f>10*I69-R69</x:f>
        <x:v>-88411.26708102587</x:v>
      </x:c>
      <x:c r="M69" s="7" t="n">
        <x:f>30*I69-S69</x:f>
        <x:v>-225711.93199046206</x:v>
      </x:c>
      <x:c r="N69" s="7" t="n">
        <x:f>50*I69-S69</x:f>
        <x:v>-358512.5968998982</x:v>
      </x:c>
      <x:c r="O69" s="7" t="n">
        <x:f>100*I69-S69</x:f>
        <x:v>-690514.2591734886</x:v>
      </x:c>
      <x:c r="P69" s="7" t="n">
        <x:f>300*I69-T69</x:f>
        <x:v>-2040520.9082678503</x:v>
      </x:c>
      <x:c r="Q69" s="7" t="n">
        <x:f>1000*I69-U69</x:f>
        <x:v>-6718544.180098116</x:v>
      </x:c>
      <x:c r="R6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69*'損益分岐設定'!$B$12*'損益分岐設定'!$B$11</x:f>
        <x:v>22010.934626307797</x:v>
      </x:c>
      <x:c r="S6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69*'損益分岐設定'!$B$12*'損益分岐設定'!$B$11</x:f>
        <x:v>26510.934626307797</x:v>
      </x:c>
      <x:c r="T6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69*'損益分岐設定'!$B$12*'損益分岐設定'!$B$11</x:f>
        <x:v>48510.9346263078</x:v>
      </x:c>
      <x:c r="U6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69*'損益分岐設定'!$B$12*'損益分岐設定'!$B$11</x:f>
        <x:v>78510.9346263078</x:v>
      </x:c>
      <x:c r="V69" s="1" t="n">
        <x:f>IF(I69&lt;=0,1001,IF(MAX('損益分岐設定'!B37,ROUNDUP(R69/I69,0))&lt;='損益分岐設定'!C37,MAX('損益分岐設定'!B37,ROUNDUP(R69/I69,0)),1001))</x:f>
        <x:v>1001</x:v>
      </x:c>
      <x:c r="W69" s="1" t="n">
        <x:f>IF(I69&lt;=0,1001,IF(MAX('損益分岐設定'!B38,ROUNDUP(S69/I69,0))&lt;='損益分岐設定'!C38,MAX('損益分岐設定'!B38,ROUNDUP(S69/I69,0)),1001))</x:f>
        <x:v>1001</x:v>
      </x:c>
      <x:c r="X69" s="1" t="n">
        <x:f>IF(I69&lt;=0,1001,IF(MAX('損益分岐設定'!B39,ROUNDUP(T69/I69,0))&lt;='損益分岐設定'!C39,MAX('損益分岐設定'!B39,ROUNDUP(T69/I69,0)),1001))</x:f>
        <x:v>1001</x:v>
      </x:c>
      <x:c r="Y69" s="1" t="n">
        <x:f>IF(I69&lt;=0,1001,IF(MAX('損益分岐設定'!B40,ROUNDUP(U69/I69,0))&lt;='損益分岐設定'!C40,MAX('損益分岐設定'!B40,ROUNDUP(U69/I69,0)),1001))</x:f>
        <x:v>1001</x:v>
      </x:c>
      <x:c r="Z69" s="1" t="n">
        <x:f>IF(I69&lt;=0,'損益分岐設定'!C37,IF('損益分岐設定'!C37*I69-R69&lt;0,'損益分岐設定'!C37,IF('損益分岐設定'!B37*I69-R69&gt;=0,0,ROUNDUP(R69/I69,0)-1)))</x:f>
        <x:v>10</x:v>
      </x:c>
      <x:c r="AA69" s="1" t="n">
        <x:f>IF(I69&lt;=0,'損益分岐設定'!C38,IF('損益分岐設定'!C38*I69-S69&lt;0,'損益分岐設定'!C38,IF('損益分岐設定'!B38*I69-S69&gt;=0,0,ROUNDUP(S69/I69,0)-1)))</x:f>
        <x:v>100</x:v>
      </x:c>
      <x:c r="AB69" s="1" t="n">
        <x:f>IF(I69&lt;=0,'損益分岐設定'!C39,IF('損益分岐設定'!C39*I69-T69&lt;0,'損益分岐設定'!C39,IF('損益分岐設定'!B39*I69-T69&gt;=0,0,ROUNDUP(T69/I69,0)-1)))</x:f>
        <x:v>500</x:v>
      </x:c>
      <x:c r="AC69" s="1" t="n">
        <x:f>IF(I69&lt;=0,'損益分岐設定'!C40,IF('損益分岐設定'!C40*I69-U69&lt;0,'損益分岐設定'!C40,IF('損益分岐設定'!B40*I69-U69&gt;=0,0,ROUNDUP(U69/I69,0)-1)))</x:f>
        <x:v>1000</x:v>
      </x:c>
      <x:c r="AD69" s="1" t="n">
        <x:v>0</x:v>
      </x:c>
      <x:c r="AE69" s="1" t="n">
        <x:v>1</x:v>
      </x:c>
      <x:c r="AF69" s="1" t="n">
        <x:v>0</x:v>
      </x:c>
      <x:c r="AG69" s="1" t="n">
        <x:f>AD69*'損益分岐設定'!$C$58+AE69*'損益分岐設定'!$C$61+AF69*'損益分岐設定'!$C$64</x:f>
        <x:v>9914.705791015625</x:v>
      </x:c>
      <x:c r="AH69" s="1" t="n">
        <x:f>AD69*'損益分岐設定'!$D$58+AE69*'損益分岐設定'!$D$61+AF69*'損益分岐設定'!$D$64</x:f>
        <x:v>480</x:v>
      </x:c>
      <x:c r="AI69" s="1" t="n">
        <x:f>AD69*'損益分岐設定'!$E$58+AE69*'損益分岐設定'!$E$61+AF69*'損益分岐設定'!$E$64</x:f>
        <x:v>640</x:v>
      </x:c>
      <x:c r="AJ69" s="1" t="n">
        <x:f>(AD69*'損益分岐設定'!$F$58+AE69*'損益分岐設定'!$F$61+AF69*'損益分岐設定'!$F$64*1)*'損益分岐設定'!$B$22</x:f>
        <x:v>7200</x:v>
      </x:c>
      <x:c r="AK69" s="1" t="n">
        <x:f>AD69*'損益分岐設定'!$G$58+AE69*'損益分岐設定'!$G$61+AF69*'損益分岐設定'!$G$64</x:f>
        <x:v>4800</x:v>
      </x:c>
      <x:c r="AL69" s="1" t="n">
        <x:f>AD69*'損益分岐設定'!$H$58+AE69*'損益分岐設定'!$H$61+AF69*'損益分岐設定'!$H$64</x:f>
        <x:v>1466.6666666666665</x:v>
      </x:c>
      <x:c r="AM69" s="1" t="n">
        <x:f>MAX(1,ROUNDUP('損益分岐設定'!C37*AJ69/('損益分岐設定'!$B$23*'損益分岐設定'!$B$24*3600*'損益分岐設定'!$B$25),0))</x:f>
        <x:v>1</x:v>
      </x:c>
      <x:c r="AN69" s="1" t="n">
        <x:f>MAX(2,ROUNDUP('損益分岐設定'!C38*AJ69/('損益分岐設定'!$B$23*'損益分岐設定'!$B$24*3600*'損益分岐設定'!$B$25),0))</x:f>
        <x:v>2</x:v>
      </x:c>
      <x:c r="AO69" s="1" t="n">
        <x:f>MAX(2,ROUNDUP('損益分岐設定'!C39*AJ69/('損益分岐設定'!$B$23*'損益分岐設定'!$B$24*3600*'損益分岐設定'!$B$25),0))</x:f>
        <x:v>8</x:v>
      </x:c>
      <x:c r="AP69" s="1" t="n">
        <x:f>MAX(2,ROUNDUP('損益分岐設定'!C40*AJ69/('損益分岐設定'!$B$23*'損益分岐設定'!$B$24*3600*'損益分岐設定'!$B$25),0))</x:f>
        <x:v>15</x:v>
      </x:c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 ht="23" customHeight="1">
      <x:c r="A70" s="1" t="str">
        <x:v>Run</x:v>
      </x:c>
      <x:c r="B70" s="1" t="str">
        <x:v>Business</x:v>
      </x:c>
      <x:c r="C70" s="1" t="str">
        <x:v>高位</x:v>
      </x:c>
      <x:c r="D70" s="21" t="n">
        <x:v>0.3</x:v>
      </x:c>
      <x:c r="E70" s="1" t="n">
        <x:v>1</x:v>
      </x:c>
      <x:c r="F70" s="7" t="n">
        <x:f>AD70*'損益分岐設定'!$B$5+AE70*'損益分岐設定'!$B$6+AF70*'損益分岐設定'!$B$7</x:f>
        <x:v>5000</x:v>
      </x:c>
      <x:c r="G70" s="7" t="n">
        <x:f>AG70+(AH70+AI70)*('損益分岐設定'!$B$29+0.5*'損益分岐設定'!$B$30)+AK70*'損益分岐設定'!$B$32+(AJ70+AK70/'損益分岐設定'!$B$28*'損益分岐設定'!$B$26)*('損益分岐設定'!$B$29+'損益分岐設定'!$B$31*'損益分岐設定'!$B$30)</x:f>
        <x:v>9960.033245471808</x:v>
      </x:c>
      <x:c r="H70" s="7" t="n">
        <x:f>AL70*E70</x:f>
        <x:v>1466.6666666666665</x:v>
      </x:c>
      <x:c r="I70" s="7" t="n">
        <x:f>F70*(1-D70-'損益分岐設定'!$B$10)-G70-H70</x:f>
        <x:v>-8106.699912138474</x:v>
      </x:c>
      <x:c r="J70" s="1" t="str">
        <x:f>IF(MIN(V70:Y70)&gt;1000,"範囲内なし",MIN(V70:Y70))</x:f>
        <x:v>範囲内なし</x:v>
      </x:c>
      <x:c r="K70" s="1" t="str">
        <x:f>IF(MAX(Z70:AC70)&gt;=1000,"範囲内なし",MAX(1,MAX(Z70:AC70)+1))</x:f>
        <x:v>範囲内なし</x:v>
      </x:c>
      <x:c r="L70" s="7" t="n">
        <x:f>10*I70-R70</x:f>
        <x:v>-111077.93374769253</x:v>
      </x:c>
      <x:c r="M70" s="7" t="n">
        <x:f>30*I70-S70</x:f>
        <x:v>-277711.931990462</x:v>
      </x:c>
      <x:c r="N70" s="7" t="n">
        <x:f>50*I70-S70</x:f>
        <x:v>-439845.9302332315</x:v>
      </x:c>
      <x:c r="O70" s="7" t="n">
        <x:f>100*I70-S70</x:f>
        <x:v>-845180.9258401552</x:v>
      </x:c>
      <x:c r="P70" s="7" t="n">
        <x:f>300*I70-T70</x:f>
        <x:v>-2488520.90826785</x:v>
      </x:c>
      <x:c r="Q70" s="7" t="n">
        <x:f>1000*I70-U70</x:f>
        <x:v>-8193210.846764782</x:v>
      </x:c>
      <x:c r="R7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70*'損益分岐設定'!$B$12*'損益分岐設定'!$B$11</x:f>
        <x:v>30010.934626307797</x:v>
      </x:c>
      <x:c r="S7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70*'損益分岐設定'!$B$12*'損益分岐設定'!$B$11</x:f>
        <x:v>34510.9346263078</x:v>
      </x:c>
      <x:c r="T7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70*'損益分岐設定'!$B$12*'損益分岐設定'!$B$11</x:f>
        <x:v>56510.9346263078</x:v>
      </x:c>
      <x:c r="U7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70*'損益分岐設定'!$B$12*'損益分岐設定'!$B$11</x:f>
        <x:v>86510.9346263078</x:v>
      </x:c>
      <x:c r="V70" s="1" t="n">
        <x:f>IF(I70&lt;=0,1001,IF(MAX('損益分岐設定'!B37,ROUNDUP(R70/I70,0))&lt;='損益分岐設定'!C37,MAX('損益分岐設定'!B37,ROUNDUP(R70/I70,0)),1001))</x:f>
        <x:v>1001</x:v>
      </x:c>
      <x:c r="W70" s="1" t="n">
        <x:f>IF(I70&lt;=0,1001,IF(MAX('損益分岐設定'!B38,ROUNDUP(S70/I70,0))&lt;='損益分岐設定'!C38,MAX('損益分岐設定'!B38,ROUNDUP(S70/I70,0)),1001))</x:f>
        <x:v>1001</x:v>
      </x:c>
      <x:c r="X70" s="1" t="n">
        <x:f>IF(I70&lt;=0,1001,IF(MAX('損益分岐設定'!B39,ROUNDUP(T70/I70,0))&lt;='損益分岐設定'!C39,MAX('損益分岐設定'!B39,ROUNDUP(T70/I70,0)),1001))</x:f>
        <x:v>1001</x:v>
      </x:c>
      <x:c r="Y70" s="1" t="n">
        <x:f>IF(I70&lt;=0,1001,IF(MAX('損益分岐設定'!B40,ROUNDUP(U70/I70,0))&lt;='損益分岐設定'!C40,MAX('損益分岐設定'!B40,ROUNDUP(U70/I70,0)),1001))</x:f>
        <x:v>1001</x:v>
      </x:c>
      <x:c r="Z70" s="1" t="n">
        <x:f>IF(I70&lt;=0,'損益分岐設定'!C37,IF('損益分岐設定'!C37*I70-R70&lt;0,'損益分岐設定'!C37,IF('損益分岐設定'!B37*I70-R70&gt;=0,0,ROUNDUP(R70/I70,0)-1)))</x:f>
        <x:v>10</x:v>
      </x:c>
      <x:c r="AA70" s="1" t="n">
        <x:f>IF(I70&lt;=0,'損益分岐設定'!C38,IF('損益分岐設定'!C38*I70-S70&lt;0,'損益分岐設定'!C38,IF('損益分岐設定'!B38*I70-S70&gt;=0,0,ROUNDUP(S70/I70,0)-1)))</x:f>
        <x:v>100</x:v>
      </x:c>
      <x:c r="AB70" s="1" t="n">
        <x:f>IF(I70&lt;=0,'損益分岐設定'!C39,IF('損益分岐設定'!C39*I70-T70&lt;0,'損益分岐設定'!C39,IF('損益分岐設定'!B39*I70-T70&gt;=0,0,ROUNDUP(T70/I70,0)-1)))</x:f>
        <x:v>500</x:v>
      </x:c>
      <x:c r="AC70" s="1" t="n">
        <x:f>IF(I70&lt;=0,'損益分岐設定'!C40,IF('損益分岐設定'!C40*I70-U70&lt;0,'損益分岐設定'!C40,IF('損益分岐設定'!B40*I70-U70&gt;=0,0,ROUNDUP(U70/I70,0)-1)))</x:f>
        <x:v>1000</x:v>
      </x:c>
      <x:c r="AD70" s="1" t="n">
        <x:v>0</x:v>
      </x:c>
      <x:c r="AE70" s="1" t="n">
        <x:v>1</x:v>
      </x:c>
      <x:c r="AF70" s="1" t="n">
        <x:v>0</x:v>
      </x:c>
      <x:c r="AG70" s="1" t="n">
        <x:f>AD70*'損益分岐設定'!$C$58+AE70*'損益分岐設定'!$C$61+AF70*'損益分岐設定'!$C$64</x:f>
        <x:v>9914.705791015625</x:v>
      </x:c>
      <x:c r="AH70" s="1" t="n">
        <x:f>AD70*'損益分岐設定'!$D$58+AE70*'損益分岐設定'!$D$61+AF70*'損益分岐設定'!$D$64</x:f>
        <x:v>480</x:v>
      </x:c>
      <x:c r="AI70" s="1" t="n">
        <x:f>AD70*'損益分岐設定'!$E$58+AE70*'損益分岐設定'!$E$61+AF70*'損益分岐設定'!$E$64</x:f>
        <x:v>640</x:v>
      </x:c>
      <x:c r="AJ70" s="1" t="n">
        <x:f>(AD70*'損益分岐設定'!$F$58+AE70*'損益分岐設定'!$F$61+AF70*'損益分岐設定'!$F$64*1)*'損益分岐設定'!$B$22</x:f>
        <x:v>7200</x:v>
      </x:c>
      <x:c r="AK70" s="1" t="n">
        <x:f>AD70*'損益分岐設定'!$G$58+AE70*'損益分岐設定'!$G$61+AF70*'損益分岐設定'!$G$64</x:f>
        <x:v>4800</x:v>
      </x:c>
      <x:c r="AL70" s="1" t="n">
        <x:f>AD70*'損益分岐設定'!$H$58+AE70*'損益分岐設定'!$H$61+AF70*'損益分岐設定'!$H$64</x:f>
        <x:v>1466.6666666666665</x:v>
      </x:c>
      <x:c r="AM70" s="1" t="n">
        <x:f>MAX(1,ROUNDUP('損益分岐設定'!C37*AJ70/('損益分岐設定'!$B$23*'損益分岐設定'!$B$24*3600*'損益分岐設定'!$B$25),0))</x:f>
        <x:v>1</x:v>
      </x:c>
      <x:c r="AN70" s="1" t="n">
        <x:f>MAX(2,ROUNDUP('損益分岐設定'!C38*AJ70/('損益分岐設定'!$B$23*'損益分岐設定'!$B$24*3600*'損益分岐設定'!$B$25),0))</x:f>
        <x:v>2</x:v>
      </x:c>
      <x:c r="AO70" s="1" t="n">
        <x:f>MAX(2,ROUNDUP('損益分岐設定'!C39*AJ70/('損益分岐設定'!$B$23*'損益分岐設定'!$B$24*3600*'損益分岐設定'!$B$25),0))</x:f>
        <x:v>8</x:v>
      </x:c>
      <x:c r="AP70" s="1" t="n">
        <x:f>MAX(2,ROUNDUP('損益分岐設定'!C40*AJ70/('損益分岐設定'!$B$23*'損益分岐設定'!$B$24*3600*'損益分岐設定'!$B$25),0))</x:f>
        <x:v>15</x:v>
      </x:c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 ht="23" customHeight="1">
      <x:c r="A71" s="1" t="str">
        <x:v>Run</x:v>
      </x:c>
      <x:c r="B71" s="1" t="str">
        <x:v>Business</x:v>
      </x:c>
      <x:c r="C71" s="1" t="str">
        <x:v>高位</x:v>
      </x:c>
      <x:c r="D71" s="21" t="n">
        <x:v>0.4</x:v>
      </x:c>
      <x:c r="E71" s="1" t="n">
        <x:v>0</x:v>
      </x:c>
      <x:c r="F71" s="7" t="n">
        <x:f>AD71*'損益分岐設定'!$B$5+AE71*'損益分岐設定'!$B$6+AF71*'損益分岐設定'!$B$7</x:f>
        <x:v>5000</x:v>
      </x:c>
      <x:c r="G71" s="7" t="n">
        <x:f>AG71+(AH71+AI71)*('損益分岐設定'!$B$29+0.5*'損益分岐設定'!$B$30)+AK71*'損益分岐設定'!$B$32+(AJ71+AK71/'損益分岐設定'!$B$28*'損益分岐設定'!$B$26)*('損益分岐設定'!$B$29+'損益分岐設定'!$B$31*'損益分岐設定'!$B$30)</x:f>
        <x:v>9960.033245471808</x:v>
      </x:c>
      <x:c r="H71" s="7" t="n">
        <x:f>AL71*E71</x:f>
        <x:v>0</x:v>
      </x:c>
      <x:c r="I71" s="7" t="n">
        <x:f>F71*(1-D71-'損益分岐設定'!$B$10)-G71-H71</x:f>
        <x:v>-7140.033245471808</x:v>
      </x:c>
      <x:c r="J71" s="1" t="str">
        <x:f>IF(MIN(V71:Y71)&gt;1000,"範囲内なし",MIN(V71:Y71))</x:f>
        <x:v>範囲内なし</x:v>
      </x:c>
      <x:c r="K71" s="1" t="str">
        <x:f>IF(MAX(Z71:AC71)&gt;=1000,"範囲内なし",MAX(1,MAX(Z71:AC71)+1))</x:f>
        <x:v>範囲内なし</x:v>
      </x:c>
      <x:c r="L71" s="7" t="n">
        <x:f>10*I71-R71</x:f>
        <x:v>-93411.26708102587</x:v>
      </x:c>
      <x:c r="M71" s="7" t="n">
        <x:f>30*I71-S71</x:f>
        <x:v>-240711.93199046206</x:v>
      </x:c>
      <x:c r="N71" s="7" t="n">
        <x:f>50*I71-S71</x:f>
        <x:v>-383512.5968998982</x:v>
      </x:c>
      <x:c r="O71" s="7" t="n">
        <x:f>100*I71-S71</x:f>
        <x:v>-740514.2591734886</x:v>
      </x:c>
      <x:c r="P71" s="7" t="n">
        <x:f>300*I71-T71</x:f>
        <x:v>-2190520.90826785</x:v>
      </x:c>
      <x:c r="Q71" s="7" t="n">
        <x:f>1000*I71-U71</x:f>
        <x:v>-7218544.180098116</x:v>
      </x:c>
      <x:c r="R7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71*'損益分岐設定'!$B$12*'損益分岐設定'!$B$11</x:f>
        <x:v>22010.934626307797</x:v>
      </x:c>
      <x:c r="S7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71*'損益分岐設定'!$B$12*'損益分岐設定'!$B$11</x:f>
        <x:v>26510.934626307797</x:v>
      </x:c>
      <x:c r="T7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71*'損益分岐設定'!$B$12*'損益分岐設定'!$B$11</x:f>
        <x:v>48510.9346263078</x:v>
      </x:c>
      <x:c r="U7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71*'損益分岐設定'!$B$12*'損益分岐設定'!$B$11</x:f>
        <x:v>78510.9346263078</x:v>
      </x:c>
      <x:c r="V71" s="1" t="n">
        <x:f>IF(I71&lt;=0,1001,IF(MAX('損益分岐設定'!B37,ROUNDUP(R71/I71,0))&lt;='損益分岐設定'!C37,MAX('損益分岐設定'!B37,ROUNDUP(R71/I71,0)),1001))</x:f>
        <x:v>1001</x:v>
      </x:c>
      <x:c r="W71" s="1" t="n">
        <x:f>IF(I71&lt;=0,1001,IF(MAX('損益分岐設定'!B38,ROUNDUP(S71/I71,0))&lt;='損益分岐設定'!C38,MAX('損益分岐設定'!B38,ROUNDUP(S71/I71,0)),1001))</x:f>
        <x:v>1001</x:v>
      </x:c>
      <x:c r="X71" s="1" t="n">
        <x:f>IF(I71&lt;=0,1001,IF(MAX('損益分岐設定'!B39,ROUNDUP(T71/I71,0))&lt;='損益分岐設定'!C39,MAX('損益分岐設定'!B39,ROUNDUP(T71/I71,0)),1001))</x:f>
        <x:v>1001</x:v>
      </x:c>
      <x:c r="Y71" s="1" t="n">
        <x:f>IF(I71&lt;=0,1001,IF(MAX('損益分岐設定'!B40,ROUNDUP(U71/I71,0))&lt;='損益分岐設定'!C40,MAX('損益分岐設定'!B40,ROUNDUP(U71/I71,0)),1001))</x:f>
        <x:v>1001</x:v>
      </x:c>
      <x:c r="Z71" s="1" t="n">
        <x:f>IF(I71&lt;=0,'損益分岐設定'!C37,IF('損益分岐設定'!C37*I71-R71&lt;0,'損益分岐設定'!C37,IF('損益分岐設定'!B37*I71-R71&gt;=0,0,ROUNDUP(R71/I71,0)-1)))</x:f>
        <x:v>10</x:v>
      </x:c>
      <x:c r="AA71" s="1" t="n">
        <x:f>IF(I71&lt;=0,'損益分岐設定'!C38,IF('損益分岐設定'!C38*I71-S71&lt;0,'損益分岐設定'!C38,IF('損益分岐設定'!B38*I71-S71&gt;=0,0,ROUNDUP(S71/I71,0)-1)))</x:f>
        <x:v>100</x:v>
      </x:c>
      <x:c r="AB71" s="1" t="n">
        <x:f>IF(I71&lt;=0,'損益分岐設定'!C39,IF('損益分岐設定'!C39*I71-T71&lt;0,'損益分岐設定'!C39,IF('損益分岐設定'!B39*I71-T71&gt;=0,0,ROUNDUP(T71/I71,0)-1)))</x:f>
        <x:v>500</x:v>
      </x:c>
      <x:c r="AC71" s="1" t="n">
        <x:f>IF(I71&lt;=0,'損益分岐設定'!C40,IF('損益分岐設定'!C40*I71-U71&lt;0,'損益分岐設定'!C40,IF('損益分岐設定'!B40*I71-U71&gt;=0,0,ROUNDUP(U71/I71,0)-1)))</x:f>
        <x:v>1000</x:v>
      </x:c>
      <x:c r="AD71" s="1" t="n">
        <x:v>0</x:v>
      </x:c>
      <x:c r="AE71" s="1" t="n">
        <x:v>1</x:v>
      </x:c>
      <x:c r="AF71" s="1" t="n">
        <x:v>0</x:v>
      </x:c>
      <x:c r="AG71" s="1" t="n">
        <x:f>AD71*'損益分岐設定'!$C$58+AE71*'損益分岐設定'!$C$61+AF71*'損益分岐設定'!$C$64</x:f>
        <x:v>9914.705791015625</x:v>
      </x:c>
      <x:c r="AH71" s="1" t="n">
        <x:f>AD71*'損益分岐設定'!$D$58+AE71*'損益分岐設定'!$D$61+AF71*'損益分岐設定'!$D$64</x:f>
        <x:v>480</x:v>
      </x:c>
      <x:c r="AI71" s="1" t="n">
        <x:f>AD71*'損益分岐設定'!$E$58+AE71*'損益分岐設定'!$E$61+AF71*'損益分岐設定'!$E$64</x:f>
        <x:v>640</x:v>
      </x:c>
      <x:c r="AJ71" s="1" t="n">
        <x:f>(AD71*'損益分岐設定'!$F$58+AE71*'損益分岐設定'!$F$61+AF71*'損益分岐設定'!$F$64*1)*'損益分岐設定'!$B$22</x:f>
        <x:v>7200</x:v>
      </x:c>
      <x:c r="AK71" s="1" t="n">
        <x:f>AD71*'損益分岐設定'!$G$58+AE71*'損益分岐設定'!$G$61+AF71*'損益分岐設定'!$G$64</x:f>
        <x:v>4800</x:v>
      </x:c>
      <x:c r="AL71" s="1" t="n">
        <x:f>AD71*'損益分岐設定'!$H$58+AE71*'損益分岐設定'!$H$61+AF71*'損益分岐設定'!$H$64</x:f>
        <x:v>1466.6666666666665</x:v>
      </x:c>
      <x:c r="AM71" s="1" t="n">
        <x:f>MAX(1,ROUNDUP('損益分岐設定'!C37*AJ71/('損益分岐設定'!$B$23*'損益分岐設定'!$B$24*3600*'損益分岐設定'!$B$25),0))</x:f>
        <x:v>1</x:v>
      </x:c>
      <x:c r="AN71" s="1" t="n">
        <x:f>MAX(2,ROUNDUP('損益分岐設定'!C38*AJ71/('損益分岐設定'!$B$23*'損益分岐設定'!$B$24*3600*'損益分岐設定'!$B$25),0))</x:f>
        <x:v>2</x:v>
      </x:c>
      <x:c r="AO71" s="1" t="n">
        <x:f>MAX(2,ROUNDUP('損益分岐設定'!C39*AJ71/('損益分岐設定'!$B$23*'損益分岐設定'!$B$24*3600*'損益分岐設定'!$B$25),0))</x:f>
        <x:v>8</x:v>
      </x:c>
      <x:c r="AP71" s="1" t="n">
        <x:f>MAX(2,ROUNDUP('損益分岐設定'!C40*AJ71/('損益分岐設定'!$B$23*'損益分岐設定'!$B$24*3600*'損益分岐設定'!$B$25),0))</x:f>
        <x:v>15</x:v>
      </x:c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 ht="23" customHeight="1">
      <x:c r="A72" s="1" t="str">
        <x:v>Run</x:v>
      </x:c>
      <x:c r="B72" s="1" t="str">
        <x:v>Business</x:v>
      </x:c>
      <x:c r="C72" s="1" t="str">
        <x:v>高位</x:v>
      </x:c>
      <x:c r="D72" s="21" t="n">
        <x:v>0.4</x:v>
      </x:c>
      <x:c r="E72" s="1" t="n">
        <x:v>1</x:v>
      </x:c>
      <x:c r="F72" s="7" t="n">
        <x:f>AD72*'損益分岐設定'!$B$5+AE72*'損益分岐設定'!$B$6+AF72*'損益分岐設定'!$B$7</x:f>
        <x:v>5000</x:v>
      </x:c>
      <x:c r="G72" s="7" t="n">
        <x:f>AG72+(AH72+AI72)*('損益分岐設定'!$B$29+0.5*'損益分岐設定'!$B$30)+AK72*'損益分岐設定'!$B$32+(AJ72+AK72/'損益分岐設定'!$B$28*'損益分岐設定'!$B$26)*('損益分岐設定'!$B$29+'損益分岐設定'!$B$31*'損益分岐設定'!$B$30)</x:f>
        <x:v>9960.033245471808</x:v>
      </x:c>
      <x:c r="H72" s="7" t="n">
        <x:f>AL72*E72</x:f>
        <x:v>1466.6666666666665</x:v>
      </x:c>
      <x:c r="I72" s="7" t="n">
        <x:f>F72*(1-D72-'損益分岐設定'!$B$10)-G72-H72</x:f>
        <x:v>-8606.699912138474</x:v>
      </x:c>
      <x:c r="J72" s="1" t="str">
        <x:f>IF(MIN(V72:Y72)&gt;1000,"範囲内なし",MIN(V72:Y72))</x:f>
        <x:v>範囲内なし</x:v>
      </x:c>
      <x:c r="K72" s="1" t="str">
        <x:f>IF(MAX(Z72:AC72)&gt;=1000,"範囲内なし",MAX(1,MAX(Z72:AC72)+1))</x:f>
        <x:v>範囲内なし</x:v>
      </x:c>
      <x:c r="L72" s="7" t="n">
        <x:f>10*I72-R72</x:f>
        <x:v>-116077.93374769253</x:v>
      </x:c>
      <x:c r="M72" s="7" t="n">
        <x:f>30*I72-S72</x:f>
        <x:v>-292711.931990462</x:v>
      </x:c>
      <x:c r="N72" s="7" t="n">
        <x:f>50*I72-S72</x:f>
        <x:v>-464845.9302332315</x:v>
      </x:c>
      <x:c r="O72" s="7" t="n">
        <x:f>100*I72-S72</x:f>
        <x:v>-895180.9258401552</x:v>
      </x:c>
      <x:c r="P72" s="7" t="n">
        <x:f>300*I72-T72</x:f>
        <x:v>-2638520.90826785</x:v>
      </x:c>
      <x:c r="Q72" s="7" t="n">
        <x:f>1000*I72-U72</x:f>
        <x:v>-8693210.846764782</x:v>
      </x:c>
      <x:c r="R7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72*'損益分岐設定'!$B$12*'損益分岐設定'!$B$11</x:f>
        <x:v>30010.934626307797</x:v>
      </x:c>
      <x:c r="S7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72*'損益分岐設定'!$B$12*'損益分岐設定'!$B$11</x:f>
        <x:v>34510.9346263078</x:v>
      </x:c>
      <x:c r="T7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72*'損益分岐設定'!$B$12*'損益分岐設定'!$B$11</x:f>
        <x:v>56510.9346263078</x:v>
      </x:c>
      <x:c r="U7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72*'損益分岐設定'!$B$12*'損益分岐設定'!$B$11</x:f>
        <x:v>86510.9346263078</x:v>
      </x:c>
      <x:c r="V72" s="1" t="n">
        <x:f>IF(I72&lt;=0,1001,IF(MAX('損益分岐設定'!B37,ROUNDUP(R72/I72,0))&lt;='損益分岐設定'!C37,MAX('損益分岐設定'!B37,ROUNDUP(R72/I72,0)),1001))</x:f>
        <x:v>1001</x:v>
      </x:c>
      <x:c r="W72" s="1" t="n">
        <x:f>IF(I72&lt;=0,1001,IF(MAX('損益分岐設定'!B38,ROUNDUP(S72/I72,0))&lt;='損益分岐設定'!C38,MAX('損益分岐設定'!B38,ROUNDUP(S72/I72,0)),1001))</x:f>
        <x:v>1001</x:v>
      </x:c>
      <x:c r="X72" s="1" t="n">
        <x:f>IF(I72&lt;=0,1001,IF(MAX('損益分岐設定'!B39,ROUNDUP(T72/I72,0))&lt;='損益分岐設定'!C39,MAX('損益分岐設定'!B39,ROUNDUP(T72/I72,0)),1001))</x:f>
        <x:v>1001</x:v>
      </x:c>
      <x:c r="Y72" s="1" t="n">
        <x:f>IF(I72&lt;=0,1001,IF(MAX('損益分岐設定'!B40,ROUNDUP(U72/I72,0))&lt;='損益分岐設定'!C40,MAX('損益分岐設定'!B40,ROUNDUP(U72/I72,0)),1001))</x:f>
        <x:v>1001</x:v>
      </x:c>
      <x:c r="Z72" s="1" t="n">
        <x:f>IF(I72&lt;=0,'損益分岐設定'!C37,IF('損益分岐設定'!C37*I72-R72&lt;0,'損益分岐設定'!C37,IF('損益分岐設定'!B37*I72-R72&gt;=0,0,ROUNDUP(R72/I72,0)-1)))</x:f>
        <x:v>10</x:v>
      </x:c>
      <x:c r="AA72" s="1" t="n">
        <x:f>IF(I72&lt;=0,'損益分岐設定'!C38,IF('損益分岐設定'!C38*I72-S72&lt;0,'損益分岐設定'!C38,IF('損益分岐設定'!B38*I72-S72&gt;=0,0,ROUNDUP(S72/I72,0)-1)))</x:f>
        <x:v>100</x:v>
      </x:c>
      <x:c r="AB72" s="1" t="n">
        <x:f>IF(I72&lt;=0,'損益分岐設定'!C39,IF('損益分岐設定'!C39*I72-T72&lt;0,'損益分岐設定'!C39,IF('損益分岐設定'!B39*I72-T72&gt;=0,0,ROUNDUP(T72/I72,0)-1)))</x:f>
        <x:v>500</x:v>
      </x:c>
      <x:c r="AC72" s="1" t="n">
        <x:f>IF(I72&lt;=0,'損益分岐設定'!C40,IF('損益分岐設定'!C40*I72-U72&lt;0,'損益分岐設定'!C40,IF('損益分岐設定'!B40*I72-U72&gt;=0,0,ROUNDUP(U72/I72,0)-1)))</x:f>
        <x:v>1000</x:v>
      </x:c>
      <x:c r="AD72" s="1" t="n">
        <x:v>0</x:v>
      </x:c>
      <x:c r="AE72" s="1" t="n">
        <x:v>1</x:v>
      </x:c>
      <x:c r="AF72" s="1" t="n">
        <x:v>0</x:v>
      </x:c>
      <x:c r="AG72" s="1" t="n">
        <x:f>AD72*'損益分岐設定'!$C$58+AE72*'損益分岐設定'!$C$61+AF72*'損益分岐設定'!$C$64</x:f>
        <x:v>9914.705791015625</x:v>
      </x:c>
      <x:c r="AH72" s="1" t="n">
        <x:f>AD72*'損益分岐設定'!$D$58+AE72*'損益分岐設定'!$D$61+AF72*'損益分岐設定'!$D$64</x:f>
        <x:v>480</x:v>
      </x:c>
      <x:c r="AI72" s="1" t="n">
        <x:f>AD72*'損益分岐設定'!$E$58+AE72*'損益分岐設定'!$E$61+AF72*'損益分岐設定'!$E$64</x:f>
        <x:v>640</x:v>
      </x:c>
      <x:c r="AJ72" s="1" t="n">
        <x:f>(AD72*'損益分岐設定'!$F$58+AE72*'損益分岐設定'!$F$61+AF72*'損益分岐設定'!$F$64*1)*'損益分岐設定'!$B$22</x:f>
        <x:v>7200</x:v>
      </x:c>
      <x:c r="AK72" s="1" t="n">
        <x:f>AD72*'損益分岐設定'!$G$58+AE72*'損益分岐設定'!$G$61+AF72*'損益分岐設定'!$G$64</x:f>
        <x:v>4800</x:v>
      </x:c>
      <x:c r="AL72" s="1" t="n">
        <x:f>AD72*'損益分岐設定'!$H$58+AE72*'損益分岐設定'!$H$61+AF72*'損益分岐設定'!$H$64</x:f>
        <x:v>1466.6666666666665</x:v>
      </x:c>
      <x:c r="AM72" s="1" t="n">
        <x:f>MAX(1,ROUNDUP('損益分岐設定'!C37*AJ72/('損益分岐設定'!$B$23*'損益分岐設定'!$B$24*3600*'損益分岐設定'!$B$25),0))</x:f>
        <x:v>1</x:v>
      </x:c>
      <x:c r="AN72" s="1" t="n">
        <x:f>MAX(2,ROUNDUP('損益分岐設定'!C38*AJ72/('損益分岐設定'!$B$23*'損益分岐設定'!$B$24*3600*'損益分岐設定'!$B$25),0))</x:f>
        <x:v>2</x:v>
      </x:c>
      <x:c r="AO72" s="1" t="n">
        <x:f>MAX(2,ROUNDUP('損益分岐設定'!C39*AJ72/('損益分岐設定'!$B$23*'損益分岐設定'!$B$24*3600*'損益分岐設定'!$B$25),0))</x:f>
        <x:v>8</x:v>
      </x:c>
      <x:c r="AP72" s="1" t="n">
        <x:f>MAX(2,ROUNDUP('損益分岐設定'!C40*AJ72/('損益分岐設定'!$B$23*'損益分岐設定'!$B$24*3600*'損益分岐設定'!$B$25),0))</x:f>
        <x:v>15</x:v>
      </x:c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 ht="23" customHeight="1">
      <x:c r="A73" s="1" t="str">
        <x:v>Run</x:v>
      </x:c>
      <x:c r="B73" s="1" t="str">
        <x:v>Business</x:v>
      </x:c>
      <x:c r="C73" s="1" t="str">
        <x:v>高位</x:v>
      </x:c>
      <x:c r="D73" s="21" t="n">
        <x:v>0.5</x:v>
      </x:c>
      <x:c r="E73" s="1" t="n">
        <x:v>0</x:v>
      </x:c>
      <x:c r="F73" s="7" t="n">
        <x:f>AD73*'損益分岐設定'!$B$5+AE73*'損益分岐設定'!$B$6+AF73*'損益分岐設定'!$B$7</x:f>
        <x:v>5000</x:v>
      </x:c>
      <x:c r="G73" s="7" t="n">
        <x:f>AG73+(AH73+AI73)*('損益分岐設定'!$B$29+0.5*'損益分岐設定'!$B$30)+AK73*'損益分岐設定'!$B$32+(AJ73+AK73/'損益分岐設定'!$B$28*'損益分岐設定'!$B$26)*('損益分岐設定'!$B$29+'損益分岐設定'!$B$31*'損益分岐設定'!$B$30)</x:f>
        <x:v>9960.033245471808</x:v>
      </x:c>
      <x:c r="H73" s="7" t="n">
        <x:f>AL73*E73</x:f>
        <x:v>0</x:v>
      </x:c>
      <x:c r="I73" s="7" t="n">
        <x:f>F73*(1-D73-'損益分岐設定'!$B$10)-G73-H73</x:f>
        <x:v>-7640.033245471808</x:v>
      </x:c>
      <x:c r="J73" s="1" t="str">
        <x:f>IF(MIN(V73:Y73)&gt;1000,"範囲内なし",MIN(V73:Y73))</x:f>
        <x:v>範囲内なし</x:v>
      </x:c>
      <x:c r="K73" s="1" t="str">
        <x:f>IF(MAX(Z73:AC73)&gt;=1000,"範囲内なし",MAX(1,MAX(Z73:AC73)+1))</x:f>
        <x:v>範囲内なし</x:v>
      </x:c>
      <x:c r="L73" s="7" t="n">
        <x:f>10*I73-R73</x:f>
        <x:v>-98411.26708102587</x:v>
      </x:c>
      <x:c r="M73" s="7" t="n">
        <x:f>30*I73-S73</x:f>
        <x:v>-255711.93199046206</x:v>
      </x:c>
      <x:c r="N73" s="7" t="n">
        <x:f>50*I73-S73</x:f>
        <x:v>-408512.5968998982</x:v>
      </x:c>
      <x:c r="O73" s="7" t="n">
        <x:f>100*I73-S73</x:f>
        <x:v>-790514.2591734886</x:v>
      </x:c>
      <x:c r="P73" s="7" t="n">
        <x:f>300*I73-T73</x:f>
        <x:v>-2340520.90826785</x:v>
      </x:c>
      <x:c r="Q73" s="7" t="n">
        <x:f>1000*I73-U73</x:f>
        <x:v>-7718544.180098116</x:v>
      </x:c>
      <x:c r="R7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73*'損益分岐設定'!$B$12*'損益分岐設定'!$B$11</x:f>
        <x:v>22010.934626307797</x:v>
      </x:c>
      <x:c r="S7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73*'損益分岐設定'!$B$12*'損益分岐設定'!$B$11</x:f>
        <x:v>26510.934626307797</x:v>
      </x:c>
      <x:c r="T7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73*'損益分岐設定'!$B$12*'損益分岐設定'!$B$11</x:f>
        <x:v>48510.9346263078</x:v>
      </x:c>
      <x:c r="U7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73*'損益分岐設定'!$B$12*'損益分岐設定'!$B$11</x:f>
        <x:v>78510.9346263078</x:v>
      </x:c>
      <x:c r="V73" s="1" t="n">
        <x:f>IF(I73&lt;=0,1001,IF(MAX('損益分岐設定'!B37,ROUNDUP(R73/I73,0))&lt;='損益分岐設定'!C37,MAX('損益分岐設定'!B37,ROUNDUP(R73/I73,0)),1001))</x:f>
        <x:v>1001</x:v>
      </x:c>
      <x:c r="W73" s="1" t="n">
        <x:f>IF(I73&lt;=0,1001,IF(MAX('損益分岐設定'!B38,ROUNDUP(S73/I73,0))&lt;='損益分岐設定'!C38,MAX('損益分岐設定'!B38,ROUNDUP(S73/I73,0)),1001))</x:f>
        <x:v>1001</x:v>
      </x:c>
      <x:c r="X73" s="1" t="n">
        <x:f>IF(I73&lt;=0,1001,IF(MAX('損益分岐設定'!B39,ROUNDUP(T73/I73,0))&lt;='損益分岐設定'!C39,MAX('損益分岐設定'!B39,ROUNDUP(T73/I73,0)),1001))</x:f>
        <x:v>1001</x:v>
      </x:c>
      <x:c r="Y73" s="1" t="n">
        <x:f>IF(I73&lt;=0,1001,IF(MAX('損益分岐設定'!B40,ROUNDUP(U73/I73,0))&lt;='損益分岐設定'!C40,MAX('損益分岐設定'!B40,ROUNDUP(U73/I73,0)),1001))</x:f>
        <x:v>1001</x:v>
      </x:c>
      <x:c r="Z73" s="1" t="n">
        <x:f>IF(I73&lt;=0,'損益分岐設定'!C37,IF('損益分岐設定'!C37*I73-R73&lt;0,'損益分岐設定'!C37,IF('損益分岐設定'!B37*I73-R73&gt;=0,0,ROUNDUP(R73/I73,0)-1)))</x:f>
        <x:v>10</x:v>
      </x:c>
      <x:c r="AA73" s="1" t="n">
        <x:f>IF(I73&lt;=0,'損益分岐設定'!C38,IF('損益分岐設定'!C38*I73-S73&lt;0,'損益分岐設定'!C38,IF('損益分岐設定'!B38*I73-S73&gt;=0,0,ROUNDUP(S73/I73,0)-1)))</x:f>
        <x:v>100</x:v>
      </x:c>
      <x:c r="AB73" s="1" t="n">
        <x:f>IF(I73&lt;=0,'損益分岐設定'!C39,IF('損益分岐設定'!C39*I73-T73&lt;0,'損益分岐設定'!C39,IF('損益分岐設定'!B39*I73-T73&gt;=0,0,ROUNDUP(T73/I73,0)-1)))</x:f>
        <x:v>500</x:v>
      </x:c>
      <x:c r="AC73" s="1" t="n">
        <x:f>IF(I73&lt;=0,'損益分岐設定'!C40,IF('損益分岐設定'!C40*I73-U73&lt;0,'損益分岐設定'!C40,IF('損益分岐設定'!B40*I73-U73&gt;=0,0,ROUNDUP(U73/I73,0)-1)))</x:f>
        <x:v>1000</x:v>
      </x:c>
      <x:c r="AD73" s="1" t="n">
        <x:v>0</x:v>
      </x:c>
      <x:c r="AE73" s="1" t="n">
        <x:v>1</x:v>
      </x:c>
      <x:c r="AF73" s="1" t="n">
        <x:v>0</x:v>
      </x:c>
      <x:c r="AG73" s="1" t="n">
        <x:f>AD73*'損益分岐設定'!$C$58+AE73*'損益分岐設定'!$C$61+AF73*'損益分岐設定'!$C$64</x:f>
        <x:v>9914.705791015625</x:v>
      </x:c>
      <x:c r="AH73" s="1" t="n">
        <x:f>AD73*'損益分岐設定'!$D$58+AE73*'損益分岐設定'!$D$61+AF73*'損益分岐設定'!$D$64</x:f>
        <x:v>480</x:v>
      </x:c>
      <x:c r="AI73" s="1" t="n">
        <x:f>AD73*'損益分岐設定'!$E$58+AE73*'損益分岐設定'!$E$61+AF73*'損益分岐設定'!$E$64</x:f>
        <x:v>640</x:v>
      </x:c>
      <x:c r="AJ73" s="1" t="n">
        <x:f>(AD73*'損益分岐設定'!$F$58+AE73*'損益分岐設定'!$F$61+AF73*'損益分岐設定'!$F$64*1)*'損益分岐設定'!$B$22</x:f>
        <x:v>7200</x:v>
      </x:c>
      <x:c r="AK73" s="1" t="n">
        <x:f>AD73*'損益分岐設定'!$G$58+AE73*'損益分岐設定'!$G$61+AF73*'損益分岐設定'!$G$64</x:f>
        <x:v>4800</x:v>
      </x:c>
      <x:c r="AL73" s="1" t="n">
        <x:f>AD73*'損益分岐設定'!$H$58+AE73*'損益分岐設定'!$H$61+AF73*'損益分岐設定'!$H$64</x:f>
        <x:v>1466.6666666666665</x:v>
      </x:c>
      <x:c r="AM73" s="1" t="n">
        <x:f>MAX(1,ROUNDUP('損益分岐設定'!C37*AJ73/('損益分岐設定'!$B$23*'損益分岐設定'!$B$24*3600*'損益分岐設定'!$B$25),0))</x:f>
        <x:v>1</x:v>
      </x:c>
      <x:c r="AN73" s="1" t="n">
        <x:f>MAX(2,ROUNDUP('損益分岐設定'!C38*AJ73/('損益分岐設定'!$B$23*'損益分岐設定'!$B$24*3600*'損益分岐設定'!$B$25),0))</x:f>
        <x:v>2</x:v>
      </x:c>
      <x:c r="AO73" s="1" t="n">
        <x:f>MAX(2,ROUNDUP('損益分岐設定'!C39*AJ73/('損益分岐設定'!$B$23*'損益分岐設定'!$B$24*3600*'損益分岐設定'!$B$25),0))</x:f>
        <x:v>8</x:v>
      </x:c>
      <x:c r="AP73" s="1" t="n">
        <x:f>MAX(2,ROUNDUP('損益分岐設定'!C40*AJ73/('損益分岐設定'!$B$23*'損益分岐設定'!$B$24*3600*'損益分岐設定'!$B$25),0))</x:f>
        <x:v>15</x:v>
      </x:c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 ht="23" customHeight="1">
      <x:c r="A74" s="1" t="str">
        <x:v>Run</x:v>
      </x:c>
      <x:c r="B74" s="1" t="str">
        <x:v>Business</x:v>
      </x:c>
      <x:c r="C74" s="1" t="str">
        <x:v>高位</x:v>
      </x:c>
      <x:c r="D74" s="21" t="n">
        <x:v>0.5</x:v>
      </x:c>
      <x:c r="E74" s="1" t="n">
        <x:v>1</x:v>
      </x:c>
      <x:c r="F74" s="7" t="n">
        <x:f>AD74*'損益分岐設定'!$B$5+AE74*'損益分岐設定'!$B$6+AF74*'損益分岐設定'!$B$7</x:f>
        <x:v>5000</x:v>
      </x:c>
      <x:c r="G74" s="7" t="n">
        <x:f>AG74+(AH74+AI74)*('損益分岐設定'!$B$29+0.5*'損益分岐設定'!$B$30)+AK74*'損益分岐設定'!$B$32+(AJ74+AK74/'損益分岐設定'!$B$28*'損益分岐設定'!$B$26)*('損益分岐設定'!$B$29+'損益分岐設定'!$B$31*'損益分岐設定'!$B$30)</x:f>
        <x:v>9960.033245471808</x:v>
      </x:c>
      <x:c r="H74" s="7" t="n">
        <x:f>AL74*E74</x:f>
        <x:v>1466.6666666666665</x:v>
      </x:c>
      <x:c r="I74" s="7" t="n">
        <x:f>F74*(1-D74-'損益分岐設定'!$B$10)-G74-H74</x:f>
        <x:v>-9106.699912138474</x:v>
      </x:c>
      <x:c r="J74" s="1" t="str">
        <x:f>IF(MIN(V74:Y74)&gt;1000,"範囲内なし",MIN(V74:Y74))</x:f>
        <x:v>範囲内なし</x:v>
      </x:c>
      <x:c r="K74" s="1" t="str">
        <x:f>IF(MAX(Z74:AC74)&gt;=1000,"範囲内なし",MAX(1,MAX(Z74:AC74)+1))</x:f>
        <x:v>範囲内なし</x:v>
      </x:c>
      <x:c r="L74" s="7" t="n">
        <x:f>10*I74-R74</x:f>
        <x:v>-121077.93374769253</x:v>
      </x:c>
      <x:c r="M74" s="7" t="n">
        <x:f>30*I74-S74</x:f>
        <x:v>-307711.931990462</x:v>
      </x:c>
      <x:c r="N74" s="7" t="n">
        <x:f>50*I74-S74</x:f>
        <x:v>-489845.9302332315</x:v>
      </x:c>
      <x:c r="O74" s="7" t="n">
        <x:f>100*I74-S74</x:f>
        <x:v>-945180.9258401552</x:v>
      </x:c>
      <x:c r="P74" s="7" t="n">
        <x:f>300*I74-T74</x:f>
        <x:v>-2788520.90826785</x:v>
      </x:c>
      <x:c r="Q74" s="7" t="n">
        <x:f>1000*I74-U74</x:f>
        <x:v>-9193210.846764782</x:v>
      </x:c>
      <x:c r="R7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74*'損益分岐設定'!$B$12*'損益分岐設定'!$B$11</x:f>
        <x:v>30010.934626307797</x:v>
      </x:c>
      <x:c r="S7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74*'損益分岐設定'!$B$12*'損益分岐設定'!$B$11</x:f>
        <x:v>34510.9346263078</x:v>
      </x:c>
      <x:c r="T7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74*'損益分岐設定'!$B$12*'損益分岐設定'!$B$11</x:f>
        <x:v>56510.9346263078</x:v>
      </x:c>
      <x:c r="U7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74*'損益分岐設定'!$B$12*'損益分岐設定'!$B$11</x:f>
        <x:v>86510.9346263078</x:v>
      </x:c>
      <x:c r="V74" s="1" t="n">
        <x:f>IF(I74&lt;=0,1001,IF(MAX('損益分岐設定'!B37,ROUNDUP(R74/I74,0))&lt;='損益分岐設定'!C37,MAX('損益分岐設定'!B37,ROUNDUP(R74/I74,0)),1001))</x:f>
        <x:v>1001</x:v>
      </x:c>
      <x:c r="W74" s="1" t="n">
        <x:f>IF(I74&lt;=0,1001,IF(MAX('損益分岐設定'!B38,ROUNDUP(S74/I74,0))&lt;='損益分岐設定'!C38,MAX('損益分岐設定'!B38,ROUNDUP(S74/I74,0)),1001))</x:f>
        <x:v>1001</x:v>
      </x:c>
      <x:c r="X74" s="1" t="n">
        <x:f>IF(I74&lt;=0,1001,IF(MAX('損益分岐設定'!B39,ROUNDUP(T74/I74,0))&lt;='損益分岐設定'!C39,MAX('損益分岐設定'!B39,ROUNDUP(T74/I74,0)),1001))</x:f>
        <x:v>1001</x:v>
      </x:c>
      <x:c r="Y74" s="1" t="n">
        <x:f>IF(I74&lt;=0,1001,IF(MAX('損益分岐設定'!B40,ROUNDUP(U74/I74,0))&lt;='損益分岐設定'!C40,MAX('損益分岐設定'!B40,ROUNDUP(U74/I74,0)),1001))</x:f>
        <x:v>1001</x:v>
      </x:c>
      <x:c r="Z74" s="1" t="n">
        <x:f>IF(I74&lt;=0,'損益分岐設定'!C37,IF('損益分岐設定'!C37*I74-R74&lt;0,'損益分岐設定'!C37,IF('損益分岐設定'!B37*I74-R74&gt;=0,0,ROUNDUP(R74/I74,0)-1)))</x:f>
        <x:v>10</x:v>
      </x:c>
      <x:c r="AA74" s="1" t="n">
        <x:f>IF(I74&lt;=0,'損益分岐設定'!C38,IF('損益分岐設定'!C38*I74-S74&lt;0,'損益分岐設定'!C38,IF('損益分岐設定'!B38*I74-S74&gt;=0,0,ROUNDUP(S74/I74,0)-1)))</x:f>
        <x:v>100</x:v>
      </x:c>
      <x:c r="AB74" s="1" t="n">
        <x:f>IF(I74&lt;=0,'損益分岐設定'!C39,IF('損益分岐設定'!C39*I74-T74&lt;0,'損益分岐設定'!C39,IF('損益分岐設定'!B39*I74-T74&gt;=0,0,ROUNDUP(T74/I74,0)-1)))</x:f>
        <x:v>500</x:v>
      </x:c>
      <x:c r="AC74" s="1" t="n">
        <x:f>IF(I74&lt;=0,'損益分岐設定'!C40,IF('損益分岐設定'!C40*I74-U74&lt;0,'損益分岐設定'!C40,IF('損益分岐設定'!B40*I74-U74&gt;=0,0,ROUNDUP(U74/I74,0)-1)))</x:f>
        <x:v>1000</x:v>
      </x:c>
      <x:c r="AD74" s="1" t="n">
        <x:v>0</x:v>
      </x:c>
      <x:c r="AE74" s="1" t="n">
        <x:v>1</x:v>
      </x:c>
      <x:c r="AF74" s="1" t="n">
        <x:v>0</x:v>
      </x:c>
      <x:c r="AG74" s="1" t="n">
        <x:f>AD74*'損益分岐設定'!$C$58+AE74*'損益分岐設定'!$C$61+AF74*'損益分岐設定'!$C$64</x:f>
        <x:v>9914.705791015625</x:v>
      </x:c>
      <x:c r="AH74" s="1" t="n">
        <x:f>AD74*'損益分岐設定'!$D$58+AE74*'損益分岐設定'!$D$61+AF74*'損益分岐設定'!$D$64</x:f>
        <x:v>480</x:v>
      </x:c>
      <x:c r="AI74" s="1" t="n">
        <x:f>AD74*'損益分岐設定'!$E$58+AE74*'損益分岐設定'!$E$61+AF74*'損益分岐設定'!$E$64</x:f>
        <x:v>640</x:v>
      </x:c>
      <x:c r="AJ74" s="1" t="n">
        <x:f>(AD74*'損益分岐設定'!$F$58+AE74*'損益分岐設定'!$F$61+AF74*'損益分岐設定'!$F$64*1)*'損益分岐設定'!$B$22</x:f>
        <x:v>7200</x:v>
      </x:c>
      <x:c r="AK74" s="1" t="n">
        <x:f>AD74*'損益分岐設定'!$G$58+AE74*'損益分岐設定'!$G$61+AF74*'損益分岐設定'!$G$64</x:f>
        <x:v>4800</x:v>
      </x:c>
      <x:c r="AL74" s="1" t="n">
        <x:f>AD74*'損益分岐設定'!$H$58+AE74*'損益分岐設定'!$H$61+AF74*'損益分岐設定'!$H$64</x:f>
        <x:v>1466.6666666666665</x:v>
      </x:c>
      <x:c r="AM74" s="1" t="n">
        <x:f>MAX(1,ROUNDUP('損益分岐設定'!C37*AJ74/('損益分岐設定'!$B$23*'損益分岐設定'!$B$24*3600*'損益分岐設定'!$B$25),0))</x:f>
        <x:v>1</x:v>
      </x:c>
      <x:c r="AN74" s="1" t="n">
        <x:f>MAX(2,ROUNDUP('損益分岐設定'!C38*AJ74/('損益分岐設定'!$B$23*'損益分岐設定'!$B$24*3600*'損益分岐設定'!$B$25),0))</x:f>
        <x:v>2</x:v>
      </x:c>
      <x:c r="AO74" s="1" t="n">
        <x:f>MAX(2,ROUNDUP('損益分岐設定'!C39*AJ74/('損益分岐設定'!$B$23*'損益分岐設定'!$B$24*3600*'損益分岐設定'!$B$25),0))</x:f>
        <x:v>8</x:v>
      </x:c>
      <x:c r="AP74" s="1" t="n">
        <x:f>MAX(2,ROUNDUP('損益分岐設定'!C40*AJ74/('損益分岐設定'!$B$23*'損益分岐設定'!$B$24*3600*'損益分岐設定'!$B$25),0))</x:f>
        <x:v>15</x:v>
      </x:c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 ht="23" customHeight="1">
      <x:c r="A75" s="1" t="str">
        <x:v>Run</x:v>
      </x:c>
      <x:c r="B75" s="1" t="str">
        <x:v>Business</x:v>
      </x:c>
      <x:c r="C75" s="1" t="str">
        <x:v>標準+高位混在</x:v>
      </x:c>
      <x:c r="D75" s="21" t="n">
        <x:v>0</x:v>
      </x:c>
      <x:c r="E75" s="1" t="n">
        <x:v>0</x:v>
      </x:c>
      <x:c r="F75" s="7" t="n">
        <x:f>AD75*'損益分岐設定'!$B$5+AE75*'損益分岐設定'!$B$6+AF75*'損益分岐設定'!$B$7</x:f>
        <x:v>5000</x:v>
      </x:c>
      <x:c r="G75" s="7" t="n">
        <x:f>AG75+(AH75+AI75)*('損益分岐設定'!$B$29+0.5*'損益分岐設定'!$B$30)+AK75*'損益分岐設定'!$B$32+(AJ75+AK75/'損益分岐設定'!$B$28*'損益分岐設定'!$B$26)*('損益分岐設定'!$B$29+'損益分岐設定'!$B$31*'損益分岐設定'!$B$30)</x:f>
        <x:v>2348.3430407601545</x:v>
      </x:c>
      <x:c r="H75" s="7" t="n">
        <x:f>AL75*E75</x:f>
        <x:v>0</x:v>
      </x:c>
      <x:c r="I75" s="7" t="n">
        <x:f>F75*(1-D75-'損益分岐設定'!$B$10)-G75-H75</x:f>
        <x:v>2471.6569592398455</x:v>
      </x:c>
      <x:c r="J75" s="1" t="n">
        <x:f>IF(MIN(V75:Y75)&gt;1000,"範囲内なし",MIN(V75:Y75))</x:f>
        <x:v>9</x:v>
      </x:c>
      <x:c r="K75" s="1" t="n">
        <x:f>IF(MAX(Z75:AC75)&gt;=1000,"範囲内なし",MAX(1,MAX(Z75:AC75)+1))</x:f>
        <x:v>9</x:v>
      </x:c>
      <x:c r="L75" s="7" t="n">
        <x:f>10*I75-R75</x:f>
        <x:v>2705.6349660906562</x:v>
      </x:c>
      <x:c r="M75" s="7" t="n">
        <x:f>30*I75-S75</x:f>
        <x:v>47638.77415088757</x:v>
      </x:c>
      <x:c r="N75" s="7" t="n">
        <x:f>50*I75-S75</x:f>
        <x:v>97071.91333568448</x:v>
      </x:c>
      <x:c r="O75" s="7" t="n">
        <x:f>100*I75-S75</x:f>
        <x:v>220654.76129767674</x:v>
      </x:c>
      <x:c r="P75" s="7" t="n">
        <x:f>300*I75-T75</x:f>
        <x:v>692986.1531456459</x:v>
      </x:c>
      <x:c r="Q75" s="7" t="n">
        <x:f>1000*I75-U75</x:f>
        <x:v>2393146.024613538</x:v>
      </x:c>
      <x:c r="R7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75*'損益分岐設定'!$B$12*'損益分岐設定'!$B$11</x:f>
        <x:v>22010.934626307797</x:v>
      </x:c>
      <x:c r="S7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75*'損益分岐設定'!$B$12*'損益分岐設定'!$B$11</x:f>
        <x:v>26510.934626307797</x:v>
      </x:c>
      <x:c r="T7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75*'損益分岐設定'!$B$12*'損益分岐設定'!$B$11</x:f>
        <x:v>48510.9346263078</x:v>
      </x:c>
      <x:c r="U7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75*'損益分岐設定'!$B$12*'損益分岐設定'!$B$11</x:f>
        <x:v>78510.9346263078</x:v>
      </x:c>
      <x:c r="V75" s="1" t="n">
        <x:f>IF(I75&lt;=0,1001,IF(MAX('損益分岐設定'!B37,ROUNDUP(R75/I75,0))&lt;='損益分岐設定'!C37,MAX('損益分岐設定'!B37,ROUNDUP(R75/I75,0)),1001))</x:f>
        <x:v>9</x:v>
      </x:c>
      <x:c r="W75" s="1" t="n">
        <x:f>IF(I75&lt;=0,1001,IF(MAX('損益分岐設定'!B38,ROUNDUP(S75/I75,0))&lt;='損益分岐設定'!C38,MAX('損益分岐設定'!B38,ROUNDUP(S75/I75,0)),1001))</x:f>
        <x:v>11</x:v>
      </x:c>
      <x:c r="X75" s="1" t="n">
        <x:f>IF(I75&lt;=0,1001,IF(MAX('損益分岐設定'!B39,ROUNDUP(T75/I75,0))&lt;='損益分岐設定'!C39,MAX('損益分岐設定'!B39,ROUNDUP(T75/I75,0)),1001))</x:f>
        <x:v>101</x:v>
      </x:c>
      <x:c r="Y75" s="1" t="n">
        <x:f>IF(I75&lt;=0,1001,IF(MAX('損益分岐設定'!B40,ROUNDUP(U75/I75,0))&lt;='損益分岐設定'!C40,MAX('損益分岐設定'!B40,ROUNDUP(U75/I75,0)),1001))</x:f>
        <x:v>501</x:v>
      </x:c>
      <x:c r="Z75" s="1" t="n">
        <x:f>IF(I75&lt;=0,'損益分岐設定'!C37,IF('損益分岐設定'!C37*I75-R75&lt;0,'損益分岐設定'!C37,IF('損益分岐設定'!B37*I75-R75&gt;=0,0,ROUNDUP(R75/I75,0)-1)))</x:f>
        <x:v>8</x:v>
      </x:c>
      <x:c r="AA75" s="1" t="n">
        <x:f>IF(I75&lt;=0,'損益分岐設定'!C38,IF('損益分岐設定'!C38*I75-S75&lt;0,'損益分岐設定'!C38,IF('損益分岐設定'!B38*I75-S75&gt;=0,0,ROUNDUP(S75/I75,0)-1)))</x:f>
        <x:v>0</x:v>
      </x:c>
      <x:c r="AB75" s="1" t="n">
        <x:f>IF(I75&lt;=0,'損益分岐設定'!C39,IF('損益分岐設定'!C39*I75-T75&lt;0,'損益分岐設定'!C39,IF('損益分岐設定'!B39*I75-T75&gt;=0,0,ROUNDUP(T75/I75,0)-1)))</x:f>
        <x:v>0</x:v>
      </x:c>
      <x:c r="AC75" s="1" t="n">
        <x:f>IF(I75&lt;=0,'損益分岐設定'!C40,IF('損益分岐設定'!C40*I75-U75&lt;0,'損益分岐設定'!C40,IF('損益分岐設定'!B40*I75-U75&gt;=0,0,ROUNDUP(U75/I75,0)-1)))</x:f>
        <x:v>0</x:v>
      </x:c>
      <x:c r="AD75" s="1" t="n">
        <x:v>0</x:v>
      </x:c>
      <x:c r="AE75" s="1" t="n">
        <x:v>1</x:v>
      </x:c>
      <x:c r="AF75" s="1" t="n">
        <x:v>0</x:v>
      </x:c>
      <x:c r="AG75" s="1" t="n">
        <x:f>AD75*('損益分岐設定'!$C$57*(1-'損益分岐設定'!$B$51)+'損益分岐設定'!$C$58*'損益分岐設定'!$B$51)+AE75*('損益分岐設定'!$C$60*(1-'損益分岐設定'!$B$51)+'損益分岐設定'!$C$61*'損益分岐設定'!$B$51)+AF75*('損益分岐設定'!$C$63*(1-'損益分岐設定'!$B$51)+'損益分岐設定'!$C$64*'損益分岐設定'!$B$51)</x:f>
        <x:v>2336.20881640625</x:v>
      </x:c>
      <x:c r="AH75" s="1" t="n">
        <x:f>AD75*('損益分岐設定'!$D$57*(1-'損益分岐設定'!$B$51)+'損益分岐設定'!$D$58*'損益分岐設定'!$B$51)+AE75*('損益分岐設定'!$D$60*(1-'損益分岐設定'!$B$51)+'損益分岐設定'!$D$61*'損益分岐設定'!$B$51)+AF75*('損益分岐設定'!$D$63*(1-'損益分岐設定'!$B$51)+'損益分岐設定'!$D$64*'損益分岐設定'!$B$51)</x:f>
        <x:v>192</x:v>
      </x:c>
      <x:c r="AI75" s="1" t="n">
        <x:f>AD75*('損益分岐設定'!$E$57*(1-'損益分岐設定'!$B$51)+'損益分岐設定'!$E$58*'損益分岐設定'!$B$51)+AE75*('損益分岐設定'!$E$60*(1-'損益分岐設定'!$B$51)+'損益分岐設定'!$E$61*'損益分岐設定'!$B$51)+AF75*('損益分岐設定'!$E$63*(1-'損益分岐設定'!$B$51)+'損益分岐設定'!$E$64*'損益分岐設定'!$B$51)</x:f>
        <x:v>224</x:v>
      </x:c>
      <x:c r="AJ75" s="1" t="n">
        <x:f>(AD75*('損益分岐設定'!$F$57*(1-'損益分岐設定'!$B$51)+'損益分岐設定'!$F$58*'損益分岐設定'!$B$51)+AE75*('損益分岐設定'!$F$60*(1-'損益分岐設定'!$B$51)+'損益分岐設定'!$F$61*'損益分岐設定'!$B$51)+AF75*('損益分岐設定'!$F$63*(1-'損益分岐設定'!$B$51)+'損益分岐設定'!$F$64*'損益分岐設定'!$B$51)*1)*'損益分岐設定'!$B$22</x:f>
        <x:v>1824</x:v>
      </x:c>
      <x:c r="AK75" s="1" t="n">
        <x:f>AD75*('損益分岐設定'!$G$57*(1-'損益分岐設定'!$B$51)+'損益分岐設定'!$G$58*'損益分岐設定'!$B$51)+AE75*('損益分岐設定'!$G$60*(1-'損益分岐設定'!$B$51)+'損益分岐設定'!$G$61*'損益分岐設定'!$B$51)+AF75*('損益分岐設定'!$G$63*(1-'損益分岐設定'!$B$51)+'損益分岐設定'!$G$64*'損益分岐設定'!$B$51)</x:f>
        <x:v>1600</x:v>
      </x:c>
      <x:c r="AL75" s="1" t="n">
        <x:f>AD75*('損益分岐設定'!$H$57*(1-'損益分岐設定'!$B$51)+'損益分岐設定'!$H$58*'損益分岐設定'!$B$51)+AE75*('損益分岐設定'!$H$60*(1-'損益分岐設定'!$B$51)+'損益分岐設定'!$H$61*'損益分岐設定'!$B$51)+AF75*('損益分岐設定'!$H$63*(1-'損益分岐設定'!$B$51)+'損益分岐設定'!$H$64*'損益分岐設定'!$B$51)</x:f>
        <x:v>826.6666666666667</x:v>
      </x:c>
      <x:c r="AM75" s="1" t="n">
        <x:f>MAX(1,ROUNDUP('損益分岐設定'!C37*AJ75/('損益分岐設定'!$B$23*'損益分岐設定'!$B$24*3600*'損益分岐設定'!$B$25),0))</x:f>
        <x:v>1</x:v>
      </x:c>
      <x:c r="AN75" s="1" t="n">
        <x:f>MAX(2,ROUNDUP('損益分岐設定'!C38*AJ75/('損益分岐設定'!$B$23*'損益分岐設定'!$B$24*3600*'損益分岐設定'!$B$25),0))</x:f>
        <x:v>2</x:v>
      </x:c>
      <x:c r="AO75" s="1" t="n">
        <x:f>MAX(2,ROUNDUP('損益分岐設定'!C39*AJ75/('損益分岐設定'!$B$23*'損益分岐設定'!$B$24*3600*'損益分岐設定'!$B$25),0))</x:f>
        <x:v>2</x:v>
      </x:c>
      <x:c r="AP75" s="1" t="n">
        <x:f>MAX(2,ROUNDUP('損益分岐設定'!C40*AJ75/('損益分岐設定'!$B$23*'損益分岐設定'!$B$24*3600*'損益分岐設定'!$B$25),0))</x:f>
        <x:v>4</x:v>
      </x:c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 ht="23" customHeight="1">
      <x:c r="A76" s="1" t="str">
        <x:v>Run</x:v>
      </x:c>
      <x:c r="B76" s="1" t="str">
        <x:v>Business</x:v>
      </x:c>
      <x:c r="C76" s="1" t="str">
        <x:v>標準+高位混在</x:v>
      </x:c>
      <x:c r="D76" s="21" t="n">
        <x:v>0</x:v>
      </x:c>
      <x:c r="E76" s="1" t="n">
        <x:v>1</x:v>
      </x:c>
      <x:c r="F76" s="7" t="n">
        <x:f>AD76*'損益分岐設定'!$B$5+AE76*'損益分岐設定'!$B$6+AF76*'損益分岐設定'!$B$7</x:f>
        <x:v>5000</x:v>
      </x:c>
      <x:c r="G76" s="7" t="n">
        <x:f>AG76+(AH76+AI76)*('損益分岐設定'!$B$29+0.5*'損益分岐設定'!$B$30)+AK76*'損益分岐設定'!$B$32+(AJ76+AK76/'損益分岐設定'!$B$28*'損益分岐設定'!$B$26)*('損益分岐設定'!$B$29+'損益分岐設定'!$B$31*'損益分岐設定'!$B$30)</x:f>
        <x:v>2348.3430407601545</x:v>
      </x:c>
      <x:c r="H76" s="7" t="n">
        <x:f>AL76*E76</x:f>
        <x:v>826.6666666666667</x:v>
      </x:c>
      <x:c r="I76" s="7" t="n">
        <x:f>F76*(1-D76-'損益分岐設定'!$B$10)-G76-H76</x:f>
        <x:v>1644.9902925731787</x:v>
      </x:c>
      <x:c r="J76" s="1" t="n">
        <x:f>IF(MIN(V76:Y76)&gt;1000,"範囲内なし",MIN(V76:Y76))</x:f>
        <x:v>21</x:v>
      </x:c>
      <x:c r="K76" s="1" t="n">
        <x:f>IF(MAX(Z76:AC76)&gt;=1000,"範囲内なし",MAX(1,MAX(Z76:AC76)+1))</x:f>
        <x:v>21</x:v>
      </x:c>
      <x:c r="L76" s="7" t="n">
        <x:f>10*I76-R76</x:f>
        <x:v>-13561.031700576008</x:v>
      </x:c>
      <x:c r="M76" s="7" t="n">
        <x:f>30*I76-S76</x:f>
        <x:v>14838.774150887562</x:v>
      </x:c>
      <x:c r="N76" s="7" t="n">
        <x:f>50*I76-S76</x:f>
        <x:v>47738.58000235115</x:v>
      </x:c>
      <x:c r="O76" s="7" t="n">
        <x:f>100*I76-S76</x:f>
        <x:v>129988.09463101008</x:v>
      </x:c>
      <x:c r="P76" s="7" t="n">
        <x:f>300*I76-T76</x:f>
        <x:v>436986.1531456458</x:v>
      </x:c>
      <x:c r="Q76" s="7" t="n">
        <x:f>1000*I76-U76</x:f>
        <x:v>1558479.3579468708</x:v>
      </x:c>
      <x:c r="R7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76*'損益分岐設定'!$B$12*'損益分岐設定'!$B$11</x:f>
        <x:v>30010.934626307797</x:v>
      </x:c>
      <x:c r="S7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76*'損益分岐設定'!$B$12*'損益分岐設定'!$B$11</x:f>
        <x:v>34510.9346263078</x:v>
      </x:c>
      <x:c r="T7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76*'損益分岐設定'!$B$12*'損益分岐設定'!$B$11</x:f>
        <x:v>56510.9346263078</x:v>
      </x:c>
      <x:c r="U7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76*'損益分岐設定'!$B$12*'損益分岐設定'!$B$11</x:f>
        <x:v>86510.9346263078</x:v>
      </x:c>
      <x:c r="V76" s="1" t="n">
        <x:f>IF(I76&lt;=0,1001,IF(MAX('損益分岐設定'!B37,ROUNDUP(R76/I76,0))&lt;='損益分岐設定'!C37,MAX('損益分岐設定'!B37,ROUNDUP(R76/I76,0)),1001))</x:f>
        <x:v>1001</x:v>
      </x:c>
      <x:c r="W76" s="1" t="n">
        <x:f>IF(I76&lt;=0,1001,IF(MAX('損益分岐設定'!B38,ROUNDUP(S76/I76,0))&lt;='損益分岐設定'!C38,MAX('損益分岐設定'!B38,ROUNDUP(S76/I76,0)),1001))</x:f>
        <x:v>21</x:v>
      </x:c>
      <x:c r="X76" s="1" t="n">
        <x:f>IF(I76&lt;=0,1001,IF(MAX('損益分岐設定'!B39,ROUNDUP(T76/I76,0))&lt;='損益分岐設定'!C39,MAX('損益分岐設定'!B39,ROUNDUP(T76/I76,0)),1001))</x:f>
        <x:v>101</x:v>
      </x:c>
      <x:c r="Y76" s="1" t="n">
        <x:f>IF(I76&lt;=0,1001,IF(MAX('損益分岐設定'!B40,ROUNDUP(U76/I76,0))&lt;='損益分岐設定'!C40,MAX('損益分岐設定'!B40,ROUNDUP(U76/I76,0)),1001))</x:f>
        <x:v>501</x:v>
      </x:c>
      <x:c r="Z76" s="1" t="n">
        <x:f>IF(I76&lt;=0,'損益分岐設定'!C37,IF('損益分岐設定'!C37*I76-R76&lt;0,'損益分岐設定'!C37,IF('損益分岐設定'!B37*I76-R76&gt;=0,0,ROUNDUP(R76/I76,0)-1)))</x:f>
        <x:v>10</x:v>
      </x:c>
      <x:c r="AA76" s="1" t="n">
        <x:f>IF(I76&lt;=0,'損益分岐設定'!C38,IF('損益分岐設定'!C38*I76-S76&lt;0,'損益分岐設定'!C38,IF('損益分岐設定'!B38*I76-S76&gt;=0,0,ROUNDUP(S76/I76,0)-1)))</x:f>
        <x:v>20</x:v>
      </x:c>
      <x:c r="AB76" s="1" t="n">
        <x:f>IF(I76&lt;=0,'損益分岐設定'!C39,IF('損益分岐設定'!C39*I76-T76&lt;0,'損益分岐設定'!C39,IF('損益分岐設定'!B39*I76-T76&gt;=0,0,ROUNDUP(T76/I76,0)-1)))</x:f>
        <x:v>0</x:v>
      </x:c>
      <x:c r="AC76" s="1" t="n">
        <x:f>IF(I76&lt;=0,'損益分岐設定'!C40,IF('損益分岐設定'!C40*I76-U76&lt;0,'損益分岐設定'!C40,IF('損益分岐設定'!B40*I76-U76&gt;=0,0,ROUNDUP(U76/I76,0)-1)))</x:f>
        <x:v>0</x:v>
      </x:c>
      <x:c r="AD76" s="1" t="n">
        <x:v>0</x:v>
      </x:c>
      <x:c r="AE76" s="1" t="n">
        <x:v>1</x:v>
      </x:c>
      <x:c r="AF76" s="1" t="n">
        <x:v>0</x:v>
      </x:c>
      <x:c r="AG76" s="1" t="n">
        <x:f>AD76*('損益分岐設定'!$C$57*(1-'損益分岐設定'!$B$51)+'損益分岐設定'!$C$58*'損益分岐設定'!$B$51)+AE76*('損益分岐設定'!$C$60*(1-'損益分岐設定'!$B$51)+'損益分岐設定'!$C$61*'損益分岐設定'!$B$51)+AF76*('損益分岐設定'!$C$63*(1-'損益分岐設定'!$B$51)+'損益分岐設定'!$C$64*'損益分岐設定'!$B$51)</x:f>
        <x:v>2336.20881640625</x:v>
      </x:c>
      <x:c r="AH76" s="1" t="n">
        <x:f>AD76*('損益分岐設定'!$D$57*(1-'損益分岐設定'!$B$51)+'損益分岐設定'!$D$58*'損益分岐設定'!$B$51)+AE76*('損益分岐設定'!$D$60*(1-'損益分岐設定'!$B$51)+'損益分岐設定'!$D$61*'損益分岐設定'!$B$51)+AF76*('損益分岐設定'!$D$63*(1-'損益分岐設定'!$B$51)+'損益分岐設定'!$D$64*'損益分岐設定'!$B$51)</x:f>
        <x:v>192</x:v>
      </x:c>
      <x:c r="AI76" s="1" t="n">
        <x:f>AD76*('損益分岐設定'!$E$57*(1-'損益分岐設定'!$B$51)+'損益分岐設定'!$E$58*'損益分岐設定'!$B$51)+AE76*('損益分岐設定'!$E$60*(1-'損益分岐設定'!$B$51)+'損益分岐設定'!$E$61*'損益分岐設定'!$B$51)+AF76*('損益分岐設定'!$E$63*(1-'損益分岐設定'!$B$51)+'損益分岐設定'!$E$64*'損益分岐設定'!$B$51)</x:f>
        <x:v>224</x:v>
      </x:c>
      <x:c r="AJ76" s="1" t="n">
        <x:f>(AD76*('損益分岐設定'!$F$57*(1-'損益分岐設定'!$B$51)+'損益分岐設定'!$F$58*'損益分岐設定'!$B$51)+AE76*('損益分岐設定'!$F$60*(1-'損益分岐設定'!$B$51)+'損益分岐設定'!$F$61*'損益分岐設定'!$B$51)+AF76*('損益分岐設定'!$F$63*(1-'損益分岐設定'!$B$51)+'損益分岐設定'!$F$64*'損益分岐設定'!$B$51)*1)*'損益分岐設定'!$B$22</x:f>
        <x:v>1824</x:v>
      </x:c>
      <x:c r="AK76" s="1" t="n">
        <x:f>AD76*('損益分岐設定'!$G$57*(1-'損益分岐設定'!$B$51)+'損益分岐設定'!$G$58*'損益分岐設定'!$B$51)+AE76*('損益分岐設定'!$G$60*(1-'損益分岐設定'!$B$51)+'損益分岐設定'!$G$61*'損益分岐設定'!$B$51)+AF76*('損益分岐設定'!$G$63*(1-'損益分岐設定'!$B$51)+'損益分岐設定'!$G$64*'損益分岐設定'!$B$51)</x:f>
        <x:v>1600</x:v>
      </x:c>
      <x:c r="AL76" s="1" t="n">
        <x:f>AD76*('損益分岐設定'!$H$57*(1-'損益分岐設定'!$B$51)+'損益分岐設定'!$H$58*'損益分岐設定'!$B$51)+AE76*('損益分岐設定'!$H$60*(1-'損益分岐設定'!$B$51)+'損益分岐設定'!$H$61*'損益分岐設定'!$B$51)+AF76*('損益分岐設定'!$H$63*(1-'損益分岐設定'!$B$51)+'損益分岐設定'!$H$64*'損益分岐設定'!$B$51)</x:f>
        <x:v>826.6666666666667</x:v>
      </x:c>
      <x:c r="AM76" s="1" t="n">
        <x:f>MAX(1,ROUNDUP('損益分岐設定'!C37*AJ76/('損益分岐設定'!$B$23*'損益分岐設定'!$B$24*3600*'損益分岐設定'!$B$25),0))</x:f>
        <x:v>1</x:v>
      </x:c>
      <x:c r="AN76" s="1" t="n">
        <x:f>MAX(2,ROUNDUP('損益分岐設定'!C38*AJ76/('損益分岐設定'!$B$23*'損益分岐設定'!$B$24*3600*'損益分岐設定'!$B$25),0))</x:f>
        <x:v>2</x:v>
      </x:c>
      <x:c r="AO76" s="1" t="n">
        <x:f>MAX(2,ROUNDUP('損益分岐設定'!C39*AJ76/('損益分岐設定'!$B$23*'損益分岐設定'!$B$24*3600*'損益分岐設定'!$B$25),0))</x:f>
        <x:v>2</x:v>
      </x:c>
      <x:c r="AP76" s="1" t="n">
        <x:f>MAX(2,ROUNDUP('損益分岐設定'!C40*AJ76/('損益分岐設定'!$B$23*'損益分岐設定'!$B$24*3600*'損益分岐設定'!$B$25),0))</x:f>
        <x:v>4</x:v>
      </x:c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 ht="23" customHeight="1">
      <x:c r="A77" s="1" t="str">
        <x:v>Run</x:v>
      </x:c>
      <x:c r="B77" s="1" t="str">
        <x:v>Business</x:v>
      </x:c>
      <x:c r="C77" s="1" t="str">
        <x:v>標準+高位混在</x:v>
      </x:c>
      <x:c r="D77" s="21" t="n">
        <x:v>0.2</x:v>
      </x:c>
      <x:c r="E77" s="1" t="n">
        <x:v>0</x:v>
      </x:c>
      <x:c r="F77" s="7" t="n">
        <x:f>AD77*'損益分岐設定'!$B$5+AE77*'損益分岐設定'!$B$6+AF77*'損益分岐設定'!$B$7</x:f>
        <x:v>5000</x:v>
      </x:c>
      <x:c r="G77" s="7" t="n">
        <x:f>AG77+(AH77+AI77)*('損益分岐設定'!$B$29+0.5*'損益分岐設定'!$B$30)+AK77*'損益分岐設定'!$B$32+(AJ77+AK77/'損益分岐設定'!$B$28*'損益分岐設定'!$B$26)*('損益分岐設定'!$B$29+'損益分岐設定'!$B$31*'損益分岐設定'!$B$30)</x:f>
        <x:v>2348.3430407601545</x:v>
      </x:c>
      <x:c r="H77" s="7" t="n">
        <x:f>AL77*E77</x:f>
        <x:v>0</x:v>
      </x:c>
      <x:c r="I77" s="7" t="n">
        <x:f>F77*(1-D77-'損益分岐設定'!$B$10)-G77-H77</x:f>
        <x:v>1471.6569592398455</x:v>
      </x:c>
      <x:c r="J77" s="1" t="n">
        <x:f>IF(MIN(V77:Y77)&gt;1000,"範囲内なし",MIN(V77:Y77))</x:f>
        <x:v>19</x:v>
      </x:c>
      <x:c r="K77" s="1" t="n">
        <x:f>IF(MAX(Z77:AC77)&gt;=1000,"範囲内なし",MAX(1,MAX(Z77:AC77)+1))</x:f>
        <x:v>19</x:v>
      </x:c>
      <x:c r="L77" s="7" t="n">
        <x:f>10*I77-R77</x:f>
        <x:v>-7294.365033909342</x:v>
      </x:c>
      <x:c r="M77" s="7" t="n">
        <x:f>30*I77-S77</x:f>
        <x:v>17638.77415088757</x:v>
      </x:c>
      <x:c r="N77" s="7" t="n">
        <x:f>50*I77-S77</x:f>
        <x:v>47071.913335684476</x:v>
      </x:c>
      <x:c r="O77" s="7" t="n">
        <x:f>100*I77-S77</x:f>
        <x:v>120654.76129767674</x:v>
      </x:c>
      <x:c r="P77" s="7" t="n">
        <x:f>300*I77-T77</x:f>
        <x:v>392986.15314564586</x:v>
      </x:c>
      <x:c r="Q77" s="7" t="n">
        <x:f>1000*I77-U77</x:f>
        <x:v>1393146.0246135376</x:v>
      </x:c>
      <x:c r="R7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77*'損益分岐設定'!$B$12*'損益分岐設定'!$B$11</x:f>
        <x:v>22010.934626307797</x:v>
      </x:c>
      <x:c r="S7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77*'損益分岐設定'!$B$12*'損益分岐設定'!$B$11</x:f>
        <x:v>26510.934626307797</x:v>
      </x:c>
      <x:c r="T7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77*'損益分岐設定'!$B$12*'損益分岐設定'!$B$11</x:f>
        <x:v>48510.9346263078</x:v>
      </x:c>
      <x:c r="U7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77*'損益分岐設定'!$B$12*'損益分岐設定'!$B$11</x:f>
        <x:v>78510.9346263078</x:v>
      </x:c>
      <x:c r="V77" s="1" t="n">
        <x:f>IF(I77&lt;=0,1001,IF(MAX('損益分岐設定'!B37,ROUNDUP(R77/I77,0))&lt;='損益分岐設定'!C37,MAX('損益分岐設定'!B37,ROUNDUP(R77/I77,0)),1001))</x:f>
        <x:v>1001</x:v>
      </x:c>
      <x:c r="W77" s="1" t="n">
        <x:f>IF(I77&lt;=0,1001,IF(MAX('損益分岐設定'!B38,ROUNDUP(S77/I77,0))&lt;='損益分岐設定'!C38,MAX('損益分岐設定'!B38,ROUNDUP(S77/I77,0)),1001))</x:f>
        <x:v>19</x:v>
      </x:c>
      <x:c r="X77" s="1" t="n">
        <x:f>IF(I77&lt;=0,1001,IF(MAX('損益分岐設定'!B39,ROUNDUP(T77/I77,0))&lt;='損益分岐設定'!C39,MAX('損益分岐設定'!B39,ROUNDUP(T77/I77,0)),1001))</x:f>
        <x:v>101</x:v>
      </x:c>
      <x:c r="Y77" s="1" t="n">
        <x:f>IF(I77&lt;=0,1001,IF(MAX('損益分岐設定'!B40,ROUNDUP(U77/I77,0))&lt;='損益分岐設定'!C40,MAX('損益分岐設定'!B40,ROUNDUP(U77/I77,0)),1001))</x:f>
        <x:v>501</x:v>
      </x:c>
      <x:c r="Z77" s="1" t="n">
        <x:f>IF(I77&lt;=0,'損益分岐設定'!C37,IF('損益分岐設定'!C37*I77-R77&lt;0,'損益分岐設定'!C37,IF('損益分岐設定'!B37*I77-R77&gt;=0,0,ROUNDUP(R77/I77,0)-1)))</x:f>
        <x:v>10</x:v>
      </x:c>
      <x:c r="AA77" s="1" t="n">
        <x:f>IF(I77&lt;=0,'損益分岐設定'!C38,IF('損益分岐設定'!C38*I77-S77&lt;0,'損益分岐設定'!C38,IF('損益分岐設定'!B38*I77-S77&gt;=0,0,ROUNDUP(S77/I77,0)-1)))</x:f>
        <x:v>18</x:v>
      </x:c>
      <x:c r="AB77" s="1" t="n">
        <x:f>IF(I77&lt;=0,'損益分岐設定'!C39,IF('損益分岐設定'!C39*I77-T77&lt;0,'損益分岐設定'!C39,IF('損益分岐設定'!B39*I77-T77&gt;=0,0,ROUNDUP(T77/I77,0)-1)))</x:f>
        <x:v>0</x:v>
      </x:c>
      <x:c r="AC77" s="1" t="n">
        <x:f>IF(I77&lt;=0,'損益分岐設定'!C40,IF('損益分岐設定'!C40*I77-U77&lt;0,'損益分岐設定'!C40,IF('損益分岐設定'!B40*I77-U77&gt;=0,0,ROUNDUP(U77/I77,0)-1)))</x:f>
        <x:v>0</x:v>
      </x:c>
      <x:c r="AD77" s="1" t="n">
        <x:v>0</x:v>
      </x:c>
      <x:c r="AE77" s="1" t="n">
        <x:v>1</x:v>
      </x:c>
      <x:c r="AF77" s="1" t="n">
        <x:v>0</x:v>
      </x:c>
      <x:c r="AG77" s="1" t="n">
        <x:f>AD77*('損益分岐設定'!$C$57*(1-'損益分岐設定'!$B$51)+'損益分岐設定'!$C$58*'損益分岐設定'!$B$51)+AE77*('損益分岐設定'!$C$60*(1-'損益分岐設定'!$B$51)+'損益分岐設定'!$C$61*'損益分岐設定'!$B$51)+AF77*('損益分岐設定'!$C$63*(1-'損益分岐設定'!$B$51)+'損益分岐設定'!$C$64*'損益分岐設定'!$B$51)</x:f>
        <x:v>2336.20881640625</x:v>
      </x:c>
      <x:c r="AH77" s="1" t="n">
        <x:f>AD77*('損益分岐設定'!$D$57*(1-'損益分岐設定'!$B$51)+'損益分岐設定'!$D$58*'損益分岐設定'!$B$51)+AE77*('損益分岐設定'!$D$60*(1-'損益分岐設定'!$B$51)+'損益分岐設定'!$D$61*'損益分岐設定'!$B$51)+AF77*('損益分岐設定'!$D$63*(1-'損益分岐設定'!$B$51)+'損益分岐設定'!$D$64*'損益分岐設定'!$B$51)</x:f>
        <x:v>192</x:v>
      </x:c>
      <x:c r="AI77" s="1" t="n">
        <x:f>AD77*('損益分岐設定'!$E$57*(1-'損益分岐設定'!$B$51)+'損益分岐設定'!$E$58*'損益分岐設定'!$B$51)+AE77*('損益分岐設定'!$E$60*(1-'損益分岐設定'!$B$51)+'損益分岐設定'!$E$61*'損益分岐設定'!$B$51)+AF77*('損益分岐設定'!$E$63*(1-'損益分岐設定'!$B$51)+'損益分岐設定'!$E$64*'損益分岐設定'!$B$51)</x:f>
        <x:v>224</x:v>
      </x:c>
      <x:c r="AJ77" s="1" t="n">
        <x:f>(AD77*('損益分岐設定'!$F$57*(1-'損益分岐設定'!$B$51)+'損益分岐設定'!$F$58*'損益分岐設定'!$B$51)+AE77*('損益分岐設定'!$F$60*(1-'損益分岐設定'!$B$51)+'損益分岐設定'!$F$61*'損益分岐設定'!$B$51)+AF77*('損益分岐設定'!$F$63*(1-'損益分岐設定'!$B$51)+'損益分岐設定'!$F$64*'損益分岐設定'!$B$51)*1)*'損益分岐設定'!$B$22</x:f>
        <x:v>1824</x:v>
      </x:c>
      <x:c r="AK77" s="1" t="n">
        <x:f>AD77*('損益分岐設定'!$G$57*(1-'損益分岐設定'!$B$51)+'損益分岐設定'!$G$58*'損益分岐設定'!$B$51)+AE77*('損益分岐設定'!$G$60*(1-'損益分岐設定'!$B$51)+'損益分岐設定'!$G$61*'損益分岐設定'!$B$51)+AF77*('損益分岐設定'!$G$63*(1-'損益分岐設定'!$B$51)+'損益分岐設定'!$G$64*'損益分岐設定'!$B$51)</x:f>
        <x:v>1600</x:v>
      </x:c>
      <x:c r="AL77" s="1" t="n">
        <x:f>AD77*('損益分岐設定'!$H$57*(1-'損益分岐設定'!$B$51)+'損益分岐設定'!$H$58*'損益分岐設定'!$B$51)+AE77*('損益分岐設定'!$H$60*(1-'損益分岐設定'!$B$51)+'損益分岐設定'!$H$61*'損益分岐設定'!$B$51)+AF77*('損益分岐設定'!$H$63*(1-'損益分岐設定'!$B$51)+'損益分岐設定'!$H$64*'損益分岐設定'!$B$51)</x:f>
        <x:v>826.6666666666667</x:v>
      </x:c>
      <x:c r="AM77" s="1" t="n">
        <x:f>MAX(1,ROUNDUP('損益分岐設定'!C37*AJ77/('損益分岐設定'!$B$23*'損益分岐設定'!$B$24*3600*'損益分岐設定'!$B$25),0))</x:f>
        <x:v>1</x:v>
      </x:c>
      <x:c r="AN77" s="1" t="n">
        <x:f>MAX(2,ROUNDUP('損益分岐設定'!C38*AJ77/('損益分岐設定'!$B$23*'損益分岐設定'!$B$24*3600*'損益分岐設定'!$B$25),0))</x:f>
        <x:v>2</x:v>
      </x:c>
      <x:c r="AO77" s="1" t="n">
        <x:f>MAX(2,ROUNDUP('損益分岐設定'!C39*AJ77/('損益分岐設定'!$B$23*'損益分岐設定'!$B$24*3600*'損益分岐設定'!$B$25),0))</x:f>
        <x:v>2</x:v>
      </x:c>
      <x:c r="AP77" s="1" t="n">
        <x:f>MAX(2,ROUNDUP('損益分岐設定'!C40*AJ77/('損益分岐設定'!$B$23*'損益分岐設定'!$B$24*3600*'損益分岐設定'!$B$25),0))</x:f>
        <x:v>4</x:v>
      </x:c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 ht="23" customHeight="1">
      <x:c r="A78" s="1" t="str">
        <x:v>Run</x:v>
      </x:c>
      <x:c r="B78" s="1" t="str">
        <x:v>Business</x:v>
      </x:c>
      <x:c r="C78" s="1" t="str">
        <x:v>標準+高位混在</x:v>
      </x:c>
      <x:c r="D78" s="21" t="n">
        <x:v>0.2</x:v>
      </x:c>
      <x:c r="E78" s="1" t="n">
        <x:v>1</x:v>
      </x:c>
      <x:c r="F78" s="7" t="n">
        <x:f>AD78*'損益分岐設定'!$B$5+AE78*'損益分岐設定'!$B$6+AF78*'損益分岐設定'!$B$7</x:f>
        <x:v>5000</x:v>
      </x:c>
      <x:c r="G78" s="7" t="n">
        <x:f>AG78+(AH78+AI78)*('損益分岐設定'!$B$29+0.5*'損益分岐設定'!$B$30)+AK78*'損益分岐設定'!$B$32+(AJ78+AK78/'損益分岐設定'!$B$28*'損益分岐設定'!$B$26)*('損益分岐設定'!$B$29+'損益分岐設定'!$B$31*'損益分岐設定'!$B$30)</x:f>
        <x:v>2348.3430407601545</x:v>
      </x:c>
      <x:c r="H78" s="7" t="n">
        <x:f>AL78*E78</x:f>
        <x:v>826.6666666666667</x:v>
      </x:c>
      <x:c r="I78" s="7" t="n">
        <x:f>F78*(1-D78-'損益分岐設定'!$B$10)-G78-H78</x:f>
        <x:v>644.9902925731787</x:v>
      </x:c>
      <x:c r="J78" s="1" t="n">
        <x:f>IF(MIN(V78:Y78)&gt;1000,"範囲内なし",MIN(V78:Y78))</x:f>
        <x:v>54</x:v>
      </x:c>
      <x:c r="K78" s="1" t="n">
        <x:f>IF(MAX(Z78:AC78)&gt;=1000,"範囲内なし",MAX(1,MAX(Z78:AC78)+1))</x:f>
        <x:v>54</x:v>
      </x:c>
      <x:c r="L78" s="7" t="n">
        <x:f>10*I78-R78</x:f>
        <x:v>-23561.031700576008</x:v>
      </x:c>
      <x:c r="M78" s="7" t="n">
        <x:f>30*I78-S78</x:f>
        <x:v>-15161.225849112434</x:v>
      </x:c>
      <x:c r="N78" s="7" t="n">
        <x:f>50*I78-S78</x:f>
        <x:v>-2261.41999764886</x:v>
      </x:c>
      <x:c r="O78" s="7" t="n">
        <x:f>100*I78-S78</x:f>
        <x:v>29988.094631010077</x:v>
      </x:c>
      <x:c r="P78" s="7" t="n">
        <x:f>300*I78-T78</x:f>
        <x:v>136986.15314564583</x:v>
      </x:c>
      <x:c r="Q78" s="7" t="n">
        <x:f>1000*I78-U78</x:f>
        <x:v>558479.357946871</x:v>
      </x:c>
      <x:c r="R7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78*'損益分岐設定'!$B$12*'損益分岐設定'!$B$11</x:f>
        <x:v>30010.934626307797</x:v>
      </x:c>
      <x:c r="S7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78*'損益分岐設定'!$B$12*'損益分岐設定'!$B$11</x:f>
        <x:v>34510.9346263078</x:v>
      </x:c>
      <x:c r="T7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78*'損益分岐設定'!$B$12*'損益分岐設定'!$B$11</x:f>
        <x:v>56510.9346263078</x:v>
      </x:c>
      <x:c r="U7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78*'損益分岐設定'!$B$12*'損益分岐設定'!$B$11</x:f>
        <x:v>86510.9346263078</x:v>
      </x:c>
      <x:c r="V78" s="1" t="n">
        <x:f>IF(I78&lt;=0,1001,IF(MAX('損益分岐設定'!B37,ROUNDUP(R78/I78,0))&lt;='損益分岐設定'!C37,MAX('損益分岐設定'!B37,ROUNDUP(R78/I78,0)),1001))</x:f>
        <x:v>1001</x:v>
      </x:c>
      <x:c r="W78" s="1" t="n">
        <x:f>IF(I78&lt;=0,1001,IF(MAX('損益分岐設定'!B38,ROUNDUP(S78/I78,0))&lt;='損益分岐設定'!C38,MAX('損益分岐設定'!B38,ROUNDUP(S78/I78,0)),1001))</x:f>
        <x:v>54</x:v>
      </x:c>
      <x:c r="X78" s="1" t="n">
        <x:f>IF(I78&lt;=0,1001,IF(MAX('損益分岐設定'!B39,ROUNDUP(T78/I78,0))&lt;='損益分岐設定'!C39,MAX('損益分岐設定'!B39,ROUNDUP(T78/I78,0)),1001))</x:f>
        <x:v>101</x:v>
      </x:c>
      <x:c r="Y78" s="1" t="n">
        <x:f>IF(I78&lt;=0,1001,IF(MAX('損益分岐設定'!B40,ROUNDUP(U78/I78,0))&lt;='損益分岐設定'!C40,MAX('損益分岐設定'!B40,ROUNDUP(U78/I78,0)),1001))</x:f>
        <x:v>501</x:v>
      </x:c>
      <x:c r="Z78" s="1" t="n">
        <x:f>IF(I78&lt;=0,'損益分岐設定'!C37,IF('損益分岐設定'!C37*I78-R78&lt;0,'損益分岐設定'!C37,IF('損益分岐設定'!B37*I78-R78&gt;=0,0,ROUNDUP(R78/I78,0)-1)))</x:f>
        <x:v>10</x:v>
      </x:c>
      <x:c r="AA78" s="1" t="n">
        <x:f>IF(I78&lt;=0,'損益分岐設定'!C38,IF('損益分岐設定'!C38*I78-S78&lt;0,'損益分岐設定'!C38,IF('損益分岐設定'!B38*I78-S78&gt;=0,0,ROUNDUP(S78/I78,0)-1)))</x:f>
        <x:v>53</x:v>
      </x:c>
      <x:c r="AB78" s="1" t="n">
        <x:f>IF(I78&lt;=0,'損益分岐設定'!C39,IF('損益分岐設定'!C39*I78-T78&lt;0,'損益分岐設定'!C39,IF('損益分岐設定'!B39*I78-T78&gt;=0,0,ROUNDUP(T78/I78,0)-1)))</x:f>
        <x:v>0</x:v>
      </x:c>
      <x:c r="AC78" s="1" t="n">
        <x:f>IF(I78&lt;=0,'損益分岐設定'!C40,IF('損益分岐設定'!C40*I78-U78&lt;0,'損益分岐設定'!C40,IF('損益分岐設定'!B40*I78-U78&gt;=0,0,ROUNDUP(U78/I78,0)-1)))</x:f>
        <x:v>0</x:v>
      </x:c>
      <x:c r="AD78" s="1" t="n">
        <x:v>0</x:v>
      </x:c>
      <x:c r="AE78" s="1" t="n">
        <x:v>1</x:v>
      </x:c>
      <x:c r="AF78" s="1" t="n">
        <x:v>0</x:v>
      </x:c>
      <x:c r="AG78" s="1" t="n">
        <x:f>AD78*('損益分岐設定'!$C$57*(1-'損益分岐設定'!$B$51)+'損益分岐設定'!$C$58*'損益分岐設定'!$B$51)+AE78*('損益分岐設定'!$C$60*(1-'損益分岐設定'!$B$51)+'損益分岐設定'!$C$61*'損益分岐設定'!$B$51)+AF78*('損益分岐設定'!$C$63*(1-'損益分岐設定'!$B$51)+'損益分岐設定'!$C$64*'損益分岐設定'!$B$51)</x:f>
        <x:v>2336.20881640625</x:v>
      </x:c>
      <x:c r="AH78" s="1" t="n">
        <x:f>AD78*('損益分岐設定'!$D$57*(1-'損益分岐設定'!$B$51)+'損益分岐設定'!$D$58*'損益分岐設定'!$B$51)+AE78*('損益分岐設定'!$D$60*(1-'損益分岐設定'!$B$51)+'損益分岐設定'!$D$61*'損益分岐設定'!$B$51)+AF78*('損益分岐設定'!$D$63*(1-'損益分岐設定'!$B$51)+'損益分岐設定'!$D$64*'損益分岐設定'!$B$51)</x:f>
        <x:v>192</x:v>
      </x:c>
      <x:c r="AI78" s="1" t="n">
        <x:f>AD78*('損益分岐設定'!$E$57*(1-'損益分岐設定'!$B$51)+'損益分岐設定'!$E$58*'損益分岐設定'!$B$51)+AE78*('損益分岐設定'!$E$60*(1-'損益分岐設定'!$B$51)+'損益分岐設定'!$E$61*'損益分岐設定'!$B$51)+AF78*('損益分岐設定'!$E$63*(1-'損益分岐設定'!$B$51)+'損益分岐設定'!$E$64*'損益分岐設定'!$B$51)</x:f>
        <x:v>224</x:v>
      </x:c>
      <x:c r="AJ78" s="1" t="n">
        <x:f>(AD78*('損益分岐設定'!$F$57*(1-'損益分岐設定'!$B$51)+'損益分岐設定'!$F$58*'損益分岐設定'!$B$51)+AE78*('損益分岐設定'!$F$60*(1-'損益分岐設定'!$B$51)+'損益分岐設定'!$F$61*'損益分岐設定'!$B$51)+AF78*('損益分岐設定'!$F$63*(1-'損益分岐設定'!$B$51)+'損益分岐設定'!$F$64*'損益分岐設定'!$B$51)*1)*'損益分岐設定'!$B$22</x:f>
        <x:v>1824</x:v>
      </x:c>
      <x:c r="AK78" s="1" t="n">
        <x:f>AD78*('損益分岐設定'!$G$57*(1-'損益分岐設定'!$B$51)+'損益分岐設定'!$G$58*'損益分岐設定'!$B$51)+AE78*('損益分岐設定'!$G$60*(1-'損益分岐設定'!$B$51)+'損益分岐設定'!$G$61*'損益分岐設定'!$B$51)+AF78*('損益分岐設定'!$G$63*(1-'損益分岐設定'!$B$51)+'損益分岐設定'!$G$64*'損益分岐設定'!$B$51)</x:f>
        <x:v>1600</x:v>
      </x:c>
      <x:c r="AL78" s="1" t="n">
        <x:f>AD78*('損益分岐設定'!$H$57*(1-'損益分岐設定'!$B$51)+'損益分岐設定'!$H$58*'損益分岐設定'!$B$51)+AE78*('損益分岐設定'!$H$60*(1-'損益分岐設定'!$B$51)+'損益分岐設定'!$H$61*'損益分岐設定'!$B$51)+AF78*('損益分岐設定'!$H$63*(1-'損益分岐設定'!$B$51)+'損益分岐設定'!$H$64*'損益分岐設定'!$B$51)</x:f>
        <x:v>826.6666666666667</x:v>
      </x:c>
      <x:c r="AM78" s="1" t="n">
        <x:f>MAX(1,ROUNDUP('損益分岐設定'!C37*AJ78/('損益分岐設定'!$B$23*'損益分岐設定'!$B$24*3600*'損益分岐設定'!$B$25),0))</x:f>
        <x:v>1</x:v>
      </x:c>
      <x:c r="AN78" s="1" t="n">
        <x:f>MAX(2,ROUNDUP('損益分岐設定'!C38*AJ78/('損益分岐設定'!$B$23*'損益分岐設定'!$B$24*3600*'損益分岐設定'!$B$25),0))</x:f>
        <x:v>2</x:v>
      </x:c>
      <x:c r="AO78" s="1" t="n">
        <x:f>MAX(2,ROUNDUP('損益分岐設定'!C39*AJ78/('損益分岐設定'!$B$23*'損益分岐設定'!$B$24*3600*'損益分岐設定'!$B$25),0))</x:f>
        <x:v>2</x:v>
      </x:c>
      <x:c r="AP78" s="1" t="n">
        <x:f>MAX(2,ROUNDUP('損益分岐設定'!C40*AJ78/('損益分岐設定'!$B$23*'損益分岐設定'!$B$24*3600*'損益分岐設定'!$B$25),0))</x:f>
        <x:v>4</x:v>
      </x:c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 ht="23" customHeight="1">
      <x:c r="A79" s="1" t="str">
        <x:v>Run</x:v>
      </x:c>
      <x:c r="B79" s="1" t="str">
        <x:v>Business</x:v>
      </x:c>
      <x:c r="C79" s="1" t="str">
        <x:v>標準+高位混在</x:v>
      </x:c>
      <x:c r="D79" s="21" t="n">
        <x:v>0.3</x:v>
      </x:c>
      <x:c r="E79" s="1" t="n">
        <x:v>0</x:v>
      </x:c>
      <x:c r="F79" s="7" t="n">
        <x:f>AD79*'損益分岐設定'!$B$5+AE79*'損益分岐設定'!$B$6+AF79*'損益分岐設定'!$B$7</x:f>
        <x:v>5000</x:v>
      </x:c>
      <x:c r="G79" s="7" t="n">
        <x:f>AG79+(AH79+AI79)*('損益分岐設定'!$B$29+0.5*'損益分岐設定'!$B$30)+AK79*'損益分岐設定'!$B$32+(AJ79+AK79/'損益分岐設定'!$B$28*'損益分岐設定'!$B$26)*('損益分岐設定'!$B$29+'損益分岐設定'!$B$31*'損益分岐設定'!$B$30)</x:f>
        <x:v>2348.3430407601545</x:v>
      </x:c>
      <x:c r="H79" s="7" t="n">
        <x:f>AL79*E79</x:f>
        <x:v>0</x:v>
      </x:c>
      <x:c r="I79" s="7" t="n">
        <x:f>F79*(1-D79-'損益分岐設定'!$B$10)-G79-H79</x:f>
        <x:v>971.656959239845</x:v>
      </x:c>
      <x:c r="J79" s="1" t="n">
        <x:f>IF(MIN(V79:Y79)&gt;1000,"範囲内なし",MIN(V79:Y79))</x:f>
        <x:v>28</x:v>
      </x:c>
      <x:c r="K79" s="1" t="n">
        <x:f>IF(MAX(Z79:AC79)&gt;=1000,"範囲内なし",MAX(1,MAX(Z79:AC79)+1))</x:f>
        <x:v>28</x:v>
      </x:c>
      <x:c r="L79" s="7" t="n">
        <x:f>10*I79-R79</x:f>
        <x:v>-12294.365033909347</x:v>
      </x:c>
      <x:c r="M79" s="7" t="n">
        <x:f>30*I79-S79</x:f>
        <x:v>2638.774150887555</x:v>
      </x:c>
      <x:c r="N79" s="7" t="n">
        <x:f>50*I79-S79</x:f>
        <x:v>22071.913335684454</x:v>
      </x:c>
      <x:c r="O79" s="7" t="n">
        <x:f>100*I79-S79</x:f>
        <x:v>70654.76129767671</x:v>
      </x:c>
      <x:c r="P79" s="7" t="n">
        <x:f>300*I79-T79</x:f>
        <x:v>242986.1531456457</x:v>
      </x:c>
      <x:c r="Q79" s="7" t="n">
        <x:f>1000*I79-U79</x:f>
        <x:v>893146.0246135372</x:v>
      </x:c>
      <x:c r="R7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79*'損益分岐設定'!$B$12*'損益分岐設定'!$B$11</x:f>
        <x:v>22010.934626307797</x:v>
      </x:c>
      <x:c r="S7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79*'損益分岐設定'!$B$12*'損益分岐設定'!$B$11</x:f>
        <x:v>26510.934626307797</x:v>
      </x:c>
      <x:c r="T7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79*'損益分岐設定'!$B$12*'損益分岐設定'!$B$11</x:f>
        <x:v>48510.9346263078</x:v>
      </x:c>
      <x:c r="U7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79*'損益分岐設定'!$B$12*'損益分岐設定'!$B$11</x:f>
        <x:v>78510.9346263078</x:v>
      </x:c>
      <x:c r="V79" s="1" t="n">
        <x:f>IF(I79&lt;=0,1001,IF(MAX('損益分岐設定'!B37,ROUNDUP(R79/I79,0))&lt;='損益分岐設定'!C37,MAX('損益分岐設定'!B37,ROUNDUP(R79/I79,0)),1001))</x:f>
        <x:v>1001</x:v>
      </x:c>
      <x:c r="W79" s="1" t="n">
        <x:f>IF(I79&lt;=0,1001,IF(MAX('損益分岐設定'!B38,ROUNDUP(S79/I79,0))&lt;='損益分岐設定'!C38,MAX('損益分岐設定'!B38,ROUNDUP(S79/I79,0)),1001))</x:f>
        <x:v>28</x:v>
      </x:c>
      <x:c r="X79" s="1" t="n">
        <x:f>IF(I79&lt;=0,1001,IF(MAX('損益分岐設定'!B39,ROUNDUP(T79/I79,0))&lt;='損益分岐設定'!C39,MAX('損益分岐設定'!B39,ROUNDUP(T79/I79,0)),1001))</x:f>
        <x:v>101</x:v>
      </x:c>
      <x:c r="Y79" s="1" t="n">
        <x:f>IF(I79&lt;=0,1001,IF(MAX('損益分岐設定'!B40,ROUNDUP(U79/I79,0))&lt;='損益分岐設定'!C40,MAX('損益分岐設定'!B40,ROUNDUP(U79/I79,0)),1001))</x:f>
        <x:v>501</x:v>
      </x:c>
      <x:c r="Z79" s="1" t="n">
        <x:f>IF(I79&lt;=0,'損益分岐設定'!C37,IF('損益分岐設定'!C37*I79-R79&lt;0,'損益分岐設定'!C37,IF('損益分岐設定'!B37*I79-R79&gt;=0,0,ROUNDUP(R79/I79,0)-1)))</x:f>
        <x:v>10</x:v>
      </x:c>
      <x:c r="AA79" s="1" t="n">
        <x:f>IF(I79&lt;=0,'損益分岐設定'!C38,IF('損益分岐設定'!C38*I79-S79&lt;0,'損益分岐設定'!C38,IF('損益分岐設定'!B38*I79-S79&gt;=0,0,ROUNDUP(S79/I79,0)-1)))</x:f>
        <x:v>27</x:v>
      </x:c>
      <x:c r="AB79" s="1" t="n">
        <x:f>IF(I79&lt;=0,'損益分岐設定'!C39,IF('損益分岐設定'!C39*I79-T79&lt;0,'損益分岐設定'!C39,IF('損益分岐設定'!B39*I79-T79&gt;=0,0,ROUNDUP(T79/I79,0)-1)))</x:f>
        <x:v>0</x:v>
      </x:c>
      <x:c r="AC79" s="1" t="n">
        <x:f>IF(I79&lt;=0,'損益分岐設定'!C40,IF('損益分岐設定'!C40*I79-U79&lt;0,'損益分岐設定'!C40,IF('損益分岐設定'!B40*I79-U79&gt;=0,0,ROUNDUP(U79/I79,0)-1)))</x:f>
        <x:v>0</x:v>
      </x:c>
      <x:c r="AD79" s="1" t="n">
        <x:v>0</x:v>
      </x:c>
      <x:c r="AE79" s="1" t="n">
        <x:v>1</x:v>
      </x:c>
      <x:c r="AF79" s="1" t="n">
        <x:v>0</x:v>
      </x:c>
      <x:c r="AG79" s="1" t="n">
        <x:f>AD79*('損益分岐設定'!$C$57*(1-'損益分岐設定'!$B$51)+'損益分岐設定'!$C$58*'損益分岐設定'!$B$51)+AE79*('損益分岐設定'!$C$60*(1-'損益分岐設定'!$B$51)+'損益分岐設定'!$C$61*'損益分岐設定'!$B$51)+AF79*('損益分岐設定'!$C$63*(1-'損益分岐設定'!$B$51)+'損益分岐設定'!$C$64*'損益分岐設定'!$B$51)</x:f>
        <x:v>2336.20881640625</x:v>
      </x:c>
      <x:c r="AH79" s="1" t="n">
        <x:f>AD79*('損益分岐設定'!$D$57*(1-'損益分岐設定'!$B$51)+'損益分岐設定'!$D$58*'損益分岐設定'!$B$51)+AE79*('損益分岐設定'!$D$60*(1-'損益分岐設定'!$B$51)+'損益分岐設定'!$D$61*'損益分岐設定'!$B$51)+AF79*('損益分岐設定'!$D$63*(1-'損益分岐設定'!$B$51)+'損益分岐設定'!$D$64*'損益分岐設定'!$B$51)</x:f>
        <x:v>192</x:v>
      </x:c>
      <x:c r="AI79" s="1" t="n">
        <x:f>AD79*('損益分岐設定'!$E$57*(1-'損益分岐設定'!$B$51)+'損益分岐設定'!$E$58*'損益分岐設定'!$B$51)+AE79*('損益分岐設定'!$E$60*(1-'損益分岐設定'!$B$51)+'損益分岐設定'!$E$61*'損益分岐設定'!$B$51)+AF79*('損益分岐設定'!$E$63*(1-'損益分岐設定'!$B$51)+'損益分岐設定'!$E$64*'損益分岐設定'!$B$51)</x:f>
        <x:v>224</x:v>
      </x:c>
      <x:c r="AJ79" s="1" t="n">
        <x:f>(AD79*('損益分岐設定'!$F$57*(1-'損益分岐設定'!$B$51)+'損益分岐設定'!$F$58*'損益分岐設定'!$B$51)+AE79*('損益分岐設定'!$F$60*(1-'損益分岐設定'!$B$51)+'損益分岐設定'!$F$61*'損益分岐設定'!$B$51)+AF79*('損益分岐設定'!$F$63*(1-'損益分岐設定'!$B$51)+'損益分岐設定'!$F$64*'損益分岐設定'!$B$51)*1)*'損益分岐設定'!$B$22</x:f>
        <x:v>1824</x:v>
      </x:c>
      <x:c r="AK79" s="1" t="n">
        <x:f>AD79*('損益分岐設定'!$G$57*(1-'損益分岐設定'!$B$51)+'損益分岐設定'!$G$58*'損益分岐設定'!$B$51)+AE79*('損益分岐設定'!$G$60*(1-'損益分岐設定'!$B$51)+'損益分岐設定'!$G$61*'損益分岐設定'!$B$51)+AF79*('損益分岐設定'!$G$63*(1-'損益分岐設定'!$B$51)+'損益分岐設定'!$G$64*'損益分岐設定'!$B$51)</x:f>
        <x:v>1600</x:v>
      </x:c>
      <x:c r="AL79" s="1" t="n">
        <x:f>AD79*('損益分岐設定'!$H$57*(1-'損益分岐設定'!$B$51)+'損益分岐設定'!$H$58*'損益分岐設定'!$B$51)+AE79*('損益分岐設定'!$H$60*(1-'損益分岐設定'!$B$51)+'損益分岐設定'!$H$61*'損益分岐設定'!$B$51)+AF79*('損益分岐設定'!$H$63*(1-'損益分岐設定'!$B$51)+'損益分岐設定'!$H$64*'損益分岐設定'!$B$51)</x:f>
        <x:v>826.6666666666667</x:v>
      </x:c>
      <x:c r="AM79" s="1" t="n">
        <x:f>MAX(1,ROUNDUP('損益分岐設定'!C37*AJ79/('損益分岐設定'!$B$23*'損益分岐設定'!$B$24*3600*'損益分岐設定'!$B$25),0))</x:f>
        <x:v>1</x:v>
      </x:c>
      <x:c r="AN79" s="1" t="n">
        <x:f>MAX(2,ROUNDUP('損益分岐設定'!C38*AJ79/('損益分岐設定'!$B$23*'損益分岐設定'!$B$24*3600*'損益分岐設定'!$B$25),0))</x:f>
        <x:v>2</x:v>
      </x:c>
      <x:c r="AO79" s="1" t="n">
        <x:f>MAX(2,ROUNDUP('損益分岐設定'!C39*AJ79/('損益分岐設定'!$B$23*'損益分岐設定'!$B$24*3600*'損益分岐設定'!$B$25),0))</x:f>
        <x:v>2</x:v>
      </x:c>
      <x:c r="AP79" s="1" t="n">
        <x:f>MAX(2,ROUNDUP('損益分岐設定'!C40*AJ79/('損益分岐設定'!$B$23*'損益分岐設定'!$B$24*3600*'損益分岐設定'!$B$25),0))</x:f>
        <x:v>4</x:v>
      </x:c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 ht="23" customHeight="1">
      <x:c r="A80" s="1" t="str">
        <x:v>Run</x:v>
      </x:c>
      <x:c r="B80" s="1" t="str">
        <x:v>Business</x:v>
      </x:c>
      <x:c r="C80" s="1" t="str">
        <x:v>標準+高位混在</x:v>
      </x:c>
      <x:c r="D80" s="21" t="n">
        <x:v>0.3</x:v>
      </x:c>
      <x:c r="E80" s="1" t="n">
        <x:v>1</x:v>
      </x:c>
      <x:c r="F80" s="7" t="n">
        <x:f>AD80*'損益分岐設定'!$B$5+AE80*'損益分岐設定'!$B$6+AF80*'損益分岐設定'!$B$7</x:f>
        <x:v>5000</x:v>
      </x:c>
      <x:c r="G80" s="7" t="n">
        <x:f>AG80+(AH80+AI80)*('損益分岐設定'!$B$29+0.5*'損益分岐設定'!$B$30)+AK80*'損益分岐設定'!$B$32+(AJ80+AK80/'損益分岐設定'!$B$28*'損益分岐設定'!$B$26)*('損益分岐設定'!$B$29+'損益分岐設定'!$B$31*'損益分岐設定'!$B$30)</x:f>
        <x:v>2348.3430407601545</x:v>
      </x:c>
      <x:c r="H80" s="7" t="n">
        <x:f>AL80*E80</x:f>
        <x:v>826.6666666666667</x:v>
      </x:c>
      <x:c r="I80" s="7" t="n">
        <x:f>F80*(1-D80-'損益分岐設定'!$B$10)-G80-H80</x:f>
        <x:v>144.9902925731783</x:v>
      </x:c>
      <x:c r="J80" s="1" t="n">
        <x:f>IF(MIN(V80:Y80)&gt;1000,"範囲内なし",MIN(V80:Y80))</x:f>
        <x:v>390</x:v>
      </x:c>
      <x:c r="K80" s="1" t="n">
        <x:f>IF(MAX(Z80:AC80)&gt;=1000,"範囲内なし",MAX(1,MAX(Z80:AC80)+1))</x:f>
        <x:v>597</x:v>
      </x:c>
      <x:c r="L80" s="7" t="n">
        <x:f>10*I80-R80</x:f>
        <x:v>-28561.031700576015</x:v>
      </x:c>
      <x:c r="M80" s="7" t="n">
        <x:f>30*I80-S80</x:f>
        <x:v>-30161.22584911245</x:v>
      </x:c>
      <x:c r="N80" s="7" t="n">
        <x:f>50*I80-S80</x:f>
        <x:v>-27261.41999764888</x:v>
      </x:c>
      <x:c r="O80" s="7" t="n">
        <x:f>100*I80-S80</x:f>
        <x:v>-20011.905368989967</x:v>
      </x:c>
      <x:c r="P80" s="7" t="n">
        <x:f>300*I80-T80</x:f>
        <x:v>-13013.846854354306</x:v>
      </x:c>
      <x:c r="Q80" s="7" t="n">
        <x:f>1000*I80-U80</x:f>
        <x:v>58479.3579468705</x:v>
      </x:c>
      <x:c r="R8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80*'損益分岐設定'!$B$12*'損益分岐設定'!$B$11</x:f>
        <x:v>30010.934626307797</x:v>
      </x:c>
      <x:c r="S8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80*'損益分岐設定'!$B$12*'損益分岐設定'!$B$11</x:f>
        <x:v>34510.9346263078</x:v>
      </x:c>
      <x:c r="T8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80*'損益分岐設定'!$B$12*'損益分岐設定'!$B$11</x:f>
        <x:v>56510.9346263078</x:v>
      </x:c>
      <x:c r="U8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80*'損益分岐設定'!$B$12*'損益分岐設定'!$B$11</x:f>
        <x:v>86510.9346263078</x:v>
      </x:c>
      <x:c r="V80" s="1" t="n">
        <x:f>IF(I80&lt;=0,1001,IF(MAX('損益分岐設定'!B37,ROUNDUP(R80/I80,0))&lt;='損益分岐設定'!C37,MAX('損益分岐設定'!B37,ROUNDUP(R80/I80,0)),1001))</x:f>
        <x:v>1001</x:v>
      </x:c>
      <x:c r="W80" s="1" t="n">
        <x:f>IF(I80&lt;=0,1001,IF(MAX('損益分岐設定'!B38,ROUNDUP(S80/I80,0))&lt;='損益分岐設定'!C38,MAX('損益分岐設定'!B38,ROUNDUP(S80/I80,0)),1001))</x:f>
        <x:v>1001</x:v>
      </x:c>
      <x:c r="X80" s="1" t="n">
        <x:f>IF(I80&lt;=0,1001,IF(MAX('損益分岐設定'!B39,ROUNDUP(T80/I80,0))&lt;='損益分岐設定'!C39,MAX('損益分岐設定'!B39,ROUNDUP(T80/I80,0)),1001))</x:f>
        <x:v>390</x:v>
      </x:c>
      <x:c r="Y80" s="1" t="n">
        <x:f>IF(I80&lt;=0,1001,IF(MAX('損益分岐設定'!B40,ROUNDUP(U80/I80,0))&lt;='損益分岐設定'!C40,MAX('損益分岐設定'!B40,ROUNDUP(U80/I80,0)),1001))</x:f>
        <x:v>597</x:v>
      </x:c>
      <x:c r="Z80" s="1" t="n">
        <x:f>IF(I80&lt;=0,'損益分岐設定'!C37,IF('損益分岐設定'!C37*I80-R80&lt;0,'損益分岐設定'!C37,IF('損益分岐設定'!B37*I80-R80&gt;=0,0,ROUNDUP(R80/I80,0)-1)))</x:f>
        <x:v>10</x:v>
      </x:c>
      <x:c r="AA80" s="1" t="n">
        <x:f>IF(I80&lt;=0,'損益分岐設定'!C38,IF('損益分岐設定'!C38*I80-S80&lt;0,'損益分岐設定'!C38,IF('損益分岐設定'!B38*I80-S80&gt;=0,0,ROUNDUP(S80/I80,0)-1)))</x:f>
        <x:v>100</x:v>
      </x:c>
      <x:c r="AB80" s="1" t="n">
        <x:f>IF(I80&lt;=0,'損益分岐設定'!C39,IF('損益分岐設定'!C39*I80-T80&lt;0,'損益分岐設定'!C39,IF('損益分岐設定'!B39*I80-T80&gt;=0,0,ROUNDUP(T80/I80,0)-1)))</x:f>
        <x:v>389</x:v>
      </x:c>
      <x:c r="AC80" s="1" t="n">
        <x:f>IF(I80&lt;=0,'損益分岐設定'!C40,IF('損益分岐設定'!C40*I80-U80&lt;0,'損益分岐設定'!C40,IF('損益分岐設定'!B40*I80-U80&gt;=0,0,ROUNDUP(U80/I80,0)-1)))</x:f>
        <x:v>596</x:v>
      </x:c>
      <x:c r="AD80" s="1" t="n">
        <x:v>0</x:v>
      </x:c>
      <x:c r="AE80" s="1" t="n">
        <x:v>1</x:v>
      </x:c>
      <x:c r="AF80" s="1" t="n">
        <x:v>0</x:v>
      </x:c>
      <x:c r="AG80" s="1" t="n">
        <x:f>AD80*('損益分岐設定'!$C$57*(1-'損益分岐設定'!$B$51)+'損益分岐設定'!$C$58*'損益分岐設定'!$B$51)+AE80*('損益分岐設定'!$C$60*(1-'損益分岐設定'!$B$51)+'損益分岐設定'!$C$61*'損益分岐設定'!$B$51)+AF80*('損益分岐設定'!$C$63*(1-'損益分岐設定'!$B$51)+'損益分岐設定'!$C$64*'損益分岐設定'!$B$51)</x:f>
        <x:v>2336.20881640625</x:v>
      </x:c>
      <x:c r="AH80" s="1" t="n">
        <x:f>AD80*('損益分岐設定'!$D$57*(1-'損益分岐設定'!$B$51)+'損益分岐設定'!$D$58*'損益分岐設定'!$B$51)+AE80*('損益分岐設定'!$D$60*(1-'損益分岐設定'!$B$51)+'損益分岐設定'!$D$61*'損益分岐設定'!$B$51)+AF80*('損益分岐設定'!$D$63*(1-'損益分岐設定'!$B$51)+'損益分岐設定'!$D$64*'損益分岐設定'!$B$51)</x:f>
        <x:v>192</x:v>
      </x:c>
      <x:c r="AI80" s="1" t="n">
        <x:f>AD80*('損益分岐設定'!$E$57*(1-'損益分岐設定'!$B$51)+'損益分岐設定'!$E$58*'損益分岐設定'!$B$51)+AE80*('損益分岐設定'!$E$60*(1-'損益分岐設定'!$B$51)+'損益分岐設定'!$E$61*'損益分岐設定'!$B$51)+AF80*('損益分岐設定'!$E$63*(1-'損益分岐設定'!$B$51)+'損益分岐設定'!$E$64*'損益分岐設定'!$B$51)</x:f>
        <x:v>224</x:v>
      </x:c>
      <x:c r="AJ80" s="1" t="n">
        <x:f>(AD80*('損益分岐設定'!$F$57*(1-'損益分岐設定'!$B$51)+'損益分岐設定'!$F$58*'損益分岐設定'!$B$51)+AE80*('損益分岐設定'!$F$60*(1-'損益分岐設定'!$B$51)+'損益分岐設定'!$F$61*'損益分岐設定'!$B$51)+AF80*('損益分岐設定'!$F$63*(1-'損益分岐設定'!$B$51)+'損益分岐設定'!$F$64*'損益分岐設定'!$B$51)*1)*'損益分岐設定'!$B$22</x:f>
        <x:v>1824</x:v>
      </x:c>
      <x:c r="AK80" s="1" t="n">
        <x:f>AD80*('損益分岐設定'!$G$57*(1-'損益分岐設定'!$B$51)+'損益分岐設定'!$G$58*'損益分岐設定'!$B$51)+AE80*('損益分岐設定'!$G$60*(1-'損益分岐設定'!$B$51)+'損益分岐設定'!$G$61*'損益分岐設定'!$B$51)+AF80*('損益分岐設定'!$G$63*(1-'損益分岐設定'!$B$51)+'損益分岐設定'!$G$64*'損益分岐設定'!$B$51)</x:f>
        <x:v>1600</x:v>
      </x:c>
      <x:c r="AL80" s="1" t="n">
        <x:f>AD80*('損益分岐設定'!$H$57*(1-'損益分岐設定'!$B$51)+'損益分岐設定'!$H$58*'損益分岐設定'!$B$51)+AE80*('損益分岐設定'!$H$60*(1-'損益分岐設定'!$B$51)+'損益分岐設定'!$H$61*'損益分岐設定'!$B$51)+AF80*('損益分岐設定'!$H$63*(1-'損益分岐設定'!$B$51)+'損益分岐設定'!$H$64*'損益分岐設定'!$B$51)</x:f>
        <x:v>826.6666666666667</x:v>
      </x:c>
      <x:c r="AM80" s="1" t="n">
        <x:f>MAX(1,ROUNDUP('損益分岐設定'!C37*AJ80/('損益分岐設定'!$B$23*'損益分岐設定'!$B$24*3600*'損益分岐設定'!$B$25),0))</x:f>
        <x:v>1</x:v>
      </x:c>
      <x:c r="AN80" s="1" t="n">
        <x:f>MAX(2,ROUNDUP('損益分岐設定'!C38*AJ80/('損益分岐設定'!$B$23*'損益分岐設定'!$B$24*3600*'損益分岐設定'!$B$25),0))</x:f>
        <x:v>2</x:v>
      </x:c>
      <x:c r="AO80" s="1" t="n">
        <x:f>MAX(2,ROUNDUP('損益分岐設定'!C39*AJ80/('損益分岐設定'!$B$23*'損益分岐設定'!$B$24*3600*'損益分岐設定'!$B$25),0))</x:f>
        <x:v>2</x:v>
      </x:c>
      <x:c r="AP80" s="1" t="n">
        <x:f>MAX(2,ROUNDUP('損益分岐設定'!C40*AJ80/('損益分岐設定'!$B$23*'損益分岐設定'!$B$24*3600*'損益分岐設定'!$B$25),0))</x:f>
        <x:v>4</x:v>
      </x:c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 ht="23" customHeight="1">
      <x:c r="A81" s="1" t="str">
        <x:v>Run</x:v>
      </x:c>
      <x:c r="B81" s="1" t="str">
        <x:v>Business</x:v>
      </x:c>
      <x:c r="C81" s="1" t="str">
        <x:v>標準+高位混在</x:v>
      </x:c>
      <x:c r="D81" s="21" t="n">
        <x:v>0.4</x:v>
      </x:c>
      <x:c r="E81" s="1" t="n">
        <x:v>0</x:v>
      </x:c>
      <x:c r="F81" s="7" t="n">
        <x:f>AD81*'損益分岐設定'!$B$5+AE81*'損益分岐設定'!$B$6+AF81*'損益分岐設定'!$B$7</x:f>
        <x:v>5000</x:v>
      </x:c>
      <x:c r="G81" s="7" t="n">
        <x:f>AG81+(AH81+AI81)*('損益分岐設定'!$B$29+0.5*'損益分岐設定'!$B$30)+AK81*'損益分岐設定'!$B$32+(AJ81+AK81/'損益分岐設定'!$B$28*'損益分岐設定'!$B$26)*('損益分岐設定'!$B$29+'損益分岐設定'!$B$31*'損益分岐設定'!$B$30)</x:f>
        <x:v>2348.3430407601545</x:v>
      </x:c>
      <x:c r="H81" s="7" t="n">
        <x:f>AL81*E81</x:f>
        <x:v>0</x:v>
      </x:c>
      <x:c r="I81" s="7" t="n">
        <x:f>F81*(1-D81-'損益分岐設定'!$B$10)-G81-H81</x:f>
        <x:v>471.65695923984504</x:v>
      </x:c>
      <x:c r="J81" s="1" t="n">
        <x:f>IF(MIN(V81:Y81)&gt;1000,"範囲内なし",MIN(V81:Y81))</x:f>
        <x:v>57</x:v>
      </x:c>
      <x:c r="K81" s="1" t="n">
        <x:f>IF(MAX(Z81:AC81)&gt;=1000,"範囲内なし",MAX(1,MAX(Z81:AC81)+1))</x:f>
        <x:v>103</x:v>
      </x:c>
      <x:c r="L81" s="7" t="n">
        <x:f>10*I81-R81</x:f>
        <x:v>-17294.365033909347</x:v>
      </x:c>
      <x:c r="M81" s="7" t="n">
        <x:f>30*I81-S81</x:f>
        <x:v>-12361.225849112445</x:v>
      </x:c>
      <x:c r="N81" s="7" t="n">
        <x:f>50*I81-S81</x:f>
        <x:v>-2928.086664315546</x:v>
      </x:c>
      <x:c r="O81" s="7" t="n">
        <x:f>100*I81-S81</x:f>
        <x:v>20654.761297676705</x:v>
      </x:c>
      <x:c r="P81" s="7" t="n">
        <x:f>300*I81-T81</x:f>
        <x:v>92986.15314564572</x:v>
      </x:c>
      <x:c r="Q81" s="7" t="n">
        <x:f>1000*I81-U81</x:f>
        <x:v>393146.02461353724</x:v>
      </x:c>
      <x:c r="R8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81*'損益分岐設定'!$B$12*'損益分岐設定'!$B$11</x:f>
        <x:v>22010.934626307797</x:v>
      </x:c>
      <x:c r="S8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81*'損益分岐設定'!$B$12*'損益分岐設定'!$B$11</x:f>
        <x:v>26510.934626307797</x:v>
      </x:c>
      <x:c r="T8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81*'損益分岐設定'!$B$12*'損益分岐設定'!$B$11</x:f>
        <x:v>48510.9346263078</x:v>
      </x:c>
      <x:c r="U8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81*'損益分岐設定'!$B$12*'損益分岐設定'!$B$11</x:f>
        <x:v>78510.9346263078</x:v>
      </x:c>
      <x:c r="V81" s="1" t="n">
        <x:f>IF(I81&lt;=0,1001,IF(MAX('損益分岐設定'!B37,ROUNDUP(R81/I81,0))&lt;='損益分岐設定'!C37,MAX('損益分岐設定'!B37,ROUNDUP(R81/I81,0)),1001))</x:f>
        <x:v>1001</x:v>
      </x:c>
      <x:c r="W81" s="1" t="n">
        <x:f>IF(I81&lt;=0,1001,IF(MAX('損益分岐設定'!B38,ROUNDUP(S81/I81,0))&lt;='損益分岐設定'!C38,MAX('損益分岐設定'!B38,ROUNDUP(S81/I81,0)),1001))</x:f>
        <x:v>57</x:v>
      </x:c>
      <x:c r="X81" s="1" t="n">
        <x:f>IF(I81&lt;=0,1001,IF(MAX('損益分岐設定'!B39,ROUNDUP(T81/I81,0))&lt;='損益分岐設定'!C39,MAX('損益分岐設定'!B39,ROUNDUP(T81/I81,0)),1001))</x:f>
        <x:v>103</x:v>
      </x:c>
      <x:c r="Y81" s="1" t="n">
        <x:f>IF(I81&lt;=0,1001,IF(MAX('損益分岐設定'!B40,ROUNDUP(U81/I81,0))&lt;='損益分岐設定'!C40,MAX('損益分岐設定'!B40,ROUNDUP(U81/I81,0)),1001))</x:f>
        <x:v>501</x:v>
      </x:c>
      <x:c r="Z81" s="1" t="n">
        <x:f>IF(I81&lt;=0,'損益分岐設定'!C37,IF('損益分岐設定'!C37*I81-R81&lt;0,'損益分岐設定'!C37,IF('損益分岐設定'!B37*I81-R81&gt;=0,0,ROUNDUP(R81/I81,0)-1)))</x:f>
        <x:v>10</x:v>
      </x:c>
      <x:c r="AA81" s="1" t="n">
        <x:f>IF(I81&lt;=0,'損益分岐設定'!C38,IF('損益分岐設定'!C38*I81-S81&lt;0,'損益分岐設定'!C38,IF('損益分岐設定'!B38*I81-S81&gt;=0,0,ROUNDUP(S81/I81,0)-1)))</x:f>
        <x:v>56</x:v>
      </x:c>
      <x:c r="AB81" s="1" t="n">
        <x:f>IF(I81&lt;=0,'損益分岐設定'!C39,IF('損益分岐設定'!C39*I81-T81&lt;0,'損益分岐設定'!C39,IF('損益分岐設定'!B39*I81-T81&gt;=0,0,ROUNDUP(T81/I81,0)-1)))</x:f>
        <x:v>102</x:v>
      </x:c>
      <x:c r="AC81" s="1" t="n">
        <x:f>IF(I81&lt;=0,'損益分岐設定'!C40,IF('損益分岐設定'!C40*I81-U81&lt;0,'損益分岐設定'!C40,IF('損益分岐設定'!B40*I81-U81&gt;=0,0,ROUNDUP(U81/I81,0)-1)))</x:f>
        <x:v>0</x:v>
      </x:c>
      <x:c r="AD81" s="1" t="n">
        <x:v>0</x:v>
      </x:c>
      <x:c r="AE81" s="1" t="n">
        <x:v>1</x:v>
      </x:c>
      <x:c r="AF81" s="1" t="n">
        <x:v>0</x:v>
      </x:c>
      <x:c r="AG81" s="1" t="n">
        <x:f>AD81*('損益分岐設定'!$C$57*(1-'損益分岐設定'!$B$51)+'損益分岐設定'!$C$58*'損益分岐設定'!$B$51)+AE81*('損益分岐設定'!$C$60*(1-'損益分岐設定'!$B$51)+'損益分岐設定'!$C$61*'損益分岐設定'!$B$51)+AF81*('損益分岐設定'!$C$63*(1-'損益分岐設定'!$B$51)+'損益分岐設定'!$C$64*'損益分岐設定'!$B$51)</x:f>
        <x:v>2336.20881640625</x:v>
      </x:c>
      <x:c r="AH81" s="1" t="n">
        <x:f>AD81*('損益分岐設定'!$D$57*(1-'損益分岐設定'!$B$51)+'損益分岐設定'!$D$58*'損益分岐設定'!$B$51)+AE81*('損益分岐設定'!$D$60*(1-'損益分岐設定'!$B$51)+'損益分岐設定'!$D$61*'損益分岐設定'!$B$51)+AF81*('損益分岐設定'!$D$63*(1-'損益分岐設定'!$B$51)+'損益分岐設定'!$D$64*'損益分岐設定'!$B$51)</x:f>
        <x:v>192</x:v>
      </x:c>
      <x:c r="AI81" s="1" t="n">
        <x:f>AD81*('損益分岐設定'!$E$57*(1-'損益分岐設定'!$B$51)+'損益分岐設定'!$E$58*'損益分岐設定'!$B$51)+AE81*('損益分岐設定'!$E$60*(1-'損益分岐設定'!$B$51)+'損益分岐設定'!$E$61*'損益分岐設定'!$B$51)+AF81*('損益分岐設定'!$E$63*(1-'損益分岐設定'!$B$51)+'損益分岐設定'!$E$64*'損益分岐設定'!$B$51)</x:f>
        <x:v>224</x:v>
      </x:c>
      <x:c r="AJ81" s="1" t="n">
        <x:f>(AD81*('損益分岐設定'!$F$57*(1-'損益分岐設定'!$B$51)+'損益分岐設定'!$F$58*'損益分岐設定'!$B$51)+AE81*('損益分岐設定'!$F$60*(1-'損益分岐設定'!$B$51)+'損益分岐設定'!$F$61*'損益分岐設定'!$B$51)+AF81*('損益分岐設定'!$F$63*(1-'損益分岐設定'!$B$51)+'損益分岐設定'!$F$64*'損益分岐設定'!$B$51)*1)*'損益分岐設定'!$B$22</x:f>
        <x:v>1824</x:v>
      </x:c>
      <x:c r="AK81" s="1" t="n">
        <x:f>AD81*('損益分岐設定'!$G$57*(1-'損益分岐設定'!$B$51)+'損益分岐設定'!$G$58*'損益分岐設定'!$B$51)+AE81*('損益分岐設定'!$G$60*(1-'損益分岐設定'!$B$51)+'損益分岐設定'!$G$61*'損益分岐設定'!$B$51)+AF81*('損益分岐設定'!$G$63*(1-'損益分岐設定'!$B$51)+'損益分岐設定'!$G$64*'損益分岐設定'!$B$51)</x:f>
        <x:v>1600</x:v>
      </x:c>
      <x:c r="AL81" s="1" t="n">
        <x:f>AD81*('損益分岐設定'!$H$57*(1-'損益分岐設定'!$B$51)+'損益分岐設定'!$H$58*'損益分岐設定'!$B$51)+AE81*('損益分岐設定'!$H$60*(1-'損益分岐設定'!$B$51)+'損益分岐設定'!$H$61*'損益分岐設定'!$B$51)+AF81*('損益分岐設定'!$H$63*(1-'損益分岐設定'!$B$51)+'損益分岐設定'!$H$64*'損益分岐設定'!$B$51)</x:f>
        <x:v>826.6666666666667</x:v>
      </x:c>
      <x:c r="AM81" s="1" t="n">
        <x:f>MAX(1,ROUNDUP('損益分岐設定'!C37*AJ81/('損益分岐設定'!$B$23*'損益分岐設定'!$B$24*3600*'損益分岐設定'!$B$25),0))</x:f>
        <x:v>1</x:v>
      </x:c>
      <x:c r="AN81" s="1" t="n">
        <x:f>MAX(2,ROUNDUP('損益分岐設定'!C38*AJ81/('損益分岐設定'!$B$23*'損益分岐設定'!$B$24*3600*'損益分岐設定'!$B$25),0))</x:f>
        <x:v>2</x:v>
      </x:c>
      <x:c r="AO81" s="1" t="n">
        <x:f>MAX(2,ROUNDUP('損益分岐設定'!C39*AJ81/('損益分岐設定'!$B$23*'損益分岐設定'!$B$24*3600*'損益分岐設定'!$B$25),0))</x:f>
        <x:v>2</x:v>
      </x:c>
      <x:c r="AP81" s="1" t="n">
        <x:f>MAX(2,ROUNDUP('損益分岐設定'!C40*AJ81/('損益分岐設定'!$B$23*'損益分岐設定'!$B$24*3600*'損益分岐設定'!$B$25),0))</x:f>
        <x:v>4</x:v>
      </x:c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 ht="23" customHeight="1">
      <x:c r="A82" s="1" t="str">
        <x:v>Run</x:v>
      </x:c>
      <x:c r="B82" s="1" t="str">
        <x:v>Business</x:v>
      </x:c>
      <x:c r="C82" s="1" t="str">
        <x:v>標準+高位混在</x:v>
      </x:c>
      <x:c r="D82" s="21" t="n">
        <x:v>0.4</x:v>
      </x:c>
      <x:c r="E82" s="1" t="n">
        <x:v>1</x:v>
      </x:c>
      <x:c r="F82" s="7" t="n">
        <x:f>AD82*'損益分岐設定'!$B$5+AE82*'損益分岐設定'!$B$6+AF82*'損益分岐設定'!$B$7</x:f>
        <x:v>5000</x:v>
      </x:c>
      <x:c r="G82" s="7" t="n">
        <x:f>AG82+(AH82+AI82)*('損益分岐設定'!$B$29+0.5*'損益分岐設定'!$B$30)+AK82*'損益分岐設定'!$B$32+(AJ82+AK82/'損益分岐設定'!$B$28*'損益分岐設定'!$B$26)*('損益分岐設定'!$B$29+'損益分岐設定'!$B$31*'損益分岐設定'!$B$30)</x:f>
        <x:v>2348.3430407601545</x:v>
      </x:c>
      <x:c r="H82" s="7" t="n">
        <x:f>AL82*E82</x:f>
        <x:v>826.6666666666667</x:v>
      </x:c>
      <x:c r="I82" s="7" t="n">
        <x:f>F82*(1-D82-'損益分岐設定'!$B$10)-G82-H82</x:f>
        <x:v>-355.0097074268217</x:v>
      </x:c>
      <x:c r="J82" s="1" t="str">
        <x:f>IF(MIN(V82:Y82)&gt;1000,"範囲内なし",MIN(V82:Y82))</x:f>
        <x:v>範囲内なし</x:v>
      </x:c>
      <x:c r="K82" s="1" t="str">
        <x:f>IF(MAX(Z82:AC82)&gt;=1000,"範囲内なし",MAX(1,MAX(Z82:AC82)+1))</x:f>
        <x:v>範囲内なし</x:v>
      </x:c>
      <x:c r="L82" s="7" t="n">
        <x:f>10*I82-R82</x:f>
        <x:v>-33561.031700576015</x:v>
      </x:c>
      <x:c r="M82" s="7" t="n">
        <x:f>30*I82-S82</x:f>
        <x:v>-45161.22584911245</x:v>
      </x:c>
      <x:c r="N82" s="7" t="n">
        <x:f>50*I82-S82</x:f>
        <x:v>-52261.41999764888</x:v>
      </x:c>
      <x:c r="O82" s="7" t="n">
        <x:f>100*I82-S82</x:f>
        <x:v>-70011.90536898997</x:v>
      </x:c>
      <x:c r="P82" s="7" t="n">
        <x:f>300*I82-T82</x:f>
        <x:v>-163013.8468543543</x:v>
      </x:c>
      <x:c r="Q82" s="7" t="n">
        <x:f>1000*I82-U82</x:f>
        <x:v>-441520.6420531295</x:v>
      </x:c>
      <x:c r="R8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82*'損益分岐設定'!$B$12*'損益分岐設定'!$B$11</x:f>
        <x:v>30010.934626307797</x:v>
      </x:c>
      <x:c r="S8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82*'損益分岐設定'!$B$12*'損益分岐設定'!$B$11</x:f>
        <x:v>34510.9346263078</x:v>
      </x:c>
      <x:c r="T8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82*'損益分岐設定'!$B$12*'損益分岐設定'!$B$11</x:f>
        <x:v>56510.9346263078</x:v>
      </x:c>
      <x:c r="U8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82*'損益分岐設定'!$B$12*'損益分岐設定'!$B$11</x:f>
        <x:v>86510.9346263078</x:v>
      </x:c>
      <x:c r="V82" s="1" t="n">
        <x:f>IF(I82&lt;=0,1001,IF(MAX('損益分岐設定'!B37,ROUNDUP(R82/I82,0))&lt;='損益分岐設定'!C37,MAX('損益分岐設定'!B37,ROUNDUP(R82/I82,0)),1001))</x:f>
        <x:v>1001</x:v>
      </x:c>
      <x:c r="W82" s="1" t="n">
        <x:f>IF(I82&lt;=0,1001,IF(MAX('損益分岐設定'!B38,ROUNDUP(S82/I82,0))&lt;='損益分岐設定'!C38,MAX('損益分岐設定'!B38,ROUNDUP(S82/I82,0)),1001))</x:f>
        <x:v>1001</x:v>
      </x:c>
      <x:c r="X82" s="1" t="n">
        <x:f>IF(I82&lt;=0,1001,IF(MAX('損益分岐設定'!B39,ROUNDUP(T82/I82,0))&lt;='損益分岐設定'!C39,MAX('損益分岐設定'!B39,ROUNDUP(T82/I82,0)),1001))</x:f>
        <x:v>1001</x:v>
      </x:c>
      <x:c r="Y82" s="1" t="n">
        <x:f>IF(I82&lt;=0,1001,IF(MAX('損益分岐設定'!B40,ROUNDUP(U82/I82,0))&lt;='損益分岐設定'!C40,MAX('損益分岐設定'!B40,ROUNDUP(U82/I82,0)),1001))</x:f>
        <x:v>1001</x:v>
      </x:c>
      <x:c r="Z82" s="1" t="n">
        <x:f>IF(I82&lt;=0,'損益分岐設定'!C37,IF('損益分岐設定'!C37*I82-R82&lt;0,'損益分岐設定'!C37,IF('損益分岐設定'!B37*I82-R82&gt;=0,0,ROUNDUP(R82/I82,0)-1)))</x:f>
        <x:v>10</x:v>
      </x:c>
      <x:c r="AA82" s="1" t="n">
        <x:f>IF(I82&lt;=0,'損益分岐設定'!C38,IF('損益分岐設定'!C38*I82-S82&lt;0,'損益分岐設定'!C38,IF('損益分岐設定'!B38*I82-S82&gt;=0,0,ROUNDUP(S82/I82,0)-1)))</x:f>
        <x:v>100</x:v>
      </x:c>
      <x:c r="AB82" s="1" t="n">
        <x:f>IF(I82&lt;=0,'損益分岐設定'!C39,IF('損益分岐設定'!C39*I82-T82&lt;0,'損益分岐設定'!C39,IF('損益分岐設定'!B39*I82-T82&gt;=0,0,ROUNDUP(T82/I82,0)-1)))</x:f>
        <x:v>500</x:v>
      </x:c>
      <x:c r="AC82" s="1" t="n">
        <x:f>IF(I82&lt;=0,'損益分岐設定'!C40,IF('損益分岐設定'!C40*I82-U82&lt;0,'損益分岐設定'!C40,IF('損益分岐設定'!B40*I82-U82&gt;=0,0,ROUNDUP(U82/I82,0)-1)))</x:f>
        <x:v>1000</x:v>
      </x:c>
      <x:c r="AD82" s="1" t="n">
        <x:v>0</x:v>
      </x:c>
      <x:c r="AE82" s="1" t="n">
        <x:v>1</x:v>
      </x:c>
      <x:c r="AF82" s="1" t="n">
        <x:v>0</x:v>
      </x:c>
      <x:c r="AG82" s="1" t="n">
        <x:f>AD82*('損益分岐設定'!$C$57*(1-'損益分岐設定'!$B$51)+'損益分岐設定'!$C$58*'損益分岐設定'!$B$51)+AE82*('損益分岐設定'!$C$60*(1-'損益分岐設定'!$B$51)+'損益分岐設定'!$C$61*'損益分岐設定'!$B$51)+AF82*('損益分岐設定'!$C$63*(1-'損益分岐設定'!$B$51)+'損益分岐設定'!$C$64*'損益分岐設定'!$B$51)</x:f>
        <x:v>2336.20881640625</x:v>
      </x:c>
      <x:c r="AH82" s="1" t="n">
        <x:f>AD82*('損益分岐設定'!$D$57*(1-'損益分岐設定'!$B$51)+'損益分岐設定'!$D$58*'損益分岐設定'!$B$51)+AE82*('損益分岐設定'!$D$60*(1-'損益分岐設定'!$B$51)+'損益分岐設定'!$D$61*'損益分岐設定'!$B$51)+AF82*('損益分岐設定'!$D$63*(1-'損益分岐設定'!$B$51)+'損益分岐設定'!$D$64*'損益分岐設定'!$B$51)</x:f>
        <x:v>192</x:v>
      </x:c>
      <x:c r="AI82" s="1" t="n">
        <x:f>AD82*('損益分岐設定'!$E$57*(1-'損益分岐設定'!$B$51)+'損益分岐設定'!$E$58*'損益分岐設定'!$B$51)+AE82*('損益分岐設定'!$E$60*(1-'損益分岐設定'!$B$51)+'損益分岐設定'!$E$61*'損益分岐設定'!$B$51)+AF82*('損益分岐設定'!$E$63*(1-'損益分岐設定'!$B$51)+'損益分岐設定'!$E$64*'損益分岐設定'!$B$51)</x:f>
        <x:v>224</x:v>
      </x:c>
      <x:c r="AJ82" s="1" t="n">
        <x:f>(AD82*('損益分岐設定'!$F$57*(1-'損益分岐設定'!$B$51)+'損益分岐設定'!$F$58*'損益分岐設定'!$B$51)+AE82*('損益分岐設定'!$F$60*(1-'損益分岐設定'!$B$51)+'損益分岐設定'!$F$61*'損益分岐設定'!$B$51)+AF82*('損益分岐設定'!$F$63*(1-'損益分岐設定'!$B$51)+'損益分岐設定'!$F$64*'損益分岐設定'!$B$51)*1)*'損益分岐設定'!$B$22</x:f>
        <x:v>1824</x:v>
      </x:c>
      <x:c r="AK82" s="1" t="n">
        <x:f>AD82*('損益分岐設定'!$G$57*(1-'損益分岐設定'!$B$51)+'損益分岐設定'!$G$58*'損益分岐設定'!$B$51)+AE82*('損益分岐設定'!$G$60*(1-'損益分岐設定'!$B$51)+'損益分岐設定'!$G$61*'損益分岐設定'!$B$51)+AF82*('損益分岐設定'!$G$63*(1-'損益分岐設定'!$B$51)+'損益分岐設定'!$G$64*'損益分岐設定'!$B$51)</x:f>
        <x:v>1600</x:v>
      </x:c>
      <x:c r="AL82" s="1" t="n">
        <x:f>AD82*('損益分岐設定'!$H$57*(1-'損益分岐設定'!$B$51)+'損益分岐設定'!$H$58*'損益分岐設定'!$B$51)+AE82*('損益分岐設定'!$H$60*(1-'損益分岐設定'!$B$51)+'損益分岐設定'!$H$61*'損益分岐設定'!$B$51)+AF82*('損益分岐設定'!$H$63*(1-'損益分岐設定'!$B$51)+'損益分岐設定'!$H$64*'損益分岐設定'!$B$51)</x:f>
        <x:v>826.6666666666667</x:v>
      </x:c>
      <x:c r="AM82" s="1" t="n">
        <x:f>MAX(1,ROUNDUP('損益分岐設定'!C37*AJ82/('損益分岐設定'!$B$23*'損益分岐設定'!$B$24*3600*'損益分岐設定'!$B$25),0))</x:f>
        <x:v>1</x:v>
      </x:c>
      <x:c r="AN82" s="1" t="n">
        <x:f>MAX(2,ROUNDUP('損益分岐設定'!C38*AJ82/('損益分岐設定'!$B$23*'損益分岐設定'!$B$24*3600*'損益分岐設定'!$B$25),0))</x:f>
        <x:v>2</x:v>
      </x:c>
      <x:c r="AO82" s="1" t="n">
        <x:f>MAX(2,ROUNDUP('損益分岐設定'!C39*AJ82/('損益分岐設定'!$B$23*'損益分岐設定'!$B$24*3600*'損益分岐設定'!$B$25),0))</x:f>
        <x:v>2</x:v>
      </x:c>
      <x:c r="AP82" s="1" t="n">
        <x:f>MAX(2,ROUNDUP('損益分岐設定'!C40*AJ82/('損益分岐設定'!$B$23*'損益分岐設定'!$B$24*3600*'損益分岐設定'!$B$25),0))</x:f>
        <x:v>4</x:v>
      </x:c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 ht="23" customHeight="1">
      <x:c r="A83" s="1" t="str">
        <x:v>Run</x:v>
      </x:c>
      <x:c r="B83" s="1" t="str">
        <x:v>Business</x:v>
      </x:c>
      <x:c r="C83" s="1" t="str">
        <x:v>標準+高位混在</x:v>
      </x:c>
      <x:c r="D83" s="21" t="n">
        <x:v>0.5</x:v>
      </x:c>
      <x:c r="E83" s="1" t="n">
        <x:v>0</x:v>
      </x:c>
      <x:c r="F83" s="7" t="n">
        <x:f>AD83*'損益分岐設定'!$B$5+AE83*'損益分岐設定'!$B$6+AF83*'損益分岐設定'!$B$7</x:f>
        <x:v>5000</x:v>
      </x:c>
      <x:c r="G83" s="7" t="n">
        <x:f>AG83+(AH83+AI83)*('損益分岐設定'!$B$29+0.5*'損益分岐設定'!$B$30)+AK83*'損益分岐設定'!$B$32+(AJ83+AK83/'損益分岐設定'!$B$28*'損益分岐設定'!$B$26)*('損益分岐設定'!$B$29+'損益分岐設定'!$B$31*'損益分岐設定'!$B$30)</x:f>
        <x:v>2348.3430407601545</x:v>
      </x:c>
      <x:c r="H83" s="7" t="n">
        <x:f>AL83*E83</x:f>
        <x:v>0</x:v>
      </x:c>
      <x:c r="I83" s="7" t="n">
        <x:f>F83*(1-D83-'損益分岐設定'!$B$10)-G83-H83</x:f>
        <x:v>-28.34304076015451</x:v>
      </x:c>
      <x:c r="J83" s="1" t="str">
        <x:f>IF(MIN(V83:Y83)&gt;1000,"範囲内なし",MIN(V83:Y83))</x:f>
        <x:v>範囲内なし</x:v>
      </x:c>
      <x:c r="K83" s="1" t="str">
        <x:f>IF(MAX(Z83:AC83)&gt;=1000,"範囲内なし",MAX(1,MAX(Z83:AC83)+1))</x:f>
        <x:v>範囲内なし</x:v>
      </x:c>
      <x:c r="L83" s="7" t="n">
        <x:f>10*I83-R83</x:f>
        <x:v>-22294.365033909344</x:v>
      </x:c>
      <x:c r="M83" s="7" t="n">
        <x:f>30*I83-S83</x:f>
        <x:v>-27361.22584911243</x:v>
      </x:c>
      <x:c r="N83" s="7" t="n">
        <x:f>50*I83-S83</x:f>
        <x:v>-27928.086664315524</x:v>
      </x:c>
      <x:c r="O83" s="7" t="n">
        <x:f>100*I83-S83</x:f>
        <x:v>-29345.238702323248</x:v>
      </x:c>
      <x:c r="P83" s="7" t="n">
        <x:f>300*I83-T83</x:f>
        <x:v>-57013.84685435415</x:v>
      </x:c>
      <x:c r="Q83" s="7" t="n">
        <x:f>1000*I83-U83</x:f>
        <x:v>-106853.97538646232</x:v>
      </x:c>
      <x:c r="R8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83*'損益分岐設定'!$B$12*'損益分岐設定'!$B$11</x:f>
        <x:v>22010.934626307797</x:v>
      </x:c>
      <x:c r="S8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83*'損益分岐設定'!$B$12*'損益分岐設定'!$B$11</x:f>
        <x:v>26510.934626307797</x:v>
      </x:c>
      <x:c r="T8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83*'損益分岐設定'!$B$12*'損益分岐設定'!$B$11</x:f>
        <x:v>48510.9346263078</x:v>
      </x:c>
      <x:c r="U8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83*'損益分岐設定'!$B$12*'損益分岐設定'!$B$11</x:f>
        <x:v>78510.9346263078</x:v>
      </x:c>
      <x:c r="V83" s="1" t="n">
        <x:f>IF(I83&lt;=0,1001,IF(MAX('損益分岐設定'!B37,ROUNDUP(R83/I83,0))&lt;='損益分岐設定'!C37,MAX('損益分岐設定'!B37,ROUNDUP(R83/I83,0)),1001))</x:f>
        <x:v>1001</x:v>
      </x:c>
      <x:c r="W83" s="1" t="n">
        <x:f>IF(I83&lt;=0,1001,IF(MAX('損益分岐設定'!B38,ROUNDUP(S83/I83,0))&lt;='損益分岐設定'!C38,MAX('損益分岐設定'!B38,ROUNDUP(S83/I83,0)),1001))</x:f>
        <x:v>1001</x:v>
      </x:c>
      <x:c r="X83" s="1" t="n">
        <x:f>IF(I83&lt;=0,1001,IF(MAX('損益分岐設定'!B39,ROUNDUP(T83/I83,0))&lt;='損益分岐設定'!C39,MAX('損益分岐設定'!B39,ROUNDUP(T83/I83,0)),1001))</x:f>
        <x:v>1001</x:v>
      </x:c>
      <x:c r="Y83" s="1" t="n">
        <x:f>IF(I83&lt;=0,1001,IF(MAX('損益分岐設定'!B40,ROUNDUP(U83/I83,0))&lt;='損益分岐設定'!C40,MAX('損益分岐設定'!B40,ROUNDUP(U83/I83,0)),1001))</x:f>
        <x:v>1001</x:v>
      </x:c>
      <x:c r="Z83" s="1" t="n">
        <x:f>IF(I83&lt;=0,'損益分岐設定'!C37,IF('損益分岐設定'!C37*I83-R83&lt;0,'損益分岐設定'!C37,IF('損益分岐設定'!B37*I83-R83&gt;=0,0,ROUNDUP(R83/I83,0)-1)))</x:f>
        <x:v>10</x:v>
      </x:c>
      <x:c r="AA83" s="1" t="n">
        <x:f>IF(I83&lt;=0,'損益分岐設定'!C38,IF('損益分岐設定'!C38*I83-S83&lt;0,'損益分岐設定'!C38,IF('損益分岐設定'!B38*I83-S83&gt;=0,0,ROUNDUP(S83/I83,0)-1)))</x:f>
        <x:v>100</x:v>
      </x:c>
      <x:c r="AB83" s="1" t="n">
        <x:f>IF(I83&lt;=0,'損益分岐設定'!C39,IF('損益分岐設定'!C39*I83-T83&lt;0,'損益分岐設定'!C39,IF('損益分岐設定'!B39*I83-T83&gt;=0,0,ROUNDUP(T83/I83,0)-1)))</x:f>
        <x:v>500</x:v>
      </x:c>
      <x:c r="AC83" s="1" t="n">
        <x:f>IF(I83&lt;=0,'損益分岐設定'!C40,IF('損益分岐設定'!C40*I83-U83&lt;0,'損益分岐設定'!C40,IF('損益分岐設定'!B40*I83-U83&gt;=0,0,ROUNDUP(U83/I83,0)-1)))</x:f>
        <x:v>1000</x:v>
      </x:c>
      <x:c r="AD83" s="1" t="n">
        <x:v>0</x:v>
      </x:c>
      <x:c r="AE83" s="1" t="n">
        <x:v>1</x:v>
      </x:c>
      <x:c r="AF83" s="1" t="n">
        <x:v>0</x:v>
      </x:c>
      <x:c r="AG83" s="1" t="n">
        <x:f>AD83*('損益分岐設定'!$C$57*(1-'損益分岐設定'!$B$51)+'損益分岐設定'!$C$58*'損益分岐設定'!$B$51)+AE83*('損益分岐設定'!$C$60*(1-'損益分岐設定'!$B$51)+'損益分岐設定'!$C$61*'損益分岐設定'!$B$51)+AF83*('損益分岐設定'!$C$63*(1-'損益分岐設定'!$B$51)+'損益分岐設定'!$C$64*'損益分岐設定'!$B$51)</x:f>
        <x:v>2336.20881640625</x:v>
      </x:c>
      <x:c r="AH83" s="1" t="n">
        <x:f>AD83*('損益分岐設定'!$D$57*(1-'損益分岐設定'!$B$51)+'損益分岐設定'!$D$58*'損益分岐設定'!$B$51)+AE83*('損益分岐設定'!$D$60*(1-'損益分岐設定'!$B$51)+'損益分岐設定'!$D$61*'損益分岐設定'!$B$51)+AF83*('損益分岐設定'!$D$63*(1-'損益分岐設定'!$B$51)+'損益分岐設定'!$D$64*'損益分岐設定'!$B$51)</x:f>
        <x:v>192</x:v>
      </x:c>
      <x:c r="AI83" s="1" t="n">
        <x:f>AD83*('損益分岐設定'!$E$57*(1-'損益分岐設定'!$B$51)+'損益分岐設定'!$E$58*'損益分岐設定'!$B$51)+AE83*('損益分岐設定'!$E$60*(1-'損益分岐設定'!$B$51)+'損益分岐設定'!$E$61*'損益分岐設定'!$B$51)+AF83*('損益分岐設定'!$E$63*(1-'損益分岐設定'!$B$51)+'損益分岐設定'!$E$64*'損益分岐設定'!$B$51)</x:f>
        <x:v>224</x:v>
      </x:c>
      <x:c r="AJ83" s="1" t="n">
        <x:f>(AD83*('損益分岐設定'!$F$57*(1-'損益分岐設定'!$B$51)+'損益分岐設定'!$F$58*'損益分岐設定'!$B$51)+AE83*('損益分岐設定'!$F$60*(1-'損益分岐設定'!$B$51)+'損益分岐設定'!$F$61*'損益分岐設定'!$B$51)+AF83*('損益分岐設定'!$F$63*(1-'損益分岐設定'!$B$51)+'損益分岐設定'!$F$64*'損益分岐設定'!$B$51)*1)*'損益分岐設定'!$B$22</x:f>
        <x:v>1824</x:v>
      </x:c>
      <x:c r="AK83" s="1" t="n">
        <x:f>AD83*('損益分岐設定'!$G$57*(1-'損益分岐設定'!$B$51)+'損益分岐設定'!$G$58*'損益分岐設定'!$B$51)+AE83*('損益分岐設定'!$G$60*(1-'損益分岐設定'!$B$51)+'損益分岐設定'!$G$61*'損益分岐設定'!$B$51)+AF83*('損益分岐設定'!$G$63*(1-'損益分岐設定'!$B$51)+'損益分岐設定'!$G$64*'損益分岐設定'!$B$51)</x:f>
        <x:v>1600</x:v>
      </x:c>
      <x:c r="AL83" s="1" t="n">
        <x:f>AD83*('損益分岐設定'!$H$57*(1-'損益分岐設定'!$B$51)+'損益分岐設定'!$H$58*'損益分岐設定'!$B$51)+AE83*('損益分岐設定'!$H$60*(1-'損益分岐設定'!$B$51)+'損益分岐設定'!$H$61*'損益分岐設定'!$B$51)+AF83*('損益分岐設定'!$H$63*(1-'損益分岐設定'!$B$51)+'損益分岐設定'!$H$64*'損益分岐設定'!$B$51)</x:f>
        <x:v>826.6666666666667</x:v>
      </x:c>
      <x:c r="AM83" s="1" t="n">
        <x:f>MAX(1,ROUNDUP('損益分岐設定'!C37*AJ83/('損益分岐設定'!$B$23*'損益分岐設定'!$B$24*3600*'損益分岐設定'!$B$25),0))</x:f>
        <x:v>1</x:v>
      </x:c>
      <x:c r="AN83" s="1" t="n">
        <x:f>MAX(2,ROUNDUP('損益分岐設定'!C38*AJ83/('損益分岐設定'!$B$23*'損益分岐設定'!$B$24*3600*'損益分岐設定'!$B$25),0))</x:f>
        <x:v>2</x:v>
      </x:c>
      <x:c r="AO83" s="1" t="n">
        <x:f>MAX(2,ROUNDUP('損益分岐設定'!C39*AJ83/('損益分岐設定'!$B$23*'損益分岐設定'!$B$24*3600*'損益分岐設定'!$B$25),0))</x:f>
        <x:v>2</x:v>
      </x:c>
      <x:c r="AP83" s="1" t="n">
        <x:f>MAX(2,ROUNDUP('損益分岐設定'!C40*AJ83/('損益分岐設定'!$B$23*'損益分岐設定'!$B$24*3600*'損益分岐設定'!$B$25),0))</x:f>
        <x:v>4</x:v>
      </x:c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 ht="23" customHeight="1">
      <x:c r="A84" s="1" t="str">
        <x:v>Run</x:v>
      </x:c>
      <x:c r="B84" s="1" t="str">
        <x:v>Business</x:v>
      </x:c>
      <x:c r="C84" s="1" t="str">
        <x:v>標準+高位混在</x:v>
      </x:c>
      <x:c r="D84" s="21" t="n">
        <x:v>0.5</x:v>
      </x:c>
      <x:c r="E84" s="1" t="n">
        <x:v>1</x:v>
      </x:c>
      <x:c r="F84" s="7" t="n">
        <x:f>AD84*'損益分岐設定'!$B$5+AE84*'損益分岐設定'!$B$6+AF84*'損益分岐設定'!$B$7</x:f>
        <x:v>5000</x:v>
      </x:c>
      <x:c r="G84" s="7" t="n">
        <x:f>AG84+(AH84+AI84)*('損益分岐設定'!$B$29+0.5*'損益分岐設定'!$B$30)+AK84*'損益分岐設定'!$B$32+(AJ84+AK84/'損益分岐設定'!$B$28*'損益分岐設定'!$B$26)*('損益分岐設定'!$B$29+'損益分岐設定'!$B$31*'損益分岐設定'!$B$30)</x:f>
        <x:v>2348.3430407601545</x:v>
      </x:c>
      <x:c r="H84" s="7" t="n">
        <x:f>AL84*E84</x:f>
        <x:v>826.6666666666667</x:v>
      </x:c>
      <x:c r="I84" s="7" t="n">
        <x:f>F84*(1-D84-'損益分岐設定'!$B$10)-G84-H84</x:f>
        <x:v>-855.0097074268213</x:v>
      </x:c>
      <x:c r="J84" s="1" t="str">
        <x:f>IF(MIN(V84:Y84)&gt;1000,"範囲内なし",MIN(V84:Y84))</x:f>
        <x:v>範囲内なし</x:v>
      </x:c>
      <x:c r="K84" s="1" t="str">
        <x:f>IF(MAX(Z84:AC84)&gt;=1000,"範囲内なし",MAX(1,MAX(Z84:AC84)+1))</x:f>
        <x:v>範囲内なし</x:v>
      </x:c>
      <x:c r="L84" s="7" t="n">
        <x:f>10*I84-R84</x:f>
        <x:v>-38561.03170057601</x:v>
      </x:c>
      <x:c r="M84" s="7" t="n">
        <x:f>30*I84-S84</x:f>
        <x:v>-60161.22584911244</x:v>
      </x:c>
      <x:c r="N84" s="7" t="n">
        <x:f>50*I84-S84</x:f>
        <x:v>-77261.41999764886</x:v>
      </x:c>
      <x:c r="O84" s="7" t="n">
        <x:f>100*I84-S84</x:f>
        <x:v>-120011.90536898992</x:v>
      </x:c>
      <x:c r="P84" s="7" t="n">
        <x:f>300*I84-T84</x:f>
        <x:v>-313013.84685435414</x:v>
      </x:c>
      <x:c r="Q84" s="7" t="n">
        <x:f>1000*I84-U84</x:f>
        <x:v>-941520.642053129</x:v>
      </x:c>
      <x:c r="R8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84*'損益分岐設定'!$B$12*'損益分岐設定'!$B$11</x:f>
        <x:v>30010.934626307797</x:v>
      </x:c>
      <x:c r="S8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84*'損益分岐設定'!$B$12*'損益分岐設定'!$B$11</x:f>
        <x:v>34510.9346263078</x:v>
      </x:c>
      <x:c r="T8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84*'損益分岐設定'!$B$12*'損益分岐設定'!$B$11</x:f>
        <x:v>56510.9346263078</x:v>
      </x:c>
      <x:c r="U8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84*'損益分岐設定'!$B$12*'損益分岐設定'!$B$11</x:f>
        <x:v>86510.9346263078</x:v>
      </x:c>
      <x:c r="V84" s="1" t="n">
        <x:f>IF(I84&lt;=0,1001,IF(MAX('損益分岐設定'!B37,ROUNDUP(R84/I84,0))&lt;='損益分岐設定'!C37,MAX('損益分岐設定'!B37,ROUNDUP(R84/I84,0)),1001))</x:f>
        <x:v>1001</x:v>
      </x:c>
      <x:c r="W84" s="1" t="n">
        <x:f>IF(I84&lt;=0,1001,IF(MAX('損益分岐設定'!B38,ROUNDUP(S84/I84,0))&lt;='損益分岐設定'!C38,MAX('損益分岐設定'!B38,ROUNDUP(S84/I84,0)),1001))</x:f>
        <x:v>1001</x:v>
      </x:c>
      <x:c r="X84" s="1" t="n">
        <x:f>IF(I84&lt;=0,1001,IF(MAX('損益分岐設定'!B39,ROUNDUP(T84/I84,0))&lt;='損益分岐設定'!C39,MAX('損益分岐設定'!B39,ROUNDUP(T84/I84,0)),1001))</x:f>
        <x:v>1001</x:v>
      </x:c>
      <x:c r="Y84" s="1" t="n">
        <x:f>IF(I84&lt;=0,1001,IF(MAX('損益分岐設定'!B40,ROUNDUP(U84/I84,0))&lt;='損益分岐設定'!C40,MAX('損益分岐設定'!B40,ROUNDUP(U84/I84,0)),1001))</x:f>
        <x:v>1001</x:v>
      </x:c>
      <x:c r="Z84" s="1" t="n">
        <x:f>IF(I84&lt;=0,'損益分岐設定'!C37,IF('損益分岐設定'!C37*I84-R84&lt;0,'損益分岐設定'!C37,IF('損益分岐設定'!B37*I84-R84&gt;=0,0,ROUNDUP(R84/I84,0)-1)))</x:f>
        <x:v>10</x:v>
      </x:c>
      <x:c r="AA84" s="1" t="n">
        <x:f>IF(I84&lt;=0,'損益分岐設定'!C38,IF('損益分岐設定'!C38*I84-S84&lt;0,'損益分岐設定'!C38,IF('損益分岐設定'!B38*I84-S84&gt;=0,0,ROUNDUP(S84/I84,0)-1)))</x:f>
        <x:v>100</x:v>
      </x:c>
      <x:c r="AB84" s="1" t="n">
        <x:f>IF(I84&lt;=0,'損益分岐設定'!C39,IF('損益分岐設定'!C39*I84-T84&lt;0,'損益分岐設定'!C39,IF('損益分岐設定'!B39*I84-T84&gt;=0,0,ROUNDUP(T84/I84,0)-1)))</x:f>
        <x:v>500</x:v>
      </x:c>
      <x:c r="AC84" s="1" t="n">
        <x:f>IF(I84&lt;=0,'損益分岐設定'!C40,IF('損益分岐設定'!C40*I84-U84&lt;0,'損益分岐設定'!C40,IF('損益分岐設定'!B40*I84-U84&gt;=0,0,ROUNDUP(U84/I84,0)-1)))</x:f>
        <x:v>1000</x:v>
      </x:c>
      <x:c r="AD84" s="1" t="n">
        <x:v>0</x:v>
      </x:c>
      <x:c r="AE84" s="1" t="n">
        <x:v>1</x:v>
      </x:c>
      <x:c r="AF84" s="1" t="n">
        <x:v>0</x:v>
      </x:c>
      <x:c r="AG84" s="1" t="n">
        <x:f>AD84*('損益分岐設定'!$C$57*(1-'損益分岐設定'!$B$51)+'損益分岐設定'!$C$58*'損益分岐設定'!$B$51)+AE84*('損益分岐設定'!$C$60*(1-'損益分岐設定'!$B$51)+'損益分岐設定'!$C$61*'損益分岐設定'!$B$51)+AF84*('損益分岐設定'!$C$63*(1-'損益分岐設定'!$B$51)+'損益分岐設定'!$C$64*'損益分岐設定'!$B$51)</x:f>
        <x:v>2336.20881640625</x:v>
      </x:c>
      <x:c r="AH84" s="1" t="n">
        <x:f>AD84*('損益分岐設定'!$D$57*(1-'損益分岐設定'!$B$51)+'損益分岐設定'!$D$58*'損益分岐設定'!$B$51)+AE84*('損益分岐設定'!$D$60*(1-'損益分岐設定'!$B$51)+'損益分岐設定'!$D$61*'損益分岐設定'!$B$51)+AF84*('損益分岐設定'!$D$63*(1-'損益分岐設定'!$B$51)+'損益分岐設定'!$D$64*'損益分岐設定'!$B$51)</x:f>
        <x:v>192</x:v>
      </x:c>
      <x:c r="AI84" s="1" t="n">
        <x:f>AD84*('損益分岐設定'!$E$57*(1-'損益分岐設定'!$B$51)+'損益分岐設定'!$E$58*'損益分岐設定'!$B$51)+AE84*('損益分岐設定'!$E$60*(1-'損益分岐設定'!$B$51)+'損益分岐設定'!$E$61*'損益分岐設定'!$B$51)+AF84*('損益分岐設定'!$E$63*(1-'損益分岐設定'!$B$51)+'損益分岐設定'!$E$64*'損益分岐設定'!$B$51)</x:f>
        <x:v>224</x:v>
      </x:c>
      <x:c r="AJ84" s="1" t="n">
        <x:f>(AD84*('損益分岐設定'!$F$57*(1-'損益分岐設定'!$B$51)+'損益分岐設定'!$F$58*'損益分岐設定'!$B$51)+AE84*('損益分岐設定'!$F$60*(1-'損益分岐設定'!$B$51)+'損益分岐設定'!$F$61*'損益分岐設定'!$B$51)+AF84*('損益分岐設定'!$F$63*(1-'損益分岐設定'!$B$51)+'損益分岐設定'!$F$64*'損益分岐設定'!$B$51)*1)*'損益分岐設定'!$B$22</x:f>
        <x:v>1824</x:v>
      </x:c>
      <x:c r="AK84" s="1" t="n">
        <x:f>AD84*('損益分岐設定'!$G$57*(1-'損益分岐設定'!$B$51)+'損益分岐設定'!$G$58*'損益分岐設定'!$B$51)+AE84*('損益分岐設定'!$G$60*(1-'損益分岐設定'!$B$51)+'損益分岐設定'!$G$61*'損益分岐設定'!$B$51)+AF84*('損益分岐設定'!$G$63*(1-'損益分岐設定'!$B$51)+'損益分岐設定'!$G$64*'損益分岐設定'!$B$51)</x:f>
        <x:v>1600</x:v>
      </x:c>
      <x:c r="AL84" s="1" t="n">
        <x:f>AD84*('損益分岐設定'!$H$57*(1-'損益分岐設定'!$B$51)+'損益分岐設定'!$H$58*'損益分岐設定'!$B$51)+AE84*('損益分岐設定'!$H$60*(1-'損益分岐設定'!$B$51)+'損益分岐設定'!$H$61*'損益分岐設定'!$B$51)+AF84*('損益分岐設定'!$H$63*(1-'損益分岐設定'!$B$51)+'損益分岐設定'!$H$64*'損益分岐設定'!$B$51)</x:f>
        <x:v>826.6666666666667</x:v>
      </x:c>
      <x:c r="AM84" s="1" t="n">
        <x:f>MAX(1,ROUNDUP('損益分岐設定'!C37*AJ84/('損益分岐設定'!$B$23*'損益分岐設定'!$B$24*3600*'損益分岐設定'!$B$25),0))</x:f>
        <x:v>1</x:v>
      </x:c>
      <x:c r="AN84" s="1" t="n">
        <x:f>MAX(2,ROUNDUP('損益分岐設定'!C38*AJ84/('損益分岐設定'!$B$23*'損益分岐設定'!$B$24*3600*'損益分岐設定'!$B$25),0))</x:f>
        <x:v>2</x:v>
      </x:c>
      <x:c r="AO84" s="1" t="n">
        <x:f>MAX(2,ROUNDUP('損益分岐設定'!C39*AJ84/('損益分岐設定'!$B$23*'損益分岐設定'!$B$24*3600*'損益分岐設定'!$B$25),0))</x:f>
        <x:v>2</x:v>
      </x:c>
      <x:c r="AP84" s="1" t="n">
        <x:f>MAX(2,ROUNDUP('損益分岐設定'!C40*AJ84/('損益分岐設定'!$B$23*'損益分岐設定'!$B$24*3600*'損益分岐設定'!$B$25),0))</x:f>
        <x:v>4</x:v>
      </x:c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 ht="23" customHeight="1">
      <x:c r="A85" s="1" t="str">
        <x:v>Run</x:v>
      </x:c>
      <x:c r="B85" s="1" t="str">
        <x:v>Business Plus</x:v>
      </x:c>
      <x:c r="C85" s="1" t="str">
        <x:v>低位</x:v>
      </x:c>
      <x:c r="D85" s="21" t="n">
        <x:v>0</x:v>
      </x:c>
      <x:c r="E85" s="1" t="n">
        <x:v>0</x:v>
      </x:c>
      <x:c r="F85" s="7" t="n">
        <x:f>AD85*'損益分岐設定'!$B$5+AE85*'損益分岐設定'!$B$6+AF85*'損益分岐設定'!$B$7</x:f>
        <x:v>8000</x:v>
      </x:c>
      <x:c r="G85" s="7" t="n">
        <x:f>AG85+(AH85+AI85)*('損益分岐設定'!$B$29+0.5*'損益分岐設定'!$B$30)+AK85*'損益分岐設定'!$B$32+(AJ85+AK85/'損益分岐設定'!$B$28*'損益分岐設定'!$B$26)*('損益分岐設定'!$B$29+'損益分岐設定'!$B$31*'損益分岐設定'!$B$30)</x:f>
        <x:v>214.5579927651706</x:v>
      </x:c>
      <x:c r="H85" s="7" t="n">
        <x:f>AL85*E85</x:f>
        <x:v>0</x:v>
      </x:c>
      <x:c r="I85" s="7" t="n">
        <x:f>F85*(1-D85-'損益分岐設定'!$B$10)-G85-H85</x:f>
        <x:v>7497.442007234829</x:v>
      </x:c>
      <x:c r="J85" s="1" t="n">
        <x:f>IF(MIN(V85:Y85)&gt;1000,"範囲内なし",MIN(V85:Y85))</x:f>
        <x:v>3</x:v>
      </x:c>
      <x:c r="K85" s="1" t="n">
        <x:f>IF(MAX(Z85:AC85)&gt;=1000,"範囲内なし",MAX(1,MAX(Z85:AC85)+1))</x:f>
        <x:v>3</x:v>
      </x:c>
      <x:c r="L85" s="7" t="n">
        <x:f>10*I85-R85</x:f>
        <x:v>52963.4854460405</x:v>
      </x:c>
      <x:c r="M85" s="7" t="n">
        <x:f>30*I85-S85</x:f>
        <x:v>198412.32559073708</x:v>
      </x:c>
      <x:c r="N85" s="7" t="n">
        <x:f>50*I85-S85</x:f>
        <x:v>348361.1657354337</x:v>
      </x:c>
      <x:c r="O85" s="7" t="n">
        <x:f>100*I85-S85</x:f>
        <x:v>723233.2660971752</x:v>
      </x:c>
      <x:c r="P85" s="7" t="n">
        <x:f>300*I85-T85</x:f>
        <x:v>2200721.667544141</x:v>
      </x:c>
      <x:c r="Q85" s="7" t="n">
        <x:f>1000*I85-U85</x:f>
        <x:v>7418931.072608521</x:v>
      </x:c>
      <x:c r="R8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85*'損益分岐設定'!$B$12*'損益分岐設定'!$B$11</x:f>
        <x:v>22010.934626307797</x:v>
      </x:c>
      <x:c r="S8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85*'損益分岐設定'!$B$12*'損益分岐設定'!$B$11</x:f>
        <x:v>26510.934626307797</x:v>
      </x:c>
      <x:c r="T8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85*'損益分岐設定'!$B$12*'損益分岐設定'!$B$11</x:f>
        <x:v>48510.9346263078</x:v>
      </x:c>
      <x:c r="U8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85*'損益分岐設定'!$B$12*'損益分岐設定'!$B$11</x:f>
        <x:v>78510.9346263078</x:v>
      </x:c>
      <x:c r="V85" s="1" t="n">
        <x:f>IF(I85&lt;=0,1001,IF(MAX('損益分岐設定'!B37,ROUNDUP(R85/I85,0))&lt;='損益分岐設定'!C37,MAX('損益分岐設定'!B37,ROUNDUP(R85/I85,0)),1001))</x:f>
        <x:v>3</x:v>
      </x:c>
      <x:c r="W85" s="1" t="n">
        <x:f>IF(I85&lt;=0,1001,IF(MAX('損益分岐設定'!B38,ROUNDUP(S85/I85,0))&lt;='損益分岐設定'!C38,MAX('損益分岐設定'!B38,ROUNDUP(S85/I85,0)),1001))</x:f>
        <x:v>11</x:v>
      </x:c>
      <x:c r="X85" s="1" t="n">
        <x:f>IF(I85&lt;=0,1001,IF(MAX('損益分岐設定'!B39,ROUNDUP(T85/I85,0))&lt;='損益分岐設定'!C39,MAX('損益分岐設定'!B39,ROUNDUP(T85/I85,0)),1001))</x:f>
        <x:v>101</x:v>
      </x:c>
      <x:c r="Y85" s="1" t="n">
        <x:f>IF(I85&lt;=0,1001,IF(MAX('損益分岐設定'!B40,ROUNDUP(U85/I85,0))&lt;='損益分岐設定'!C40,MAX('損益分岐設定'!B40,ROUNDUP(U85/I85,0)),1001))</x:f>
        <x:v>501</x:v>
      </x:c>
      <x:c r="Z85" s="1" t="n">
        <x:f>IF(I85&lt;=0,'損益分岐設定'!C37,IF('損益分岐設定'!C37*I85-R85&lt;0,'損益分岐設定'!C37,IF('損益分岐設定'!B37*I85-R85&gt;=0,0,ROUNDUP(R85/I85,0)-1)))</x:f>
        <x:v>2</x:v>
      </x:c>
      <x:c r="AA85" s="1" t="n">
        <x:f>IF(I85&lt;=0,'損益分岐設定'!C38,IF('損益分岐設定'!C38*I85-S85&lt;0,'損益分岐設定'!C38,IF('損益分岐設定'!B38*I85-S85&gt;=0,0,ROUNDUP(S85/I85,0)-1)))</x:f>
        <x:v>0</x:v>
      </x:c>
      <x:c r="AB85" s="1" t="n">
        <x:f>IF(I85&lt;=0,'損益分岐設定'!C39,IF('損益分岐設定'!C39*I85-T85&lt;0,'損益分岐設定'!C39,IF('損益分岐設定'!B39*I85-T85&gt;=0,0,ROUNDUP(T85/I85,0)-1)))</x:f>
        <x:v>0</x:v>
      </x:c>
      <x:c r="AC85" s="1" t="n">
        <x:f>IF(I85&lt;=0,'損益分岐設定'!C40,IF('損益分岐設定'!C40*I85-U85&lt;0,'損益分岐設定'!C40,IF('損益分岐設定'!B40*I85-U85&gt;=0,0,ROUNDUP(U85/I85,0)-1)))</x:f>
        <x:v>0</x:v>
      </x:c>
      <x:c r="AD85" s="1" t="n">
        <x:v>0</x:v>
      </x:c>
      <x:c r="AE85" s="1" t="n">
        <x:v>0</x:v>
      </x:c>
      <x:c r="AF85" s="1" t="n">
        <x:v>1</x:v>
      </x:c>
      <x:c r="AG85" s="1" t="n">
        <x:f>AD85*'損益分岐設定'!$C$56+AE85*'損益分岐設定'!$C$59+AF85*'損益分岐設定'!$C$62</x:f>
        <x:v>213.56512359619143</x:v>
      </x:c>
      <x:c r="AH85" s="1" t="n">
        <x:f>AD85*'損益分岐設定'!$D$56+AE85*'損益分岐設定'!$D$59+AF85*'損益分岐設定'!$D$62</x:f>
        <x:v>75</x:v>
      </x:c>
      <x:c r="AI85" s="1" t="n">
        <x:f>AD85*'損益分岐設定'!$E$56+AE85*'損益分岐設定'!$E$59+AF85*'損益分岐設定'!$E$62</x:f>
        <x:v>50</x:v>
      </x:c>
      <x:c r="AJ85" s="1" t="n">
        <x:f>(AD85*'損益分岐設定'!$F$56+AE85*'損益分岐設定'!$F$59+AF85*'損益分岐設定'!$F$62*1)*'損益分岐設定'!$B$22</x:f>
        <x:v>75</x:v>
      </x:c>
      <x:c r="AK85" s="1" t="n">
        <x:f>AD85*'損益分岐設定'!$G$56+AE85*'損益分岐設定'!$G$59+AF85*'損益分岐設定'!$G$62</x:f>
        <x:v>250</x:v>
      </x:c>
      <x:c r="AL85" s="1" t="n">
        <x:f>AD85*'損益分岐設定'!$H$56+AE85*'損益分岐設定'!$H$59+AF85*'損益分岐設定'!$H$62</x:f>
        <x:v>533.3333333333334</x:v>
      </x:c>
      <x:c r="AM85" s="1" t="n">
        <x:f>MAX(1,ROUNDUP('損益分岐設定'!C37*AJ85/('損益分岐設定'!$B$23*'損益分岐設定'!$B$24*3600*'損益分岐設定'!$B$25),0))</x:f>
        <x:v>1</x:v>
      </x:c>
      <x:c r="AN85" s="1" t="n">
        <x:f>MAX(2,ROUNDUP('損益分岐設定'!C38*AJ85/('損益分岐設定'!$B$23*'損益分岐設定'!$B$24*3600*'損益分岐設定'!$B$25),0))</x:f>
        <x:v>2</x:v>
      </x:c>
      <x:c r="AO85" s="1" t="n">
        <x:f>MAX(2,ROUNDUP('損益分岐設定'!C39*AJ85/('損益分岐設定'!$B$23*'損益分岐設定'!$B$24*3600*'損益分岐設定'!$B$25),0))</x:f>
        <x:v>2</x:v>
      </x:c>
      <x:c r="AP85" s="1" t="n">
        <x:f>MAX(2,ROUNDUP('損益分岐設定'!C40*AJ85/('損益分岐設定'!$B$23*'損益分岐設定'!$B$24*3600*'損益分岐設定'!$B$25),0))</x:f>
        <x:v>2</x:v>
      </x:c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 ht="23" customHeight="1">
      <x:c r="A86" s="1" t="str">
        <x:v>Run</x:v>
      </x:c>
      <x:c r="B86" s="1" t="str">
        <x:v>Business Plus</x:v>
      </x:c>
      <x:c r="C86" s="1" t="str">
        <x:v>低位</x:v>
      </x:c>
      <x:c r="D86" s="21" t="n">
        <x:v>0</x:v>
      </x:c>
      <x:c r="E86" s="1" t="n">
        <x:v>1</x:v>
      </x:c>
      <x:c r="F86" s="7" t="n">
        <x:f>AD86*'損益分岐設定'!$B$5+AE86*'損益分岐設定'!$B$6+AF86*'損益分岐設定'!$B$7</x:f>
        <x:v>8000</x:v>
      </x:c>
      <x:c r="G86" s="7" t="n">
        <x:f>AG86+(AH86+AI86)*('損益分岐設定'!$B$29+0.5*'損益分岐設定'!$B$30)+AK86*'損益分岐設定'!$B$32+(AJ86+AK86/'損益分岐設定'!$B$28*'損益分岐設定'!$B$26)*('損益分岐設定'!$B$29+'損益分岐設定'!$B$31*'損益分岐設定'!$B$30)</x:f>
        <x:v>214.5579927651706</x:v>
      </x:c>
      <x:c r="H86" s="7" t="n">
        <x:f>AL86*E86</x:f>
        <x:v>533.3333333333334</x:v>
      </x:c>
      <x:c r="I86" s="7" t="n">
        <x:f>F86*(1-D86-'損益分岐設定'!$B$10)-G86-H86</x:f>
        <x:v>6964.108673901496</x:v>
      </x:c>
      <x:c r="J86" s="1" t="n">
        <x:f>IF(MIN(V86:Y86)&gt;1000,"範囲内なし",MIN(V86:Y86))</x:f>
        <x:v>5</x:v>
      </x:c>
      <x:c r="K86" s="1" t="n">
        <x:f>IF(MAX(Z86:AC86)&gt;=1000,"範囲内なし",MAX(1,MAX(Z86:AC86)+1))</x:f>
        <x:v>5</x:v>
      </x:c>
      <x:c r="L86" s="7" t="n">
        <x:f>10*I86-R86</x:f>
        <x:v>39630.15211270717</x:v>
      </x:c>
      <x:c r="M86" s="7" t="n">
        <x:f>30*I86-S86</x:f>
        <x:v>174412.32559073708</x:v>
      </x:c>
      <x:c r="N86" s="7" t="n">
        <x:f>50*I86-S86</x:f>
        <x:v>313694.499068767</x:v>
      </x:c>
      <x:c r="O86" s="7" t="n">
        <x:f>100*I86-S86</x:f>
        <x:v>661899.9327638418</x:v>
      </x:c>
      <x:c r="P86" s="7" t="n">
        <x:f>300*I86-T86</x:f>
        <x:v>2032721.6675441412</x:v>
      </x:c>
      <x:c r="Q86" s="7" t="n">
        <x:f>1000*I86-U86</x:f>
        <x:v>6877597.739275189</x:v>
      </x:c>
      <x:c r="R8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86*'損益分岐設定'!$B$12*'損益分岐設定'!$B$11</x:f>
        <x:v>30010.934626307797</x:v>
      </x:c>
      <x:c r="S8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86*'損益分岐設定'!$B$12*'損益分岐設定'!$B$11</x:f>
        <x:v>34510.9346263078</x:v>
      </x:c>
      <x:c r="T8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86*'損益分岐設定'!$B$12*'損益分岐設定'!$B$11</x:f>
        <x:v>56510.9346263078</x:v>
      </x:c>
      <x:c r="U8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86*'損益分岐設定'!$B$12*'損益分岐設定'!$B$11</x:f>
        <x:v>86510.9346263078</x:v>
      </x:c>
      <x:c r="V86" s="1" t="n">
        <x:f>IF(I86&lt;=0,1001,IF(MAX('損益分岐設定'!B37,ROUNDUP(R86/I86,0))&lt;='損益分岐設定'!C37,MAX('損益分岐設定'!B37,ROUNDUP(R86/I86,0)),1001))</x:f>
        <x:v>5</x:v>
      </x:c>
      <x:c r="W86" s="1" t="n">
        <x:f>IF(I86&lt;=0,1001,IF(MAX('損益分岐設定'!B38,ROUNDUP(S86/I86,0))&lt;='損益分岐設定'!C38,MAX('損益分岐設定'!B38,ROUNDUP(S86/I86,0)),1001))</x:f>
        <x:v>11</x:v>
      </x:c>
      <x:c r="X86" s="1" t="n">
        <x:f>IF(I86&lt;=0,1001,IF(MAX('損益分岐設定'!B39,ROUNDUP(T86/I86,0))&lt;='損益分岐設定'!C39,MAX('損益分岐設定'!B39,ROUNDUP(T86/I86,0)),1001))</x:f>
        <x:v>101</x:v>
      </x:c>
      <x:c r="Y86" s="1" t="n">
        <x:f>IF(I86&lt;=0,1001,IF(MAX('損益分岐設定'!B40,ROUNDUP(U86/I86,0))&lt;='損益分岐設定'!C40,MAX('損益分岐設定'!B40,ROUNDUP(U86/I86,0)),1001))</x:f>
        <x:v>501</x:v>
      </x:c>
      <x:c r="Z86" s="1" t="n">
        <x:f>IF(I86&lt;=0,'損益分岐設定'!C37,IF('損益分岐設定'!C37*I86-R86&lt;0,'損益分岐設定'!C37,IF('損益分岐設定'!B37*I86-R86&gt;=0,0,ROUNDUP(R86/I86,0)-1)))</x:f>
        <x:v>4</x:v>
      </x:c>
      <x:c r="AA86" s="1" t="n">
        <x:f>IF(I86&lt;=0,'損益分岐設定'!C38,IF('損益分岐設定'!C38*I86-S86&lt;0,'損益分岐設定'!C38,IF('損益分岐設定'!B38*I86-S86&gt;=0,0,ROUNDUP(S86/I86,0)-1)))</x:f>
        <x:v>0</x:v>
      </x:c>
      <x:c r="AB86" s="1" t="n">
        <x:f>IF(I86&lt;=0,'損益分岐設定'!C39,IF('損益分岐設定'!C39*I86-T86&lt;0,'損益分岐設定'!C39,IF('損益分岐設定'!B39*I86-T86&gt;=0,0,ROUNDUP(T86/I86,0)-1)))</x:f>
        <x:v>0</x:v>
      </x:c>
      <x:c r="AC86" s="1" t="n">
        <x:f>IF(I86&lt;=0,'損益分岐設定'!C40,IF('損益分岐設定'!C40*I86-U86&lt;0,'損益分岐設定'!C40,IF('損益分岐設定'!B40*I86-U86&gt;=0,0,ROUNDUP(U86/I86,0)-1)))</x:f>
        <x:v>0</x:v>
      </x:c>
      <x:c r="AD86" s="1" t="n">
        <x:v>0</x:v>
      </x:c>
      <x:c r="AE86" s="1" t="n">
        <x:v>0</x:v>
      </x:c>
      <x:c r="AF86" s="1" t="n">
        <x:v>1</x:v>
      </x:c>
      <x:c r="AG86" s="1" t="n">
        <x:f>AD86*'損益分岐設定'!$C$56+AE86*'損益分岐設定'!$C$59+AF86*'損益分岐設定'!$C$62</x:f>
        <x:v>213.56512359619143</x:v>
      </x:c>
      <x:c r="AH86" s="1" t="n">
        <x:f>AD86*'損益分岐設定'!$D$56+AE86*'損益分岐設定'!$D$59+AF86*'損益分岐設定'!$D$62</x:f>
        <x:v>75</x:v>
      </x:c>
      <x:c r="AI86" s="1" t="n">
        <x:f>AD86*'損益分岐設定'!$E$56+AE86*'損益分岐設定'!$E$59+AF86*'損益分岐設定'!$E$62</x:f>
        <x:v>50</x:v>
      </x:c>
      <x:c r="AJ86" s="1" t="n">
        <x:f>(AD86*'損益分岐設定'!$F$56+AE86*'損益分岐設定'!$F$59+AF86*'損益分岐設定'!$F$62*1)*'損益分岐設定'!$B$22</x:f>
        <x:v>75</x:v>
      </x:c>
      <x:c r="AK86" s="1" t="n">
        <x:f>AD86*'損益分岐設定'!$G$56+AE86*'損益分岐設定'!$G$59+AF86*'損益分岐設定'!$G$62</x:f>
        <x:v>250</x:v>
      </x:c>
      <x:c r="AL86" s="1" t="n">
        <x:f>AD86*'損益分岐設定'!$H$56+AE86*'損益分岐設定'!$H$59+AF86*'損益分岐設定'!$H$62</x:f>
        <x:v>533.3333333333334</x:v>
      </x:c>
      <x:c r="AM86" s="1" t="n">
        <x:f>MAX(1,ROUNDUP('損益分岐設定'!C37*AJ86/('損益分岐設定'!$B$23*'損益分岐設定'!$B$24*3600*'損益分岐設定'!$B$25),0))</x:f>
        <x:v>1</x:v>
      </x:c>
      <x:c r="AN86" s="1" t="n">
        <x:f>MAX(2,ROUNDUP('損益分岐設定'!C38*AJ86/('損益分岐設定'!$B$23*'損益分岐設定'!$B$24*3600*'損益分岐設定'!$B$25),0))</x:f>
        <x:v>2</x:v>
      </x:c>
      <x:c r="AO86" s="1" t="n">
        <x:f>MAX(2,ROUNDUP('損益分岐設定'!C39*AJ86/('損益分岐設定'!$B$23*'損益分岐設定'!$B$24*3600*'損益分岐設定'!$B$25),0))</x:f>
        <x:v>2</x:v>
      </x:c>
      <x:c r="AP86" s="1" t="n">
        <x:f>MAX(2,ROUNDUP('損益分岐設定'!C40*AJ86/('損益分岐設定'!$B$23*'損益分岐設定'!$B$24*3600*'損益分岐設定'!$B$25),0))</x:f>
        <x:v>2</x:v>
      </x:c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 ht="23" customHeight="1">
      <x:c r="A87" s="1" t="str">
        <x:v>Run</x:v>
      </x:c>
      <x:c r="B87" s="1" t="str">
        <x:v>Business Plus</x:v>
      </x:c>
      <x:c r="C87" s="1" t="str">
        <x:v>低位</x:v>
      </x:c>
      <x:c r="D87" s="21" t="n">
        <x:v>0.2</x:v>
      </x:c>
      <x:c r="E87" s="1" t="n">
        <x:v>0</x:v>
      </x:c>
      <x:c r="F87" s="7" t="n">
        <x:f>AD87*'損益分岐設定'!$B$5+AE87*'損益分岐設定'!$B$6+AF87*'損益分岐設定'!$B$7</x:f>
        <x:v>8000</x:v>
      </x:c>
      <x:c r="G87" s="7" t="n">
        <x:f>AG87+(AH87+AI87)*('損益分岐設定'!$B$29+0.5*'損益分岐設定'!$B$30)+AK87*'損益分岐設定'!$B$32+(AJ87+AK87/'損益分岐設定'!$B$28*'損益分岐設定'!$B$26)*('損益分岐設定'!$B$29+'損益分岐設定'!$B$31*'損益分岐設定'!$B$30)</x:f>
        <x:v>214.5579927651706</x:v>
      </x:c>
      <x:c r="H87" s="7" t="n">
        <x:f>AL87*E87</x:f>
        <x:v>0</x:v>
      </x:c>
      <x:c r="I87" s="7" t="n">
        <x:f>F87*(1-D87-'損益分岐設定'!$B$10)-G87-H87</x:f>
        <x:v>5897.442007234829</x:v>
      </x:c>
      <x:c r="J87" s="1" t="n">
        <x:f>IF(MIN(V87:Y87)&gt;1000,"範囲内なし",MIN(V87:Y87))</x:f>
        <x:v>4</x:v>
      </x:c>
      <x:c r="K87" s="1" t="n">
        <x:f>IF(MAX(Z87:AC87)&gt;=1000,"範囲内なし",MAX(1,MAX(Z87:AC87)+1))</x:f>
        <x:v>4</x:v>
      </x:c>
      <x:c r="L87" s="7" t="n">
        <x:f>10*I87-R87</x:f>
        <x:v>36963.4854460405</x:v>
      </x:c>
      <x:c r="M87" s="7" t="n">
        <x:f>30*I87-S87</x:f>
        <x:v>150412.32559073708</x:v>
      </x:c>
      <x:c r="N87" s="7" t="n">
        <x:f>50*I87-S87</x:f>
        <x:v>268361.1657354337</x:v>
      </x:c>
      <x:c r="O87" s="7" t="n">
        <x:f>100*I87-S87</x:f>
        <x:v>563233.2660971752</x:v>
      </x:c>
      <x:c r="P87" s="7" t="n">
        <x:f>300*I87-T87</x:f>
        <x:v>1720721.667544141</x:v>
      </x:c>
      <x:c r="Q87" s="7" t="n">
        <x:f>1000*I87-U87</x:f>
        <x:v>5818931.072608521</x:v>
      </x:c>
      <x:c r="R8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87*'損益分岐設定'!$B$12*'損益分岐設定'!$B$11</x:f>
        <x:v>22010.934626307797</x:v>
      </x:c>
      <x:c r="S8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87*'損益分岐設定'!$B$12*'損益分岐設定'!$B$11</x:f>
        <x:v>26510.934626307797</x:v>
      </x:c>
      <x:c r="T8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87*'損益分岐設定'!$B$12*'損益分岐設定'!$B$11</x:f>
        <x:v>48510.9346263078</x:v>
      </x:c>
      <x:c r="U8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87*'損益分岐設定'!$B$12*'損益分岐設定'!$B$11</x:f>
        <x:v>78510.9346263078</x:v>
      </x:c>
      <x:c r="V87" s="1" t="n">
        <x:f>IF(I87&lt;=0,1001,IF(MAX('損益分岐設定'!B37,ROUNDUP(R87/I87,0))&lt;='損益分岐設定'!C37,MAX('損益分岐設定'!B37,ROUNDUP(R87/I87,0)),1001))</x:f>
        <x:v>4</x:v>
      </x:c>
      <x:c r="W87" s="1" t="n">
        <x:f>IF(I87&lt;=0,1001,IF(MAX('損益分岐設定'!B38,ROUNDUP(S87/I87,0))&lt;='損益分岐設定'!C38,MAX('損益分岐設定'!B38,ROUNDUP(S87/I87,0)),1001))</x:f>
        <x:v>11</x:v>
      </x:c>
      <x:c r="X87" s="1" t="n">
        <x:f>IF(I87&lt;=0,1001,IF(MAX('損益分岐設定'!B39,ROUNDUP(T87/I87,0))&lt;='損益分岐設定'!C39,MAX('損益分岐設定'!B39,ROUNDUP(T87/I87,0)),1001))</x:f>
        <x:v>101</x:v>
      </x:c>
      <x:c r="Y87" s="1" t="n">
        <x:f>IF(I87&lt;=0,1001,IF(MAX('損益分岐設定'!B40,ROUNDUP(U87/I87,0))&lt;='損益分岐設定'!C40,MAX('損益分岐設定'!B40,ROUNDUP(U87/I87,0)),1001))</x:f>
        <x:v>501</x:v>
      </x:c>
      <x:c r="Z87" s="1" t="n">
        <x:f>IF(I87&lt;=0,'損益分岐設定'!C37,IF('損益分岐設定'!C37*I87-R87&lt;0,'損益分岐設定'!C37,IF('損益分岐設定'!B37*I87-R87&gt;=0,0,ROUNDUP(R87/I87,0)-1)))</x:f>
        <x:v>3</x:v>
      </x:c>
      <x:c r="AA87" s="1" t="n">
        <x:f>IF(I87&lt;=0,'損益分岐設定'!C38,IF('損益分岐設定'!C38*I87-S87&lt;0,'損益分岐設定'!C38,IF('損益分岐設定'!B38*I87-S87&gt;=0,0,ROUNDUP(S87/I87,0)-1)))</x:f>
        <x:v>0</x:v>
      </x:c>
      <x:c r="AB87" s="1" t="n">
        <x:f>IF(I87&lt;=0,'損益分岐設定'!C39,IF('損益分岐設定'!C39*I87-T87&lt;0,'損益分岐設定'!C39,IF('損益分岐設定'!B39*I87-T87&gt;=0,0,ROUNDUP(T87/I87,0)-1)))</x:f>
        <x:v>0</x:v>
      </x:c>
      <x:c r="AC87" s="1" t="n">
        <x:f>IF(I87&lt;=0,'損益分岐設定'!C40,IF('損益分岐設定'!C40*I87-U87&lt;0,'損益分岐設定'!C40,IF('損益分岐設定'!B40*I87-U87&gt;=0,0,ROUNDUP(U87/I87,0)-1)))</x:f>
        <x:v>0</x:v>
      </x:c>
      <x:c r="AD87" s="1" t="n">
        <x:v>0</x:v>
      </x:c>
      <x:c r="AE87" s="1" t="n">
        <x:v>0</x:v>
      </x:c>
      <x:c r="AF87" s="1" t="n">
        <x:v>1</x:v>
      </x:c>
      <x:c r="AG87" s="1" t="n">
        <x:f>AD87*'損益分岐設定'!$C$56+AE87*'損益分岐設定'!$C$59+AF87*'損益分岐設定'!$C$62</x:f>
        <x:v>213.56512359619143</x:v>
      </x:c>
      <x:c r="AH87" s="1" t="n">
        <x:f>AD87*'損益分岐設定'!$D$56+AE87*'損益分岐設定'!$D$59+AF87*'損益分岐設定'!$D$62</x:f>
        <x:v>75</x:v>
      </x:c>
      <x:c r="AI87" s="1" t="n">
        <x:f>AD87*'損益分岐設定'!$E$56+AE87*'損益分岐設定'!$E$59+AF87*'損益分岐設定'!$E$62</x:f>
        <x:v>50</x:v>
      </x:c>
      <x:c r="AJ87" s="1" t="n">
        <x:f>(AD87*'損益分岐設定'!$F$56+AE87*'損益分岐設定'!$F$59+AF87*'損益分岐設定'!$F$62*1)*'損益分岐設定'!$B$22</x:f>
        <x:v>75</x:v>
      </x:c>
      <x:c r="AK87" s="1" t="n">
        <x:f>AD87*'損益分岐設定'!$G$56+AE87*'損益分岐設定'!$G$59+AF87*'損益分岐設定'!$G$62</x:f>
        <x:v>250</x:v>
      </x:c>
      <x:c r="AL87" s="1" t="n">
        <x:f>AD87*'損益分岐設定'!$H$56+AE87*'損益分岐設定'!$H$59+AF87*'損益分岐設定'!$H$62</x:f>
        <x:v>533.3333333333334</x:v>
      </x:c>
      <x:c r="AM87" s="1" t="n">
        <x:f>MAX(1,ROUNDUP('損益分岐設定'!C37*AJ87/('損益分岐設定'!$B$23*'損益分岐設定'!$B$24*3600*'損益分岐設定'!$B$25),0))</x:f>
        <x:v>1</x:v>
      </x:c>
      <x:c r="AN87" s="1" t="n">
        <x:f>MAX(2,ROUNDUP('損益分岐設定'!C38*AJ87/('損益分岐設定'!$B$23*'損益分岐設定'!$B$24*3600*'損益分岐設定'!$B$25),0))</x:f>
        <x:v>2</x:v>
      </x:c>
      <x:c r="AO87" s="1" t="n">
        <x:f>MAX(2,ROUNDUP('損益分岐設定'!C39*AJ87/('損益分岐設定'!$B$23*'損益分岐設定'!$B$24*3600*'損益分岐設定'!$B$25),0))</x:f>
        <x:v>2</x:v>
      </x:c>
      <x:c r="AP87" s="1" t="n">
        <x:f>MAX(2,ROUNDUP('損益分岐設定'!C40*AJ87/('損益分岐設定'!$B$23*'損益分岐設定'!$B$24*3600*'損益分岐設定'!$B$25),0))</x:f>
        <x:v>2</x:v>
      </x:c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 ht="23" customHeight="1">
      <x:c r="A88" s="1" t="str">
        <x:v>Run</x:v>
      </x:c>
      <x:c r="B88" s="1" t="str">
        <x:v>Business Plus</x:v>
      </x:c>
      <x:c r="C88" s="1" t="str">
        <x:v>低位</x:v>
      </x:c>
      <x:c r="D88" s="21" t="n">
        <x:v>0.2</x:v>
      </x:c>
      <x:c r="E88" s="1" t="n">
        <x:v>1</x:v>
      </x:c>
      <x:c r="F88" s="7" t="n">
        <x:f>AD88*'損益分岐設定'!$B$5+AE88*'損益分岐設定'!$B$6+AF88*'損益分岐設定'!$B$7</x:f>
        <x:v>8000</x:v>
      </x:c>
      <x:c r="G88" s="7" t="n">
        <x:f>AG88+(AH88+AI88)*('損益分岐設定'!$B$29+0.5*'損益分岐設定'!$B$30)+AK88*'損益分岐設定'!$B$32+(AJ88+AK88/'損益分岐設定'!$B$28*'損益分岐設定'!$B$26)*('損益分岐設定'!$B$29+'損益分岐設定'!$B$31*'損益分岐設定'!$B$30)</x:f>
        <x:v>214.5579927651706</x:v>
      </x:c>
      <x:c r="H88" s="7" t="n">
        <x:f>AL88*E88</x:f>
        <x:v>533.3333333333334</x:v>
      </x:c>
      <x:c r="I88" s="7" t="n">
        <x:f>F88*(1-D88-'損益分岐設定'!$B$10)-G88-H88</x:f>
        <x:v>5364.108673901496</x:v>
      </x:c>
      <x:c r="J88" s="1" t="n">
        <x:f>IF(MIN(V88:Y88)&gt;1000,"範囲内なし",MIN(V88:Y88))</x:f>
        <x:v>6</x:v>
      </x:c>
      <x:c r="K88" s="1" t="n">
        <x:f>IF(MAX(Z88:AC88)&gt;=1000,"範囲内なし",MAX(1,MAX(Z88:AC88)+1))</x:f>
        <x:v>6</x:v>
      </x:c>
      <x:c r="L88" s="7" t="n">
        <x:f>10*I88-R88</x:f>
        <x:v>23630.15211270717</x:v>
      </x:c>
      <x:c r="M88" s="7" t="n">
        <x:f>30*I88-S88</x:f>
        <x:v>126412.32559073708</x:v>
      </x:c>
      <x:c r="N88" s="7" t="n">
        <x:f>50*I88-S88</x:f>
        <x:v>233694.499068767</x:v>
      </x:c>
      <x:c r="O88" s="7" t="n">
        <x:f>100*I88-S88</x:f>
        <x:v>501899.9327638418</x:v>
      </x:c>
      <x:c r="P88" s="7" t="n">
        <x:f>300*I88-T88</x:f>
        <x:v>1552721.6675441412</x:v>
      </x:c>
      <x:c r="Q88" s="7" t="n">
        <x:f>1000*I88-U88</x:f>
        <x:v>5277597.739275189</x:v>
      </x:c>
      <x:c r="R8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88*'損益分岐設定'!$B$12*'損益分岐設定'!$B$11</x:f>
        <x:v>30010.934626307797</x:v>
      </x:c>
      <x:c r="S8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88*'損益分岐設定'!$B$12*'損益分岐設定'!$B$11</x:f>
        <x:v>34510.9346263078</x:v>
      </x:c>
      <x:c r="T8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88*'損益分岐設定'!$B$12*'損益分岐設定'!$B$11</x:f>
        <x:v>56510.9346263078</x:v>
      </x:c>
      <x:c r="U8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88*'損益分岐設定'!$B$12*'損益分岐設定'!$B$11</x:f>
        <x:v>86510.9346263078</x:v>
      </x:c>
      <x:c r="V88" s="1" t="n">
        <x:f>IF(I88&lt;=0,1001,IF(MAX('損益分岐設定'!B37,ROUNDUP(R88/I88,0))&lt;='損益分岐設定'!C37,MAX('損益分岐設定'!B37,ROUNDUP(R88/I88,0)),1001))</x:f>
        <x:v>6</x:v>
      </x:c>
      <x:c r="W88" s="1" t="n">
        <x:f>IF(I88&lt;=0,1001,IF(MAX('損益分岐設定'!B38,ROUNDUP(S88/I88,0))&lt;='損益分岐設定'!C38,MAX('損益分岐設定'!B38,ROUNDUP(S88/I88,0)),1001))</x:f>
        <x:v>11</x:v>
      </x:c>
      <x:c r="X88" s="1" t="n">
        <x:f>IF(I88&lt;=0,1001,IF(MAX('損益分岐設定'!B39,ROUNDUP(T88/I88,0))&lt;='損益分岐設定'!C39,MAX('損益分岐設定'!B39,ROUNDUP(T88/I88,0)),1001))</x:f>
        <x:v>101</x:v>
      </x:c>
      <x:c r="Y88" s="1" t="n">
        <x:f>IF(I88&lt;=0,1001,IF(MAX('損益分岐設定'!B40,ROUNDUP(U88/I88,0))&lt;='損益分岐設定'!C40,MAX('損益分岐設定'!B40,ROUNDUP(U88/I88,0)),1001))</x:f>
        <x:v>501</x:v>
      </x:c>
      <x:c r="Z88" s="1" t="n">
        <x:f>IF(I88&lt;=0,'損益分岐設定'!C37,IF('損益分岐設定'!C37*I88-R88&lt;0,'損益分岐設定'!C37,IF('損益分岐設定'!B37*I88-R88&gt;=0,0,ROUNDUP(R88/I88,0)-1)))</x:f>
        <x:v>5</x:v>
      </x:c>
      <x:c r="AA88" s="1" t="n">
        <x:f>IF(I88&lt;=0,'損益分岐設定'!C38,IF('損益分岐設定'!C38*I88-S88&lt;0,'損益分岐設定'!C38,IF('損益分岐設定'!B38*I88-S88&gt;=0,0,ROUNDUP(S88/I88,0)-1)))</x:f>
        <x:v>0</x:v>
      </x:c>
      <x:c r="AB88" s="1" t="n">
        <x:f>IF(I88&lt;=0,'損益分岐設定'!C39,IF('損益分岐設定'!C39*I88-T88&lt;0,'損益分岐設定'!C39,IF('損益分岐設定'!B39*I88-T88&gt;=0,0,ROUNDUP(T88/I88,0)-1)))</x:f>
        <x:v>0</x:v>
      </x:c>
      <x:c r="AC88" s="1" t="n">
        <x:f>IF(I88&lt;=0,'損益分岐設定'!C40,IF('損益分岐設定'!C40*I88-U88&lt;0,'損益分岐設定'!C40,IF('損益分岐設定'!B40*I88-U88&gt;=0,0,ROUNDUP(U88/I88,0)-1)))</x:f>
        <x:v>0</x:v>
      </x:c>
      <x:c r="AD88" s="1" t="n">
        <x:v>0</x:v>
      </x:c>
      <x:c r="AE88" s="1" t="n">
        <x:v>0</x:v>
      </x:c>
      <x:c r="AF88" s="1" t="n">
        <x:v>1</x:v>
      </x:c>
      <x:c r="AG88" s="1" t="n">
        <x:f>AD88*'損益分岐設定'!$C$56+AE88*'損益分岐設定'!$C$59+AF88*'損益分岐設定'!$C$62</x:f>
        <x:v>213.56512359619143</x:v>
      </x:c>
      <x:c r="AH88" s="1" t="n">
        <x:f>AD88*'損益分岐設定'!$D$56+AE88*'損益分岐設定'!$D$59+AF88*'損益分岐設定'!$D$62</x:f>
        <x:v>75</x:v>
      </x:c>
      <x:c r="AI88" s="1" t="n">
        <x:f>AD88*'損益分岐設定'!$E$56+AE88*'損益分岐設定'!$E$59+AF88*'損益分岐設定'!$E$62</x:f>
        <x:v>50</x:v>
      </x:c>
      <x:c r="AJ88" s="1" t="n">
        <x:f>(AD88*'損益分岐設定'!$F$56+AE88*'損益分岐設定'!$F$59+AF88*'損益分岐設定'!$F$62*1)*'損益分岐設定'!$B$22</x:f>
        <x:v>75</x:v>
      </x:c>
      <x:c r="AK88" s="1" t="n">
        <x:f>AD88*'損益分岐設定'!$G$56+AE88*'損益分岐設定'!$G$59+AF88*'損益分岐設定'!$G$62</x:f>
        <x:v>250</x:v>
      </x:c>
      <x:c r="AL88" s="1" t="n">
        <x:f>AD88*'損益分岐設定'!$H$56+AE88*'損益分岐設定'!$H$59+AF88*'損益分岐設定'!$H$62</x:f>
        <x:v>533.3333333333334</x:v>
      </x:c>
      <x:c r="AM88" s="1" t="n">
        <x:f>MAX(1,ROUNDUP('損益分岐設定'!C37*AJ88/('損益分岐設定'!$B$23*'損益分岐設定'!$B$24*3600*'損益分岐設定'!$B$25),0))</x:f>
        <x:v>1</x:v>
      </x:c>
      <x:c r="AN88" s="1" t="n">
        <x:f>MAX(2,ROUNDUP('損益分岐設定'!C38*AJ88/('損益分岐設定'!$B$23*'損益分岐設定'!$B$24*3600*'損益分岐設定'!$B$25),0))</x:f>
        <x:v>2</x:v>
      </x:c>
      <x:c r="AO88" s="1" t="n">
        <x:f>MAX(2,ROUNDUP('損益分岐設定'!C39*AJ88/('損益分岐設定'!$B$23*'損益分岐設定'!$B$24*3600*'損益分岐設定'!$B$25),0))</x:f>
        <x:v>2</x:v>
      </x:c>
      <x:c r="AP88" s="1" t="n">
        <x:f>MAX(2,ROUNDUP('損益分岐設定'!C40*AJ88/('損益分岐設定'!$B$23*'損益分岐設定'!$B$24*3600*'損益分岐設定'!$B$25),0))</x:f>
        <x:v>2</x:v>
      </x:c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 ht="23" customHeight="1">
      <x:c r="A89" s="1" t="str">
        <x:v>Run</x:v>
      </x:c>
      <x:c r="B89" s="1" t="str">
        <x:v>Business Plus</x:v>
      </x:c>
      <x:c r="C89" s="1" t="str">
        <x:v>低位</x:v>
      </x:c>
      <x:c r="D89" s="21" t="n">
        <x:v>0.3</x:v>
      </x:c>
      <x:c r="E89" s="1" t="n">
        <x:v>0</x:v>
      </x:c>
      <x:c r="F89" s="7" t="n">
        <x:f>AD89*'損益分岐設定'!$B$5+AE89*'損益分岐設定'!$B$6+AF89*'損益分岐設定'!$B$7</x:f>
        <x:v>8000</x:v>
      </x:c>
      <x:c r="G89" s="7" t="n">
        <x:f>AG89+(AH89+AI89)*('損益分岐設定'!$B$29+0.5*'損益分岐設定'!$B$30)+AK89*'損益分岐設定'!$B$32+(AJ89+AK89/'損益分岐設定'!$B$28*'損益分岐設定'!$B$26)*('損益分岐設定'!$B$29+'損益分岐設定'!$B$31*'損益分岐設定'!$B$30)</x:f>
        <x:v>214.5579927651706</x:v>
      </x:c>
      <x:c r="H89" s="7" t="n">
        <x:f>AL89*E89</x:f>
        <x:v>0</x:v>
      </x:c>
      <x:c r="I89" s="7" t="n">
        <x:f>F89*(1-D89-'損益分岐設定'!$B$10)-G89-H89</x:f>
        <x:v>5097.442007234828</x:v>
      </x:c>
      <x:c r="J89" s="1" t="n">
        <x:f>IF(MIN(V89:Y89)&gt;1000,"範囲内なし",MIN(V89:Y89))</x:f>
        <x:v>5</x:v>
      </x:c>
      <x:c r="K89" s="1" t="n">
        <x:f>IF(MAX(Z89:AC89)&gt;=1000,"範囲内なし",MAX(1,MAX(Z89:AC89)+1))</x:f>
        <x:v>5</x:v>
      </x:c>
      <x:c r="L89" s="7" t="n">
        <x:f>10*I89-R89</x:f>
        <x:v>28963.48544604049</x:v>
      </x:c>
      <x:c r="M89" s="7" t="n">
        <x:f>30*I89-S89</x:f>
        <x:v>126412.32559073705</x:v>
      </x:c>
      <x:c r="N89" s="7" t="n">
        <x:f>50*I89-S89</x:f>
        <x:v>228361.1657354336</x:v>
      </x:c>
      <x:c r="O89" s="7" t="n">
        <x:f>100*I89-S89</x:f>
        <x:v>483233.266097175</x:v>
      </x:c>
      <x:c r="P89" s="7" t="n">
        <x:f>300*I89-T89</x:f>
        <x:v>1480721.6675441407</x:v>
      </x:c>
      <x:c r="Q89" s="7" t="n">
        <x:f>1000*I89-U89</x:f>
        <x:v>5018931.072608521</x:v>
      </x:c>
      <x:c r="R8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89*'損益分岐設定'!$B$12*'損益分岐設定'!$B$11</x:f>
        <x:v>22010.934626307797</x:v>
      </x:c>
      <x:c r="S8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89*'損益分岐設定'!$B$12*'損益分岐設定'!$B$11</x:f>
        <x:v>26510.934626307797</x:v>
      </x:c>
      <x:c r="T8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89*'損益分岐設定'!$B$12*'損益分岐設定'!$B$11</x:f>
        <x:v>48510.9346263078</x:v>
      </x:c>
      <x:c r="U8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89*'損益分岐設定'!$B$12*'損益分岐設定'!$B$11</x:f>
        <x:v>78510.9346263078</x:v>
      </x:c>
      <x:c r="V89" s="1" t="n">
        <x:f>IF(I89&lt;=0,1001,IF(MAX('損益分岐設定'!B37,ROUNDUP(R89/I89,0))&lt;='損益分岐設定'!C37,MAX('損益分岐設定'!B37,ROUNDUP(R89/I89,0)),1001))</x:f>
        <x:v>5</x:v>
      </x:c>
      <x:c r="W89" s="1" t="n">
        <x:f>IF(I89&lt;=0,1001,IF(MAX('損益分岐設定'!B38,ROUNDUP(S89/I89,0))&lt;='損益分岐設定'!C38,MAX('損益分岐設定'!B38,ROUNDUP(S89/I89,0)),1001))</x:f>
        <x:v>11</x:v>
      </x:c>
      <x:c r="X89" s="1" t="n">
        <x:f>IF(I89&lt;=0,1001,IF(MAX('損益分岐設定'!B39,ROUNDUP(T89/I89,0))&lt;='損益分岐設定'!C39,MAX('損益分岐設定'!B39,ROUNDUP(T89/I89,0)),1001))</x:f>
        <x:v>101</x:v>
      </x:c>
      <x:c r="Y89" s="1" t="n">
        <x:f>IF(I89&lt;=0,1001,IF(MAX('損益分岐設定'!B40,ROUNDUP(U89/I89,0))&lt;='損益分岐設定'!C40,MAX('損益分岐設定'!B40,ROUNDUP(U89/I89,0)),1001))</x:f>
        <x:v>501</x:v>
      </x:c>
      <x:c r="Z89" s="1" t="n">
        <x:f>IF(I89&lt;=0,'損益分岐設定'!C37,IF('損益分岐設定'!C37*I89-R89&lt;0,'損益分岐設定'!C37,IF('損益分岐設定'!B37*I89-R89&gt;=0,0,ROUNDUP(R89/I89,0)-1)))</x:f>
        <x:v>4</x:v>
      </x:c>
      <x:c r="AA89" s="1" t="n">
        <x:f>IF(I89&lt;=0,'損益分岐設定'!C38,IF('損益分岐設定'!C38*I89-S89&lt;0,'損益分岐設定'!C38,IF('損益分岐設定'!B38*I89-S89&gt;=0,0,ROUNDUP(S89/I89,0)-1)))</x:f>
        <x:v>0</x:v>
      </x:c>
      <x:c r="AB89" s="1" t="n">
        <x:f>IF(I89&lt;=0,'損益分岐設定'!C39,IF('損益分岐設定'!C39*I89-T89&lt;0,'損益分岐設定'!C39,IF('損益分岐設定'!B39*I89-T89&gt;=0,0,ROUNDUP(T89/I89,0)-1)))</x:f>
        <x:v>0</x:v>
      </x:c>
      <x:c r="AC89" s="1" t="n">
        <x:f>IF(I89&lt;=0,'損益分岐設定'!C40,IF('損益分岐設定'!C40*I89-U89&lt;0,'損益分岐設定'!C40,IF('損益分岐設定'!B40*I89-U89&gt;=0,0,ROUNDUP(U89/I89,0)-1)))</x:f>
        <x:v>0</x:v>
      </x:c>
      <x:c r="AD89" s="1" t="n">
        <x:v>0</x:v>
      </x:c>
      <x:c r="AE89" s="1" t="n">
        <x:v>0</x:v>
      </x:c>
      <x:c r="AF89" s="1" t="n">
        <x:v>1</x:v>
      </x:c>
      <x:c r="AG89" s="1" t="n">
        <x:f>AD89*'損益分岐設定'!$C$56+AE89*'損益分岐設定'!$C$59+AF89*'損益分岐設定'!$C$62</x:f>
        <x:v>213.56512359619143</x:v>
      </x:c>
      <x:c r="AH89" s="1" t="n">
        <x:f>AD89*'損益分岐設定'!$D$56+AE89*'損益分岐設定'!$D$59+AF89*'損益分岐設定'!$D$62</x:f>
        <x:v>75</x:v>
      </x:c>
      <x:c r="AI89" s="1" t="n">
        <x:f>AD89*'損益分岐設定'!$E$56+AE89*'損益分岐設定'!$E$59+AF89*'損益分岐設定'!$E$62</x:f>
        <x:v>50</x:v>
      </x:c>
      <x:c r="AJ89" s="1" t="n">
        <x:f>(AD89*'損益分岐設定'!$F$56+AE89*'損益分岐設定'!$F$59+AF89*'損益分岐設定'!$F$62*1)*'損益分岐設定'!$B$22</x:f>
        <x:v>75</x:v>
      </x:c>
      <x:c r="AK89" s="1" t="n">
        <x:f>AD89*'損益分岐設定'!$G$56+AE89*'損益分岐設定'!$G$59+AF89*'損益分岐設定'!$G$62</x:f>
        <x:v>250</x:v>
      </x:c>
      <x:c r="AL89" s="1" t="n">
        <x:f>AD89*'損益分岐設定'!$H$56+AE89*'損益分岐設定'!$H$59+AF89*'損益分岐設定'!$H$62</x:f>
        <x:v>533.3333333333334</x:v>
      </x:c>
      <x:c r="AM89" s="1" t="n">
        <x:f>MAX(1,ROUNDUP('損益分岐設定'!C37*AJ89/('損益分岐設定'!$B$23*'損益分岐設定'!$B$24*3600*'損益分岐設定'!$B$25),0))</x:f>
        <x:v>1</x:v>
      </x:c>
      <x:c r="AN89" s="1" t="n">
        <x:f>MAX(2,ROUNDUP('損益分岐設定'!C38*AJ89/('損益分岐設定'!$B$23*'損益分岐設定'!$B$24*3600*'損益分岐設定'!$B$25),0))</x:f>
        <x:v>2</x:v>
      </x:c>
      <x:c r="AO89" s="1" t="n">
        <x:f>MAX(2,ROUNDUP('損益分岐設定'!C39*AJ89/('損益分岐設定'!$B$23*'損益分岐設定'!$B$24*3600*'損益分岐設定'!$B$25),0))</x:f>
        <x:v>2</x:v>
      </x:c>
      <x:c r="AP89" s="1" t="n">
        <x:f>MAX(2,ROUNDUP('損益分岐設定'!C40*AJ89/('損益分岐設定'!$B$23*'損益分岐設定'!$B$24*3600*'損益分岐設定'!$B$25),0))</x:f>
        <x:v>2</x:v>
      </x:c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 ht="23" customHeight="1">
      <x:c r="A90" s="1" t="str">
        <x:v>Run</x:v>
      </x:c>
      <x:c r="B90" s="1" t="str">
        <x:v>Business Plus</x:v>
      </x:c>
      <x:c r="C90" s="1" t="str">
        <x:v>低位</x:v>
      </x:c>
      <x:c r="D90" s="21" t="n">
        <x:v>0.3</x:v>
      </x:c>
      <x:c r="E90" s="1" t="n">
        <x:v>1</x:v>
      </x:c>
      <x:c r="F90" s="7" t="n">
        <x:f>AD90*'損益分岐設定'!$B$5+AE90*'損益分岐設定'!$B$6+AF90*'損益分岐設定'!$B$7</x:f>
        <x:v>8000</x:v>
      </x:c>
      <x:c r="G90" s="7" t="n">
        <x:f>AG90+(AH90+AI90)*('損益分岐設定'!$B$29+0.5*'損益分岐設定'!$B$30)+AK90*'損益分岐設定'!$B$32+(AJ90+AK90/'損益分岐設定'!$B$28*'損益分岐設定'!$B$26)*('損益分岐設定'!$B$29+'損益分岐設定'!$B$31*'損益分岐設定'!$B$30)</x:f>
        <x:v>214.5579927651706</x:v>
      </x:c>
      <x:c r="H90" s="7" t="n">
        <x:f>AL90*E90</x:f>
        <x:v>533.3333333333334</x:v>
      </x:c>
      <x:c r="I90" s="7" t="n">
        <x:f>F90*(1-D90-'損益分岐設定'!$B$10)-G90-H90</x:f>
        <x:v>4564.108673901495</x:v>
      </x:c>
      <x:c r="J90" s="1" t="n">
        <x:f>IF(MIN(V90:Y90)&gt;1000,"範囲内なし",MIN(V90:Y90))</x:f>
        <x:v>7</x:v>
      </x:c>
      <x:c r="K90" s="1" t="n">
        <x:f>IF(MAX(Z90:AC90)&gt;=1000,"範囲内なし",MAX(1,MAX(Z90:AC90)+1))</x:f>
        <x:v>7</x:v>
      </x:c>
      <x:c r="L90" s="7" t="n">
        <x:f>10*I90-R90</x:f>
        <x:v>15630.152112707154</x:v>
      </x:c>
      <x:c r="M90" s="7" t="n">
        <x:f>30*I90-S90</x:f>
        <x:v>102412.32559073705</x:v>
      </x:c>
      <x:c r="N90" s="7" t="n">
        <x:f>50*I90-S90</x:f>
        <x:v>193694.49906876698</x:v>
      </x:c>
      <x:c r="O90" s="7" t="n">
        <x:f>100*I90-S90</x:f>
        <x:v>421899.93276384176</x:v>
      </x:c>
      <x:c r="P90" s="7" t="n">
        <x:f>300*I90-T90</x:f>
        <x:v>1312721.6675441407</x:v>
      </x:c>
      <x:c r="Q90" s="7" t="n">
        <x:f>1000*I90-U90</x:f>
        <x:v>4477597.739275187</x:v>
      </x:c>
      <x:c r="R9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90*'損益分岐設定'!$B$12*'損益分岐設定'!$B$11</x:f>
        <x:v>30010.934626307797</x:v>
      </x:c>
      <x:c r="S9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90*'損益分岐設定'!$B$12*'損益分岐設定'!$B$11</x:f>
        <x:v>34510.9346263078</x:v>
      </x:c>
      <x:c r="T9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90*'損益分岐設定'!$B$12*'損益分岐設定'!$B$11</x:f>
        <x:v>56510.9346263078</x:v>
      </x:c>
      <x:c r="U9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90*'損益分岐設定'!$B$12*'損益分岐設定'!$B$11</x:f>
        <x:v>86510.9346263078</x:v>
      </x:c>
      <x:c r="V90" s="1" t="n">
        <x:f>IF(I90&lt;=0,1001,IF(MAX('損益分岐設定'!B37,ROUNDUP(R90/I90,0))&lt;='損益分岐設定'!C37,MAX('損益分岐設定'!B37,ROUNDUP(R90/I90,0)),1001))</x:f>
        <x:v>7</x:v>
      </x:c>
      <x:c r="W90" s="1" t="n">
        <x:f>IF(I90&lt;=0,1001,IF(MAX('損益分岐設定'!B38,ROUNDUP(S90/I90,0))&lt;='損益分岐設定'!C38,MAX('損益分岐設定'!B38,ROUNDUP(S90/I90,0)),1001))</x:f>
        <x:v>11</x:v>
      </x:c>
      <x:c r="X90" s="1" t="n">
        <x:f>IF(I90&lt;=0,1001,IF(MAX('損益分岐設定'!B39,ROUNDUP(T90/I90,0))&lt;='損益分岐設定'!C39,MAX('損益分岐設定'!B39,ROUNDUP(T90/I90,0)),1001))</x:f>
        <x:v>101</x:v>
      </x:c>
      <x:c r="Y90" s="1" t="n">
        <x:f>IF(I90&lt;=0,1001,IF(MAX('損益分岐設定'!B40,ROUNDUP(U90/I90,0))&lt;='損益分岐設定'!C40,MAX('損益分岐設定'!B40,ROUNDUP(U90/I90,0)),1001))</x:f>
        <x:v>501</x:v>
      </x:c>
      <x:c r="Z90" s="1" t="n">
        <x:f>IF(I90&lt;=0,'損益分岐設定'!C37,IF('損益分岐設定'!C37*I90-R90&lt;0,'損益分岐設定'!C37,IF('損益分岐設定'!B37*I90-R90&gt;=0,0,ROUNDUP(R90/I90,0)-1)))</x:f>
        <x:v>6</x:v>
      </x:c>
      <x:c r="AA90" s="1" t="n">
        <x:f>IF(I90&lt;=0,'損益分岐設定'!C38,IF('損益分岐設定'!C38*I90-S90&lt;0,'損益分岐設定'!C38,IF('損益分岐設定'!B38*I90-S90&gt;=0,0,ROUNDUP(S90/I90,0)-1)))</x:f>
        <x:v>0</x:v>
      </x:c>
      <x:c r="AB90" s="1" t="n">
        <x:f>IF(I90&lt;=0,'損益分岐設定'!C39,IF('損益分岐設定'!C39*I90-T90&lt;0,'損益分岐設定'!C39,IF('損益分岐設定'!B39*I90-T90&gt;=0,0,ROUNDUP(T90/I90,0)-1)))</x:f>
        <x:v>0</x:v>
      </x:c>
      <x:c r="AC90" s="1" t="n">
        <x:f>IF(I90&lt;=0,'損益分岐設定'!C40,IF('損益分岐設定'!C40*I90-U90&lt;0,'損益分岐設定'!C40,IF('損益分岐設定'!B40*I90-U90&gt;=0,0,ROUNDUP(U90/I90,0)-1)))</x:f>
        <x:v>0</x:v>
      </x:c>
      <x:c r="AD90" s="1" t="n">
        <x:v>0</x:v>
      </x:c>
      <x:c r="AE90" s="1" t="n">
        <x:v>0</x:v>
      </x:c>
      <x:c r="AF90" s="1" t="n">
        <x:v>1</x:v>
      </x:c>
      <x:c r="AG90" s="1" t="n">
        <x:f>AD90*'損益分岐設定'!$C$56+AE90*'損益分岐設定'!$C$59+AF90*'損益分岐設定'!$C$62</x:f>
        <x:v>213.56512359619143</x:v>
      </x:c>
      <x:c r="AH90" s="1" t="n">
        <x:f>AD90*'損益分岐設定'!$D$56+AE90*'損益分岐設定'!$D$59+AF90*'損益分岐設定'!$D$62</x:f>
        <x:v>75</x:v>
      </x:c>
      <x:c r="AI90" s="1" t="n">
        <x:f>AD90*'損益分岐設定'!$E$56+AE90*'損益分岐設定'!$E$59+AF90*'損益分岐設定'!$E$62</x:f>
        <x:v>50</x:v>
      </x:c>
      <x:c r="AJ90" s="1" t="n">
        <x:f>(AD90*'損益分岐設定'!$F$56+AE90*'損益分岐設定'!$F$59+AF90*'損益分岐設定'!$F$62*1)*'損益分岐設定'!$B$22</x:f>
        <x:v>75</x:v>
      </x:c>
      <x:c r="AK90" s="1" t="n">
        <x:f>AD90*'損益分岐設定'!$G$56+AE90*'損益分岐設定'!$G$59+AF90*'損益分岐設定'!$G$62</x:f>
        <x:v>250</x:v>
      </x:c>
      <x:c r="AL90" s="1" t="n">
        <x:f>AD90*'損益分岐設定'!$H$56+AE90*'損益分岐設定'!$H$59+AF90*'損益分岐設定'!$H$62</x:f>
        <x:v>533.3333333333334</x:v>
      </x:c>
      <x:c r="AM90" s="1" t="n">
        <x:f>MAX(1,ROUNDUP('損益分岐設定'!C37*AJ90/('損益分岐設定'!$B$23*'損益分岐設定'!$B$24*3600*'損益分岐設定'!$B$25),0))</x:f>
        <x:v>1</x:v>
      </x:c>
      <x:c r="AN90" s="1" t="n">
        <x:f>MAX(2,ROUNDUP('損益分岐設定'!C38*AJ90/('損益分岐設定'!$B$23*'損益分岐設定'!$B$24*3600*'損益分岐設定'!$B$25),0))</x:f>
        <x:v>2</x:v>
      </x:c>
      <x:c r="AO90" s="1" t="n">
        <x:f>MAX(2,ROUNDUP('損益分岐設定'!C39*AJ90/('損益分岐設定'!$B$23*'損益分岐設定'!$B$24*3600*'損益分岐設定'!$B$25),0))</x:f>
        <x:v>2</x:v>
      </x:c>
      <x:c r="AP90" s="1" t="n">
        <x:f>MAX(2,ROUNDUP('損益分岐設定'!C40*AJ90/('損益分岐設定'!$B$23*'損益分岐設定'!$B$24*3600*'損益分岐設定'!$B$25),0))</x:f>
        <x:v>2</x:v>
      </x:c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 ht="23" customHeight="1">
      <x:c r="A91" s="1" t="str">
        <x:v>Run</x:v>
      </x:c>
      <x:c r="B91" s="1" t="str">
        <x:v>Business Plus</x:v>
      </x:c>
      <x:c r="C91" s="1" t="str">
        <x:v>低位</x:v>
      </x:c>
      <x:c r="D91" s="21" t="n">
        <x:v>0.4</x:v>
      </x:c>
      <x:c r="E91" s="1" t="n">
        <x:v>0</x:v>
      </x:c>
      <x:c r="F91" s="7" t="n">
        <x:f>AD91*'損益分岐設定'!$B$5+AE91*'損益分岐設定'!$B$6+AF91*'損益分岐設定'!$B$7</x:f>
        <x:v>8000</x:v>
      </x:c>
      <x:c r="G91" s="7" t="n">
        <x:f>AG91+(AH91+AI91)*('損益分岐設定'!$B$29+0.5*'損益分岐設定'!$B$30)+AK91*'損益分岐設定'!$B$32+(AJ91+AK91/'損益分岐設定'!$B$28*'損益分岐設定'!$B$26)*('損益分岐設定'!$B$29+'損益分岐設定'!$B$31*'損益分岐設定'!$B$30)</x:f>
        <x:v>214.5579927651706</x:v>
      </x:c>
      <x:c r="H91" s="7" t="n">
        <x:f>AL91*E91</x:f>
        <x:v>0</x:v>
      </x:c>
      <x:c r="I91" s="7" t="n">
        <x:f>F91*(1-D91-'損益分岐設定'!$B$10)-G91-H91</x:f>
        <x:v>4297.442007234829</x:v>
      </x:c>
      <x:c r="J91" s="1" t="n">
        <x:f>IF(MIN(V91:Y91)&gt;1000,"範囲内なし",MIN(V91:Y91))</x:f>
        <x:v>6</x:v>
      </x:c>
      <x:c r="K91" s="1" t="n">
        <x:f>IF(MAX(Z91:AC91)&gt;=1000,"範囲内なし",MAX(1,MAX(Z91:AC91)+1))</x:f>
        <x:v>6</x:v>
      </x:c>
      <x:c r="L91" s="7" t="n">
        <x:f>10*I91-R91</x:f>
        <x:v>20963.485446040497</x:v>
      </x:c>
      <x:c r="M91" s="7" t="n">
        <x:f>30*I91-S91</x:f>
        <x:v>102412.32559073708</x:v>
      </x:c>
      <x:c r="N91" s="7" t="n">
        <x:f>50*I91-S91</x:f>
        <x:v>188361.16573543366</x:v>
      </x:c>
      <x:c r="O91" s="7" t="n">
        <x:f>100*I91-S91</x:f>
        <x:v>403233.26609717513</x:v>
      </x:c>
      <x:c r="P91" s="7" t="n">
        <x:f>300*I91-T91</x:f>
        <x:v>1240721.667544141</x:v>
      </x:c>
      <x:c r="Q91" s="7" t="n">
        <x:f>1000*I91-U91</x:f>
        <x:v>4218931.072608521</x:v>
      </x:c>
      <x:c r="R9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91*'損益分岐設定'!$B$12*'損益分岐設定'!$B$11</x:f>
        <x:v>22010.934626307797</x:v>
      </x:c>
      <x:c r="S9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91*'損益分岐設定'!$B$12*'損益分岐設定'!$B$11</x:f>
        <x:v>26510.934626307797</x:v>
      </x:c>
      <x:c r="T9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91*'損益分岐設定'!$B$12*'損益分岐設定'!$B$11</x:f>
        <x:v>48510.9346263078</x:v>
      </x:c>
      <x:c r="U9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91*'損益分岐設定'!$B$12*'損益分岐設定'!$B$11</x:f>
        <x:v>78510.9346263078</x:v>
      </x:c>
      <x:c r="V91" s="1" t="n">
        <x:f>IF(I91&lt;=0,1001,IF(MAX('損益分岐設定'!B37,ROUNDUP(R91/I91,0))&lt;='損益分岐設定'!C37,MAX('損益分岐設定'!B37,ROUNDUP(R91/I91,0)),1001))</x:f>
        <x:v>6</x:v>
      </x:c>
      <x:c r="W91" s="1" t="n">
        <x:f>IF(I91&lt;=0,1001,IF(MAX('損益分岐設定'!B38,ROUNDUP(S91/I91,0))&lt;='損益分岐設定'!C38,MAX('損益分岐設定'!B38,ROUNDUP(S91/I91,0)),1001))</x:f>
        <x:v>11</x:v>
      </x:c>
      <x:c r="X91" s="1" t="n">
        <x:f>IF(I91&lt;=0,1001,IF(MAX('損益分岐設定'!B39,ROUNDUP(T91/I91,0))&lt;='損益分岐設定'!C39,MAX('損益分岐設定'!B39,ROUNDUP(T91/I91,0)),1001))</x:f>
        <x:v>101</x:v>
      </x:c>
      <x:c r="Y91" s="1" t="n">
        <x:f>IF(I91&lt;=0,1001,IF(MAX('損益分岐設定'!B40,ROUNDUP(U91/I91,0))&lt;='損益分岐設定'!C40,MAX('損益分岐設定'!B40,ROUNDUP(U91/I91,0)),1001))</x:f>
        <x:v>501</x:v>
      </x:c>
      <x:c r="Z91" s="1" t="n">
        <x:f>IF(I91&lt;=0,'損益分岐設定'!C37,IF('損益分岐設定'!C37*I91-R91&lt;0,'損益分岐設定'!C37,IF('損益分岐設定'!B37*I91-R91&gt;=0,0,ROUNDUP(R91/I91,0)-1)))</x:f>
        <x:v>5</x:v>
      </x:c>
      <x:c r="AA91" s="1" t="n">
        <x:f>IF(I91&lt;=0,'損益分岐設定'!C38,IF('損益分岐設定'!C38*I91-S91&lt;0,'損益分岐設定'!C38,IF('損益分岐設定'!B38*I91-S91&gt;=0,0,ROUNDUP(S91/I91,0)-1)))</x:f>
        <x:v>0</x:v>
      </x:c>
      <x:c r="AB91" s="1" t="n">
        <x:f>IF(I91&lt;=0,'損益分岐設定'!C39,IF('損益分岐設定'!C39*I91-T91&lt;0,'損益分岐設定'!C39,IF('損益分岐設定'!B39*I91-T91&gt;=0,0,ROUNDUP(T91/I91,0)-1)))</x:f>
        <x:v>0</x:v>
      </x:c>
      <x:c r="AC91" s="1" t="n">
        <x:f>IF(I91&lt;=0,'損益分岐設定'!C40,IF('損益分岐設定'!C40*I91-U91&lt;0,'損益分岐設定'!C40,IF('損益分岐設定'!B40*I91-U91&gt;=0,0,ROUNDUP(U91/I91,0)-1)))</x:f>
        <x:v>0</x:v>
      </x:c>
      <x:c r="AD91" s="1" t="n">
        <x:v>0</x:v>
      </x:c>
      <x:c r="AE91" s="1" t="n">
        <x:v>0</x:v>
      </x:c>
      <x:c r="AF91" s="1" t="n">
        <x:v>1</x:v>
      </x:c>
      <x:c r="AG91" s="1" t="n">
        <x:f>AD91*'損益分岐設定'!$C$56+AE91*'損益分岐設定'!$C$59+AF91*'損益分岐設定'!$C$62</x:f>
        <x:v>213.56512359619143</x:v>
      </x:c>
      <x:c r="AH91" s="1" t="n">
        <x:f>AD91*'損益分岐設定'!$D$56+AE91*'損益分岐設定'!$D$59+AF91*'損益分岐設定'!$D$62</x:f>
        <x:v>75</x:v>
      </x:c>
      <x:c r="AI91" s="1" t="n">
        <x:f>AD91*'損益分岐設定'!$E$56+AE91*'損益分岐設定'!$E$59+AF91*'損益分岐設定'!$E$62</x:f>
        <x:v>50</x:v>
      </x:c>
      <x:c r="AJ91" s="1" t="n">
        <x:f>(AD91*'損益分岐設定'!$F$56+AE91*'損益分岐設定'!$F$59+AF91*'損益分岐設定'!$F$62*1)*'損益分岐設定'!$B$22</x:f>
        <x:v>75</x:v>
      </x:c>
      <x:c r="AK91" s="1" t="n">
        <x:f>AD91*'損益分岐設定'!$G$56+AE91*'損益分岐設定'!$G$59+AF91*'損益分岐設定'!$G$62</x:f>
        <x:v>250</x:v>
      </x:c>
      <x:c r="AL91" s="1" t="n">
        <x:f>AD91*'損益分岐設定'!$H$56+AE91*'損益分岐設定'!$H$59+AF91*'損益分岐設定'!$H$62</x:f>
        <x:v>533.3333333333334</x:v>
      </x:c>
      <x:c r="AM91" s="1" t="n">
        <x:f>MAX(1,ROUNDUP('損益分岐設定'!C37*AJ91/('損益分岐設定'!$B$23*'損益分岐設定'!$B$24*3600*'損益分岐設定'!$B$25),0))</x:f>
        <x:v>1</x:v>
      </x:c>
      <x:c r="AN91" s="1" t="n">
        <x:f>MAX(2,ROUNDUP('損益分岐設定'!C38*AJ91/('損益分岐設定'!$B$23*'損益分岐設定'!$B$24*3600*'損益分岐設定'!$B$25),0))</x:f>
        <x:v>2</x:v>
      </x:c>
      <x:c r="AO91" s="1" t="n">
        <x:f>MAX(2,ROUNDUP('損益分岐設定'!C39*AJ91/('損益分岐設定'!$B$23*'損益分岐設定'!$B$24*3600*'損益分岐設定'!$B$25),0))</x:f>
        <x:v>2</x:v>
      </x:c>
      <x:c r="AP91" s="1" t="n">
        <x:f>MAX(2,ROUNDUP('損益分岐設定'!C40*AJ91/('損益分岐設定'!$B$23*'損益分岐設定'!$B$24*3600*'損益分岐設定'!$B$25),0))</x:f>
        <x:v>2</x:v>
      </x:c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 ht="23" customHeight="1">
      <x:c r="A92" s="1" t="str">
        <x:v>Run</x:v>
      </x:c>
      <x:c r="B92" s="1" t="str">
        <x:v>Business Plus</x:v>
      </x:c>
      <x:c r="C92" s="1" t="str">
        <x:v>低位</x:v>
      </x:c>
      <x:c r="D92" s="21" t="n">
        <x:v>0.4</x:v>
      </x:c>
      <x:c r="E92" s="1" t="n">
        <x:v>1</x:v>
      </x:c>
      <x:c r="F92" s="7" t="n">
        <x:f>AD92*'損益分岐設定'!$B$5+AE92*'損益分岐設定'!$B$6+AF92*'損益分岐設定'!$B$7</x:f>
        <x:v>8000</x:v>
      </x:c>
      <x:c r="G92" s="7" t="n">
        <x:f>AG92+(AH92+AI92)*('損益分岐設定'!$B$29+0.5*'損益分岐設定'!$B$30)+AK92*'損益分岐設定'!$B$32+(AJ92+AK92/'損益分岐設定'!$B$28*'損益分岐設定'!$B$26)*('損益分岐設定'!$B$29+'損益分岐設定'!$B$31*'損益分岐設定'!$B$30)</x:f>
        <x:v>214.5579927651706</x:v>
      </x:c>
      <x:c r="H92" s="7" t="n">
        <x:f>AL92*E92</x:f>
        <x:v>533.3333333333334</x:v>
      </x:c>
      <x:c r="I92" s="7" t="n">
        <x:f>F92*(1-D92-'損益分岐設定'!$B$10)-G92-H92</x:f>
        <x:v>3764.108673901496</x:v>
      </x:c>
      <x:c r="J92" s="1" t="n">
        <x:f>IF(MIN(V92:Y92)&gt;1000,"範囲内なし",MIN(V92:Y92))</x:f>
        <x:v>8</x:v>
      </x:c>
      <x:c r="K92" s="1" t="n">
        <x:f>IF(MAX(Z92:AC92)&gt;=1000,"範囲内なし",MAX(1,MAX(Z92:AC92)+1))</x:f>
        <x:v>8</x:v>
      </x:c>
      <x:c r="L92" s="7" t="n">
        <x:f>10*I92-R92</x:f>
        <x:v>7630.152112707161</x:v>
      </x:c>
      <x:c r="M92" s="7" t="n">
        <x:f>30*I92-S92</x:f>
        <x:v>78412.32559073708</x:v>
      </x:c>
      <x:c r="N92" s="7" t="n">
        <x:f>50*I92-S92</x:f>
        <x:v>153694.49906876698</x:v>
      </x:c>
      <x:c r="O92" s="7" t="n">
        <x:f>100*I92-S92</x:f>
        <x:v>341899.93276384176</x:v>
      </x:c>
      <x:c r="P92" s="7" t="n">
        <x:f>300*I92-T92</x:f>
        <x:v>1072721.667544141</x:v>
      </x:c>
      <x:c r="Q92" s="7" t="n">
        <x:f>1000*I92-U92</x:f>
        <x:v>3677597.739275188</x:v>
      </x:c>
      <x:c r="R9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92*'損益分岐設定'!$B$12*'損益分岐設定'!$B$11</x:f>
        <x:v>30010.934626307797</x:v>
      </x:c>
      <x:c r="S9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92*'損益分岐設定'!$B$12*'損益分岐設定'!$B$11</x:f>
        <x:v>34510.9346263078</x:v>
      </x:c>
      <x:c r="T9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92*'損益分岐設定'!$B$12*'損益分岐設定'!$B$11</x:f>
        <x:v>56510.9346263078</x:v>
      </x:c>
      <x:c r="U9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92*'損益分岐設定'!$B$12*'損益分岐設定'!$B$11</x:f>
        <x:v>86510.9346263078</x:v>
      </x:c>
      <x:c r="V92" s="1" t="n">
        <x:f>IF(I92&lt;=0,1001,IF(MAX('損益分岐設定'!B37,ROUNDUP(R92/I92,0))&lt;='損益分岐設定'!C37,MAX('損益分岐設定'!B37,ROUNDUP(R92/I92,0)),1001))</x:f>
        <x:v>8</x:v>
      </x:c>
      <x:c r="W92" s="1" t="n">
        <x:f>IF(I92&lt;=0,1001,IF(MAX('損益分岐設定'!B38,ROUNDUP(S92/I92,0))&lt;='損益分岐設定'!C38,MAX('損益分岐設定'!B38,ROUNDUP(S92/I92,0)),1001))</x:f>
        <x:v>11</x:v>
      </x:c>
      <x:c r="X92" s="1" t="n">
        <x:f>IF(I92&lt;=0,1001,IF(MAX('損益分岐設定'!B39,ROUNDUP(T92/I92,0))&lt;='損益分岐設定'!C39,MAX('損益分岐設定'!B39,ROUNDUP(T92/I92,0)),1001))</x:f>
        <x:v>101</x:v>
      </x:c>
      <x:c r="Y92" s="1" t="n">
        <x:f>IF(I92&lt;=0,1001,IF(MAX('損益分岐設定'!B40,ROUNDUP(U92/I92,0))&lt;='損益分岐設定'!C40,MAX('損益分岐設定'!B40,ROUNDUP(U92/I92,0)),1001))</x:f>
        <x:v>501</x:v>
      </x:c>
      <x:c r="Z92" s="1" t="n">
        <x:f>IF(I92&lt;=0,'損益分岐設定'!C37,IF('損益分岐設定'!C37*I92-R92&lt;0,'損益分岐設定'!C37,IF('損益分岐設定'!B37*I92-R92&gt;=0,0,ROUNDUP(R92/I92,0)-1)))</x:f>
        <x:v>7</x:v>
      </x:c>
      <x:c r="AA92" s="1" t="n">
        <x:f>IF(I92&lt;=0,'損益分岐設定'!C38,IF('損益分岐設定'!C38*I92-S92&lt;0,'損益分岐設定'!C38,IF('損益分岐設定'!B38*I92-S92&gt;=0,0,ROUNDUP(S92/I92,0)-1)))</x:f>
        <x:v>0</x:v>
      </x:c>
      <x:c r="AB92" s="1" t="n">
        <x:f>IF(I92&lt;=0,'損益分岐設定'!C39,IF('損益分岐設定'!C39*I92-T92&lt;0,'損益分岐設定'!C39,IF('損益分岐設定'!B39*I92-T92&gt;=0,0,ROUNDUP(T92/I92,0)-1)))</x:f>
        <x:v>0</x:v>
      </x:c>
      <x:c r="AC92" s="1" t="n">
        <x:f>IF(I92&lt;=0,'損益分岐設定'!C40,IF('損益分岐設定'!C40*I92-U92&lt;0,'損益分岐設定'!C40,IF('損益分岐設定'!B40*I92-U92&gt;=0,0,ROUNDUP(U92/I92,0)-1)))</x:f>
        <x:v>0</x:v>
      </x:c>
      <x:c r="AD92" s="1" t="n">
        <x:v>0</x:v>
      </x:c>
      <x:c r="AE92" s="1" t="n">
        <x:v>0</x:v>
      </x:c>
      <x:c r="AF92" s="1" t="n">
        <x:v>1</x:v>
      </x:c>
      <x:c r="AG92" s="1" t="n">
        <x:f>AD92*'損益分岐設定'!$C$56+AE92*'損益分岐設定'!$C$59+AF92*'損益分岐設定'!$C$62</x:f>
        <x:v>213.56512359619143</x:v>
      </x:c>
      <x:c r="AH92" s="1" t="n">
        <x:f>AD92*'損益分岐設定'!$D$56+AE92*'損益分岐設定'!$D$59+AF92*'損益分岐設定'!$D$62</x:f>
        <x:v>75</x:v>
      </x:c>
      <x:c r="AI92" s="1" t="n">
        <x:f>AD92*'損益分岐設定'!$E$56+AE92*'損益分岐設定'!$E$59+AF92*'損益分岐設定'!$E$62</x:f>
        <x:v>50</x:v>
      </x:c>
      <x:c r="AJ92" s="1" t="n">
        <x:f>(AD92*'損益分岐設定'!$F$56+AE92*'損益分岐設定'!$F$59+AF92*'損益分岐設定'!$F$62*1)*'損益分岐設定'!$B$22</x:f>
        <x:v>75</x:v>
      </x:c>
      <x:c r="AK92" s="1" t="n">
        <x:f>AD92*'損益分岐設定'!$G$56+AE92*'損益分岐設定'!$G$59+AF92*'損益分岐設定'!$G$62</x:f>
        <x:v>250</x:v>
      </x:c>
      <x:c r="AL92" s="1" t="n">
        <x:f>AD92*'損益分岐設定'!$H$56+AE92*'損益分岐設定'!$H$59+AF92*'損益分岐設定'!$H$62</x:f>
        <x:v>533.3333333333334</x:v>
      </x:c>
      <x:c r="AM92" s="1" t="n">
        <x:f>MAX(1,ROUNDUP('損益分岐設定'!C37*AJ92/('損益分岐設定'!$B$23*'損益分岐設定'!$B$24*3600*'損益分岐設定'!$B$25),0))</x:f>
        <x:v>1</x:v>
      </x:c>
      <x:c r="AN92" s="1" t="n">
        <x:f>MAX(2,ROUNDUP('損益分岐設定'!C38*AJ92/('損益分岐設定'!$B$23*'損益分岐設定'!$B$24*3600*'損益分岐設定'!$B$25),0))</x:f>
        <x:v>2</x:v>
      </x:c>
      <x:c r="AO92" s="1" t="n">
        <x:f>MAX(2,ROUNDUP('損益分岐設定'!C39*AJ92/('損益分岐設定'!$B$23*'損益分岐設定'!$B$24*3600*'損益分岐設定'!$B$25),0))</x:f>
        <x:v>2</x:v>
      </x:c>
      <x:c r="AP92" s="1" t="n">
        <x:f>MAX(2,ROUNDUP('損益分岐設定'!C40*AJ92/('損益分岐設定'!$B$23*'損益分岐設定'!$B$24*3600*'損益分岐設定'!$B$25),0))</x:f>
        <x:v>2</x:v>
      </x:c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 ht="23" customHeight="1">
      <x:c r="A93" s="1" t="str">
        <x:v>Run</x:v>
      </x:c>
      <x:c r="B93" s="1" t="str">
        <x:v>Business Plus</x:v>
      </x:c>
      <x:c r="C93" s="1" t="str">
        <x:v>低位</x:v>
      </x:c>
      <x:c r="D93" s="21" t="n">
        <x:v>0.5</x:v>
      </x:c>
      <x:c r="E93" s="1" t="n">
        <x:v>0</x:v>
      </x:c>
      <x:c r="F93" s="7" t="n">
        <x:f>AD93*'損益分岐設定'!$B$5+AE93*'損益分岐設定'!$B$6+AF93*'損益分岐設定'!$B$7</x:f>
        <x:v>8000</x:v>
      </x:c>
      <x:c r="G93" s="7" t="n">
        <x:f>AG93+(AH93+AI93)*('損益分岐設定'!$B$29+0.5*'損益分岐設定'!$B$30)+AK93*'損益分岐設定'!$B$32+(AJ93+AK93/'損益分岐設定'!$B$28*'損益分岐設定'!$B$26)*('損益分岐設定'!$B$29+'損益分岐設定'!$B$31*'損益分岐設定'!$B$30)</x:f>
        <x:v>214.5579927651706</x:v>
      </x:c>
      <x:c r="H93" s="7" t="n">
        <x:f>AL93*E93</x:f>
        <x:v>0</x:v>
      </x:c>
      <x:c r="I93" s="7" t="n">
        <x:f>F93*(1-D93-'損益分岐設定'!$B$10)-G93-H93</x:f>
        <x:v>3497.4420072348294</x:v>
      </x:c>
      <x:c r="J93" s="1" t="n">
        <x:f>IF(MIN(V93:Y93)&gt;1000,"範囲内なし",MIN(V93:Y93))</x:f>
        <x:v>7</x:v>
      </x:c>
      <x:c r="K93" s="1" t="n">
        <x:f>IF(MAX(Z93:AC93)&gt;=1000,"範囲内なし",MAX(1,MAX(Z93:AC93)+1))</x:f>
        <x:v>7</x:v>
      </x:c>
      <x:c r="L93" s="7" t="n">
        <x:f>10*I93-R93</x:f>
        <x:v>12963.485446040497</x:v>
      </x:c>
      <x:c r="M93" s="7" t="n">
        <x:f>30*I93-S93</x:f>
        <x:v>78412.32559073708</x:v>
      </x:c>
      <x:c r="N93" s="7" t="n">
        <x:f>50*I93-S93</x:f>
        <x:v>148361.16573543366</x:v>
      </x:c>
      <x:c r="O93" s="7" t="n">
        <x:f>100*I93-S93</x:f>
        <x:v>323233.26609717513</x:v>
      </x:c>
      <x:c r="P93" s="7" t="n">
        <x:f>300*I93-T93</x:f>
        <x:v>1000721.667544141</x:v>
      </x:c>
      <x:c r="Q93" s="7" t="n">
        <x:f>1000*I93-U93</x:f>
        <x:v>3418931.0726085217</x:v>
      </x:c>
      <x:c r="R9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93*'損益分岐設定'!$B$12*'損益分岐設定'!$B$11</x:f>
        <x:v>22010.934626307797</x:v>
      </x:c>
      <x:c r="S9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93*'損益分岐設定'!$B$12*'損益分岐設定'!$B$11</x:f>
        <x:v>26510.934626307797</x:v>
      </x:c>
      <x:c r="T9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93*'損益分岐設定'!$B$12*'損益分岐設定'!$B$11</x:f>
        <x:v>48510.9346263078</x:v>
      </x:c>
      <x:c r="U9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93*'損益分岐設定'!$B$12*'損益分岐設定'!$B$11</x:f>
        <x:v>78510.9346263078</x:v>
      </x:c>
      <x:c r="V93" s="1" t="n">
        <x:f>IF(I93&lt;=0,1001,IF(MAX('損益分岐設定'!B37,ROUNDUP(R93/I93,0))&lt;='損益分岐設定'!C37,MAX('損益分岐設定'!B37,ROUNDUP(R93/I93,0)),1001))</x:f>
        <x:v>7</x:v>
      </x:c>
      <x:c r="W93" s="1" t="n">
        <x:f>IF(I93&lt;=0,1001,IF(MAX('損益分岐設定'!B38,ROUNDUP(S93/I93,0))&lt;='損益分岐設定'!C38,MAX('損益分岐設定'!B38,ROUNDUP(S93/I93,0)),1001))</x:f>
        <x:v>11</x:v>
      </x:c>
      <x:c r="X93" s="1" t="n">
        <x:f>IF(I93&lt;=0,1001,IF(MAX('損益分岐設定'!B39,ROUNDUP(T93/I93,0))&lt;='損益分岐設定'!C39,MAX('損益分岐設定'!B39,ROUNDUP(T93/I93,0)),1001))</x:f>
        <x:v>101</x:v>
      </x:c>
      <x:c r="Y93" s="1" t="n">
        <x:f>IF(I93&lt;=0,1001,IF(MAX('損益分岐設定'!B40,ROUNDUP(U93/I93,0))&lt;='損益分岐設定'!C40,MAX('損益分岐設定'!B40,ROUNDUP(U93/I93,0)),1001))</x:f>
        <x:v>501</x:v>
      </x:c>
      <x:c r="Z93" s="1" t="n">
        <x:f>IF(I93&lt;=0,'損益分岐設定'!C37,IF('損益分岐設定'!C37*I93-R93&lt;0,'損益分岐設定'!C37,IF('損益分岐設定'!B37*I93-R93&gt;=0,0,ROUNDUP(R93/I93,0)-1)))</x:f>
        <x:v>6</x:v>
      </x:c>
      <x:c r="AA93" s="1" t="n">
        <x:f>IF(I93&lt;=0,'損益分岐設定'!C38,IF('損益分岐設定'!C38*I93-S93&lt;0,'損益分岐設定'!C38,IF('損益分岐設定'!B38*I93-S93&gt;=0,0,ROUNDUP(S93/I93,0)-1)))</x:f>
        <x:v>0</x:v>
      </x:c>
      <x:c r="AB93" s="1" t="n">
        <x:f>IF(I93&lt;=0,'損益分岐設定'!C39,IF('損益分岐設定'!C39*I93-T93&lt;0,'損益分岐設定'!C39,IF('損益分岐設定'!B39*I93-T93&gt;=0,0,ROUNDUP(T93/I93,0)-1)))</x:f>
        <x:v>0</x:v>
      </x:c>
      <x:c r="AC93" s="1" t="n">
        <x:f>IF(I93&lt;=0,'損益分岐設定'!C40,IF('損益分岐設定'!C40*I93-U93&lt;0,'損益分岐設定'!C40,IF('損益分岐設定'!B40*I93-U93&gt;=0,0,ROUNDUP(U93/I93,0)-1)))</x:f>
        <x:v>0</x:v>
      </x:c>
      <x:c r="AD93" s="1" t="n">
        <x:v>0</x:v>
      </x:c>
      <x:c r="AE93" s="1" t="n">
        <x:v>0</x:v>
      </x:c>
      <x:c r="AF93" s="1" t="n">
        <x:v>1</x:v>
      </x:c>
      <x:c r="AG93" s="1" t="n">
        <x:f>AD93*'損益分岐設定'!$C$56+AE93*'損益分岐設定'!$C$59+AF93*'損益分岐設定'!$C$62</x:f>
        <x:v>213.56512359619143</x:v>
      </x:c>
      <x:c r="AH93" s="1" t="n">
        <x:f>AD93*'損益分岐設定'!$D$56+AE93*'損益分岐設定'!$D$59+AF93*'損益分岐設定'!$D$62</x:f>
        <x:v>75</x:v>
      </x:c>
      <x:c r="AI93" s="1" t="n">
        <x:f>AD93*'損益分岐設定'!$E$56+AE93*'損益分岐設定'!$E$59+AF93*'損益分岐設定'!$E$62</x:f>
        <x:v>50</x:v>
      </x:c>
      <x:c r="AJ93" s="1" t="n">
        <x:f>(AD93*'損益分岐設定'!$F$56+AE93*'損益分岐設定'!$F$59+AF93*'損益分岐設定'!$F$62*1)*'損益分岐設定'!$B$22</x:f>
        <x:v>75</x:v>
      </x:c>
      <x:c r="AK93" s="1" t="n">
        <x:f>AD93*'損益分岐設定'!$G$56+AE93*'損益分岐設定'!$G$59+AF93*'損益分岐設定'!$G$62</x:f>
        <x:v>250</x:v>
      </x:c>
      <x:c r="AL93" s="1" t="n">
        <x:f>AD93*'損益分岐設定'!$H$56+AE93*'損益分岐設定'!$H$59+AF93*'損益分岐設定'!$H$62</x:f>
        <x:v>533.3333333333334</x:v>
      </x:c>
      <x:c r="AM93" s="1" t="n">
        <x:f>MAX(1,ROUNDUP('損益分岐設定'!C37*AJ93/('損益分岐設定'!$B$23*'損益分岐設定'!$B$24*3600*'損益分岐設定'!$B$25),0))</x:f>
        <x:v>1</x:v>
      </x:c>
      <x:c r="AN93" s="1" t="n">
        <x:f>MAX(2,ROUNDUP('損益分岐設定'!C38*AJ93/('損益分岐設定'!$B$23*'損益分岐設定'!$B$24*3600*'損益分岐設定'!$B$25),0))</x:f>
        <x:v>2</x:v>
      </x:c>
      <x:c r="AO93" s="1" t="n">
        <x:f>MAX(2,ROUNDUP('損益分岐設定'!C39*AJ93/('損益分岐設定'!$B$23*'損益分岐設定'!$B$24*3600*'損益分岐設定'!$B$25),0))</x:f>
        <x:v>2</x:v>
      </x:c>
      <x:c r="AP93" s="1" t="n">
        <x:f>MAX(2,ROUNDUP('損益分岐設定'!C40*AJ93/('損益分岐設定'!$B$23*'損益分岐設定'!$B$24*3600*'損益分岐設定'!$B$25),0))</x:f>
        <x:v>2</x:v>
      </x:c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 ht="23" customHeight="1">
      <x:c r="A94" s="1" t="str">
        <x:v>Run</x:v>
      </x:c>
      <x:c r="B94" s="1" t="str">
        <x:v>Business Plus</x:v>
      </x:c>
      <x:c r="C94" s="1" t="str">
        <x:v>低位</x:v>
      </x:c>
      <x:c r="D94" s="21" t="n">
        <x:v>0.5</x:v>
      </x:c>
      <x:c r="E94" s="1" t="n">
        <x:v>1</x:v>
      </x:c>
      <x:c r="F94" s="7" t="n">
        <x:f>AD94*'損益分岐設定'!$B$5+AE94*'損益分岐設定'!$B$6+AF94*'損益分岐設定'!$B$7</x:f>
        <x:v>8000</x:v>
      </x:c>
      <x:c r="G94" s="7" t="n">
        <x:f>AG94+(AH94+AI94)*('損益分岐設定'!$B$29+0.5*'損益分岐設定'!$B$30)+AK94*'損益分岐設定'!$B$32+(AJ94+AK94/'損益分岐設定'!$B$28*'損益分岐設定'!$B$26)*('損益分岐設定'!$B$29+'損益分岐設定'!$B$31*'損益分岐設定'!$B$30)</x:f>
        <x:v>214.5579927651706</x:v>
      </x:c>
      <x:c r="H94" s="7" t="n">
        <x:f>AL94*E94</x:f>
        <x:v>533.3333333333334</x:v>
      </x:c>
      <x:c r="I94" s="7" t="n">
        <x:f>F94*(1-D94-'損益分岐設定'!$B$10)-G94-H94</x:f>
        <x:v>2964.108673901496</x:v>
      </x:c>
      <x:c r="J94" s="1" t="n">
        <x:f>IF(MIN(V94:Y94)&gt;1000,"範囲内なし",MIN(V94:Y94))</x:f>
        <x:v>12</x:v>
      </x:c>
      <x:c r="K94" s="1" t="n">
        <x:f>IF(MAX(Z94:AC94)&gt;=1000,"範囲内なし",MAX(1,MAX(Z94:AC94)+1))</x:f>
        <x:v>12</x:v>
      </x:c>
      <x:c r="L94" s="7" t="n">
        <x:f>10*I94-R94</x:f>
        <x:v>-369.847887292839</x:v>
      </x:c>
      <x:c r="M94" s="7" t="n">
        <x:f>30*I94-S94</x:f>
        <x:v>54412.325590737084</x:v>
      </x:c>
      <x:c r="N94" s="7" t="n">
        <x:f>50*I94-S94</x:f>
        <x:v>113694.49906876698</x:v>
      </x:c>
      <x:c r="O94" s="7" t="n">
        <x:f>100*I94-S94</x:f>
        <x:v>261899.93276384176</x:v>
      </x:c>
      <x:c r="P94" s="7" t="n">
        <x:f>300*I94-T94</x:f>
        <x:v>832721.667544141</x:v>
      </x:c>
      <x:c r="Q94" s="7" t="n">
        <x:f>1000*I94-U94</x:f>
        <x:v>2877597.739275188</x:v>
      </x:c>
      <x:c r="R9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94*'損益分岐設定'!$B$12*'損益分岐設定'!$B$11</x:f>
        <x:v>30010.934626307797</x:v>
      </x:c>
      <x:c r="S9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94*'損益分岐設定'!$B$12*'損益分岐設定'!$B$11</x:f>
        <x:v>34510.9346263078</x:v>
      </x:c>
      <x:c r="T9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94*'損益分岐設定'!$B$12*'損益分岐設定'!$B$11</x:f>
        <x:v>56510.9346263078</x:v>
      </x:c>
      <x:c r="U9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94*'損益分岐設定'!$B$12*'損益分岐設定'!$B$11</x:f>
        <x:v>86510.9346263078</x:v>
      </x:c>
      <x:c r="V94" s="1" t="n">
        <x:f>IF(I94&lt;=0,1001,IF(MAX('損益分岐設定'!B37,ROUNDUP(R94/I94,0))&lt;='損益分岐設定'!C37,MAX('損益分岐設定'!B37,ROUNDUP(R94/I94,0)),1001))</x:f>
        <x:v>1001</x:v>
      </x:c>
      <x:c r="W94" s="1" t="n">
        <x:f>IF(I94&lt;=0,1001,IF(MAX('損益分岐設定'!B38,ROUNDUP(S94/I94,0))&lt;='損益分岐設定'!C38,MAX('損益分岐設定'!B38,ROUNDUP(S94/I94,0)),1001))</x:f>
        <x:v>12</x:v>
      </x:c>
      <x:c r="X94" s="1" t="n">
        <x:f>IF(I94&lt;=0,1001,IF(MAX('損益分岐設定'!B39,ROUNDUP(T94/I94,0))&lt;='損益分岐設定'!C39,MAX('損益分岐設定'!B39,ROUNDUP(T94/I94,0)),1001))</x:f>
        <x:v>101</x:v>
      </x:c>
      <x:c r="Y94" s="1" t="n">
        <x:f>IF(I94&lt;=0,1001,IF(MAX('損益分岐設定'!B40,ROUNDUP(U94/I94,0))&lt;='損益分岐設定'!C40,MAX('損益分岐設定'!B40,ROUNDUP(U94/I94,0)),1001))</x:f>
        <x:v>501</x:v>
      </x:c>
      <x:c r="Z94" s="1" t="n">
        <x:f>IF(I94&lt;=0,'損益分岐設定'!C37,IF('損益分岐設定'!C37*I94-R94&lt;0,'損益分岐設定'!C37,IF('損益分岐設定'!B37*I94-R94&gt;=0,0,ROUNDUP(R94/I94,0)-1)))</x:f>
        <x:v>10</x:v>
      </x:c>
      <x:c r="AA94" s="1" t="n">
        <x:f>IF(I94&lt;=0,'損益分岐設定'!C38,IF('損益分岐設定'!C38*I94-S94&lt;0,'損益分岐設定'!C38,IF('損益分岐設定'!B38*I94-S94&gt;=0,0,ROUNDUP(S94/I94,0)-1)))</x:f>
        <x:v>11</x:v>
      </x:c>
      <x:c r="AB94" s="1" t="n">
        <x:f>IF(I94&lt;=0,'損益分岐設定'!C39,IF('損益分岐設定'!C39*I94-T94&lt;0,'損益分岐設定'!C39,IF('損益分岐設定'!B39*I94-T94&gt;=0,0,ROUNDUP(T94/I94,0)-1)))</x:f>
        <x:v>0</x:v>
      </x:c>
      <x:c r="AC94" s="1" t="n">
        <x:f>IF(I94&lt;=0,'損益分岐設定'!C40,IF('損益分岐設定'!C40*I94-U94&lt;0,'損益分岐設定'!C40,IF('損益分岐設定'!B40*I94-U94&gt;=0,0,ROUNDUP(U94/I94,0)-1)))</x:f>
        <x:v>0</x:v>
      </x:c>
      <x:c r="AD94" s="1" t="n">
        <x:v>0</x:v>
      </x:c>
      <x:c r="AE94" s="1" t="n">
        <x:v>0</x:v>
      </x:c>
      <x:c r="AF94" s="1" t="n">
        <x:v>1</x:v>
      </x:c>
      <x:c r="AG94" s="1" t="n">
        <x:f>AD94*'損益分岐設定'!$C$56+AE94*'損益分岐設定'!$C$59+AF94*'損益分岐設定'!$C$62</x:f>
        <x:v>213.56512359619143</x:v>
      </x:c>
      <x:c r="AH94" s="1" t="n">
        <x:f>AD94*'損益分岐設定'!$D$56+AE94*'損益分岐設定'!$D$59+AF94*'損益分岐設定'!$D$62</x:f>
        <x:v>75</x:v>
      </x:c>
      <x:c r="AI94" s="1" t="n">
        <x:f>AD94*'損益分岐設定'!$E$56+AE94*'損益分岐設定'!$E$59+AF94*'損益分岐設定'!$E$62</x:f>
        <x:v>50</x:v>
      </x:c>
      <x:c r="AJ94" s="1" t="n">
        <x:f>(AD94*'損益分岐設定'!$F$56+AE94*'損益分岐設定'!$F$59+AF94*'損益分岐設定'!$F$62*1)*'損益分岐設定'!$B$22</x:f>
        <x:v>75</x:v>
      </x:c>
      <x:c r="AK94" s="1" t="n">
        <x:f>AD94*'損益分岐設定'!$G$56+AE94*'損益分岐設定'!$G$59+AF94*'損益分岐設定'!$G$62</x:f>
        <x:v>250</x:v>
      </x:c>
      <x:c r="AL94" s="1" t="n">
        <x:f>AD94*'損益分岐設定'!$H$56+AE94*'損益分岐設定'!$H$59+AF94*'損益分岐設定'!$H$62</x:f>
        <x:v>533.3333333333334</x:v>
      </x:c>
      <x:c r="AM94" s="1" t="n">
        <x:f>MAX(1,ROUNDUP('損益分岐設定'!C37*AJ94/('損益分岐設定'!$B$23*'損益分岐設定'!$B$24*3600*'損益分岐設定'!$B$25),0))</x:f>
        <x:v>1</x:v>
      </x:c>
      <x:c r="AN94" s="1" t="n">
        <x:f>MAX(2,ROUNDUP('損益分岐設定'!C38*AJ94/('損益分岐設定'!$B$23*'損益分岐設定'!$B$24*3600*'損益分岐設定'!$B$25),0))</x:f>
        <x:v>2</x:v>
      </x:c>
      <x:c r="AO94" s="1" t="n">
        <x:f>MAX(2,ROUNDUP('損益分岐設定'!C39*AJ94/('損益分岐設定'!$B$23*'損益分岐設定'!$B$24*3600*'損益分岐設定'!$B$25),0))</x:f>
        <x:v>2</x:v>
      </x:c>
      <x:c r="AP94" s="1" t="n">
        <x:f>MAX(2,ROUNDUP('損益分岐設定'!C40*AJ94/('損益分岐設定'!$B$23*'損益分岐設定'!$B$24*3600*'損益分岐設定'!$B$25),0))</x:f>
        <x:v>2</x:v>
      </x:c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 ht="23" customHeight="1">
      <x:c r="A95" s="1" t="str">
        <x:v>Run</x:v>
      </x:c>
      <x:c r="B95" s="1" t="str">
        <x:v>Business Plus</x:v>
      </x:c>
      <x:c r="C95" s="1" t="str">
        <x:v>標準</x:v>
      </x:c>
      <x:c r="D95" s="21" t="n">
        <x:v>0</x:v>
      </x:c>
      <x:c r="E95" s="1" t="n">
        <x:v>0</x:v>
      </x:c>
      <x:c r="F95" s="7" t="n">
        <x:f>AD95*'損益分岐設定'!$B$5+AE95*'損益分岐設定'!$B$6+AF95*'損益分岐設定'!$B$7</x:f>
        <x:v>8000</x:v>
      </x:c>
      <x:c r="G95" s="7" t="n">
        <x:f>AG95+(AH95+AI95)*('損益分岐設定'!$B$29+0.5*'損益分岐設定'!$B$30)+AK95*'損益分岐設定'!$B$32+(AJ95+AK95/'損益分岐設定'!$B$28*'損益分岐設定'!$B$26)*('損益分岐設定'!$B$29+'損益分岐設定'!$B$31*'損益分岐設定'!$B$30)</x:f>
        <x:v>1038.5512239556026</x:v>
      </x:c>
      <x:c r="H95" s="7" t="n">
        <x:f>AL95*E95</x:f>
        <x:v>0</x:v>
      </x:c>
      <x:c r="I95" s="7" t="n">
        <x:f>F95*(1-D95-'損益分岐設定'!$B$10)-G95-H95</x:f>
        <x:v>6673.448776044397</x:v>
      </x:c>
      <x:c r="J95" s="1" t="n">
        <x:f>IF(MIN(V95:Y95)&gt;1000,"範囲内なし",MIN(V95:Y95))</x:f>
        <x:v>4</x:v>
      </x:c>
      <x:c r="K95" s="1" t="n">
        <x:f>IF(MAX(Z95:AC95)&gt;=1000,"範囲内なし",MAX(1,MAX(Z95:AC95)+1))</x:f>
        <x:v>4</x:v>
      </x:c>
      <x:c r="L95" s="7" t="n">
        <x:f>10*I95-R95</x:f>
        <x:v>44723.55313413617</x:v>
      </x:c>
      <x:c r="M95" s="7" t="n">
        <x:f>30*I95-S95</x:f>
        <x:v>173692.5286550241</x:v>
      </x:c>
      <x:c r="N95" s="7" t="n">
        <x:f>50*I95-S95</x:f>
        <x:v>307161.50417591206</x:v>
      </x:c>
      <x:c r="O95" s="7" t="n">
        <x:f>100*I95-S95</x:f>
        <x:v>640833.9429781319</x:v>
      </x:c>
      <x:c r="P95" s="7" t="n">
        <x:f>300*I95-T95</x:f>
        <x:v>1953523.6981870113</x:v>
      </x:c>
      <x:c r="Q95" s="7" t="n">
        <x:f>1000*I95-U95</x:f>
        <x:v>6594937.841418089</x:v>
      </x:c>
      <x:c r="R9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95*'損益分岐設定'!$B$12*'損益分岐設定'!$B$11</x:f>
        <x:v>22010.934626307797</x:v>
      </x:c>
      <x:c r="S9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95*'損益分岐設定'!$B$12*'損益分岐設定'!$B$11</x:f>
        <x:v>26510.934626307797</x:v>
      </x:c>
      <x:c r="T9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95*'損益分岐設定'!$B$12*'損益分岐設定'!$B$11</x:f>
        <x:v>48510.9346263078</x:v>
      </x:c>
      <x:c r="U9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95*'損益分岐設定'!$B$12*'損益分岐設定'!$B$11</x:f>
        <x:v>78510.9346263078</x:v>
      </x:c>
      <x:c r="V95" s="1" t="n">
        <x:f>IF(I95&lt;=0,1001,IF(MAX('損益分岐設定'!B37,ROUNDUP(R95/I95,0))&lt;='損益分岐設定'!C37,MAX('損益分岐設定'!B37,ROUNDUP(R95/I95,0)),1001))</x:f>
        <x:v>4</x:v>
      </x:c>
      <x:c r="W95" s="1" t="n">
        <x:f>IF(I95&lt;=0,1001,IF(MAX('損益分岐設定'!B38,ROUNDUP(S95/I95,0))&lt;='損益分岐設定'!C38,MAX('損益分岐設定'!B38,ROUNDUP(S95/I95,0)),1001))</x:f>
        <x:v>11</x:v>
      </x:c>
      <x:c r="X95" s="1" t="n">
        <x:f>IF(I95&lt;=0,1001,IF(MAX('損益分岐設定'!B39,ROUNDUP(T95/I95,0))&lt;='損益分岐設定'!C39,MAX('損益分岐設定'!B39,ROUNDUP(T95/I95,0)),1001))</x:f>
        <x:v>101</x:v>
      </x:c>
      <x:c r="Y95" s="1" t="n">
        <x:f>IF(I95&lt;=0,1001,IF(MAX('損益分岐設定'!B40,ROUNDUP(U95/I95,0))&lt;='損益分岐設定'!C40,MAX('損益分岐設定'!B40,ROUNDUP(U95/I95,0)),1001))</x:f>
        <x:v>501</x:v>
      </x:c>
      <x:c r="Z95" s="1" t="n">
        <x:f>IF(I95&lt;=0,'損益分岐設定'!C37,IF('損益分岐設定'!C37*I95-R95&lt;0,'損益分岐設定'!C37,IF('損益分岐設定'!B37*I95-R95&gt;=0,0,ROUNDUP(R95/I95,0)-1)))</x:f>
        <x:v>3</x:v>
      </x:c>
      <x:c r="AA95" s="1" t="n">
        <x:f>IF(I95&lt;=0,'損益分岐設定'!C38,IF('損益分岐設定'!C38*I95-S95&lt;0,'損益分岐設定'!C38,IF('損益分岐設定'!B38*I95-S95&gt;=0,0,ROUNDUP(S95/I95,0)-1)))</x:f>
        <x:v>0</x:v>
      </x:c>
      <x:c r="AB95" s="1" t="n">
        <x:f>IF(I95&lt;=0,'損益分岐設定'!C39,IF('損益分岐設定'!C39*I95-T95&lt;0,'損益分岐設定'!C39,IF('損益分岐設定'!B39*I95-T95&gt;=0,0,ROUNDUP(T95/I95,0)-1)))</x:f>
        <x:v>0</x:v>
      </x:c>
      <x:c r="AC95" s="1" t="n">
        <x:f>IF(I95&lt;=0,'損益分岐設定'!C40,IF('損益分岐設定'!C40*I95-U95&lt;0,'損益分岐設定'!C40,IF('損益分岐設定'!B40*I95-U95&gt;=0,0,ROUNDUP(U95/I95,0)-1)))</x:f>
        <x:v>0</x:v>
      </x:c>
      <x:c r="AD95" s="1" t="n">
        <x:v>0</x:v>
      </x:c>
      <x:c r="AE95" s="1" t="n">
        <x:v>0</x:v>
      </x:c>
      <x:c r="AF95" s="1" t="n">
        <x:v>1</x:v>
      </x:c>
      <x:c r="AG95" s="1" t="n">
        <x:f>AD95*'損益分岐設定'!$C$57+AE95*'損益分岐設定'!$C$60+AF95*'損益分岐設定'!$C$63</x:f>
        <x:v>1028.9614318847655</x:v>
      </x:c>
      <x:c r="AH95" s="1" t="n">
        <x:f>AD95*'損益分岐設定'!$D$57+AE95*'損益分岐設定'!$D$60+AF95*'損益分岐設定'!$D$63</x:f>
        <x:v>300</x:v>
      </x:c>
      <x:c r="AI95" s="1" t="n">
        <x:f>AD95*'損益分岐設定'!$E$57+AE95*'損益分岐設定'!$E$60+AF95*'損益分岐設定'!$E$63</x:f>
        <x:v>300</x:v>
      </x:c>
      <x:c r="AJ95" s="1" t="n">
        <x:f>(AD95*'損益分岐設定'!$F$57+AE95*'損益分岐設定'!$F$60+AF95*'損益分岐設定'!$F$63*1)*'損益分岐設定'!$B$22</x:f>
        <x:v>1200</x:v>
      </x:c>
      <x:c r="AK95" s="1" t="n">
        <x:f>AD95*'損益分岐設定'!$G$57+AE95*'損益分岐設定'!$G$60+AF95*'損益分岐設定'!$G$63</x:f>
        <x:v>2000</x:v>
      </x:c>
      <x:c r="AL95" s="1" t="n">
        <x:f>AD95*'損益分岐設定'!$H$57+AE95*'損益分岐設定'!$H$60+AF95*'損益分岐設定'!$H$63</x:f>
        <x:v>866.6666666666667</x:v>
      </x:c>
      <x:c r="AM95" s="1" t="n">
        <x:f>MAX(1,ROUNDUP('損益分岐設定'!C37*AJ95/('損益分岐設定'!$B$23*'損益分岐設定'!$B$24*3600*'損益分岐設定'!$B$25),0))</x:f>
        <x:v>1</x:v>
      </x:c>
      <x:c r="AN95" s="1" t="n">
        <x:f>MAX(2,ROUNDUP('損益分岐設定'!C38*AJ95/('損益分岐設定'!$B$23*'損益分岐設定'!$B$24*3600*'損益分岐設定'!$B$25),0))</x:f>
        <x:v>2</x:v>
      </x:c>
      <x:c r="AO95" s="1" t="n">
        <x:f>MAX(2,ROUNDUP('損益分岐設定'!C39*AJ95/('損益分岐設定'!$B$23*'損益分岐設定'!$B$24*3600*'損益分岐設定'!$B$25),0))</x:f>
        <x:v>2</x:v>
      </x:c>
      <x:c r="AP95" s="1" t="n">
        <x:f>MAX(2,ROUNDUP('損益分岐設定'!C40*AJ95/('損益分岐設定'!$B$23*'損益分岐設定'!$B$24*3600*'損益分岐設定'!$B$25),0))</x:f>
        <x:v>3</x:v>
      </x:c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 ht="23" customHeight="1">
      <x:c r="A96" s="1" t="str">
        <x:v>Run</x:v>
      </x:c>
      <x:c r="B96" s="1" t="str">
        <x:v>Business Plus</x:v>
      </x:c>
      <x:c r="C96" s="1" t="str">
        <x:v>標準</x:v>
      </x:c>
      <x:c r="D96" s="21" t="n">
        <x:v>0</x:v>
      </x:c>
      <x:c r="E96" s="1" t="n">
        <x:v>1</x:v>
      </x:c>
      <x:c r="F96" s="7" t="n">
        <x:f>AD96*'損益分岐設定'!$B$5+AE96*'損益分岐設定'!$B$6+AF96*'損益分岐設定'!$B$7</x:f>
        <x:v>8000</x:v>
      </x:c>
      <x:c r="G96" s="7" t="n">
        <x:f>AG96+(AH96+AI96)*('損益分岐設定'!$B$29+0.5*'損益分岐設定'!$B$30)+AK96*'損益分岐設定'!$B$32+(AJ96+AK96/'損益分岐設定'!$B$28*'損益分岐設定'!$B$26)*('損益分岐設定'!$B$29+'損益分岐設定'!$B$31*'損益分岐設定'!$B$30)</x:f>
        <x:v>1038.5512239556026</x:v>
      </x:c>
      <x:c r="H96" s="7" t="n">
        <x:f>AL96*E96</x:f>
        <x:v>866.6666666666667</x:v>
      </x:c>
      <x:c r="I96" s="7" t="n">
        <x:f>F96*(1-D96-'損益分岐設定'!$B$10)-G96-H96</x:f>
        <x:v>5806.78210937773</x:v>
      </x:c>
      <x:c r="J96" s="1" t="n">
        <x:f>IF(MIN(V96:Y96)&gt;1000,"範囲内なし",MIN(V96:Y96))</x:f>
        <x:v>6</x:v>
      </x:c>
      <x:c r="K96" s="1" t="n">
        <x:f>IF(MAX(Z96:AC96)&gt;=1000,"範囲内なし",MAX(1,MAX(Z96:AC96)+1))</x:f>
        <x:v>6</x:v>
      </x:c>
      <x:c r="L96" s="7" t="n">
        <x:f>10*I96-R96</x:f>
        <x:v>28056.886467469507</x:v>
      </x:c>
      <x:c r="M96" s="7" t="n">
        <x:f>30*I96-S96</x:f>
        <x:v>139692.5286550241</x:v>
      </x:c>
      <x:c r="N96" s="7" t="n">
        <x:f>50*I96-S96</x:f>
        <x:v>255828.1708425787</x:v>
      </x:c>
      <x:c r="O96" s="7" t="n">
        <x:f>100*I96-S96</x:f>
        <x:v>546167.2763114652</x:v>
      </x:c>
      <x:c r="P96" s="7" t="n">
        <x:f>300*I96-T96</x:f>
        <x:v>1685523.6981870113</x:v>
      </x:c>
      <x:c r="Q96" s="7" t="n">
        <x:f>1000*I96-U96</x:f>
        <x:v>5720271.174751423</x:v>
      </x:c>
      <x:c r="R9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96*'損益分岐設定'!$B$12*'損益分岐設定'!$B$11</x:f>
        <x:v>30010.934626307797</x:v>
      </x:c>
      <x:c r="S9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96*'損益分岐設定'!$B$12*'損益分岐設定'!$B$11</x:f>
        <x:v>34510.9346263078</x:v>
      </x:c>
      <x:c r="T9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96*'損益分岐設定'!$B$12*'損益分岐設定'!$B$11</x:f>
        <x:v>56510.9346263078</x:v>
      </x:c>
      <x:c r="U9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96*'損益分岐設定'!$B$12*'損益分岐設定'!$B$11</x:f>
        <x:v>86510.9346263078</x:v>
      </x:c>
      <x:c r="V96" s="1" t="n">
        <x:f>IF(I96&lt;=0,1001,IF(MAX('損益分岐設定'!B37,ROUNDUP(R96/I96,0))&lt;='損益分岐設定'!C37,MAX('損益分岐設定'!B37,ROUNDUP(R96/I96,0)),1001))</x:f>
        <x:v>6</x:v>
      </x:c>
      <x:c r="W96" s="1" t="n">
        <x:f>IF(I96&lt;=0,1001,IF(MAX('損益分岐設定'!B38,ROUNDUP(S96/I96,0))&lt;='損益分岐設定'!C38,MAX('損益分岐設定'!B38,ROUNDUP(S96/I96,0)),1001))</x:f>
        <x:v>11</x:v>
      </x:c>
      <x:c r="X96" s="1" t="n">
        <x:f>IF(I96&lt;=0,1001,IF(MAX('損益分岐設定'!B39,ROUNDUP(T96/I96,0))&lt;='損益分岐設定'!C39,MAX('損益分岐設定'!B39,ROUNDUP(T96/I96,0)),1001))</x:f>
        <x:v>101</x:v>
      </x:c>
      <x:c r="Y96" s="1" t="n">
        <x:f>IF(I96&lt;=0,1001,IF(MAX('損益分岐設定'!B40,ROUNDUP(U96/I96,0))&lt;='損益分岐設定'!C40,MAX('損益分岐設定'!B40,ROUNDUP(U96/I96,0)),1001))</x:f>
        <x:v>501</x:v>
      </x:c>
      <x:c r="Z96" s="1" t="n">
        <x:f>IF(I96&lt;=0,'損益分岐設定'!C37,IF('損益分岐設定'!C37*I96-R96&lt;0,'損益分岐設定'!C37,IF('損益分岐設定'!B37*I96-R96&gt;=0,0,ROUNDUP(R96/I96,0)-1)))</x:f>
        <x:v>5</x:v>
      </x:c>
      <x:c r="AA96" s="1" t="n">
        <x:f>IF(I96&lt;=0,'損益分岐設定'!C38,IF('損益分岐設定'!C38*I96-S96&lt;0,'損益分岐設定'!C38,IF('損益分岐設定'!B38*I96-S96&gt;=0,0,ROUNDUP(S96/I96,0)-1)))</x:f>
        <x:v>0</x:v>
      </x:c>
      <x:c r="AB96" s="1" t="n">
        <x:f>IF(I96&lt;=0,'損益分岐設定'!C39,IF('損益分岐設定'!C39*I96-T96&lt;0,'損益分岐設定'!C39,IF('損益分岐設定'!B39*I96-T96&gt;=0,0,ROUNDUP(T96/I96,0)-1)))</x:f>
        <x:v>0</x:v>
      </x:c>
      <x:c r="AC96" s="1" t="n">
        <x:f>IF(I96&lt;=0,'損益分岐設定'!C40,IF('損益分岐設定'!C40*I96-U96&lt;0,'損益分岐設定'!C40,IF('損益分岐設定'!B40*I96-U96&gt;=0,0,ROUNDUP(U96/I96,0)-1)))</x:f>
        <x:v>0</x:v>
      </x:c>
      <x:c r="AD96" s="1" t="n">
        <x:v>0</x:v>
      </x:c>
      <x:c r="AE96" s="1" t="n">
        <x:v>0</x:v>
      </x:c>
      <x:c r="AF96" s="1" t="n">
        <x:v>1</x:v>
      </x:c>
      <x:c r="AG96" s="1" t="n">
        <x:f>AD96*'損益分岐設定'!$C$57+AE96*'損益分岐設定'!$C$60+AF96*'損益分岐設定'!$C$63</x:f>
        <x:v>1028.9614318847655</x:v>
      </x:c>
      <x:c r="AH96" s="1" t="n">
        <x:f>AD96*'損益分岐設定'!$D$57+AE96*'損益分岐設定'!$D$60+AF96*'損益分岐設定'!$D$63</x:f>
        <x:v>300</x:v>
      </x:c>
      <x:c r="AI96" s="1" t="n">
        <x:f>AD96*'損益分岐設定'!$E$57+AE96*'損益分岐設定'!$E$60+AF96*'損益分岐設定'!$E$63</x:f>
        <x:v>300</x:v>
      </x:c>
      <x:c r="AJ96" s="1" t="n">
        <x:f>(AD96*'損益分岐設定'!$F$57+AE96*'損益分岐設定'!$F$60+AF96*'損益分岐設定'!$F$63*1)*'損益分岐設定'!$B$22</x:f>
        <x:v>1200</x:v>
      </x:c>
      <x:c r="AK96" s="1" t="n">
        <x:f>AD96*'損益分岐設定'!$G$57+AE96*'損益分岐設定'!$G$60+AF96*'損益分岐設定'!$G$63</x:f>
        <x:v>2000</x:v>
      </x:c>
      <x:c r="AL96" s="1" t="n">
        <x:f>AD96*'損益分岐設定'!$H$57+AE96*'損益分岐設定'!$H$60+AF96*'損益分岐設定'!$H$63</x:f>
        <x:v>866.6666666666667</x:v>
      </x:c>
      <x:c r="AM96" s="1" t="n">
        <x:f>MAX(1,ROUNDUP('損益分岐設定'!C37*AJ96/('損益分岐設定'!$B$23*'損益分岐設定'!$B$24*3600*'損益分岐設定'!$B$25),0))</x:f>
        <x:v>1</x:v>
      </x:c>
      <x:c r="AN96" s="1" t="n">
        <x:f>MAX(2,ROUNDUP('損益分岐設定'!C38*AJ96/('損益分岐設定'!$B$23*'損益分岐設定'!$B$24*3600*'損益分岐設定'!$B$25),0))</x:f>
        <x:v>2</x:v>
      </x:c>
      <x:c r="AO96" s="1" t="n">
        <x:f>MAX(2,ROUNDUP('損益分岐設定'!C39*AJ96/('損益分岐設定'!$B$23*'損益分岐設定'!$B$24*3600*'損益分岐設定'!$B$25),0))</x:f>
        <x:v>2</x:v>
      </x:c>
      <x:c r="AP96" s="1" t="n">
        <x:f>MAX(2,ROUNDUP('損益分岐設定'!C40*AJ96/('損益分岐設定'!$B$23*'損益分岐設定'!$B$24*3600*'損益分岐設定'!$B$25),0))</x:f>
        <x:v>3</x:v>
      </x:c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 ht="23" customHeight="1">
      <x:c r="A97" s="1" t="str">
        <x:v>Run</x:v>
      </x:c>
      <x:c r="B97" s="1" t="str">
        <x:v>Business Plus</x:v>
      </x:c>
      <x:c r="C97" s="1" t="str">
        <x:v>標準</x:v>
      </x:c>
      <x:c r="D97" s="21" t="n">
        <x:v>0.2</x:v>
      </x:c>
      <x:c r="E97" s="1" t="n">
        <x:v>0</x:v>
      </x:c>
      <x:c r="F97" s="7" t="n">
        <x:f>AD97*'損益分岐設定'!$B$5+AE97*'損益分岐設定'!$B$6+AF97*'損益分岐設定'!$B$7</x:f>
        <x:v>8000</x:v>
      </x:c>
      <x:c r="G97" s="7" t="n">
        <x:f>AG97+(AH97+AI97)*('損益分岐設定'!$B$29+0.5*'損益分岐設定'!$B$30)+AK97*'損益分岐設定'!$B$32+(AJ97+AK97/'損益分岐設定'!$B$28*'損益分岐設定'!$B$26)*('損益分岐設定'!$B$29+'損益分岐設定'!$B$31*'損益分岐設定'!$B$30)</x:f>
        <x:v>1038.5512239556026</x:v>
      </x:c>
      <x:c r="H97" s="7" t="n">
        <x:f>AL97*E97</x:f>
        <x:v>0</x:v>
      </x:c>
      <x:c r="I97" s="7" t="n">
        <x:f>F97*(1-D97-'損益分岐設定'!$B$10)-G97-H97</x:f>
        <x:v>5073.448776044397</x:v>
      </x:c>
      <x:c r="J97" s="1" t="n">
        <x:f>IF(MIN(V97:Y97)&gt;1000,"範囲内なし",MIN(V97:Y97))</x:f>
        <x:v>5</x:v>
      </x:c>
      <x:c r="K97" s="1" t="n">
        <x:f>IF(MAX(Z97:AC97)&gt;=1000,"範囲内なし",MAX(1,MAX(Z97:AC97)+1))</x:f>
        <x:v>5</x:v>
      </x:c>
      <x:c r="L97" s="7" t="n">
        <x:f>10*I97-R97</x:f>
        <x:v>28723.55313413617</x:v>
      </x:c>
      <x:c r="M97" s="7" t="n">
        <x:f>30*I97-S97</x:f>
        <x:v>125692.5286550241</x:v>
      </x:c>
      <x:c r="N97" s="7" t="n">
        <x:f>50*I97-S97</x:f>
        <x:v>227161.50417591206</x:v>
      </x:c>
      <x:c r="O97" s="7" t="n">
        <x:f>100*I97-S97</x:f>
        <x:v>480833.94297813193</x:v>
      </x:c>
      <x:c r="P97" s="7" t="n">
        <x:f>300*I97-T97</x:f>
        <x:v>1473523.6981870113</x:v>
      </x:c>
      <x:c r="Q97" s="7" t="n">
        <x:f>1000*I97-U97</x:f>
        <x:v>4994937.841418089</x:v>
      </x:c>
      <x:c r="R9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97*'損益分岐設定'!$B$12*'損益分岐設定'!$B$11</x:f>
        <x:v>22010.934626307797</x:v>
      </x:c>
      <x:c r="S9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97*'損益分岐設定'!$B$12*'損益分岐設定'!$B$11</x:f>
        <x:v>26510.934626307797</x:v>
      </x:c>
      <x:c r="T9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97*'損益分岐設定'!$B$12*'損益分岐設定'!$B$11</x:f>
        <x:v>48510.9346263078</x:v>
      </x:c>
      <x:c r="U9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97*'損益分岐設定'!$B$12*'損益分岐設定'!$B$11</x:f>
        <x:v>78510.9346263078</x:v>
      </x:c>
      <x:c r="V97" s="1" t="n">
        <x:f>IF(I97&lt;=0,1001,IF(MAX('損益分岐設定'!B37,ROUNDUP(R97/I97,0))&lt;='損益分岐設定'!C37,MAX('損益分岐設定'!B37,ROUNDUP(R97/I97,0)),1001))</x:f>
        <x:v>5</x:v>
      </x:c>
      <x:c r="W97" s="1" t="n">
        <x:f>IF(I97&lt;=0,1001,IF(MAX('損益分岐設定'!B38,ROUNDUP(S97/I97,0))&lt;='損益分岐設定'!C38,MAX('損益分岐設定'!B38,ROUNDUP(S97/I97,0)),1001))</x:f>
        <x:v>11</x:v>
      </x:c>
      <x:c r="X97" s="1" t="n">
        <x:f>IF(I97&lt;=0,1001,IF(MAX('損益分岐設定'!B39,ROUNDUP(T97/I97,0))&lt;='損益分岐設定'!C39,MAX('損益分岐設定'!B39,ROUNDUP(T97/I97,0)),1001))</x:f>
        <x:v>101</x:v>
      </x:c>
      <x:c r="Y97" s="1" t="n">
        <x:f>IF(I97&lt;=0,1001,IF(MAX('損益分岐設定'!B40,ROUNDUP(U97/I97,0))&lt;='損益分岐設定'!C40,MAX('損益分岐設定'!B40,ROUNDUP(U97/I97,0)),1001))</x:f>
        <x:v>501</x:v>
      </x:c>
      <x:c r="Z97" s="1" t="n">
        <x:f>IF(I97&lt;=0,'損益分岐設定'!C37,IF('損益分岐設定'!C37*I97-R97&lt;0,'損益分岐設定'!C37,IF('損益分岐設定'!B37*I97-R97&gt;=0,0,ROUNDUP(R97/I97,0)-1)))</x:f>
        <x:v>4</x:v>
      </x:c>
      <x:c r="AA97" s="1" t="n">
        <x:f>IF(I97&lt;=0,'損益分岐設定'!C38,IF('損益分岐設定'!C38*I97-S97&lt;0,'損益分岐設定'!C38,IF('損益分岐設定'!B38*I97-S97&gt;=0,0,ROUNDUP(S97/I97,0)-1)))</x:f>
        <x:v>0</x:v>
      </x:c>
      <x:c r="AB97" s="1" t="n">
        <x:f>IF(I97&lt;=0,'損益分岐設定'!C39,IF('損益分岐設定'!C39*I97-T97&lt;0,'損益分岐設定'!C39,IF('損益分岐設定'!B39*I97-T97&gt;=0,0,ROUNDUP(T97/I97,0)-1)))</x:f>
        <x:v>0</x:v>
      </x:c>
      <x:c r="AC97" s="1" t="n">
        <x:f>IF(I97&lt;=0,'損益分岐設定'!C40,IF('損益分岐設定'!C40*I97-U97&lt;0,'損益分岐設定'!C40,IF('損益分岐設定'!B40*I97-U97&gt;=0,0,ROUNDUP(U97/I97,0)-1)))</x:f>
        <x:v>0</x:v>
      </x:c>
      <x:c r="AD97" s="1" t="n">
        <x:v>0</x:v>
      </x:c>
      <x:c r="AE97" s="1" t="n">
        <x:v>0</x:v>
      </x:c>
      <x:c r="AF97" s="1" t="n">
        <x:v>1</x:v>
      </x:c>
      <x:c r="AG97" s="1" t="n">
        <x:f>AD97*'損益分岐設定'!$C$57+AE97*'損益分岐設定'!$C$60+AF97*'損益分岐設定'!$C$63</x:f>
        <x:v>1028.9614318847655</x:v>
      </x:c>
      <x:c r="AH97" s="1" t="n">
        <x:f>AD97*'損益分岐設定'!$D$57+AE97*'損益分岐設定'!$D$60+AF97*'損益分岐設定'!$D$63</x:f>
        <x:v>300</x:v>
      </x:c>
      <x:c r="AI97" s="1" t="n">
        <x:f>AD97*'損益分岐設定'!$E$57+AE97*'損益分岐設定'!$E$60+AF97*'損益分岐設定'!$E$63</x:f>
        <x:v>300</x:v>
      </x:c>
      <x:c r="AJ97" s="1" t="n">
        <x:f>(AD97*'損益分岐設定'!$F$57+AE97*'損益分岐設定'!$F$60+AF97*'損益分岐設定'!$F$63*1)*'損益分岐設定'!$B$22</x:f>
        <x:v>1200</x:v>
      </x:c>
      <x:c r="AK97" s="1" t="n">
        <x:f>AD97*'損益分岐設定'!$G$57+AE97*'損益分岐設定'!$G$60+AF97*'損益分岐設定'!$G$63</x:f>
        <x:v>2000</x:v>
      </x:c>
      <x:c r="AL97" s="1" t="n">
        <x:f>AD97*'損益分岐設定'!$H$57+AE97*'損益分岐設定'!$H$60+AF97*'損益分岐設定'!$H$63</x:f>
        <x:v>866.6666666666667</x:v>
      </x:c>
      <x:c r="AM97" s="1" t="n">
        <x:f>MAX(1,ROUNDUP('損益分岐設定'!C37*AJ97/('損益分岐設定'!$B$23*'損益分岐設定'!$B$24*3600*'損益分岐設定'!$B$25),0))</x:f>
        <x:v>1</x:v>
      </x:c>
      <x:c r="AN97" s="1" t="n">
        <x:f>MAX(2,ROUNDUP('損益分岐設定'!C38*AJ97/('損益分岐設定'!$B$23*'損益分岐設定'!$B$24*3600*'損益分岐設定'!$B$25),0))</x:f>
        <x:v>2</x:v>
      </x:c>
      <x:c r="AO97" s="1" t="n">
        <x:f>MAX(2,ROUNDUP('損益分岐設定'!C39*AJ97/('損益分岐設定'!$B$23*'損益分岐設定'!$B$24*3600*'損益分岐設定'!$B$25),0))</x:f>
        <x:v>2</x:v>
      </x:c>
      <x:c r="AP97" s="1" t="n">
        <x:f>MAX(2,ROUNDUP('損益分岐設定'!C40*AJ97/('損益分岐設定'!$B$23*'損益分岐設定'!$B$24*3600*'損益分岐設定'!$B$25),0))</x:f>
        <x:v>3</x:v>
      </x:c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 ht="23" customHeight="1">
      <x:c r="A98" s="1" t="str">
        <x:v>Run</x:v>
      </x:c>
      <x:c r="B98" s="1" t="str">
        <x:v>Business Plus</x:v>
      </x:c>
      <x:c r="C98" s="1" t="str">
        <x:v>標準</x:v>
      </x:c>
      <x:c r="D98" s="21" t="n">
        <x:v>0.2</x:v>
      </x:c>
      <x:c r="E98" s="1" t="n">
        <x:v>1</x:v>
      </x:c>
      <x:c r="F98" s="7" t="n">
        <x:f>AD98*'損益分岐設定'!$B$5+AE98*'損益分岐設定'!$B$6+AF98*'損益分岐設定'!$B$7</x:f>
        <x:v>8000</x:v>
      </x:c>
      <x:c r="G98" s="7" t="n">
        <x:f>AG98+(AH98+AI98)*('損益分岐設定'!$B$29+0.5*'損益分岐設定'!$B$30)+AK98*'損益分岐設定'!$B$32+(AJ98+AK98/'損益分岐設定'!$B$28*'損益分岐設定'!$B$26)*('損益分岐設定'!$B$29+'損益分岐設定'!$B$31*'損益分岐設定'!$B$30)</x:f>
        <x:v>1038.5512239556026</x:v>
      </x:c>
      <x:c r="H98" s="7" t="n">
        <x:f>AL98*E98</x:f>
        <x:v>866.6666666666667</x:v>
      </x:c>
      <x:c r="I98" s="7" t="n">
        <x:f>F98*(1-D98-'損益分岐設定'!$B$10)-G98-H98</x:f>
        <x:v>4206.78210937773</x:v>
      </x:c>
      <x:c r="J98" s="1" t="n">
        <x:f>IF(MIN(V98:Y98)&gt;1000,"範囲内なし",MIN(V98:Y98))</x:f>
        <x:v>8</x:v>
      </x:c>
      <x:c r="K98" s="1" t="n">
        <x:f>IF(MAX(Z98:AC98)&gt;=1000,"範囲内なし",MAX(1,MAX(Z98:AC98)+1))</x:f>
        <x:v>8</x:v>
      </x:c>
      <x:c r="L98" s="7" t="n">
        <x:f>10*I98-R98</x:f>
        <x:v>12056.886467469507</x:v>
      </x:c>
      <x:c r="M98" s="7" t="n">
        <x:f>30*I98-S98</x:f>
        <x:v>91692.5286550241</x:v>
      </x:c>
      <x:c r="N98" s="7" t="n">
        <x:f>50*I98-S98</x:f>
        <x:v>175828.1708425787</x:v>
      </x:c>
      <x:c r="O98" s="7" t="n">
        <x:f>100*I98-S98</x:f>
        <x:v>386167.2763114652</x:v>
      </x:c>
      <x:c r="P98" s="7" t="n">
        <x:f>300*I98-T98</x:f>
        <x:v>1205523.6981870113</x:v>
      </x:c>
      <x:c r="Q98" s="7" t="n">
        <x:f>1000*I98-U98</x:f>
        <x:v>4120271.174751423</x:v>
      </x:c>
      <x:c r="R9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98*'損益分岐設定'!$B$12*'損益分岐設定'!$B$11</x:f>
        <x:v>30010.934626307797</x:v>
      </x:c>
      <x:c r="S9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98*'損益分岐設定'!$B$12*'損益分岐設定'!$B$11</x:f>
        <x:v>34510.9346263078</x:v>
      </x:c>
      <x:c r="T9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98*'損益分岐設定'!$B$12*'損益分岐設定'!$B$11</x:f>
        <x:v>56510.9346263078</x:v>
      </x:c>
      <x:c r="U9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98*'損益分岐設定'!$B$12*'損益分岐設定'!$B$11</x:f>
        <x:v>86510.9346263078</x:v>
      </x:c>
      <x:c r="V98" s="1" t="n">
        <x:f>IF(I98&lt;=0,1001,IF(MAX('損益分岐設定'!B37,ROUNDUP(R98/I98,0))&lt;='損益分岐設定'!C37,MAX('損益分岐設定'!B37,ROUNDUP(R98/I98,0)),1001))</x:f>
        <x:v>8</x:v>
      </x:c>
      <x:c r="W98" s="1" t="n">
        <x:f>IF(I98&lt;=0,1001,IF(MAX('損益分岐設定'!B38,ROUNDUP(S98/I98,0))&lt;='損益分岐設定'!C38,MAX('損益分岐設定'!B38,ROUNDUP(S98/I98,0)),1001))</x:f>
        <x:v>11</x:v>
      </x:c>
      <x:c r="X98" s="1" t="n">
        <x:f>IF(I98&lt;=0,1001,IF(MAX('損益分岐設定'!B39,ROUNDUP(T98/I98,0))&lt;='損益分岐設定'!C39,MAX('損益分岐設定'!B39,ROUNDUP(T98/I98,0)),1001))</x:f>
        <x:v>101</x:v>
      </x:c>
      <x:c r="Y98" s="1" t="n">
        <x:f>IF(I98&lt;=0,1001,IF(MAX('損益分岐設定'!B40,ROUNDUP(U98/I98,0))&lt;='損益分岐設定'!C40,MAX('損益分岐設定'!B40,ROUNDUP(U98/I98,0)),1001))</x:f>
        <x:v>501</x:v>
      </x:c>
      <x:c r="Z98" s="1" t="n">
        <x:f>IF(I98&lt;=0,'損益分岐設定'!C37,IF('損益分岐設定'!C37*I98-R98&lt;0,'損益分岐設定'!C37,IF('損益分岐設定'!B37*I98-R98&gt;=0,0,ROUNDUP(R98/I98,0)-1)))</x:f>
        <x:v>7</x:v>
      </x:c>
      <x:c r="AA98" s="1" t="n">
        <x:f>IF(I98&lt;=0,'損益分岐設定'!C38,IF('損益分岐設定'!C38*I98-S98&lt;0,'損益分岐設定'!C38,IF('損益分岐設定'!B38*I98-S98&gt;=0,0,ROUNDUP(S98/I98,0)-1)))</x:f>
        <x:v>0</x:v>
      </x:c>
      <x:c r="AB98" s="1" t="n">
        <x:f>IF(I98&lt;=0,'損益分岐設定'!C39,IF('損益分岐設定'!C39*I98-T98&lt;0,'損益分岐設定'!C39,IF('損益分岐設定'!B39*I98-T98&gt;=0,0,ROUNDUP(T98/I98,0)-1)))</x:f>
        <x:v>0</x:v>
      </x:c>
      <x:c r="AC98" s="1" t="n">
        <x:f>IF(I98&lt;=0,'損益分岐設定'!C40,IF('損益分岐設定'!C40*I98-U98&lt;0,'損益分岐設定'!C40,IF('損益分岐設定'!B40*I98-U98&gt;=0,0,ROUNDUP(U98/I98,0)-1)))</x:f>
        <x:v>0</x:v>
      </x:c>
      <x:c r="AD98" s="1" t="n">
        <x:v>0</x:v>
      </x:c>
      <x:c r="AE98" s="1" t="n">
        <x:v>0</x:v>
      </x:c>
      <x:c r="AF98" s="1" t="n">
        <x:v>1</x:v>
      </x:c>
      <x:c r="AG98" s="1" t="n">
        <x:f>AD98*'損益分岐設定'!$C$57+AE98*'損益分岐設定'!$C$60+AF98*'損益分岐設定'!$C$63</x:f>
        <x:v>1028.9614318847655</x:v>
      </x:c>
      <x:c r="AH98" s="1" t="n">
        <x:f>AD98*'損益分岐設定'!$D$57+AE98*'損益分岐設定'!$D$60+AF98*'損益分岐設定'!$D$63</x:f>
        <x:v>300</x:v>
      </x:c>
      <x:c r="AI98" s="1" t="n">
        <x:f>AD98*'損益分岐設定'!$E$57+AE98*'損益分岐設定'!$E$60+AF98*'損益分岐設定'!$E$63</x:f>
        <x:v>300</x:v>
      </x:c>
      <x:c r="AJ98" s="1" t="n">
        <x:f>(AD98*'損益分岐設定'!$F$57+AE98*'損益分岐設定'!$F$60+AF98*'損益分岐設定'!$F$63*1)*'損益分岐設定'!$B$22</x:f>
        <x:v>1200</x:v>
      </x:c>
      <x:c r="AK98" s="1" t="n">
        <x:f>AD98*'損益分岐設定'!$G$57+AE98*'損益分岐設定'!$G$60+AF98*'損益分岐設定'!$G$63</x:f>
        <x:v>2000</x:v>
      </x:c>
      <x:c r="AL98" s="1" t="n">
        <x:f>AD98*'損益分岐設定'!$H$57+AE98*'損益分岐設定'!$H$60+AF98*'損益分岐設定'!$H$63</x:f>
        <x:v>866.6666666666667</x:v>
      </x:c>
      <x:c r="AM98" s="1" t="n">
        <x:f>MAX(1,ROUNDUP('損益分岐設定'!C37*AJ98/('損益分岐設定'!$B$23*'損益分岐設定'!$B$24*3600*'損益分岐設定'!$B$25),0))</x:f>
        <x:v>1</x:v>
      </x:c>
      <x:c r="AN98" s="1" t="n">
        <x:f>MAX(2,ROUNDUP('損益分岐設定'!C38*AJ98/('損益分岐設定'!$B$23*'損益分岐設定'!$B$24*3600*'損益分岐設定'!$B$25),0))</x:f>
        <x:v>2</x:v>
      </x:c>
      <x:c r="AO98" s="1" t="n">
        <x:f>MAX(2,ROUNDUP('損益分岐設定'!C39*AJ98/('損益分岐設定'!$B$23*'損益分岐設定'!$B$24*3600*'損益分岐設定'!$B$25),0))</x:f>
        <x:v>2</x:v>
      </x:c>
      <x:c r="AP98" s="1" t="n">
        <x:f>MAX(2,ROUNDUP('損益分岐設定'!C40*AJ98/('損益分岐設定'!$B$23*'損益分岐設定'!$B$24*3600*'損益分岐設定'!$B$25),0))</x:f>
        <x:v>3</x:v>
      </x:c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 ht="23" customHeight="1">
      <x:c r="A99" s="1" t="str">
        <x:v>Run</x:v>
      </x:c>
      <x:c r="B99" s="1" t="str">
        <x:v>Business Plus</x:v>
      </x:c>
      <x:c r="C99" s="1" t="str">
        <x:v>標準</x:v>
      </x:c>
      <x:c r="D99" s="21" t="n">
        <x:v>0.3</x:v>
      </x:c>
      <x:c r="E99" s="1" t="n">
        <x:v>0</x:v>
      </x:c>
      <x:c r="F99" s="7" t="n">
        <x:f>AD99*'損益分岐設定'!$B$5+AE99*'損益分岐設定'!$B$6+AF99*'損益分岐設定'!$B$7</x:f>
        <x:v>8000</x:v>
      </x:c>
      <x:c r="G99" s="7" t="n">
        <x:f>AG99+(AH99+AI99)*('損益分岐設定'!$B$29+0.5*'損益分岐設定'!$B$30)+AK99*'損益分岐設定'!$B$32+(AJ99+AK99/'損益分岐設定'!$B$28*'損益分岐設定'!$B$26)*('損益分岐設定'!$B$29+'損益分岐設定'!$B$31*'損益分岐設定'!$B$30)</x:f>
        <x:v>1038.5512239556026</x:v>
      </x:c>
      <x:c r="H99" s="7" t="n">
        <x:f>AL99*E99</x:f>
        <x:v>0</x:v>
      </x:c>
      <x:c r="I99" s="7" t="n">
        <x:f>F99*(1-D99-'損益分岐設定'!$B$10)-G99-H99</x:f>
        <x:v>4273.448776044396</x:v>
      </x:c>
      <x:c r="J99" s="1" t="n">
        <x:f>IF(MIN(V99:Y99)&gt;1000,"範囲内なし",MIN(V99:Y99))</x:f>
        <x:v>6</x:v>
      </x:c>
      <x:c r="K99" s="1" t="n">
        <x:f>IF(MAX(Z99:AC99)&gt;=1000,"範囲内なし",MAX(1,MAX(Z99:AC99)+1))</x:f>
        <x:v>6</x:v>
      </x:c>
      <x:c r="L99" s="7" t="n">
        <x:f>10*I99-R99</x:f>
        <x:v>20723.553134136164</x:v>
      </x:c>
      <x:c r="M99" s="7" t="n">
        <x:f>30*I99-S99</x:f>
        <x:v>101692.5286550241</x:v>
      </x:c>
      <x:c r="N99" s="7" t="n">
        <x:f>50*I99-S99</x:f>
        <x:v>187161.504175912</x:v>
      </x:c>
      <x:c r="O99" s="7" t="n">
        <x:f>100*I99-S99</x:f>
        <x:v>400833.9429781318</x:v>
      </x:c>
      <x:c r="P99" s="7" t="n">
        <x:f>300*I99-T99</x:f>
        <x:v>1233523.698187011</x:v>
      </x:c>
      <x:c r="Q99" s="7" t="n">
        <x:f>1000*I99-U99</x:f>
        <x:v>4194937.841418089</x:v>
      </x:c>
      <x:c r="R9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99*'損益分岐設定'!$B$12*'損益分岐設定'!$B$11</x:f>
        <x:v>22010.934626307797</x:v>
      </x:c>
      <x:c r="S9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99*'損益分岐設定'!$B$12*'損益分岐設定'!$B$11</x:f>
        <x:v>26510.934626307797</x:v>
      </x:c>
      <x:c r="T9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99*'損益分岐設定'!$B$12*'損益分岐設定'!$B$11</x:f>
        <x:v>48510.9346263078</x:v>
      </x:c>
      <x:c r="U9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99*'損益分岐設定'!$B$12*'損益分岐設定'!$B$11</x:f>
        <x:v>78510.9346263078</x:v>
      </x:c>
      <x:c r="V99" s="1" t="n">
        <x:f>IF(I99&lt;=0,1001,IF(MAX('損益分岐設定'!B37,ROUNDUP(R99/I99,0))&lt;='損益分岐設定'!C37,MAX('損益分岐設定'!B37,ROUNDUP(R99/I99,0)),1001))</x:f>
        <x:v>6</x:v>
      </x:c>
      <x:c r="W99" s="1" t="n">
        <x:f>IF(I99&lt;=0,1001,IF(MAX('損益分岐設定'!B38,ROUNDUP(S99/I99,0))&lt;='損益分岐設定'!C38,MAX('損益分岐設定'!B38,ROUNDUP(S99/I99,0)),1001))</x:f>
        <x:v>11</x:v>
      </x:c>
      <x:c r="X99" s="1" t="n">
        <x:f>IF(I99&lt;=0,1001,IF(MAX('損益分岐設定'!B39,ROUNDUP(T99/I99,0))&lt;='損益分岐設定'!C39,MAX('損益分岐設定'!B39,ROUNDUP(T99/I99,0)),1001))</x:f>
        <x:v>101</x:v>
      </x:c>
      <x:c r="Y99" s="1" t="n">
        <x:f>IF(I99&lt;=0,1001,IF(MAX('損益分岐設定'!B40,ROUNDUP(U99/I99,0))&lt;='損益分岐設定'!C40,MAX('損益分岐設定'!B40,ROUNDUP(U99/I99,0)),1001))</x:f>
        <x:v>501</x:v>
      </x:c>
      <x:c r="Z99" s="1" t="n">
        <x:f>IF(I99&lt;=0,'損益分岐設定'!C37,IF('損益分岐設定'!C37*I99-R99&lt;0,'損益分岐設定'!C37,IF('損益分岐設定'!B37*I99-R99&gt;=0,0,ROUNDUP(R99/I99,0)-1)))</x:f>
        <x:v>5</x:v>
      </x:c>
      <x:c r="AA99" s="1" t="n">
        <x:f>IF(I99&lt;=0,'損益分岐設定'!C38,IF('損益分岐設定'!C38*I99-S99&lt;0,'損益分岐設定'!C38,IF('損益分岐設定'!B38*I99-S99&gt;=0,0,ROUNDUP(S99/I99,0)-1)))</x:f>
        <x:v>0</x:v>
      </x:c>
      <x:c r="AB99" s="1" t="n">
        <x:f>IF(I99&lt;=0,'損益分岐設定'!C39,IF('損益分岐設定'!C39*I99-T99&lt;0,'損益分岐設定'!C39,IF('損益分岐設定'!B39*I99-T99&gt;=0,0,ROUNDUP(T99/I99,0)-1)))</x:f>
        <x:v>0</x:v>
      </x:c>
      <x:c r="AC99" s="1" t="n">
        <x:f>IF(I99&lt;=0,'損益分岐設定'!C40,IF('損益分岐設定'!C40*I99-U99&lt;0,'損益分岐設定'!C40,IF('損益分岐設定'!B40*I99-U99&gt;=0,0,ROUNDUP(U99/I99,0)-1)))</x:f>
        <x:v>0</x:v>
      </x:c>
      <x:c r="AD99" s="1" t="n">
        <x:v>0</x:v>
      </x:c>
      <x:c r="AE99" s="1" t="n">
        <x:v>0</x:v>
      </x:c>
      <x:c r="AF99" s="1" t="n">
        <x:v>1</x:v>
      </x:c>
      <x:c r="AG99" s="1" t="n">
        <x:f>AD99*'損益分岐設定'!$C$57+AE99*'損益分岐設定'!$C$60+AF99*'損益分岐設定'!$C$63</x:f>
        <x:v>1028.9614318847655</x:v>
      </x:c>
      <x:c r="AH99" s="1" t="n">
        <x:f>AD99*'損益分岐設定'!$D$57+AE99*'損益分岐設定'!$D$60+AF99*'損益分岐設定'!$D$63</x:f>
        <x:v>300</x:v>
      </x:c>
      <x:c r="AI99" s="1" t="n">
        <x:f>AD99*'損益分岐設定'!$E$57+AE99*'損益分岐設定'!$E$60+AF99*'損益分岐設定'!$E$63</x:f>
        <x:v>300</x:v>
      </x:c>
      <x:c r="AJ99" s="1" t="n">
        <x:f>(AD99*'損益分岐設定'!$F$57+AE99*'損益分岐設定'!$F$60+AF99*'損益分岐設定'!$F$63*1)*'損益分岐設定'!$B$22</x:f>
        <x:v>1200</x:v>
      </x:c>
      <x:c r="AK99" s="1" t="n">
        <x:f>AD99*'損益分岐設定'!$G$57+AE99*'損益分岐設定'!$G$60+AF99*'損益分岐設定'!$G$63</x:f>
        <x:v>2000</x:v>
      </x:c>
      <x:c r="AL99" s="1" t="n">
        <x:f>AD99*'損益分岐設定'!$H$57+AE99*'損益分岐設定'!$H$60+AF99*'損益分岐設定'!$H$63</x:f>
        <x:v>866.6666666666667</x:v>
      </x:c>
      <x:c r="AM99" s="1" t="n">
        <x:f>MAX(1,ROUNDUP('損益分岐設定'!C37*AJ99/('損益分岐設定'!$B$23*'損益分岐設定'!$B$24*3600*'損益分岐設定'!$B$25),0))</x:f>
        <x:v>1</x:v>
      </x:c>
      <x:c r="AN99" s="1" t="n">
        <x:f>MAX(2,ROUNDUP('損益分岐設定'!C38*AJ99/('損益分岐設定'!$B$23*'損益分岐設定'!$B$24*3600*'損益分岐設定'!$B$25),0))</x:f>
        <x:v>2</x:v>
      </x:c>
      <x:c r="AO99" s="1" t="n">
        <x:f>MAX(2,ROUNDUP('損益分岐設定'!C39*AJ99/('損益分岐設定'!$B$23*'損益分岐設定'!$B$24*3600*'損益分岐設定'!$B$25),0))</x:f>
        <x:v>2</x:v>
      </x:c>
      <x:c r="AP99" s="1" t="n">
        <x:f>MAX(2,ROUNDUP('損益分岐設定'!C40*AJ99/('損益分岐設定'!$B$23*'損益分岐設定'!$B$24*3600*'損益分岐設定'!$B$25),0))</x:f>
        <x:v>3</x:v>
      </x:c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 ht="23" customHeight="1">
      <x:c r="A100" s="1" t="str">
        <x:v>Run</x:v>
      </x:c>
      <x:c r="B100" s="1" t="str">
        <x:v>Business Plus</x:v>
      </x:c>
      <x:c r="C100" s="1" t="str">
        <x:v>標準</x:v>
      </x:c>
      <x:c r="D100" s="21" t="n">
        <x:v>0.3</x:v>
      </x:c>
      <x:c r="E100" s="1" t="n">
        <x:v>1</x:v>
      </x:c>
      <x:c r="F100" s="7" t="n">
        <x:f>AD100*'損益分岐設定'!$B$5+AE100*'損益分岐設定'!$B$6+AF100*'損益分岐設定'!$B$7</x:f>
        <x:v>8000</x:v>
      </x:c>
      <x:c r="G100" s="7" t="n">
        <x:f>AG100+(AH100+AI100)*('損益分岐設定'!$B$29+0.5*'損益分岐設定'!$B$30)+AK100*'損益分岐設定'!$B$32+(AJ100+AK100/'損益分岐設定'!$B$28*'損益分岐設定'!$B$26)*('損益分岐設定'!$B$29+'損益分岐設定'!$B$31*'損益分岐設定'!$B$30)</x:f>
        <x:v>1038.5512239556026</x:v>
      </x:c>
      <x:c r="H100" s="7" t="n">
        <x:f>AL100*E100</x:f>
        <x:v>866.6666666666667</x:v>
      </x:c>
      <x:c r="I100" s="7" t="n">
        <x:f>F100*(1-D100-'損益分岐設定'!$B$10)-G100-H100</x:f>
        <x:v>3406.7821093777293</x:v>
      </x:c>
      <x:c r="J100" s="1" t="n">
        <x:f>IF(MIN(V100:Y100)&gt;1000,"範囲内なし",MIN(V100:Y100))</x:f>
        <x:v>9</x:v>
      </x:c>
      <x:c r="K100" s="1" t="n">
        <x:f>IF(MAX(Z100:AC100)&gt;=1000,"範囲内なし",MAX(1,MAX(Z100:AC100)+1))</x:f>
        <x:v>9</x:v>
      </x:c>
      <x:c r="L100" s="7" t="n">
        <x:f>10*I100-R100</x:f>
        <x:v>4056.8864674694996</x:v>
      </x:c>
      <x:c r="M100" s="7" t="n">
        <x:f>30*I100-S100</x:f>
        <x:v>67692.52865502407</x:v>
      </x:c>
      <x:c r="N100" s="7" t="n">
        <x:f>50*I100-S100</x:f>
        <x:v>135828.17084257866</x:v>
      </x:c>
      <x:c r="O100" s="7" t="n">
        <x:f>100*I100-S100</x:f>
        <x:v>306167.27631146513</x:v>
      </x:c>
      <x:c r="P100" s="7" t="n">
        <x:f>300*I100-T100</x:f>
        <x:v>965523.698187011</x:v>
      </x:c>
      <x:c r="Q100" s="7" t="n">
        <x:f>1000*I100-U100</x:f>
        <x:v>3320271.1747514214</x:v>
      </x:c>
      <x:c r="R10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100*'損益分岐設定'!$B$12*'損益分岐設定'!$B$11</x:f>
        <x:v>30010.934626307797</x:v>
      </x:c>
      <x:c r="S10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100*'損益分岐設定'!$B$12*'損益分岐設定'!$B$11</x:f>
        <x:v>34510.9346263078</x:v>
      </x:c>
      <x:c r="T10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100*'損益分岐設定'!$B$12*'損益分岐設定'!$B$11</x:f>
        <x:v>56510.9346263078</x:v>
      </x:c>
      <x:c r="U10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100*'損益分岐設定'!$B$12*'損益分岐設定'!$B$11</x:f>
        <x:v>86510.9346263078</x:v>
      </x:c>
      <x:c r="V100" s="1" t="n">
        <x:f>IF(I100&lt;=0,1001,IF(MAX('損益分岐設定'!B37,ROUNDUP(R100/I100,0))&lt;='損益分岐設定'!C37,MAX('損益分岐設定'!B37,ROUNDUP(R100/I100,0)),1001))</x:f>
        <x:v>9</x:v>
      </x:c>
      <x:c r="W100" s="1" t="n">
        <x:f>IF(I100&lt;=0,1001,IF(MAX('損益分岐設定'!B38,ROUNDUP(S100/I100,0))&lt;='損益分岐設定'!C38,MAX('損益分岐設定'!B38,ROUNDUP(S100/I100,0)),1001))</x:f>
        <x:v>11</x:v>
      </x:c>
      <x:c r="X100" s="1" t="n">
        <x:f>IF(I100&lt;=0,1001,IF(MAX('損益分岐設定'!B39,ROUNDUP(T100/I100,0))&lt;='損益分岐設定'!C39,MAX('損益分岐設定'!B39,ROUNDUP(T100/I100,0)),1001))</x:f>
        <x:v>101</x:v>
      </x:c>
      <x:c r="Y100" s="1" t="n">
        <x:f>IF(I100&lt;=0,1001,IF(MAX('損益分岐設定'!B40,ROUNDUP(U100/I100,0))&lt;='損益分岐設定'!C40,MAX('損益分岐設定'!B40,ROUNDUP(U100/I100,0)),1001))</x:f>
        <x:v>501</x:v>
      </x:c>
      <x:c r="Z100" s="1" t="n">
        <x:f>IF(I100&lt;=0,'損益分岐設定'!C37,IF('損益分岐設定'!C37*I100-R100&lt;0,'損益分岐設定'!C37,IF('損益分岐設定'!B37*I100-R100&gt;=0,0,ROUNDUP(R100/I100,0)-1)))</x:f>
        <x:v>8</x:v>
      </x:c>
      <x:c r="AA100" s="1" t="n">
        <x:f>IF(I100&lt;=0,'損益分岐設定'!C38,IF('損益分岐設定'!C38*I100-S100&lt;0,'損益分岐設定'!C38,IF('損益分岐設定'!B38*I100-S100&gt;=0,0,ROUNDUP(S100/I100,0)-1)))</x:f>
        <x:v>0</x:v>
      </x:c>
      <x:c r="AB100" s="1" t="n">
        <x:f>IF(I100&lt;=0,'損益分岐設定'!C39,IF('損益分岐設定'!C39*I100-T100&lt;0,'損益分岐設定'!C39,IF('損益分岐設定'!B39*I100-T100&gt;=0,0,ROUNDUP(T100/I100,0)-1)))</x:f>
        <x:v>0</x:v>
      </x:c>
      <x:c r="AC100" s="1" t="n">
        <x:f>IF(I100&lt;=0,'損益分岐設定'!C40,IF('損益分岐設定'!C40*I100-U100&lt;0,'損益分岐設定'!C40,IF('損益分岐設定'!B40*I100-U100&gt;=0,0,ROUNDUP(U100/I100,0)-1)))</x:f>
        <x:v>0</x:v>
      </x:c>
      <x:c r="AD100" s="1" t="n">
        <x:v>0</x:v>
      </x:c>
      <x:c r="AE100" s="1" t="n">
        <x:v>0</x:v>
      </x:c>
      <x:c r="AF100" s="1" t="n">
        <x:v>1</x:v>
      </x:c>
      <x:c r="AG100" s="1" t="n">
        <x:f>AD100*'損益分岐設定'!$C$57+AE100*'損益分岐設定'!$C$60+AF100*'損益分岐設定'!$C$63</x:f>
        <x:v>1028.9614318847655</x:v>
      </x:c>
      <x:c r="AH100" s="1" t="n">
        <x:f>AD100*'損益分岐設定'!$D$57+AE100*'損益分岐設定'!$D$60+AF100*'損益分岐設定'!$D$63</x:f>
        <x:v>300</x:v>
      </x:c>
      <x:c r="AI100" s="1" t="n">
        <x:f>AD100*'損益分岐設定'!$E$57+AE100*'損益分岐設定'!$E$60+AF100*'損益分岐設定'!$E$63</x:f>
        <x:v>300</x:v>
      </x:c>
      <x:c r="AJ100" s="1" t="n">
        <x:f>(AD100*'損益分岐設定'!$F$57+AE100*'損益分岐設定'!$F$60+AF100*'損益分岐設定'!$F$63*1)*'損益分岐設定'!$B$22</x:f>
        <x:v>1200</x:v>
      </x:c>
      <x:c r="AK100" s="1" t="n">
        <x:f>AD100*'損益分岐設定'!$G$57+AE100*'損益分岐設定'!$G$60+AF100*'損益分岐設定'!$G$63</x:f>
        <x:v>2000</x:v>
      </x:c>
      <x:c r="AL100" s="1" t="n">
        <x:f>AD100*'損益分岐設定'!$H$57+AE100*'損益分岐設定'!$H$60+AF100*'損益分岐設定'!$H$63</x:f>
        <x:v>866.6666666666667</x:v>
      </x:c>
      <x:c r="AM100" s="1" t="n">
        <x:f>MAX(1,ROUNDUP('損益分岐設定'!C37*AJ100/('損益分岐設定'!$B$23*'損益分岐設定'!$B$24*3600*'損益分岐設定'!$B$25),0))</x:f>
        <x:v>1</x:v>
      </x:c>
      <x:c r="AN100" s="1" t="n">
        <x:f>MAX(2,ROUNDUP('損益分岐設定'!C38*AJ100/('損益分岐設定'!$B$23*'損益分岐設定'!$B$24*3600*'損益分岐設定'!$B$25),0))</x:f>
        <x:v>2</x:v>
      </x:c>
      <x:c r="AO100" s="1" t="n">
        <x:f>MAX(2,ROUNDUP('損益分岐設定'!C39*AJ100/('損益分岐設定'!$B$23*'損益分岐設定'!$B$24*3600*'損益分岐設定'!$B$25),0))</x:f>
        <x:v>2</x:v>
      </x:c>
      <x:c r="AP100" s="1" t="n">
        <x:f>MAX(2,ROUNDUP('損益分岐設定'!C40*AJ100/('損益分岐設定'!$B$23*'損益分岐設定'!$B$24*3600*'損益分岐設定'!$B$25),0))</x:f>
        <x:v>3</x:v>
      </x:c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 ht="23" customHeight="1">
      <x:c r="A101" s="1" t="str">
        <x:v>Run</x:v>
      </x:c>
      <x:c r="B101" s="1" t="str">
        <x:v>Business Plus</x:v>
      </x:c>
      <x:c r="C101" s="1" t="str">
        <x:v>標準</x:v>
      </x:c>
      <x:c r="D101" s="21" t="n">
        <x:v>0.4</x:v>
      </x:c>
      <x:c r="E101" s="1" t="n">
        <x:v>0</x:v>
      </x:c>
      <x:c r="F101" s="7" t="n">
        <x:f>AD101*'損益分岐設定'!$B$5+AE101*'損益分岐設定'!$B$6+AF101*'損益分岐設定'!$B$7</x:f>
        <x:v>8000</x:v>
      </x:c>
      <x:c r="G101" s="7" t="n">
        <x:f>AG101+(AH101+AI101)*('損益分岐設定'!$B$29+0.5*'損益分岐設定'!$B$30)+AK101*'損益分岐設定'!$B$32+(AJ101+AK101/'損益分岐設定'!$B$28*'損益分岐設定'!$B$26)*('損益分岐設定'!$B$29+'損益分岐設定'!$B$31*'損益分岐設定'!$B$30)</x:f>
        <x:v>1038.5512239556026</x:v>
      </x:c>
      <x:c r="H101" s="7" t="n">
        <x:f>AL101*E101</x:f>
        <x:v>0</x:v>
      </x:c>
      <x:c r="I101" s="7" t="n">
        <x:f>F101*(1-D101-'損益分岐設定'!$B$10)-G101-H101</x:f>
        <x:v>3473.448776044397</x:v>
      </x:c>
      <x:c r="J101" s="1" t="n">
        <x:f>IF(MIN(V101:Y101)&gt;1000,"範囲内なし",MIN(V101:Y101))</x:f>
        <x:v>7</x:v>
      </x:c>
      <x:c r="K101" s="1" t="n">
        <x:f>IF(MAX(Z101:AC101)&gt;=1000,"範囲内なし",MAX(1,MAX(Z101:AC101)+1))</x:f>
        <x:v>7</x:v>
      </x:c>
      <x:c r="L101" s="7" t="n">
        <x:f>10*I101-R101</x:f>
        <x:v>12723.553134136171</x:v>
      </x:c>
      <x:c r="M101" s="7" t="n">
        <x:f>30*I101-S101</x:f>
        <x:v>77692.52865502413</x:v>
      </x:c>
      <x:c r="N101" s="7" t="n">
        <x:f>50*I101-S101</x:f>
        <x:v>147161.50417591206</x:v>
      </x:c>
      <x:c r="O101" s="7" t="n">
        <x:f>100*I101-S101</x:f>
        <x:v>320833.94297813193</x:v>
      </x:c>
      <x:c r="P101" s="7" t="n">
        <x:f>300*I101-T101</x:f>
        <x:v>993523.6981870113</x:v>
      </x:c>
      <x:c r="Q101" s="7" t="n">
        <x:f>1000*I101-U101</x:f>
        <x:v>3394937.8414180893</x:v>
      </x:c>
      <x:c r="R10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101*'損益分岐設定'!$B$12*'損益分岐設定'!$B$11</x:f>
        <x:v>22010.934626307797</x:v>
      </x:c>
      <x:c r="S10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101*'損益分岐設定'!$B$12*'損益分岐設定'!$B$11</x:f>
        <x:v>26510.934626307797</x:v>
      </x:c>
      <x:c r="T10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101*'損益分岐設定'!$B$12*'損益分岐設定'!$B$11</x:f>
        <x:v>48510.9346263078</x:v>
      </x:c>
      <x:c r="U10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101*'損益分岐設定'!$B$12*'損益分岐設定'!$B$11</x:f>
        <x:v>78510.9346263078</x:v>
      </x:c>
      <x:c r="V101" s="1" t="n">
        <x:f>IF(I101&lt;=0,1001,IF(MAX('損益分岐設定'!B37,ROUNDUP(R101/I101,0))&lt;='損益分岐設定'!C37,MAX('損益分岐設定'!B37,ROUNDUP(R101/I101,0)),1001))</x:f>
        <x:v>7</x:v>
      </x:c>
      <x:c r="W101" s="1" t="n">
        <x:f>IF(I101&lt;=0,1001,IF(MAX('損益分岐設定'!B38,ROUNDUP(S101/I101,0))&lt;='損益分岐設定'!C38,MAX('損益分岐設定'!B38,ROUNDUP(S101/I101,0)),1001))</x:f>
        <x:v>11</x:v>
      </x:c>
      <x:c r="X101" s="1" t="n">
        <x:f>IF(I101&lt;=0,1001,IF(MAX('損益分岐設定'!B39,ROUNDUP(T101/I101,0))&lt;='損益分岐設定'!C39,MAX('損益分岐設定'!B39,ROUNDUP(T101/I101,0)),1001))</x:f>
        <x:v>101</x:v>
      </x:c>
      <x:c r="Y101" s="1" t="n">
        <x:f>IF(I101&lt;=0,1001,IF(MAX('損益分岐設定'!B40,ROUNDUP(U101/I101,0))&lt;='損益分岐設定'!C40,MAX('損益分岐設定'!B40,ROUNDUP(U101/I101,0)),1001))</x:f>
        <x:v>501</x:v>
      </x:c>
      <x:c r="Z101" s="1" t="n">
        <x:f>IF(I101&lt;=0,'損益分岐設定'!C37,IF('損益分岐設定'!C37*I101-R101&lt;0,'損益分岐設定'!C37,IF('損益分岐設定'!B37*I101-R101&gt;=0,0,ROUNDUP(R101/I101,0)-1)))</x:f>
        <x:v>6</x:v>
      </x:c>
      <x:c r="AA101" s="1" t="n">
        <x:f>IF(I101&lt;=0,'損益分岐設定'!C38,IF('損益分岐設定'!C38*I101-S101&lt;0,'損益分岐設定'!C38,IF('損益分岐設定'!B38*I101-S101&gt;=0,0,ROUNDUP(S101/I101,0)-1)))</x:f>
        <x:v>0</x:v>
      </x:c>
      <x:c r="AB101" s="1" t="n">
        <x:f>IF(I101&lt;=0,'損益分岐設定'!C39,IF('損益分岐設定'!C39*I101-T101&lt;0,'損益分岐設定'!C39,IF('損益分岐設定'!B39*I101-T101&gt;=0,0,ROUNDUP(T101/I101,0)-1)))</x:f>
        <x:v>0</x:v>
      </x:c>
      <x:c r="AC101" s="1" t="n">
        <x:f>IF(I101&lt;=0,'損益分岐設定'!C40,IF('損益分岐設定'!C40*I101-U101&lt;0,'損益分岐設定'!C40,IF('損益分岐設定'!B40*I101-U101&gt;=0,0,ROUNDUP(U101/I101,0)-1)))</x:f>
        <x:v>0</x:v>
      </x:c>
      <x:c r="AD101" s="1" t="n">
        <x:v>0</x:v>
      </x:c>
      <x:c r="AE101" s="1" t="n">
        <x:v>0</x:v>
      </x:c>
      <x:c r="AF101" s="1" t="n">
        <x:v>1</x:v>
      </x:c>
      <x:c r="AG101" s="1" t="n">
        <x:f>AD101*'損益分岐設定'!$C$57+AE101*'損益分岐設定'!$C$60+AF101*'損益分岐設定'!$C$63</x:f>
        <x:v>1028.9614318847655</x:v>
      </x:c>
      <x:c r="AH101" s="1" t="n">
        <x:f>AD101*'損益分岐設定'!$D$57+AE101*'損益分岐設定'!$D$60+AF101*'損益分岐設定'!$D$63</x:f>
        <x:v>300</x:v>
      </x:c>
      <x:c r="AI101" s="1" t="n">
        <x:f>AD101*'損益分岐設定'!$E$57+AE101*'損益分岐設定'!$E$60+AF101*'損益分岐設定'!$E$63</x:f>
        <x:v>300</x:v>
      </x:c>
      <x:c r="AJ101" s="1" t="n">
        <x:f>(AD101*'損益分岐設定'!$F$57+AE101*'損益分岐設定'!$F$60+AF101*'損益分岐設定'!$F$63*1)*'損益分岐設定'!$B$22</x:f>
        <x:v>1200</x:v>
      </x:c>
      <x:c r="AK101" s="1" t="n">
        <x:f>AD101*'損益分岐設定'!$G$57+AE101*'損益分岐設定'!$G$60+AF101*'損益分岐設定'!$G$63</x:f>
        <x:v>2000</x:v>
      </x:c>
      <x:c r="AL101" s="1" t="n">
        <x:f>AD101*'損益分岐設定'!$H$57+AE101*'損益分岐設定'!$H$60+AF101*'損益分岐設定'!$H$63</x:f>
        <x:v>866.6666666666667</x:v>
      </x:c>
      <x:c r="AM101" s="1" t="n">
        <x:f>MAX(1,ROUNDUP('損益分岐設定'!C37*AJ101/('損益分岐設定'!$B$23*'損益分岐設定'!$B$24*3600*'損益分岐設定'!$B$25),0))</x:f>
        <x:v>1</x:v>
      </x:c>
      <x:c r="AN101" s="1" t="n">
        <x:f>MAX(2,ROUNDUP('損益分岐設定'!C38*AJ101/('損益分岐設定'!$B$23*'損益分岐設定'!$B$24*3600*'損益分岐設定'!$B$25),0))</x:f>
        <x:v>2</x:v>
      </x:c>
      <x:c r="AO101" s="1" t="n">
        <x:f>MAX(2,ROUNDUP('損益分岐設定'!C39*AJ101/('損益分岐設定'!$B$23*'損益分岐設定'!$B$24*3600*'損益分岐設定'!$B$25),0))</x:f>
        <x:v>2</x:v>
      </x:c>
      <x:c r="AP101" s="1" t="n">
        <x:f>MAX(2,ROUNDUP('損益分岐設定'!C40*AJ101/('損益分岐設定'!$B$23*'損益分岐設定'!$B$24*3600*'損益分岐設定'!$B$25),0))</x:f>
        <x:v>3</x:v>
      </x:c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 ht="23" customHeight="1">
      <x:c r="A102" s="1" t="str">
        <x:v>Run</x:v>
      </x:c>
      <x:c r="B102" s="1" t="str">
        <x:v>Business Plus</x:v>
      </x:c>
      <x:c r="C102" s="1" t="str">
        <x:v>標準</x:v>
      </x:c>
      <x:c r="D102" s="21" t="n">
        <x:v>0.4</x:v>
      </x:c>
      <x:c r="E102" s="1" t="n">
        <x:v>1</x:v>
      </x:c>
      <x:c r="F102" s="7" t="n">
        <x:f>AD102*'損益分岐設定'!$B$5+AE102*'損益分岐設定'!$B$6+AF102*'損益分岐設定'!$B$7</x:f>
        <x:v>8000</x:v>
      </x:c>
      <x:c r="G102" s="7" t="n">
        <x:f>AG102+(AH102+AI102)*('損益分岐設定'!$B$29+0.5*'損益分岐設定'!$B$30)+AK102*'損益分岐設定'!$B$32+(AJ102+AK102/'損益分岐設定'!$B$28*'損益分岐設定'!$B$26)*('損益分岐設定'!$B$29+'損益分岐設定'!$B$31*'損益分岐設定'!$B$30)</x:f>
        <x:v>1038.5512239556026</x:v>
      </x:c>
      <x:c r="H102" s="7" t="n">
        <x:f>AL102*E102</x:f>
        <x:v>866.6666666666667</x:v>
      </x:c>
      <x:c r="I102" s="7" t="n">
        <x:f>F102*(1-D102-'損益分岐設定'!$B$10)-G102-H102</x:f>
        <x:v>2606.78210937773</x:v>
      </x:c>
      <x:c r="J102" s="1" t="n">
        <x:f>IF(MIN(V102:Y102)&gt;1000,"範囲内なし",MIN(V102:Y102))</x:f>
        <x:v>14</x:v>
      </x:c>
      <x:c r="K102" s="1" t="n">
        <x:f>IF(MAX(Z102:AC102)&gt;=1000,"範囲内なし",MAX(1,MAX(Z102:AC102)+1))</x:f>
        <x:v>14</x:v>
      </x:c>
      <x:c r="L102" s="7" t="n">
        <x:f>10*I102-R102</x:f>
        <x:v>-3943.113532530493</x:v>
      </x:c>
      <x:c r="M102" s="7" t="n">
        <x:f>30*I102-S102</x:f>
        <x:v>43692.52865502411</x:v>
      </x:c>
      <x:c r="N102" s="7" t="n">
        <x:f>50*I102-S102</x:f>
        <x:v>95828.17084257872</x:v>
      </x:c>
      <x:c r="O102" s="7" t="n">
        <x:f>100*I102-S102</x:f>
        <x:v>226167.27631146522</x:v>
      </x:c>
      <x:c r="P102" s="7" t="n">
        <x:f>300*I102-T102</x:f>
        <x:v>725523.6981870113</x:v>
      </x:c>
      <x:c r="Q102" s="7" t="n">
        <x:f>1000*I102-U102</x:f>
        <x:v>2520271.1747514224</x:v>
      </x:c>
      <x:c r="R10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102*'損益分岐設定'!$B$12*'損益分岐設定'!$B$11</x:f>
        <x:v>30010.934626307797</x:v>
      </x:c>
      <x:c r="S10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102*'損益分岐設定'!$B$12*'損益分岐設定'!$B$11</x:f>
        <x:v>34510.9346263078</x:v>
      </x:c>
      <x:c r="T10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102*'損益分岐設定'!$B$12*'損益分岐設定'!$B$11</x:f>
        <x:v>56510.9346263078</x:v>
      </x:c>
      <x:c r="U10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102*'損益分岐設定'!$B$12*'損益分岐設定'!$B$11</x:f>
        <x:v>86510.9346263078</x:v>
      </x:c>
      <x:c r="V102" s="1" t="n">
        <x:f>IF(I102&lt;=0,1001,IF(MAX('損益分岐設定'!B37,ROUNDUP(R102/I102,0))&lt;='損益分岐設定'!C37,MAX('損益分岐設定'!B37,ROUNDUP(R102/I102,0)),1001))</x:f>
        <x:v>1001</x:v>
      </x:c>
      <x:c r="W102" s="1" t="n">
        <x:f>IF(I102&lt;=0,1001,IF(MAX('損益分岐設定'!B38,ROUNDUP(S102/I102,0))&lt;='損益分岐設定'!C38,MAX('損益分岐設定'!B38,ROUNDUP(S102/I102,0)),1001))</x:f>
        <x:v>14</x:v>
      </x:c>
      <x:c r="X102" s="1" t="n">
        <x:f>IF(I102&lt;=0,1001,IF(MAX('損益分岐設定'!B39,ROUNDUP(T102/I102,0))&lt;='損益分岐設定'!C39,MAX('損益分岐設定'!B39,ROUNDUP(T102/I102,0)),1001))</x:f>
        <x:v>101</x:v>
      </x:c>
      <x:c r="Y102" s="1" t="n">
        <x:f>IF(I102&lt;=0,1001,IF(MAX('損益分岐設定'!B40,ROUNDUP(U102/I102,0))&lt;='損益分岐設定'!C40,MAX('損益分岐設定'!B40,ROUNDUP(U102/I102,0)),1001))</x:f>
        <x:v>501</x:v>
      </x:c>
      <x:c r="Z102" s="1" t="n">
        <x:f>IF(I102&lt;=0,'損益分岐設定'!C37,IF('損益分岐設定'!C37*I102-R102&lt;0,'損益分岐設定'!C37,IF('損益分岐設定'!B37*I102-R102&gt;=0,0,ROUNDUP(R102/I102,0)-1)))</x:f>
        <x:v>10</x:v>
      </x:c>
      <x:c r="AA102" s="1" t="n">
        <x:f>IF(I102&lt;=0,'損益分岐設定'!C38,IF('損益分岐設定'!C38*I102-S102&lt;0,'損益分岐設定'!C38,IF('損益分岐設定'!B38*I102-S102&gt;=0,0,ROUNDUP(S102/I102,0)-1)))</x:f>
        <x:v>13</x:v>
      </x:c>
      <x:c r="AB102" s="1" t="n">
        <x:f>IF(I102&lt;=0,'損益分岐設定'!C39,IF('損益分岐設定'!C39*I102-T102&lt;0,'損益分岐設定'!C39,IF('損益分岐設定'!B39*I102-T102&gt;=0,0,ROUNDUP(T102/I102,0)-1)))</x:f>
        <x:v>0</x:v>
      </x:c>
      <x:c r="AC102" s="1" t="n">
        <x:f>IF(I102&lt;=0,'損益分岐設定'!C40,IF('損益分岐設定'!C40*I102-U102&lt;0,'損益分岐設定'!C40,IF('損益分岐設定'!B40*I102-U102&gt;=0,0,ROUNDUP(U102/I102,0)-1)))</x:f>
        <x:v>0</x:v>
      </x:c>
      <x:c r="AD102" s="1" t="n">
        <x:v>0</x:v>
      </x:c>
      <x:c r="AE102" s="1" t="n">
        <x:v>0</x:v>
      </x:c>
      <x:c r="AF102" s="1" t="n">
        <x:v>1</x:v>
      </x:c>
      <x:c r="AG102" s="1" t="n">
        <x:f>AD102*'損益分岐設定'!$C$57+AE102*'損益分岐設定'!$C$60+AF102*'損益分岐設定'!$C$63</x:f>
        <x:v>1028.9614318847655</x:v>
      </x:c>
      <x:c r="AH102" s="1" t="n">
        <x:f>AD102*'損益分岐設定'!$D$57+AE102*'損益分岐設定'!$D$60+AF102*'損益分岐設定'!$D$63</x:f>
        <x:v>300</x:v>
      </x:c>
      <x:c r="AI102" s="1" t="n">
        <x:f>AD102*'損益分岐設定'!$E$57+AE102*'損益分岐設定'!$E$60+AF102*'損益分岐設定'!$E$63</x:f>
        <x:v>300</x:v>
      </x:c>
      <x:c r="AJ102" s="1" t="n">
        <x:f>(AD102*'損益分岐設定'!$F$57+AE102*'損益分岐設定'!$F$60+AF102*'損益分岐設定'!$F$63*1)*'損益分岐設定'!$B$22</x:f>
        <x:v>1200</x:v>
      </x:c>
      <x:c r="AK102" s="1" t="n">
        <x:f>AD102*'損益分岐設定'!$G$57+AE102*'損益分岐設定'!$G$60+AF102*'損益分岐設定'!$G$63</x:f>
        <x:v>2000</x:v>
      </x:c>
      <x:c r="AL102" s="1" t="n">
        <x:f>AD102*'損益分岐設定'!$H$57+AE102*'損益分岐設定'!$H$60+AF102*'損益分岐設定'!$H$63</x:f>
        <x:v>866.6666666666667</x:v>
      </x:c>
      <x:c r="AM102" s="1" t="n">
        <x:f>MAX(1,ROUNDUP('損益分岐設定'!C37*AJ102/('損益分岐設定'!$B$23*'損益分岐設定'!$B$24*3600*'損益分岐設定'!$B$25),0))</x:f>
        <x:v>1</x:v>
      </x:c>
      <x:c r="AN102" s="1" t="n">
        <x:f>MAX(2,ROUNDUP('損益分岐設定'!C38*AJ102/('損益分岐設定'!$B$23*'損益分岐設定'!$B$24*3600*'損益分岐設定'!$B$25),0))</x:f>
        <x:v>2</x:v>
      </x:c>
      <x:c r="AO102" s="1" t="n">
        <x:f>MAX(2,ROUNDUP('損益分岐設定'!C39*AJ102/('損益分岐設定'!$B$23*'損益分岐設定'!$B$24*3600*'損益分岐設定'!$B$25),0))</x:f>
        <x:v>2</x:v>
      </x:c>
      <x:c r="AP102" s="1" t="n">
        <x:f>MAX(2,ROUNDUP('損益分岐設定'!C40*AJ102/('損益分岐設定'!$B$23*'損益分岐設定'!$B$24*3600*'損益分岐設定'!$B$25),0))</x:f>
        <x:v>3</x:v>
      </x:c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 ht="23" customHeight="1">
      <x:c r="A103" s="1" t="str">
        <x:v>Run</x:v>
      </x:c>
      <x:c r="B103" s="1" t="str">
        <x:v>Business Plus</x:v>
      </x:c>
      <x:c r="C103" s="1" t="str">
        <x:v>標準</x:v>
      </x:c>
      <x:c r="D103" s="21" t="n">
        <x:v>0.5</x:v>
      </x:c>
      <x:c r="E103" s="1" t="n">
        <x:v>0</x:v>
      </x:c>
      <x:c r="F103" s="7" t="n">
        <x:f>AD103*'損益分岐設定'!$B$5+AE103*'損益分岐設定'!$B$6+AF103*'損益分岐設定'!$B$7</x:f>
        <x:v>8000</x:v>
      </x:c>
      <x:c r="G103" s="7" t="n">
        <x:f>AG103+(AH103+AI103)*('損益分岐設定'!$B$29+0.5*'損益分岐設定'!$B$30)+AK103*'損益分岐設定'!$B$32+(AJ103+AK103/'損益分岐設定'!$B$28*'損益分岐設定'!$B$26)*('損益分岐設定'!$B$29+'損益分岐設定'!$B$31*'損益分岐設定'!$B$30)</x:f>
        <x:v>1038.5512239556026</x:v>
      </x:c>
      <x:c r="H103" s="7" t="n">
        <x:f>AL103*E103</x:f>
        <x:v>0</x:v>
      </x:c>
      <x:c r="I103" s="7" t="n">
        <x:f>F103*(1-D103-'損益分岐設定'!$B$10)-G103-H103</x:f>
        <x:v>2673.448776044397</x:v>
      </x:c>
      <x:c r="J103" s="1" t="n">
        <x:f>IF(MIN(V103:Y103)&gt;1000,"範囲内なし",MIN(V103:Y103))</x:f>
        <x:v>9</x:v>
      </x:c>
      <x:c r="K103" s="1" t="n">
        <x:f>IF(MAX(Z103:AC103)&gt;=1000,"範囲内なし",MAX(1,MAX(Z103:AC103)+1))</x:f>
        <x:v>9</x:v>
      </x:c>
      <x:c r="L103" s="7" t="n">
        <x:f>10*I103-R103</x:f>
        <x:v>4723.553134136175</x:v>
      </x:c>
      <x:c r="M103" s="7" t="n">
        <x:f>30*I103-S103</x:f>
        <x:v>53692.52865502412</x:v>
      </x:c>
      <x:c r="N103" s="7" t="n">
        <x:f>50*I103-S103</x:f>
        <x:v>107161.50417591206</x:v>
      </x:c>
      <x:c r="O103" s="7" t="n">
        <x:f>100*I103-S103</x:f>
        <x:v>240833.94297813193</x:v>
      </x:c>
      <x:c r="P103" s="7" t="n">
        <x:f>300*I103-T103</x:f>
        <x:v>753523.6981870113</x:v>
      </x:c>
      <x:c r="Q103" s="7" t="n">
        <x:f>1000*I103-U103</x:f>
        <x:v>2594937.8414180893</x:v>
      </x:c>
      <x:c r="R10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103*'損益分岐設定'!$B$12*'損益分岐設定'!$B$11</x:f>
        <x:v>22010.934626307797</x:v>
      </x:c>
      <x:c r="S10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103*'損益分岐設定'!$B$12*'損益分岐設定'!$B$11</x:f>
        <x:v>26510.934626307797</x:v>
      </x:c>
      <x:c r="T10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103*'損益分岐設定'!$B$12*'損益分岐設定'!$B$11</x:f>
        <x:v>48510.9346263078</x:v>
      </x:c>
      <x:c r="U10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103*'損益分岐設定'!$B$12*'損益分岐設定'!$B$11</x:f>
        <x:v>78510.9346263078</x:v>
      </x:c>
      <x:c r="V103" s="1" t="n">
        <x:f>IF(I103&lt;=0,1001,IF(MAX('損益分岐設定'!B37,ROUNDUP(R103/I103,0))&lt;='損益分岐設定'!C37,MAX('損益分岐設定'!B37,ROUNDUP(R103/I103,0)),1001))</x:f>
        <x:v>9</x:v>
      </x:c>
      <x:c r="W103" s="1" t="n">
        <x:f>IF(I103&lt;=0,1001,IF(MAX('損益分岐設定'!B38,ROUNDUP(S103/I103,0))&lt;='損益分岐設定'!C38,MAX('損益分岐設定'!B38,ROUNDUP(S103/I103,0)),1001))</x:f>
        <x:v>11</x:v>
      </x:c>
      <x:c r="X103" s="1" t="n">
        <x:f>IF(I103&lt;=0,1001,IF(MAX('損益分岐設定'!B39,ROUNDUP(T103/I103,0))&lt;='損益分岐設定'!C39,MAX('損益分岐設定'!B39,ROUNDUP(T103/I103,0)),1001))</x:f>
        <x:v>101</x:v>
      </x:c>
      <x:c r="Y103" s="1" t="n">
        <x:f>IF(I103&lt;=0,1001,IF(MAX('損益分岐設定'!B40,ROUNDUP(U103/I103,0))&lt;='損益分岐設定'!C40,MAX('損益分岐設定'!B40,ROUNDUP(U103/I103,0)),1001))</x:f>
        <x:v>501</x:v>
      </x:c>
      <x:c r="Z103" s="1" t="n">
        <x:f>IF(I103&lt;=0,'損益分岐設定'!C37,IF('損益分岐設定'!C37*I103-R103&lt;0,'損益分岐設定'!C37,IF('損益分岐設定'!B37*I103-R103&gt;=0,0,ROUNDUP(R103/I103,0)-1)))</x:f>
        <x:v>8</x:v>
      </x:c>
      <x:c r="AA103" s="1" t="n">
        <x:f>IF(I103&lt;=0,'損益分岐設定'!C38,IF('損益分岐設定'!C38*I103-S103&lt;0,'損益分岐設定'!C38,IF('損益分岐設定'!B38*I103-S103&gt;=0,0,ROUNDUP(S103/I103,0)-1)))</x:f>
        <x:v>0</x:v>
      </x:c>
      <x:c r="AB103" s="1" t="n">
        <x:f>IF(I103&lt;=0,'損益分岐設定'!C39,IF('損益分岐設定'!C39*I103-T103&lt;0,'損益分岐設定'!C39,IF('損益分岐設定'!B39*I103-T103&gt;=0,0,ROUNDUP(T103/I103,0)-1)))</x:f>
        <x:v>0</x:v>
      </x:c>
      <x:c r="AC103" s="1" t="n">
        <x:f>IF(I103&lt;=0,'損益分岐設定'!C40,IF('損益分岐設定'!C40*I103-U103&lt;0,'損益分岐設定'!C40,IF('損益分岐設定'!B40*I103-U103&gt;=0,0,ROUNDUP(U103/I103,0)-1)))</x:f>
        <x:v>0</x:v>
      </x:c>
      <x:c r="AD103" s="1" t="n">
        <x:v>0</x:v>
      </x:c>
      <x:c r="AE103" s="1" t="n">
        <x:v>0</x:v>
      </x:c>
      <x:c r="AF103" s="1" t="n">
        <x:v>1</x:v>
      </x:c>
      <x:c r="AG103" s="1" t="n">
        <x:f>AD103*'損益分岐設定'!$C$57+AE103*'損益分岐設定'!$C$60+AF103*'損益分岐設定'!$C$63</x:f>
        <x:v>1028.9614318847655</x:v>
      </x:c>
      <x:c r="AH103" s="1" t="n">
        <x:f>AD103*'損益分岐設定'!$D$57+AE103*'損益分岐設定'!$D$60+AF103*'損益分岐設定'!$D$63</x:f>
        <x:v>300</x:v>
      </x:c>
      <x:c r="AI103" s="1" t="n">
        <x:f>AD103*'損益分岐設定'!$E$57+AE103*'損益分岐設定'!$E$60+AF103*'損益分岐設定'!$E$63</x:f>
        <x:v>300</x:v>
      </x:c>
      <x:c r="AJ103" s="1" t="n">
        <x:f>(AD103*'損益分岐設定'!$F$57+AE103*'損益分岐設定'!$F$60+AF103*'損益分岐設定'!$F$63*1)*'損益分岐設定'!$B$22</x:f>
        <x:v>1200</x:v>
      </x:c>
      <x:c r="AK103" s="1" t="n">
        <x:f>AD103*'損益分岐設定'!$G$57+AE103*'損益分岐設定'!$G$60+AF103*'損益分岐設定'!$G$63</x:f>
        <x:v>2000</x:v>
      </x:c>
      <x:c r="AL103" s="1" t="n">
        <x:f>AD103*'損益分岐設定'!$H$57+AE103*'損益分岐設定'!$H$60+AF103*'損益分岐設定'!$H$63</x:f>
        <x:v>866.6666666666667</x:v>
      </x:c>
      <x:c r="AM103" s="1" t="n">
        <x:f>MAX(1,ROUNDUP('損益分岐設定'!C37*AJ103/('損益分岐設定'!$B$23*'損益分岐設定'!$B$24*3600*'損益分岐設定'!$B$25),0))</x:f>
        <x:v>1</x:v>
      </x:c>
      <x:c r="AN103" s="1" t="n">
        <x:f>MAX(2,ROUNDUP('損益分岐設定'!C38*AJ103/('損益分岐設定'!$B$23*'損益分岐設定'!$B$24*3600*'損益分岐設定'!$B$25),0))</x:f>
        <x:v>2</x:v>
      </x:c>
      <x:c r="AO103" s="1" t="n">
        <x:f>MAX(2,ROUNDUP('損益分岐設定'!C39*AJ103/('損益分岐設定'!$B$23*'損益分岐設定'!$B$24*3600*'損益分岐設定'!$B$25),0))</x:f>
        <x:v>2</x:v>
      </x:c>
      <x:c r="AP103" s="1" t="n">
        <x:f>MAX(2,ROUNDUP('損益分岐設定'!C40*AJ103/('損益分岐設定'!$B$23*'損益分岐設定'!$B$24*3600*'損益分岐設定'!$B$25),0))</x:f>
        <x:v>3</x:v>
      </x:c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 ht="23" customHeight="1">
      <x:c r="A104" s="1" t="str">
        <x:v>Run</x:v>
      </x:c>
      <x:c r="B104" s="1" t="str">
        <x:v>Business Plus</x:v>
      </x:c>
      <x:c r="C104" s="1" t="str">
        <x:v>標準</x:v>
      </x:c>
      <x:c r="D104" s="21" t="n">
        <x:v>0.5</x:v>
      </x:c>
      <x:c r="E104" s="1" t="n">
        <x:v>1</x:v>
      </x:c>
      <x:c r="F104" s="7" t="n">
        <x:f>AD104*'損益分岐設定'!$B$5+AE104*'損益分岐設定'!$B$6+AF104*'損益分岐設定'!$B$7</x:f>
        <x:v>8000</x:v>
      </x:c>
      <x:c r="G104" s="7" t="n">
        <x:f>AG104+(AH104+AI104)*('損益分岐設定'!$B$29+0.5*'損益分岐設定'!$B$30)+AK104*'損益分岐設定'!$B$32+(AJ104+AK104/'損益分岐設定'!$B$28*'損益分岐設定'!$B$26)*('損益分岐設定'!$B$29+'損益分岐設定'!$B$31*'損益分岐設定'!$B$30)</x:f>
        <x:v>1038.5512239556026</x:v>
      </x:c>
      <x:c r="H104" s="7" t="n">
        <x:f>AL104*E104</x:f>
        <x:v>866.6666666666667</x:v>
      </x:c>
      <x:c r="I104" s="7" t="n">
        <x:f>F104*(1-D104-'損益分岐設定'!$B$10)-G104-H104</x:f>
        <x:v>1806.7821093777304</x:v>
      </x:c>
      <x:c r="J104" s="1" t="n">
        <x:f>IF(MIN(V104:Y104)&gt;1000,"範囲内なし",MIN(V104:Y104))</x:f>
        <x:v>20</x:v>
      </x:c>
      <x:c r="K104" s="1" t="n">
        <x:f>IF(MAX(Z104:AC104)&gt;=1000,"範囲内なし",MAX(1,MAX(Z104:AC104)+1))</x:f>
        <x:v>20</x:v>
      </x:c>
      <x:c r="L104" s="7" t="n">
        <x:f>10*I104-R104</x:f>
        <x:v>-11943.113532530493</x:v>
      </x:c>
      <x:c r="M104" s="7" t="n">
        <x:f>30*I104-S104</x:f>
        <x:v>19692.528655024114</x:v>
      </x:c>
      <x:c r="N104" s="7" t="n">
        <x:f>50*I104-S104</x:f>
        <x:v>55828.17084257873</x:v>
      </x:c>
      <x:c r="O104" s="7" t="n">
        <x:f>100*I104-S104</x:f>
        <x:v>146167.27631146525</x:v>
      </x:c>
      <x:c r="P104" s="7" t="n">
        <x:f>300*I104-T104</x:f>
        <x:v>485523.6981870113</x:v>
      </x:c>
      <x:c r="Q104" s="7" t="n">
        <x:f>1000*I104-U104</x:f>
        <x:v>1720271.1747514226</x:v>
      </x:c>
      <x:c r="R10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104*'損益分岐設定'!$B$12*'損益分岐設定'!$B$11</x:f>
        <x:v>30010.934626307797</x:v>
      </x:c>
      <x:c r="S10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104*'損益分岐設定'!$B$12*'損益分岐設定'!$B$11</x:f>
        <x:v>34510.9346263078</x:v>
      </x:c>
      <x:c r="T10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104*'損益分岐設定'!$B$12*'損益分岐設定'!$B$11</x:f>
        <x:v>56510.9346263078</x:v>
      </x:c>
      <x:c r="U10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104*'損益分岐設定'!$B$12*'損益分岐設定'!$B$11</x:f>
        <x:v>86510.9346263078</x:v>
      </x:c>
      <x:c r="V104" s="1" t="n">
        <x:f>IF(I104&lt;=0,1001,IF(MAX('損益分岐設定'!B37,ROUNDUP(R104/I104,0))&lt;='損益分岐設定'!C37,MAX('損益分岐設定'!B37,ROUNDUP(R104/I104,0)),1001))</x:f>
        <x:v>1001</x:v>
      </x:c>
      <x:c r="W104" s="1" t="n">
        <x:f>IF(I104&lt;=0,1001,IF(MAX('損益分岐設定'!B38,ROUNDUP(S104/I104,0))&lt;='損益分岐設定'!C38,MAX('損益分岐設定'!B38,ROUNDUP(S104/I104,0)),1001))</x:f>
        <x:v>20</x:v>
      </x:c>
      <x:c r="X104" s="1" t="n">
        <x:f>IF(I104&lt;=0,1001,IF(MAX('損益分岐設定'!B39,ROUNDUP(T104/I104,0))&lt;='損益分岐設定'!C39,MAX('損益分岐設定'!B39,ROUNDUP(T104/I104,0)),1001))</x:f>
        <x:v>101</x:v>
      </x:c>
      <x:c r="Y104" s="1" t="n">
        <x:f>IF(I104&lt;=0,1001,IF(MAX('損益分岐設定'!B40,ROUNDUP(U104/I104,0))&lt;='損益分岐設定'!C40,MAX('損益分岐設定'!B40,ROUNDUP(U104/I104,0)),1001))</x:f>
        <x:v>501</x:v>
      </x:c>
      <x:c r="Z104" s="1" t="n">
        <x:f>IF(I104&lt;=0,'損益分岐設定'!C37,IF('損益分岐設定'!C37*I104-R104&lt;0,'損益分岐設定'!C37,IF('損益分岐設定'!B37*I104-R104&gt;=0,0,ROUNDUP(R104/I104,0)-1)))</x:f>
        <x:v>10</x:v>
      </x:c>
      <x:c r="AA104" s="1" t="n">
        <x:f>IF(I104&lt;=0,'損益分岐設定'!C38,IF('損益分岐設定'!C38*I104-S104&lt;0,'損益分岐設定'!C38,IF('損益分岐設定'!B38*I104-S104&gt;=0,0,ROUNDUP(S104/I104,0)-1)))</x:f>
        <x:v>19</x:v>
      </x:c>
      <x:c r="AB104" s="1" t="n">
        <x:f>IF(I104&lt;=0,'損益分岐設定'!C39,IF('損益分岐設定'!C39*I104-T104&lt;0,'損益分岐設定'!C39,IF('損益分岐設定'!B39*I104-T104&gt;=0,0,ROUNDUP(T104/I104,0)-1)))</x:f>
        <x:v>0</x:v>
      </x:c>
      <x:c r="AC104" s="1" t="n">
        <x:f>IF(I104&lt;=0,'損益分岐設定'!C40,IF('損益分岐設定'!C40*I104-U104&lt;0,'損益分岐設定'!C40,IF('損益分岐設定'!B40*I104-U104&gt;=0,0,ROUNDUP(U104/I104,0)-1)))</x:f>
        <x:v>0</x:v>
      </x:c>
      <x:c r="AD104" s="1" t="n">
        <x:v>0</x:v>
      </x:c>
      <x:c r="AE104" s="1" t="n">
        <x:v>0</x:v>
      </x:c>
      <x:c r="AF104" s="1" t="n">
        <x:v>1</x:v>
      </x:c>
      <x:c r="AG104" s="1" t="n">
        <x:f>AD104*'損益分岐設定'!$C$57+AE104*'損益分岐設定'!$C$60+AF104*'損益分岐設定'!$C$63</x:f>
        <x:v>1028.9614318847655</x:v>
      </x:c>
      <x:c r="AH104" s="1" t="n">
        <x:f>AD104*'損益分岐設定'!$D$57+AE104*'損益分岐設定'!$D$60+AF104*'損益分岐設定'!$D$63</x:f>
        <x:v>300</x:v>
      </x:c>
      <x:c r="AI104" s="1" t="n">
        <x:f>AD104*'損益分岐設定'!$E$57+AE104*'損益分岐設定'!$E$60+AF104*'損益分岐設定'!$E$63</x:f>
        <x:v>300</x:v>
      </x:c>
      <x:c r="AJ104" s="1" t="n">
        <x:f>(AD104*'損益分岐設定'!$F$57+AE104*'損益分岐設定'!$F$60+AF104*'損益分岐設定'!$F$63*1)*'損益分岐設定'!$B$22</x:f>
        <x:v>1200</x:v>
      </x:c>
      <x:c r="AK104" s="1" t="n">
        <x:f>AD104*'損益分岐設定'!$G$57+AE104*'損益分岐設定'!$G$60+AF104*'損益分岐設定'!$G$63</x:f>
        <x:v>2000</x:v>
      </x:c>
      <x:c r="AL104" s="1" t="n">
        <x:f>AD104*'損益分岐設定'!$H$57+AE104*'損益分岐設定'!$H$60+AF104*'損益分岐設定'!$H$63</x:f>
        <x:v>866.6666666666667</x:v>
      </x:c>
      <x:c r="AM104" s="1" t="n">
        <x:f>MAX(1,ROUNDUP('損益分岐設定'!C37*AJ104/('損益分岐設定'!$B$23*'損益分岐設定'!$B$24*3600*'損益分岐設定'!$B$25),0))</x:f>
        <x:v>1</x:v>
      </x:c>
      <x:c r="AN104" s="1" t="n">
        <x:f>MAX(2,ROUNDUP('損益分岐設定'!C38*AJ104/('損益分岐設定'!$B$23*'損益分岐設定'!$B$24*3600*'損益分岐設定'!$B$25),0))</x:f>
        <x:v>2</x:v>
      </x:c>
      <x:c r="AO104" s="1" t="n">
        <x:f>MAX(2,ROUNDUP('損益分岐設定'!C39*AJ104/('損益分岐設定'!$B$23*'損益分岐設定'!$B$24*3600*'損益分岐設定'!$B$25),0))</x:f>
        <x:v>2</x:v>
      </x:c>
      <x:c r="AP104" s="1" t="n">
        <x:f>MAX(2,ROUNDUP('損益分岐設定'!C40*AJ104/('損益分岐設定'!$B$23*'損益分岐設定'!$B$24*3600*'損益分岐設定'!$B$25),0))</x:f>
        <x:v>3</x:v>
      </x:c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 ht="23" customHeight="1">
      <x:c r="A105" s="1" t="str">
        <x:v>Run</x:v>
      </x:c>
      <x:c r="B105" s="1" t="str">
        <x:v>Business Plus</x:v>
      </x:c>
      <x:c r="C105" s="1" t="str">
        <x:v>高位</x:v>
      </x:c>
      <x:c r="D105" s="21" t="n">
        <x:v>0</x:v>
      </x:c>
      <x:c r="E105" s="1" t="n">
        <x:v>0</x:v>
      </x:c>
      <x:c r="F105" s="7" t="n">
        <x:f>AD105*'損益分岐設定'!$B$5+AE105*'損益分岐設定'!$B$6+AF105*'損益分岐設定'!$B$7</x:f>
        <x:v>8000</x:v>
      </x:c>
      <x:c r="G105" s="7" t="n">
        <x:f>AG105+(AH105+AI105)*('損益分岐設定'!$B$29+0.5*'損益分岐設定'!$B$30)+AK105*'損益分岐設定'!$B$32+(AJ105+AK105/'損益分岐設定'!$B$28*'損益分岐設定'!$B$26)*('損益分岐設定'!$B$29+'損益分岐設定'!$B$31*'損益分岐設定'!$B$30)</x:f>
        <x:v>24825.08311367952</x:v>
      </x:c>
      <x:c r="H105" s="7" t="n">
        <x:f>AL105*E105</x:f>
        <x:v>0</x:v>
      </x:c>
      <x:c r="I105" s="7" t="n">
        <x:f>F105*(1-D105-'損益分岐設定'!$B$10)-G105-H105</x:f>
        <x:v>-17113.08311367952</x:v>
      </x:c>
      <x:c r="J105" s="1" t="str">
        <x:f>IF(MIN(V105:Y105)&gt;1000,"範囲内なし",MIN(V105:Y105))</x:f>
        <x:v>範囲内なし</x:v>
      </x:c>
      <x:c r="K105" s="1" t="str">
        <x:f>IF(MAX(Z105:AC105)&gt;=1000,"範囲内なし",MAX(1,MAX(Z105:AC105)+1))</x:f>
        <x:v>範囲内なし</x:v>
      </x:c>
      <x:c r="L105" s="7" t="n">
        <x:f>10*I105-R105</x:f>
        <x:v>-193141.765763103</x:v>
      </x:c>
      <x:c r="M105" s="7" t="n">
        <x:f>30*I105-S105</x:f>
        <x:v>-539903.4280366934</x:v>
      </x:c>
      <x:c r="N105" s="7" t="n">
        <x:f>50*I105-S105</x:f>
        <x:v>-882165.0903102838</x:v>
      </x:c>
      <x:c r="O105" s="7" t="n">
        <x:f>100*I105-S105</x:f>
        <x:v>-1737819.2459942598</x:v>
      </x:c>
      <x:c r="P105" s="7" t="n">
        <x:f>300*I105-T105</x:f>
        <x:v>-5182435.868730163</x:v>
      </x:c>
      <x:c r="Q105" s="7" t="n">
        <x:f>1000*I105-U105</x:f>
        <x:v>-17191594.048305828</x:v>
      </x:c>
      <x:c r="R10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105*'損益分岐設定'!$B$12*'損益分岐設定'!$B$11</x:f>
        <x:v>22010.934626307797</x:v>
      </x:c>
      <x:c r="S10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105*'損益分岐設定'!$B$12*'損益分岐設定'!$B$11</x:f>
        <x:v>26510.934626307797</x:v>
      </x:c>
      <x:c r="T10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105*'損益分岐設定'!$B$12*'損益分岐設定'!$B$11</x:f>
        <x:v>48510.9346263078</x:v>
      </x:c>
      <x:c r="U10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105*'損益分岐設定'!$B$12*'損益分岐設定'!$B$11</x:f>
        <x:v>78510.9346263078</x:v>
      </x:c>
      <x:c r="V105" s="1" t="n">
        <x:f>IF(I105&lt;=0,1001,IF(MAX('損益分岐設定'!B37,ROUNDUP(R105/I105,0))&lt;='損益分岐設定'!C37,MAX('損益分岐設定'!B37,ROUNDUP(R105/I105,0)),1001))</x:f>
        <x:v>1001</x:v>
      </x:c>
      <x:c r="W105" s="1" t="n">
        <x:f>IF(I105&lt;=0,1001,IF(MAX('損益分岐設定'!B38,ROUNDUP(S105/I105,0))&lt;='損益分岐設定'!C38,MAX('損益分岐設定'!B38,ROUNDUP(S105/I105,0)),1001))</x:f>
        <x:v>1001</x:v>
      </x:c>
      <x:c r="X105" s="1" t="n">
        <x:f>IF(I105&lt;=0,1001,IF(MAX('損益分岐設定'!B39,ROUNDUP(T105/I105,0))&lt;='損益分岐設定'!C39,MAX('損益分岐設定'!B39,ROUNDUP(T105/I105,0)),1001))</x:f>
        <x:v>1001</x:v>
      </x:c>
      <x:c r="Y105" s="1" t="n">
        <x:f>IF(I105&lt;=0,1001,IF(MAX('損益分岐設定'!B40,ROUNDUP(U105/I105,0))&lt;='損益分岐設定'!C40,MAX('損益分岐設定'!B40,ROUNDUP(U105/I105,0)),1001))</x:f>
        <x:v>1001</x:v>
      </x:c>
      <x:c r="Z105" s="1" t="n">
        <x:f>IF(I105&lt;=0,'損益分岐設定'!C37,IF('損益分岐設定'!C37*I105-R105&lt;0,'損益分岐設定'!C37,IF('損益分岐設定'!B37*I105-R105&gt;=0,0,ROUNDUP(R105/I105,0)-1)))</x:f>
        <x:v>10</x:v>
      </x:c>
      <x:c r="AA105" s="1" t="n">
        <x:f>IF(I105&lt;=0,'損益分岐設定'!C38,IF('損益分岐設定'!C38*I105-S105&lt;0,'損益分岐設定'!C38,IF('損益分岐設定'!B38*I105-S105&gt;=0,0,ROUNDUP(S105/I105,0)-1)))</x:f>
        <x:v>100</x:v>
      </x:c>
      <x:c r="AB105" s="1" t="n">
        <x:f>IF(I105&lt;=0,'損益分岐設定'!C39,IF('損益分岐設定'!C39*I105-T105&lt;0,'損益分岐設定'!C39,IF('損益分岐設定'!B39*I105-T105&gt;=0,0,ROUNDUP(T105/I105,0)-1)))</x:f>
        <x:v>500</x:v>
      </x:c>
      <x:c r="AC105" s="1" t="n">
        <x:f>IF(I105&lt;=0,'損益分岐設定'!C40,IF('損益分岐設定'!C40*I105-U105&lt;0,'損益分岐設定'!C40,IF('損益分岐設定'!B40*I105-U105&gt;=0,0,ROUNDUP(U105/I105,0)-1)))</x:f>
        <x:v>1000</x:v>
      </x:c>
      <x:c r="AD105" s="1" t="n">
        <x:v>0</x:v>
      </x:c>
      <x:c r="AE105" s="1" t="n">
        <x:v>0</x:v>
      </x:c>
      <x:c r="AF105" s="1" t="n">
        <x:v>1</x:v>
      </x:c>
      <x:c r="AG105" s="1" t="n">
        <x:f>AD105*'損益分岐設定'!$C$58+AE105*'損益分岐設定'!$C$61+AF105*'損益分岐設定'!$C$64</x:f>
        <x:v>24711.76447753906</x:v>
      </x:c>
      <x:c r="AH105" s="1" t="n">
        <x:f>AD105*'損益分岐設定'!$D$58+AE105*'損益分岐設定'!$D$61+AF105*'損益分岐設定'!$D$64</x:f>
        <x:v>1200</x:v>
      </x:c>
      <x:c r="AI105" s="1" t="n">
        <x:f>AD105*'損益分岐設定'!$E$58+AE105*'損益分岐設定'!$E$61+AF105*'損益分岐設定'!$E$64</x:f>
        <x:v>1600</x:v>
      </x:c>
      <x:c r="AJ105" s="1" t="n">
        <x:f>(AD105*'損益分岐設定'!$F$58+AE105*'損益分岐設定'!$F$61+AF105*'損益分岐設定'!$F$64*1)*'損益分岐設定'!$B$22</x:f>
        <x:v>18000</x:v>
      </x:c>
      <x:c r="AK105" s="1" t="n">
        <x:f>AD105*'損益分岐設定'!$G$58+AE105*'損益分岐設定'!$G$61+AF105*'損益分岐設定'!$G$64</x:f>
        <x:v>12000</x:v>
      </x:c>
      <x:c r="AL105" s="1" t="n">
        <x:f>AD105*'損益分岐設定'!$H$58+AE105*'損益分岐設定'!$H$61+AF105*'損益分岐設定'!$H$64</x:f>
        <x:v>1666.6666666666667</x:v>
      </x:c>
      <x:c r="AM105" s="1" t="n">
        <x:f>MAX(1,ROUNDUP('損益分岐設定'!C37*AJ105/('損益分岐設定'!$B$23*'損益分岐設定'!$B$24*3600*'損益分岐設定'!$B$25),0))</x:f>
        <x:v>1</x:v>
      </x:c>
      <x:c r="AN105" s="1" t="n">
        <x:f>MAX(2,ROUNDUP('損益分岐設定'!C38*AJ105/('損益分岐設定'!$B$23*'損益分岐設定'!$B$24*3600*'損益分岐設定'!$B$25),0))</x:f>
        <x:v>4</x:v>
      </x:c>
      <x:c r="AO105" s="1" t="n">
        <x:f>MAX(2,ROUNDUP('損益分岐設定'!C39*AJ105/('損益分岐設定'!$B$23*'損益分岐設定'!$B$24*3600*'損益分岐設定'!$B$25),0))</x:f>
        <x:v>18</x:v>
      </x:c>
      <x:c r="AP105" s="1" t="n">
        <x:f>MAX(2,ROUNDUP('損益分岐設定'!C40*AJ105/('損益分岐設定'!$B$23*'損益分岐設定'!$B$24*3600*'損益分岐設定'!$B$25),0))</x:f>
        <x:v>36</x:v>
      </x:c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 ht="23" customHeight="1">
      <x:c r="A106" s="1" t="str">
        <x:v>Run</x:v>
      </x:c>
      <x:c r="B106" s="1" t="str">
        <x:v>Business Plus</x:v>
      </x:c>
      <x:c r="C106" s="1" t="str">
        <x:v>高位</x:v>
      </x:c>
      <x:c r="D106" s="21" t="n">
        <x:v>0</x:v>
      </x:c>
      <x:c r="E106" s="1" t="n">
        <x:v>1</x:v>
      </x:c>
      <x:c r="F106" s="7" t="n">
        <x:f>AD106*'損益分岐設定'!$B$5+AE106*'損益分岐設定'!$B$6+AF106*'損益分岐設定'!$B$7</x:f>
        <x:v>8000</x:v>
      </x:c>
      <x:c r="G106" s="7" t="n">
        <x:f>AG106+(AH106+AI106)*('損益分岐設定'!$B$29+0.5*'損益分岐設定'!$B$30)+AK106*'損益分岐設定'!$B$32+(AJ106+AK106/'損益分岐設定'!$B$28*'損益分岐設定'!$B$26)*('損益分岐設定'!$B$29+'損益分岐設定'!$B$31*'損益分岐設定'!$B$30)</x:f>
        <x:v>24825.08311367952</x:v>
      </x:c>
      <x:c r="H106" s="7" t="n">
        <x:f>AL106*E106</x:f>
        <x:v>1666.6666666666667</x:v>
      </x:c>
      <x:c r="I106" s="7" t="n">
        <x:f>F106*(1-D106-'損益分岐設定'!$B$10)-G106-H106</x:f>
        <x:v>-18779.74978034619</x:v>
      </x:c>
      <x:c r="J106" s="1" t="str">
        <x:f>IF(MIN(V106:Y106)&gt;1000,"範囲内なし",MIN(V106:Y106))</x:f>
        <x:v>範囲内なし</x:v>
      </x:c>
      <x:c r="K106" s="1" t="str">
        <x:f>IF(MAX(Z106:AC106)&gt;=1000,"範囲内なし",MAX(1,MAX(Z106:AC106)+1))</x:f>
        <x:v>範囲内なし</x:v>
      </x:c>
      <x:c r="L106" s="7" t="n">
        <x:f>10*I106-R106</x:f>
        <x:v>-217808.4324297697</x:v>
      </x:c>
      <x:c r="M106" s="7" t="n">
        <x:f>30*I106-S106</x:f>
        <x:v>-597903.4280366935</x:v>
      </x:c>
      <x:c r="N106" s="7" t="n">
        <x:f>50*I106-S106</x:f>
        <x:v>-973498.4236436172</x:v>
      </x:c>
      <x:c r="O106" s="7" t="n">
        <x:f>100*I106-S106</x:f>
        <x:v>-1912485.9126609266</x:v>
      </x:c>
      <x:c r="P106" s="7" t="n">
        <x:f>300*I106-T106</x:f>
        <x:v>-5690435.868730164</x:v>
      </x:c>
      <x:c r="Q106" s="7" t="n">
        <x:f>1000*I106-U106</x:f>
        <x:v>-18866260.714972496</x:v>
      </x:c>
      <x:c r="R10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106*'損益分岐設定'!$B$12*'損益分岐設定'!$B$11</x:f>
        <x:v>30010.934626307797</x:v>
      </x:c>
      <x:c r="S10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106*'損益分岐設定'!$B$12*'損益分岐設定'!$B$11</x:f>
        <x:v>34510.9346263078</x:v>
      </x:c>
      <x:c r="T10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106*'損益分岐設定'!$B$12*'損益分岐設定'!$B$11</x:f>
        <x:v>56510.9346263078</x:v>
      </x:c>
      <x:c r="U10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106*'損益分岐設定'!$B$12*'損益分岐設定'!$B$11</x:f>
        <x:v>86510.9346263078</x:v>
      </x:c>
      <x:c r="V106" s="1" t="n">
        <x:f>IF(I106&lt;=0,1001,IF(MAX('損益分岐設定'!B37,ROUNDUP(R106/I106,0))&lt;='損益分岐設定'!C37,MAX('損益分岐設定'!B37,ROUNDUP(R106/I106,0)),1001))</x:f>
        <x:v>1001</x:v>
      </x:c>
      <x:c r="W106" s="1" t="n">
        <x:f>IF(I106&lt;=0,1001,IF(MAX('損益分岐設定'!B38,ROUNDUP(S106/I106,0))&lt;='損益分岐設定'!C38,MAX('損益分岐設定'!B38,ROUNDUP(S106/I106,0)),1001))</x:f>
        <x:v>1001</x:v>
      </x:c>
      <x:c r="X106" s="1" t="n">
        <x:f>IF(I106&lt;=0,1001,IF(MAX('損益分岐設定'!B39,ROUNDUP(T106/I106,0))&lt;='損益分岐設定'!C39,MAX('損益分岐設定'!B39,ROUNDUP(T106/I106,0)),1001))</x:f>
        <x:v>1001</x:v>
      </x:c>
      <x:c r="Y106" s="1" t="n">
        <x:f>IF(I106&lt;=0,1001,IF(MAX('損益分岐設定'!B40,ROUNDUP(U106/I106,0))&lt;='損益分岐設定'!C40,MAX('損益分岐設定'!B40,ROUNDUP(U106/I106,0)),1001))</x:f>
        <x:v>1001</x:v>
      </x:c>
      <x:c r="Z106" s="1" t="n">
        <x:f>IF(I106&lt;=0,'損益分岐設定'!C37,IF('損益分岐設定'!C37*I106-R106&lt;0,'損益分岐設定'!C37,IF('損益分岐設定'!B37*I106-R106&gt;=0,0,ROUNDUP(R106/I106,0)-1)))</x:f>
        <x:v>10</x:v>
      </x:c>
      <x:c r="AA106" s="1" t="n">
        <x:f>IF(I106&lt;=0,'損益分岐設定'!C38,IF('損益分岐設定'!C38*I106-S106&lt;0,'損益分岐設定'!C38,IF('損益分岐設定'!B38*I106-S106&gt;=0,0,ROUNDUP(S106/I106,0)-1)))</x:f>
        <x:v>100</x:v>
      </x:c>
      <x:c r="AB106" s="1" t="n">
        <x:f>IF(I106&lt;=0,'損益分岐設定'!C39,IF('損益分岐設定'!C39*I106-T106&lt;0,'損益分岐設定'!C39,IF('損益分岐設定'!B39*I106-T106&gt;=0,0,ROUNDUP(T106/I106,0)-1)))</x:f>
        <x:v>500</x:v>
      </x:c>
      <x:c r="AC106" s="1" t="n">
        <x:f>IF(I106&lt;=0,'損益分岐設定'!C40,IF('損益分岐設定'!C40*I106-U106&lt;0,'損益分岐設定'!C40,IF('損益分岐設定'!B40*I106-U106&gt;=0,0,ROUNDUP(U106/I106,0)-1)))</x:f>
        <x:v>1000</x:v>
      </x:c>
      <x:c r="AD106" s="1" t="n">
        <x:v>0</x:v>
      </x:c>
      <x:c r="AE106" s="1" t="n">
        <x:v>0</x:v>
      </x:c>
      <x:c r="AF106" s="1" t="n">
        <x:v>1</x:v>
      </x:c>
      <x:c r="AG106" s="1" t="n">
        <x:f>AD106*'損益分岐設定'!$C$58+AE106*'損益分岐設定'!$C$61+AF106*'損益分岐設定'!$C$64</x:f>
        <x:v>24711.76447753906</x:v>
      </x:c>
      <x:c r="AH106" s="1" t="n">
        <x:f>AD106*'損益分岐設定'!$D$58+AE106*'損益分岐設定'!$D$61+AF106*'損益分岐設定'!$D$64</x:f>
        <x:v>1200</x:v>
      </x:c>
      <x:c r="AI106" s="1" t="n">
        <x:f>AD106*'損益分岐設定'!$E$58+AE106*'損益分岐設定'!$E$61+AF106*'損益分岐設定'!$E$64</x:f>
        <x:v>1600</x:v>
      </x:c>
      <x:c r="AJ106" s="1" t="n">
        <x:f>(AD106*'損益分岐設定'!$F$58+AE106*'損益分岐設定'!$F$61+AF106*'損益分岐設定'!$F$64*1)*'損益分岐設定'!$B$22</x:f>
        <x:v>18000</x:v>
      </x:c>
      <x:c r="AK106" s="1" t="n">
        <x:f>AD106*'損益分岐設定'!$G$58+AE106*'損益分岐設定'!$G$61+AF106*'損益分岐設定'!$G$64</x:f>
        <x:v>12000</x:v>
      </x:c>
      <x:c r="AL106" s="1" t="n">
        <x:f>AD106*'損益分岐設定'!$H$58+AE106*'損益分岐設定'!$H$61+AF106*'損益分岐設定'!$H$64</x:f>
        <x:v>1666.6666666666667</x:v>
      </x:c>
      <x:c r="AM106" s="1" t="n">
        <x:f>MAX(1,ROUNDUP('損益分岐設定'!C37*AJ106/('損益分岐設定'!$B$23*'損益分岐設定'!$B$24*3600*'損益分岐設定'!$B$25),0))</x:f>
        <x:v>1</x:v>
      </x:c>
      <x:c r="AN106" s="1" t="n">
        <x:f>MAX(2,ROUNDUP('損益分岐設定'!C38*AJ106/('損益分岐設定'!$B$23*'損益分岐設定'!$B$24*3600*'損益分岐設定'!$B$25),0))</x:f>
        <x:v>4</x:v>
      </x:c>
      <x:c r="AO106" s="1" t="n">
        <x:f>MAX(2,ROUNDUP('損益分岐設定'!C39*AJ106/('損益分岐設定'!$B$23*'損益分岐設定'!$B$24*3600*'損益分岐設定'!$B$25),0))</x:f>
        <x:v>18</x:v>
      </x:c>
      <x:c r="AP106" s="1" t="n">
        <x:f>MAX(2,ROUNDUP('損益分岐設定'!C40*AJ106/('損益分岐設定'!$B$23*'損益分岐設定'!$B$24*3600*'損益分岐設定'!$B$25),0))</x:f>
        <x:v>36</x:v>
      </x:c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 ht="23" customHeight="1">
      <x:c r="A107" s="1" t="str">
        <x:v>Run</x:v>
      </x:c>
      <x:c r="B107" s="1" t="str">
        <x:v>Business Plus</x:v>
      </x:c>
      <x:c r="C107" s="1" t="str">
        <x:v>高位</x:v>
      </x:c>
      <x:c r="D107" s="21" t="n">
        <x:v>0.2</x:v>
      </x:c>
      <x:c r="E107" s="1" t="n">
        <x:v>0</x:v>
      </x:c>
      <x:c r="F107" s="7" t="n">
        <x:f>AD107*'損益分岐設定'!$B$5+AE107*'損益分岐設定'!$B$6+AF107*'損益分岐設定'!$B$7</x:f>
        <x:v>8000</x:v>
      </x:c>
      <x:c r="G107" s="7" t="n">
        <x:f>AG107+(AH107+AI107)*('損益分岐設定'!$B$29+0.5*'損益分岐設定'!$B$30)+AK107*'損益分岐設定'!$B$32+(AJ107+AK107/'損益分岐設定'!$B$28*'損益分岐設定'!$B$26)*('損益分岐設定'!$B$29+'損益分岐設定'!$B$31*'損益分岐設定'!$B$30)</x:f>
        <x:v>24825.08311367952</x:v>
      </x:c>
      <x:c r="H107" s="7" t="n">
        <x:f>AL107*E107</x:f>
        <x:v>0</x:v>
      </x:c>
      <x:c r="I107" s="7" t="n">
        <x:f>F107*(1-D107-'損益分岐設定'!$B$10)-G107-H107</x:f>
        <x:v>-18713.08311367952</x:v>
      </x:c>
      <x:c r="J107" s="1" t="str">
        <x:f>IF(MIN(V107:Y107)&gt;1000,"範囲内なし",MIN(V107:Y107))</x:f>
        <x:v>範囲内なし</x:v>
      </x:c>
      <x:c r="K107" s="1" t="str">
        <x:f>IF(MAX(Z107:AC107)&gt;=1000,"範囲内なし",MAX(1,MAX(Z107:AC107)+1))</x:f>
        <x:v>範囲内なし</x:v>
      </x:c>
      <x:c r="L107" s="7" t="n">
        <x:f>10*I107-R107</x:f>
        <x:v>-209141.765763103</x:v>
      </x:c>
      <x:c r="M107" s="7" t="n">
        <x:f>30*I107-S107</x:f>
        <x:v>-587903.4280366934</x:v>
      </x:c>
      <x:c r="N107" s="7" t="n">
        <x:f>50*I107-S107</x:f>
        <x:v>-962165.0903102838</x:v>
      </x:c>
      <x:c r="O107" s="7" t="n">
        <x:f>100*I107-S107</x:f>
        <x:v>-1897819.2459942598</x:v>
      </x:c>
      <x:c r="P107" s="7" t="n">
        <x:f>300*I107-T107</x:f>
        <x:v>-5662435.868730163</x:v>
      </x:c>
      <x:c r="Q107" s="7" t="n">
        <x:f>1000*I107-U107</x:f>
        <x:v>-18791594.048305828</x:v>
      </x:c>
      <x:c r="R10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107*'損益分岐設定'!$B$12*'損益分岐設定'!$B$11</x:f>
        <x:v>22010.934626307797</x:v>
      </x:c>
      <x:c r="S10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107*'損益分岐設定'!$B$12*'損益分岐設定'!$B$11</x:f>
        <x:v>26510.934626307797</x:v>
      </x:c>
      <x:c r="T10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107*'損益分岐設定'!$B$12*'損益分岐設定'!$B$11</x:f>
        <x:v>48510.9346263078</x:v>
      </x:c>
      <x:c r="U10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107*'損益分岐設定'!$B$12*'損益分岐設定'!$B$11</x:f>
        <x:v>78510.9346263078</x:v>
      </x:c>
      <x:c r="V107" s="1" t="n">
        <x:f>IF(I107&lt;=0,1001,IF(MAX('損益分岐設定'!B37,ROUNDUP(R107/I107,0))&lt;='損益分岐設定'!C37,MAX('損益分岐設定'!B37,ROUNDUP(R107/I107,0)),1001))</x:f>
        <x:v>1001</x:v>
      </x:c>
      <x:c r="W107" s="1" t="n">
        <x:f>IF(I107&lt;=0,1001,IF(MAX('損益分岐設定'!B38,ROUNDUP(S107/I107,0))&lt;='損益分岐設定'!C38,MAX('損益分岐設定'!B38,ROUNDUP(S107/I107,0)),1001))</x:f>
        <x:v>1001</x:v>
      </x:c>
      <x:c r="X107" s="1" t="n">
        <x:f>IF(I107&lt;=0,1001,IF(MAX('損益分岐設定'!B39,ROUNDUP(T107/I107,0))&lt;='損益分岐設定'!C39,MAX('損益分岐設定'!B39,ROUNDUP(T107/I107,0)),1001))</x:f>
        <x:v>1001</x:v>
      </x:c>
      <x:c r="Y107" s="1" t="n">
        <x:f>IF(I107&lt;=0,1001,IF(MAX('損益分岐設定'!B40,ROUNDUP(U107/I107,0))&lt;='損益分岐設定'!C40,MAX('損益分岐設定'!B40,ROUNDUP(U107/I107,0)),1001))</x:f>
        <x:v>1001</x:v>
      </x:c>
      <x:c r="Z107" s="1" t="n">
        <x:f>IF(I107&lt;=0,'損益分岐設定'!C37,IF('損益分岐設定'!C37*I107-R107&lt;0,'損益分岐設定'!C37,IF('損益分岐設定'!B37*I107-R107&gt;=0,0,ROUNDUP(R107/I107,0)-1)))</x:f>
        <x:v>10</x:v>
      </x:c>
      <x:c r="AA107" s="1" t="n">
        <x:f>IF(I107&lt;=0,'損益分岐設定'!C38,IF('損益分岐設定'!C38*I107-S107&lt;0,'損益分岐設定'!C38,IF('損益分岐設定'!B38*I107-S107&gt;=0,0,ROUNDUP(S107/I107,0)-1)))</x:f>
        <x:v>100</x:v>
      </x:c>
      <x:c r="AB107" s="1" t="n">
        <x:f>IF(I107&lt;=0,'損益分岐設定'!C39,IF('損益分岐設定'!C39*I107-T107&lt;0,'損益分岐設定'!C39,IF('損益分岐設定'!B39*I107-T107&gt;=0,0,ROUNDUP(T107/I107,0)-1)))</x:f>
        <x:v>500</x:v>
      </x:c>
      <x:c r="AC107" s="1" t="n">
        <x:f>IF(I107&lt;=0,'損益分岐設定'!C40,IF('損益分岐設定'!C40*I107-U107&lt;0,'損益分岐設定'!C40,IF('損益分岐設定'!B40*I107-U107&gt;=0,0,ROUNDUP(U107/I107,0)-1)))</x:f>
        <x:v>1000</x:v>
      </x:c>
      <x:c r="AD107" s="1" t="n">
        <x:v>0</x:v>
      </x:c>
      <x:c r="AE107" s="1" t="n">
        <x:v>0</x:v>
      </x:c>
      <x:c r="AF107" s="1" t="n">
        <x:v>1</x:v>
      </x:c>
      <x:c r="AG107" s="1" t="n">
        <x:f>AD107*'損益分岐設定'!$C$58+AE107*'損益分岐設定'!$C$61+AF107*'損益分岐設定'!$C$64</x:f>
        <x:v>24711.76447753906</x:v>
      </x:c>
      <x:c r="AH107" s="1" t="n">
        <x:f>AD107*'損益分岐設定'!$D$58+AE107*'損益分岐設定'!$D$61+AF107*'損益分岐設定'!$D$64</x:f>
        <x:v>1200</x:v>
      </x:c>
      <x:c r="AI107" s="1" t="n">
        <x:f>AD107*'損益分岐設定'!$E$58+AE107*'損益分岐設定'!$E$61+AF107*'損益分岐設定'!$E$64</x:f>
        <x:v>1600</x:v>
      </x:c>
      <x:c r="AJ107" s="1" t="n">
        <x:f>(AD107*'損益分岐設定'!$F$58+AE107*'損益分岐設定'!$F$61+AF107*'損益分岐設定'!$F$64*1)*'損益分岐設定'!$B$22</x:f>
        <x:v>18000</x:v>
      </x:c>
      <x:c r="AK107" s="1" t="n">
        <x:f>AD107*'損益分岐設定'!$G$58+AE107*'損益分岐設定'!$G$61+AF107*'損益分岐設定'!$G$64</x:f>
        <x:v>12000</x:v>
      </x:c>
      <x:c r="AL107" s="1" t="n">
        <x:f>AD107*'損益分岐設定'!$H$58+AE107*'損益分岐設定'!$H$61+AF107*'損益分岐設定'!$H$64</x:f>
        <x:v>1666.6666666666667</x:v>
      </x:c>
      <x:c r="AM107" s="1" t="n">
        <x:f>MAX(1,ROUNDUP('損益分岐設定'!C37*AJ107/('損益分岐設定'!$B$23*'損益分岐設定'!$B$24*3600*'損益分岐設定'!$B$25),0))</x:f>
        <x:v>1</x:v>
      </x:c>
      <x:c r="AN107" s="1" t="n">
        <x:f>MAX(2,ROUNDUP('損益分岐設定'!C38*AJ107/('損益分岐設定'!$B$23*'損益分岐設定'!$B$24*3600*'損益分岐設定'!$B$25),0))</x:f>
        <x:v>4</x:v>
      </x:c>
      <x:c r="AO107" s="1" t="n">
        <x:f>MAX(2,ROUNDUP('損益分岐設定'!C39*AJ107/('損益分岐設定'!$B$23*'損益分岐設定'!$B$24*3600*'損益分岐設定'!$B$25),0))</x:f>
        <x:v>18</x:v>
      </x:c>
      <x:c r="AP107" s="1" t="n">
        <x:f>MAX(2,ROUNDUP('損益分岐設定'!C40*AJ107/('損益分岐設定'!$B$23*'損益分岐設定'!$B$24*3600*'損益分岐設定'!$B$25),0))</x:f>
        <x:v>36</x:v>
      </x:c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 ht="23" customHeight="1">
      <x:c r="A108" s="1" t="str">
        <x:v>Run</x:v>
      </x:c>
      <x:c r="B108" s="1" t="str">
        <x:v>Business Plus</x:v>
      </x:c>
      <x:c r="C108" s="1" t="str">
        <x:v>高位</x:v>
      </x:c>
      <x:c r="D108" s="21" t="n">
        <x:v>0.2</x:v>
      </x:c>
      <x:c r="E108" s="1" t="n">
        <x:v>1</x:v>
      </x:c>
      <x:c r="F108" s="7" t="n">
        <x:f>AD108*'損益分岐設定'!$B$5+AE108*'損益分岐設定'!$B$6+AF108*'損益分岐設定'!$B$7</x:f>
        <x:v>8000</x:v>
      </x:c>
      <x:c r="G108" s="7" t="n">
        <x:f>AG108+(AH108+AI108)*('損益分岐設定'!$B$29+0.5*'損益分岐設定'!$B$30)+AK108*'損益分岐設定'!$B$32+(AJ108+AK108/'損益分岐設定'!$B$28*'損益分岐設定'!$B$26)*('損益分岐設定'!$B$29+'損益分岐設定'!$B$31*'損益分岐設定'!$B$30)</x:f>
        <x:v>24825.08311367952</x:v>
      </x:c>
      <x:c r="H108" s="7" t="n">
        <x:f>AL108*E108</x:f>
        <x:v>1666.6666666666667</x:v>
      </x:c>
      <x:c r="I108" s="7" t="n">
        <x:f>F108*(1-D108-'損益分岐設定'!$B$10)-G108-H108</x:f>
        <x:v>-20379.74978034619</x:v>
      </x:c>
      <x:c r="J108" s="1" t="str">
        <x:f>IF(MIN(V108:Y108)&gt;1000,"範囲内なし",MIN(V108:Y108))</x:f>
        <x:v>範囲内なし</x:v>
      </x:c>
      <x:c r="K108" s="1" t="str">
        <x:f>IF(MAX(Z108:AC108)&gt;=1000,"範囲内なし",MAX(1,MAX(Z108:AC108)+1))</x:f>
        <x:v>範囲内なし</x:v>
      </x:c>
      <x:c r="L108" s="7" t="n">
        <x:f>10*I108-R108</x:f>
        <x:v>-233808.4324297697</x:v>
      </x:c>
      <x:c r="M108" s="7" t="n">
        <x:f>30*I108-S108</x:f>
        <x:v>-645903.4280366935</x:v>
      </x:c>
      <x:c r="N108" s="7" t="n">
        <x:f>50*I108-S108</x:f>
        <x:v>-1053498.4236436172</x:v>
      </x:c>
      <x:c r="O108" s="7" t="n">
        <x:f>100*I108-S108</x:f>
        <x:v>-2072485.9126609266</x:v>
      </x:c>
      <x:c r="P108" s="7" t="n">
        <x:f>300*I108-T108</x:f>
        <x:v>-6170435.868730164</x:v>
      </x:c>
      <x:c r="Q108" s="7" t="n">
        <x:f>1000*I108-U108</x:f>
        <x:v>-20466260.714972496</x:v>
      </x:c>
      <x:c r="R10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108*'損益分岐設定'!$B$12*'損益分岐設定'!$B$11</x:f>
        <x:v>30010.934626307797</x:v>
      </x:c>
      <x:c r="S10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108*'損益分岐設定'!$B$12*'損益分岐設定'!$B$11</x:f>
        <x:v>34510.9346263078</x:v>
      </x:c>
      <x:c r="T10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108*'損益分岐設定'!$B$12*'損益分岐設定'!$B$11</x:f>
        <x:v>56510.9346263078</x:v>
      </x:c>
      <x:c r="U10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108*'損益分岐設定'!$B$12*'損益分岐設定'!$B$11</x:f>
        <x:v>86510.9346263078</x:v>
      </x:c>
      <x:c r="V108" s="1" t="n">
        <x:f>IF(I108&lt;=0,1001,IF(MAX('損益分岐設定'!B37,ROUNDUP(R108/I108,0))&lt;='損益分岐設定'!C37,MAX('損益分岐設定'!B37,ROUNDUP(R108/I108,0)),1001))</x:f>
        <x:v>1001</x:v>
      </x:c>
      <x:c r="W108" s="1" t="n">
        <x:f>IF(I108&lt;=0,1001,IF(MAX('損益分岐設定'!B38,ROUNDUP(S108/I108,0))&lt;='損益分岐設定'!C38,MAX('損益分岐設定'!B38,ROUNDUP(S108/I108,0)),1001))</x:f>
        <x:v>1001</x:v>
      </x:c>
      <x:c r="X108" s="1" t="n">
        <x:f>IF(I108&lt;=0,1001,IF(MAX('損益分岐設定'!B39,ROUNDUP(T108/I108,0))&lt;='損益分岐設定'!C39,MAX('損益分岐設定'!B39,ROUNDUP(T108/I108,0)),1001))</x:f>
        <x:v>1001</x:v>
      </x:c>
      <x:c r="Y108" s="1" t="n">
        <x:f>IF(I108&lt;=0,1001,IF(MAX('損益分岐設定'!B40,ROUNDUP(U108/I108,0))&lt;='損益分岐設定'!C40,MAX('損益分岐設定'!B40,ROUNDUP(U108/I108,0)),1001))</x:f>
        <x:v>1001</x:v>
      </x:c>
      <x:c r="Z108" s="1" t="n">
        <x:f>IF(I108&lt;=0,'損益分岐設定'!C37,IF('損益分岐設定'!C37*I108-R108&lt;0,'損益分岐設定'!C37,IF('損益分岐設定'!B37*I108-R108&gt;=0,0,ROUNDUP(R108/I108,0)-1)))</x:f>
        <x:v>10</x:v>
      </x:c>
      <x:c r="AA108" s="1" t="n">
        <x:f>IF(I108&lt;=0,'損益分岐設定'!C38,IF('損益分岐設定'!C38*I108-S108&lt;0,'損益分岐設定'!C38,IF('損益分岐設定'!B38*I108-S108&gt;=0,0,ROUNDUP(S108/I108,0)-1)))</x:f>
        <x:v>100</x:v>
      </x:c>
      <x:c r="AB108" s="1" t="n">
        <x:f>IF(I108&lt;=0,'損益分岐設定'!C39,IF('損益分岐設定'!C39*I108-T108&lt;0,'損益分岐設定'!C39,IF('損益分岐設定'!B39*I108-T108&gt;=0,0,ROUNDUP(T108/I108,0)-1)))</x:f>
        <x:v>500</x:v>
      </x:c>
      <x:c r="AC108" s="1" t="n">
        <x:f>IF(I108&lt;=0,'損益分岐設定'!C40,IF('損益分岐設定'!C40*I108-U108&lt;0,'損益分岐設定'!C40,IF('損益分岐設定'!B40*I108-U108&gt;=0,0,ROUNDUP(U108/I108,0)-1)))</x:f>
        <x:v>1000</x:v>
      </x:c>
      <x:c r="AD108" s="1" t="n">
        <x:v>0</x:v>
      </x:c>
      <x:c r="AE108" s="1" t="n">
        <x:v>0</x:v>
      </x:c>
      <x:c r="AF108" s="1" t="n">
        <x:v>1</x:v>
      </x:c>
      <x:c r="AG108" s="1" t="n">
        <x:f>AD108*'損益分岐設定'!$C$58+AE108*'損益分岐設定'!$C$61+AF108*'損益分岐設定'!$C$64</x:f>
        <x:v>24711.76447753906</x:v>
      </x:c>
      <x:c r="AH108" s="1" t="n">
        <x:f>AD108*'損益分岐設定'!$D$58+AE108*'損益分岐設定'!$D$61+AF108*'損益分岐設定'!$D$64</x:f>
        <x:v>1200</x:v>
      </x:c>
      <x:c r="AI108" s="1" t="n">
        <x:f>AD108*'損益分岐設定'!$E$58+AE108*'損益分岐設定'!$E$61+AF108*'損益分岐設定'!$E$64</x:f>
        <x:v>1600</x:v>
      </x:c>
      <x:c r="AJ108" s="1" t="n">
        <x:f>(AD108*'損益分岐設定'!$F$58+AE108*'損益分岐設定'!$F$61+AF108*'損益分岐設定'!$F$64*1)*'損益分岐設定'!$B$22</x:f>
        <x:v>18000</x:v>
      </x:c>
      <x:c r="AK108" s="1" t="n">
        <x:f>AD108*'損益分岐設定'!$G$58+AE108*'損益分岐設定'!$G$61+AF108*'損益分岐設定'!$G$64</x:f>
        <x:v>12000</x:v>
      </x:c>
      <x:c r="AL108" s="1" t="n">
        <x:f>AD108*'損益分岐設定'!$H$58+AE108*'損益分岐設定'!$H$61+AF108*'損益分岐設定'!$H$64</x:f>
        <x:v>1666.6666666666667</x:v>
      </x:c>
      <x:c r="AM108" s="1" t="n">
        <x:f>MAX(1,ROUNDUP('損益分岐設定'!C37*AJ108/('損益分岐設定'!$B$23*'損益分岐設定'!$B$24*3600*'損益分岐設定'!$B$25),0))</x:f>
        <x:v>1</x:v>
      </x:c>
      <x:c r="AN108" s="1" t="n">
        <x:f>MAX(2,ROUNDUP('損益分岐設定'!C38*AJ108/('損益分岐設定'!$B$23*'損益分岐設定'!$B$24*3600*'損益分岐設定'!$B$25),0))</x:f>
        <x:v>4</x:v>
      </x:c>
      <x:c r="AO108" s="1" t="n">
        <x:f>MAX(2,ROUNDUP('損益分岐設定'!C39*AJ108/('損益分岐設定'!$B$23*'損益分岐設定'!$B$24*3600*'損益分岐設定'!$B$25),0))</x:f>
        <x:v>18</x:v>
      </x:c>
      <x:c r="AP108" s="1" t="n">
        <x:f>MAX(2,ROUNDUP('損益分岐設定'!C40*AJ108/('損益分岐設定'!$B$23*'損益分岐設定'!$B$24*3600*'損益分岐設定'!$B$25),0))</x:f>
        <x:v>36</x:v>
      </x:c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 ht="23" customHeight="1">
      <x:c r="A109" s="1" t="str">
        <x:v>Run</x:v>
      </x:c>
      <x:c r="B109" s="1" t="str">
        <x:v>Business Plus</x:v>
      </x:c>
      <x:c r="C109" s="1" t="str">
        <x:v>高位</x:v>
      </x:c>
      <x:c r="D109" s="21" t="n">
        <x:v>0.3</x:v>
      </x:c>
      <x:c r="E109" s="1" t="n">
        <x:v>0</x:v>
      </x:c>
      <x:c r="F109" s="7" t="n">
        <x:f>AD109*'損益分岐設定'!$B$5+AE109*'損益分岐設定'!$B$6+AF109*'損益分岐設定'!$B$7</x:f>
        <x:v>8000</x:v>
      </x:c>
      <x:c r="G109" s="7" t="n">
        <x:f>AG109+(AH109+AI109)*('損益分岐設定'!$B$29+0.5*'損益分岐設定'!$B$30)+AK109*'損益分岐設定'!$B$32+(AJ109+AK109/'損益分岐設定'!$B$28*'損益分岐設定'!$B$26)*('損益分岐設定'!$B$29+'損益分岐設定'!$B$31*'損益分岐設定'!$B$30)</x:f>
        <x:v>24825.08311367952</x:v>
      </x:c>
      <x:c r="H109" s="7" t="n">
        <x:f>AL109*E109</x:f>
        <x:v>0</x:v>
      </x:c>
      <x:c r="I109" s="7" t="n">
        <x:f>F109*(1-D109-'損益分岐設定'!$B$10)-G109-H109</x:f>
        <x:v>-19513.08311367952</x:v>
      </x:c>
      <x:c r="J109" s="1" t="str">
        <x:f>IF(MIN(V109:Y109)&gt;1000,"範囲内なし",MIN(V109:Y109))</x:f>
        <x:v>範囲内なし</x:v>
      </x:c>
      <x:c r="K109" s="1" t="str">
        <x:f>IF(MAX(Z109:AC109)&gt;=1000,"範囲内なし",MAX(1,MAX(Z109:AC109)+1))</x:f>
        <x:v>範囲内なし</x:v>
      </x:c>
      <x:c r="L109" s="7" t="n">
        <x:f>10*I109-R109</x:f>
        <x:v>-217141.765763103</x:v>
      </x:c>
      <x:c r="M109" s="7" t="n">
        <x:f>30*I109-S109</x:f>
        <x:v>-611903.4280366934</x:v>
      </x:c>
      <x:c r="N109" s="7" t="n">
        <x:f>50*I109-S109</x:f>
        <x:v>-1002165.0903102838</x:v>
      </x:c>
      <x:c r="O109" s="7" t="n">
        <x:f>100*I109-S109</x:f>
        <x:v>-1977819.2459942598</x:v>
      </x:c>
      <x:c r="P109" s="7" t="n">
        <x:f>300*I109-T109</x:f>
        <x:v>-5902435.868730163</x:v>
      </x:c>
      <x:c r="Q109" s="7" t="n">
        <x:f>1000*I109-U109</x:f>
        <x:v>-19591594.048305828</x:v>
      </x:c>
      <x:c r="R10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109*'損益分岐設定'!$B$12*'損益分岐設定'!$B$11</x:f>
        <x:v>22010.934626307797</x:v>
      </x:c>
      <x:c r="S10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109*'損益分岐設定'!$B$12*'損益分岐設定'!$B$11</x:f>
        <x:v>26510.934626307797</x:v>
      </x:c>
      <x:c r="T10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109*'損益分岐設定'!$B$12*'損益分岐設定'!$B$11</x:f>
        <x:v>48510.9346263078</x:v>
      </x:c>
      <x:c r="U10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109*'損益分岐設定'!$B$12*'損益分岐設定'!$B$11</x:f>
        <x:v>78510.9346263078</x:v>
      </x:c>
      <x:c r="V109" s="1" t="n">
        <x:f>IF(I109&lt;=0,1001,IF(MAX('損益分岐設定'!B37,ROUNDUP(R109/I109,0))&lt;='損益分岐設定'!C37,MAX('損益分岐設定'!B37,ROUNDUP(R109/I109,0)),1001))</x:f>
        <x:v>1001</x:v>
      </x:c>
      <x:c r="W109" s="1" t="n">
        <x:f>IF(I109&lt;=0,1001,IF(MAX('損益分岐設定'!B38,ROUNDUP(S109/I109,0))&lt;='損益分岐設定'!C38,MAX('損益分岐設定'!B38,ROUNDUP(S109/I109,0)),1001))</x:f>
        <x:v>1001</x:v>
      </x:c>
      <x:c r="X109" s="1" t="n">
        <x:f>IF(I109&lt;=0,1001,IF(MAX('損益分岐設定'!B39,ROUNDUP(T109/I109,0))&lt;='損益分岐設定'!C39,MAX('損益分岐設定'!B39,ROUNDUP(T109/I109,0)),1001))</x:f>
        <x:v>1001</x:v>
      </x:c>
      <x:c r="Y109" s="1" t="n">
        <x:f>IF(I109&lt;=0,1001,IF(MAX('損益分岐設定'!B40,ROUNDUP(U109/I109,0))&lt;='損益分岐設定'!C40,MAX('損益分岐設定'!B40,ROUNDUP(U109/I109,0)),1001))</x:f>
        <x:v>1001</x:v>
      </x:c>
      <x:c r="Z109" s="1" t="n">
        <x:f>IF(I109&lt;=0,'損益分岐設定'!C37,IF('損益分岐設定'!C37*I109-R109&lt;0,'損益分岐設定'!C37,IF('損益分岐設定'!B37*I109-R109&gt;=0,0,ROUNDUP(R109/I109,0)-1)))</x:f>
        <x:v>10</x:v>
      </x:c>
      <x:c r="AA109" s="1" t="n">
        <x:f>IF(I109&lt;=0,'損益分岐設定'!C38,IF('損益分岐設定'!C38*I109-S109&lt;0,'損益分岐設定'!C38,IF('損益分岐設定'!B38*I109-S109&gt;=0,0,ROUNDUP(S109/I109,0)-1)))</x:f>
        <x:v>100</x:v>
      </x:c>
      <x:c r="AB109" s="1" t="n">
        <x:f>IF(I109&lt;=0,'損益分岐設定'!C39,IF('損益分岐設定'!C39*I109-T109&lt;0,'損益分岐設定'!C39,IF('損益分岐設定'!B39*I109-T109&gt;=0,0,ROUNDUP(T109/I109,0)-1)))</x:f>
        <x:v>500</x:v>
      </x:c>
      <x:c r="AC109" s="1" t="n">
        <x:f>IF(I109&lt;=0,'損益分岐設定'!C40,IF('損益分岐設定'!C40*I109-U109&lt;0,'損益分岐設定'!C40,IF('損益分岐設定'!B40*I109-U109&gt;=0,0,ROUNDUP(U109/I109,0)-1)))</x:f>
        <x:v>1000</x:v>
      </x:c>
      <x:c r="AD109" s="1" t="n">
        <x:v>0</x:v>
      </x:c>
      <x:c r="AE109" s="1" t="n">
        <x:v>0</x:v>
      </x:c>
      <x:c r="AF109" s="1" t="n">
        <x:v>1</x:v>
      </x:c>
      <x:c r="AG109" s="1" t="n">
        <x:f>AD109*'損益分岐設定'!$C$58+AE109*'損益分岐設定'!$C$61+AF109*'損益分岐設定'!$C$64</x:f>
        <x:v>24711.76447753906</x:v>
      </x:c>
      <x:c r="AH109" s="1" t="n">
        <x:f>AD109*'損益分岐設定'!$D$58+AE109*'損益分岐設定'!$D$61+AF109*'損益分岐設定'!$D$64</x:f>
        <x:v>1200</x:v>
      </x:c>
      <x:c r="AI109" s="1" t="n">
        <x:f>AD109*'損益分岐設定'!$E$58+AE109*'損益分岐設定'!$E$61+AF109*'損益分岐設定'!$E$64</x:f>
        <x:v>1600</x:v>
      </x:c>
      <x:c r="AJ109" s="1" t="n">
        <x:f>(AD109*'損益分岐設定'!$F$58+AE109*'損益分岐設定'!$F$61+AF109*'損益分岐設定'!$F$64*1)*'損益分岐設定'!$B$22</x:f>
        <x:v>18000</x:v>
      </x:c>
      <x:c r="AK109" s="1" t="n">
        <x:f>AD109*'損益分岐設定'!$G$58+AE109*'損益分岐設定'!$G$61+AF109*'損益分岐設定'!$G$64</x:f>
        <x:v>12000</x:v>
      </x:c>
      <x:c r="AL109" s="1" t="n">
        <x:f>AD109*'損益分岐設定'!$H$58+AE109*'損益分岐設定'!$H$61+AF109*'損益分岐設定'!$H$64</x:f>
        <x:v>1666.6666666666667</x:v>
      </x:c>
      <x:c r="AM109" s="1" t="n">
        <x:f>MAX(1,ROUNDUP('損益分岐設定'!C37*AJ109/('損益分岐設定'!$B$23*'損益分岐設定'!$B$24*3600*'損益分岐設定'!$B$25),0))</x:f>
        <x:v>1</x:v>
      </x:c>
      <x:c r="AN109" s="1" t="n">
        <x:f>MAX(2,ROUNDUP('損益分岐設定'!C38*AJ109/('損益分岐設定'!$B$23*'損益分岐設定'!$B$24*3600*'損益分岐設定'!$B$25),0))</x:f>
        <x:v>4</x:v>
      </x:c>
      <x:c r="AO109" s="1" t="n">
        <x:f>MAX(2,ROUNDUP('損益分岐設定'!C39*AJ109/('損益分岐設定'!$B$23*'損益分岐設定'!$B$24*3600*'損益分岐設定'!$B$25),0))</x:f>
        <x:v>18</x:v>
      </x:c>
      <x:c r="AP109" s="1" t="n">
        <x:f>MAX(2,ROUNDUP('損益分岐設定'!C40*AJ109/('損益分岐設定'!$B$23*'損益分岐設定'!$B$24*3600*'損益分岐設定'!$B$25),0))</x:f>
        <x:v>36</x:v>
      </x:c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 ht="23" customHeight="1">
      <x:c r="A110" s="1" t="str">
        <x:v>Run</x:v>
      </x:c>
      <x:c r="B110" s="1" t="str">
        <x:v>Business Plus</x:v>
      </x:c>
      <x:c r="C110" s="1" t="str">
        <x:v>高位</x:v>
      </x:c>
      <x:c r="D110" s="21" t="n">
        <x:v>0.3</x:v>
      </x:c>
      <x:c r="E110" s="1" t="n">
        <x:v>1</x:v>
      </x:c>
      <x:c r="F110" s="7" t="n">
        <x:f>AD110*'損益分岐設定'!$B$5+AE110*'損益分岐設定'!$B$6+AF110*'損益分岐設定'!$B$7</x:f>
        <x:v>8000</x:v>
      </x:c>
      <x:c r="G110" s="7" t="n">
        <x:f>AG110+(AH110+AI110)*('損益分岐設定'!$B$29+0.5*'損益分岐設定'!$B$30)+AK110*'損益分岐設定'!$B$32+(AJ110+AK110/'損益分岐設定'!$B$28*'損益分岐設定'!$B$26)*('損益分岐設定'!$B$29+'損益分岐設定'!$B$31*'損益分岐設定'!$B$30)</x:f>
        <x:v>24825.08311367952</x:v>
      </x:c>
      <x:c r="H110" s="7" t="n">
        <x:f>AL110*E110</x:f>
        <x:v>1666.6666666666667</x:v>
      </x:c>
      <x:c r="I110" s="7" t="n">
        <x:f>F110*(1-D110-'損益分岐設定'!$B$10)-G110-H110</x:f>
        <x:v>-21179.74978034619</x:v>
      </x:c>
      <x:c r="J110" s="1" t="str">
        <x:f>IF(MIN(V110:Y110)&gt;1000,"範囲内なし",MIN(V110:Y110))</x:f>
        <x:v>範囲内なし</x:v>
      </x:c>
      <x:c r="K110" s="1" t="str">
        <x:f>IF(MAX(Z110:AC110)&gt;=1000,"範囲内なし",MAX(1,MAX(Z110:AC110)+1))</x:f>
        <x:v>範囲内なし</x:v>
      </x:c>
      <x:c r="L110" s="7" t="n">
        <x:f>10*I110-R110</x:f>
        <x:v>-241808.4324297697</x:v>
      </x:c>
      <x:c r="M110" s="7" t="n">
        <x:f>30*I110-S110</x:f>
        <x:v>-669903.4280366935</x:v>
      </x:c>
      <x:c r="N110" s="7" t="n">
        <x:f>50*I110-S110</x:f>
        <x:v>-1093498.4236436172</x:v>
      </x:c>
      <x:c r="O110" s="7" t="n">
        <x:f>100*I110-S110</x:f>
        <x:v>-2152485.9126609266</x:v>
      </x:c>
      <x:c r="P110" s="7" t="n">
        <x:f>300*I110-T110</x:f>
        <x:v>-6410435.868730164</x:v>
      </x:c>
      <x:c r="Q110" s="7" t="n">
        <x:f>1000*I110-U110</x:f>
        <x:v>-21266260.714972496</x:v>
      </x:c>
      <x:c r="R11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110*'損益分岐設定'!$B$12*'損益分岐設定'!$B$11</x:f>
        <x:v>30010.934626307797</x:v>
      </x:c>
      <x:c r="S11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110*'損益分岐設定'!$B$12*'損益分岐設定'!$B$11</x:f>
        <x:v>34510.9346263078</x:v>
      </x:c>
      <x:c r="T11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110*'損益分岐設定'!$B$12*'損益分岐設定'!$B$11</x:f>
        <x:v>56510.9346263078</x:v>
      </x:c>
      <x:c r="U11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110*'損益分岐設定'!$B$12*'損益分岐設定'!$B$11</x:f>
        <x:v>86510.9346263078</x:v>
      </x:c>
      <x:c r="V110" s="1" t="n">
        <x:f>IF(I110&lt;=0,1001,IF(MAX('損益分岐設定'!B37,ROUNDUP(R110/I110,0))&lt;='損益分岐設定'!C37,MAX('損益分岐設定'!B37,ROUNDUP(R110/I110,0)),1001))</x:f>
        <x:v>1001</x:v>
      </x:c>
      <x:c r="W110" s="1" t="n">
        <x:f>IF(I110&lt;=0,1001,IF(MAX('損益分岐設定'!B38,ROUNDUP(S110/I110,0))&lt;='損益分岐設定'!C38,MAX('損益分岐設定'!B38,ROUNDUP(S110/I110,0)),1001))</x:f>
        <x:v>1001</x:v>
      </x:c>
      <x:c r="X110" s="1" t="n">
        <x:f>IF(I110&lt;=0,1001,IF(MAX('損益分岐設定'!B39,ROUNDUP(T110/I110,0))&lt;='損益分岐設定'!C39,MAX('損益分岐設定'!B39,ROUNDUP(T110/I110,0)),1001))</x:f>
        <x:v>1001</x:v>
      </x:c>
      <x:c r="Y110" s="1" t="n">
        <x:f>IF(I110&lt;=0,1001,IF(MAX('損益分岐設定'!B40,ROUNDUP(U110/I110,0))&lt;='損益分岐設定'!C40,MAX('損益分岐設定'!B40,ROUNDUP(U110/I110,0)),1001))</x:f>
        <x:v>1001</x:v>
      </x:c>
      <x:c r="Z110" s="1" t="n">
        <x:f>IF(I110&lt;=0,'損益分岐設定'!C37,IF('損益分岐設定'!C37*I110-R110&lt;0,'損益分岐設定'!C37,IF('損益分岐設定'!B37*I110-R110&gt;=0,0,ROUNDUP(R110/I110,0)-1)))</x:f>
        <x:v>10</x:v>
      </x:c>
      <x:c r="AA110" s="1" t="n">
        <x:f>IF(I110&lt;=0,'損益分岐設定'!C38,IF('損益分岐設定'!C38*I110-S110&lt;0,'損益分岐設定'!C38,IF('損益分岐設定'!B38*I110-S110&gt;=0,0,ROUNDUP(S110/I110,0)-1)))</x:f>
        <x:v>100</x:v>
      </x:c>
      <x:c r="AB110" s="1" t="n">
        <x:f>IF(I110&lt;=0,'損益分岐設定'!C39,IF('損益分岐設定'!C39*I110-T110&lt;0,'損益分岐設定'!C39,IF('損益分岐設定'!B39*I110-T110&gt;=0,0,ROUNDUP(T110/I110,0)-1)))</x:f>
        <x:v>500</x:v>
      </x:c>
      <x:c r="AC110" s="1" t="n">
        <x:f>IF(I110&lt;=0,'損益分岐設定'!C40,IF('損益分岐設定'!C40*I110-U110&lt;0,'損益分岐設定'!C40,IF('損益分岐設定'!B40*I110-U110&gt;=0,0,ROUNDUP(U110/I110,0)-1)))</x:f>
        <x:v>1000</x:v>
      </x:c>
      <x:c r="AD110" s="1" t="n">
        <x:v>0</x:v>
      </x:c>
      <x:c r="AE110" s="1" t="n">
        <x:v>0</x:v>
      </x:c>
      <x:c r="AF110" s="1" t="n">
        <x:v>1</x:v>
      </x:c>
      <x:c r="AG110" s="1" t="n">
        <x:f>AD110*'損益分岐設定'!$C$58+AE110*'損益分岐設定'!$C$61+AF110*'損益分岐設定'!$C$64</x:f>
        <x:v>24711.76447753906</x:v>
      </x:c>
      <x:c r="AH110" s="1" t="n">
        <x:f>AD110*'損益分岐設定'!$D$58+AE110*'損益分岐設定'!$D$61+AF110*'損益分岐設定'!$D$64</x:f>
        <x:v>1200</x:v>
      </x:c>
      <x:c r="AI110" s="1" t="n">
        <x:f>AD110*'損益分岐設定'!$E$58+AE110*'損益分岐設定'!$E$61+AF110*'損益分岐設定'!$E$64</x:f>
        <x:v>1600</x:v>
      </x:c>
      <x:c r="AJ110" s="1" t="n">
        <x:f>(AD110*'損益分岐設定'!$F$58+AE110*'損益分岐設定'!$F$61+AF110*'損益分岐設定'!$F$64*1)*'損益分岐設定'!$B$22</x:f>
        <x:v>18000</x:v>
      </x:c>
      <x:c r="AK110" s="1" t="n">
        <x:f>AD110*'損益分岐設定'!$G$58+AE110*'損益分岐設定'!$G$61+AF110*'損益分岐設定'!$G$64</x:f>
        <x:v>12000</x:v>
      </x:c>
      <x:c r="AL110" s="1" t="n">
        <x:f>AD110*'損益分岐設定'!$H$58+AE110*'損益分岐設定'!$H$61+AF110*'損益分岐設定'!$H$64</x:f>
        <x:v>1666.6666666666667</x:v>
      </x:c>
      <x:c r="AM110" s="1" t="n">
        <x:f>MAX(1,ROUNDUP('損益分岐設定'!C37*AJ110/('損益分岐設定'!$B$23*'損益分岐設定'!$B$24*3600*'損益分岐設定'!$B$25),0))</x:f>
        <x:v>1</x:v>
      </x:c>
      <x:c r="AN110" s="1" t="n">
        <x:f>MAX(2,ROUNDUP('損益分岐設定'!C38*AJ110/('損益分岐設定'!$B$23*'損益分岐設定'!$B$24*3600*'損益分岐設定'!$B$25),0))</x:f>
        <x:v>4</x:v>
      </x:c>
      <x:c r="AO110" s="1" t="n">
        <x:f>MAX(2,ROUNDUP('損益分岐設定'!C39*AJ110/('損益分岐設定'!$B$23*'損益分岐設定'!$B$24*3600*'損益分岐設定'!$B$25),0))</x:f>
        <x:v>18</x:v>
      </x:c>
      <x:c r="AP110" s="1" t="n">
        <x:f>MAX(2,ROUNDUP('損益分岐設定'!C40*AJ110/('損益分岐設定'!$B$23*'損益分岐設定'!$B$24*3600*'損益分岐設定'!$B$25),0))</x:f>
        <x:v>36</x:v>
      </x:c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 ht="23" customHeight="1">
      <x:c r="A111" s="1" t="str">
        <x:v>Run</x:v>
      </x:c>
      <x:c r="B111" s="1" t="str">
        <x:v>Business Plus</x:v>
      </x:c>
      <x:c r="C111" s="1" t="str">
        <x:v>高位</x:v>
      </x:c>
      <x:c r="D111" s="21" t="n">
        <x:v>0.4</x:v>
      </x:c>
      <x:c r="E111" s="1" t="n">
        <x:v>0</x:v>
      </x:c>
      <x:c r="F111" s="7" t="n">
        <x:f>AD111*'損益分岐設定'!$B$5+AE111*'損益分岐設定'!$B$6+AF111*'損益分岐設定'!$B$7</x:f>
        <x:v>8000</x:v>
      </x:c>
      <x:c r="G111" s="7" t="n">
        <x:f>AG111+(AH111+AI111)*('損益分岐設定'!$B$29+0.5*'損益分岐設定'!$B$30)+AK111*'損益分岐設定'!$B$32+(AJ111+AK111/'損益分岐設定'!$B$28*'損益分岐設定'!$B$26)*('損益分岐設定'!$B$29+'損益分岐設定'!$B$31*'損益分岐設定'!$B$30)</x:f>
        <x:v>24825.08311367952</x:v>
      </x:c>
      <x:c r="H111" s="7" t="n">
        <x:f>AL111*E111</x:f>
        <x:v>0</x:v>
      </x:c>
      <x:c r="I111" s="7" t="n">
        <x:f>F111*(1-D111-'損益分岐設定'!$B$10)-G111-H111</x:f>
        <x:v>-20313.08311367952</x:v>
      </x:c>
      <x:c r="J111" s="1" t="str">
        <x:f>IF(MIN(V111:Y111)&gt;1000,"範囲内なし",MIN(V111:Y111))</x:f>
        <x:v>範囲内なし</x:v>
      </x:c>
      <x:c r="K111" s="1" t="str">
        <x:f>IF(MAX(Z111:AC111)&gt;=1000,"範囲内なし",MAX(1,MAX(Z111:AC111)+1))</x:f>
        <x:v>範囲内なし</x:v>
      </x:c>
      <x:c r="L111" s="7" t="n">
        <x:f>10*I111-R111</x:f>
        <x:v>-225141.765763103</x:v>
      </x:c>
      <x:c r="M111" s="7" t="n">
        <x:f>30*I111-S111</x:f>
        <x:v>-635903.4280366934</x:v>
      </x:c>
      <x:c r="N111" s="7" t="n">
        <x:f>50*I111-S111</x:f>
        <x:v>-1042165.0903102838</x:v>
      </x:c>
      <x:c r="O111" s="7" t="n">
        <x:f>100*I111-S111</x:f>
        <x:v>-2057819.2459942598</x:v>
      </x:c>
      <x:c r="P111" s="7" t="n">
        <x:f>300*I111-T111</x:f>
        <x:v>-6142435.868730163</x:v>
      </x:c>
      <x:c r="Q111" s="7" t="n">
        <x:f>1000*I111-U111</x:f>
        <x:v>-20391594.048305828</x:v>
      </x:c>
      <x:c r="R11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111*'損益分岐設定'!$B$12*'損益分岐設定'!$B$11</x:f>
        <x:v>22010.934626307797</x:v>
      </x:c>
      <x:c r="S11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111*'損益分岐設定'!$B$12*'損益分岐設定'!$B$11</x:f>
        <x:v>26510.934626307797</x:v>
      </x:c>
      <x:c r="T11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111*'損益分岐設定'!$B$12*'損益分岐設定'!$B$11</x:f>
        <x:v>48510.9346263078</x:v>
      </x:c>
      <x:c r="U11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111*'損益分岐設定'!$B$12*'損益分岐設定'!$B$11</x:f>
        <x:v>78510.9346263078</x:v>
      </x:c>
      <x:c r="V111" s="1" t="n">
        <x:f>IF(I111&lt;=0,1001,IF(MAX('損益分岐設定'!B37,ROUNDUP(R111/I111,0))&lt;='損益分岐設定'!C37,MAX('損益分岐設定'!B37,ROUNDUP(R111/I111,0)),1001))</x:f>
        <x:v>1001</x:v>
      </x:c>
      <x:c r="W111" s="1" t="n">
        <x:f>IF(I111&lt;=0,1001,IF(MAX('損益分岐設定'!B38,ROUNDUP(S111/I111,0))&lt;='損益分岐設定'!C38,MAX('損益分岐設定'!B38,ROUNDUP(S111/I111,0)),1001))</x:f>
        <x:v>1001</x:v>
      </x:c>
      <x:c r="X111" s="1" t="n">
        <x:f>IF(I111&lt;=0,1001,IF(MAX('損益分岐設定'!B39,ROUNDUP(T111/I111,0))&lt;='損益分岐設定'!C39,MAX('損益分岐設定'!B39,ROUNDUP(T111/I111,0)),1001))</x:f>
        <x:v>1001</x:v>
      </x:c>
      <x:c r="Y111" s="1" t="n">
        <x:f>IF(I111&lt;=0,1001,IF(MAX('損益分岐設定'!B40,ROUNDUP(U111/I111,0))&lt;='損益分岐設定'!C40,MAX('損益分岐設定'!B40,ROUNDUP(U111/I111,0)),1001))</x:f>
        <x:v>1001</x:v>
      </x:c>
      <x:c r="Z111" s="1" t="n">
        <x:f>IF(I111&lt;=0,'損益分岐設定'!C37,IF('損益分岐設定'!C37*I111-R111&lt;0,'損益分岐設定'!C37,IF('損益分岐設定'!B37*I111-R111&gt;=0,0,ROUNDUP(R111/I111,0)-1)))</x:f>
        <x:v>10</x:v>
      </x:c>
      <x:c r="AA111" s="1" t="n">
        <x:f>IF(I111&lt;=0,'損益分岐設定'!C38,IF('損益分岐設定'!C38*I111-S111&lt;0,'損益分岐設定'!C38,IF('損益分岐設定'!B38*I111-S111&gt;=0,0,ROUNDUP(S111/I111,0)-1)))</x:f>
        <x:v>100</x:v>
      </x:c>
      <x:c r="AB111" s="1" t="n">
        <x:f>IF(I111&lt;=0,'損益分岐設定'!C39,IF('損益分岐設定'!C39*I111-T111&lt;0,'損益分岐設定'!C39,IF('損益分岐設定'!B39*I111-T111&gt;=0,0,ROUNDUP(T111/I111,0)-1)))</x:f>
        <x:v>500</x:v>
      </x:c>
      <x:c r="AC111" s="1" t="n">
        <x:f>IF(I111&lt;=0,'損益分岐設定'!C40,IF('損益分岐設定'!C40*I111-U111&lt;0,'損益分岐設定'!C40,IF('損益分岐設定'!B40*I111-U111&gt;=0,0,ROUNDUP(U111/I111,0)-1)))</x:f>
        <x:v>1000</x:v>
      </x:c>
      <x:c r="AD111" s="1" t="n">
        <x:v>0</x:v>
      </x:c>
      <x:c r="AE111" s="1" t="n">
        <x:v>0</x:v>
      </x:c>
      <x:c r="AF111" s="1" t="n">
        <x:v>1</x:v>
      </x:c>
      <x:c r="AG111" s="1" t="n">
        <x:f>AD111*'損益分岐設定'!$C$58+AE111*'損益分岐設定'!$C$61+AF111*'損益分岐設定'!$C$64</x:f>
        <x:v>24711.76447753906</x:v>
      </x:c>
      <x:c r="AH111" s="1" t="n">
        <x:f>AD111*'損益分岐設定'!$D$58+AE111*'損益分岐設定'!$D$61+AF111*'損益分岐設定'!$D$64</x:f>
        <x:v>1200</x:v>
      </x:c>
      <x:c r="AI111" s="1" t="n">
        <x:f>AD111*'損益分岐設定'!$E$58+AE111*'損益分岐設定'!$E$61+AF111*'損益分岐設定'!$E$64</x:f>
        <x:v>1600</x:v>
      </x:c>
      <x:c r="AJ111" s="1" t="n">
        <x:f>(AD111*'損益分岐設定'!$F$58+AE111*'損益分岐設定'!$F$61+AF111*'損益分岐設定'!$F$64*1)*'損益分岐設定'!$B$22</x:f>
        <x:v>18000</x:v>
      </x:c>
      <x:c r="AK111" s="1" t="n">
        <x:f>AD111*'損益分岐設定'!$G$58+AE111*'損益分岐設定'!$G$61+AF111*'損益分岐設定'!$G$64</x:f>
        <x:v>12000</x:v>
      </x:c>
      <x:c r="AL111" s="1" t="n">
        <x:f>AD111*'損益分岐設定'!$H$58+AE111*'損益分岐設定'!$H$61+AF111*'損益分岐設定'!$H$64</x:f>
        <x:v>1666.6666666666667</x:v>
      </x:c>
      <x:c r="AM111" s="1" t="n">
        <x:f>MAX(1,ROUNDUP('損益分岐設定'!C37*AJ111/('損益分岐設定'!$B$23*'損益分岐設定'!$B$24*3600*'損益分岐設定'!$B$25),0))</x:f>
        <x:v>1</x:v>
      </x:c>
      <x:c r="AN111" s="1" t="n">
        <x:f>MAX(2,ROUNDUP('損益分岐設定'!C38*AJ111/('損益分岐設定'!$B$23*'損益分岐設定'!$B$24*3600*'損益分岐設定'!$B$25),0))</x:f>
        <x:v>4</x:v>
      </x:c>
      <x:c r="AO111" s="1" t="n">
        <x:f>MAX(2,ROUNDUP('損益分岐設定'!C39*AJ111/('損益分岐設定'!$B$23*'損益分岐設定'!$B$24*3600*'損益分岐設定'!$B$25),0))</x:f>
        <x:v>18</x:v>
      </x:c>
      <x:c r="AP111" s="1" t="n">
        <x:f>MAX(2,ROUNDUP('損益分岐設定'!C40*AJ111/('損益分岐設定'!$B$23*'損益分岐設定'!$B$24*3600*'損益分岐設定'!$B$25),0))</x:f>
        <x:v>36</x:v>
      </x:c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 ht="23" customHeight="1">
      <x:c r="A112" s="1" t="str">
        <x:v>Run</x:v>
      </x:c>
      <x:c r="B112" s="1" t="str">
        <x:v>Business Plus</x:v>
      </x:c>
      <x:c r="C112" s="1" t="str">
        <x:v>高位</x:v>
      </x:c>
      <x:c r="D112" s="21" t="n">
        <x:v>0.4</x:v>
      </x:c>
      <x:c r="E112" s="1" t="n">
        <x:v>1</x:v>
      </x:c>
      <x:c r="F112" s="7" t="n">
        <x:f>AD112*'損益分岐設定'!$B$5+AE112*'損益分岐設定'!$B$6+AF112*'損益分岐設定'!$B$7</x:f>
        <x:v>8000</x:v>
      </x:c>
      <x:c r="G112" s="7" t="n">
        <x:f>AG112+(AH112+AI112)*('損益分岐設定'!$B$29+0.5*'損益分岐設定'!$B$30)+AK112*'損益分岐設定'!$B$32+(AJ112+AK112/'損益分岐設定'!$B$28*'損益分岐設定'!$B$26)*('損益分岐設定'!$B$29+'損益分岐設定'!$B$31*'損益分岐設定'!$B$30)</x:f>
        <x:v>24825.08311367952</x:v>
      </x:c>
      <x:c r="H112" s="7" t="n">
        <x:f>AL112*E112</x:f>
        <x:v>1666.6666666666667</x:v>
      </x:c>
      <x:c r="I112" s="7" t="n">
        <x:f>F112*(1-D112-'損益分岐設定'!$B$10)-G112-H112</x:f>
        <x:v>-21979.74978034619</x:v>
      </x:c>
      <x:c r="J112" s="1" t="str">
        <x:f>IF(MIN(V112:Y112)&gt;1000,"範囲内なし",MIN(V112:Y112))</x:f>
        <x:v>範囲内なし</x:v>
      </x:c>
      <x:c r="K112" s="1" t="str">
        <x:f>IF(MAX(Z112:AC112)&gt;=1000,"範囲内なし",MAX(1,MAX(Z112:AC112)+1))</x:f>
        <x:v>範囲内なし</x:v>
      </x:c>
      <x:c r="L112" s="7" t="n">
        <x:f>10*I112-R112</x:f>
        <x:v>-249808.4324297697</x:v>
      </x:c>
      <x:c r="M112" s="7" t="n">
        <x:f>30*I112-S112</x:f>
        <x:v>-693903.4280366935</x:v>
      </x:c>
      <x:c r="N112" s="7" t="n">
        <x:f>50*I112-S112</x:f>
        <x:v>-1133498.4236436172</x:v>
      </x:c>
      <x:c r="O112" s="7" t="n">
        <x:f>100*I112-S112</x:f>
        <x:v>-2232485.9126609266</x:v>
      </x:c>
      <x:c r="P112" s="7" t="n">
        <x:f>300*I112-T112</x:f>
        <x:v>-6650435.868730164</x:v>
      </x:c>
      <x:c r="Q112" s="7" t="n">
        <x:f>1000*I112-U112</x:f>
        <x:v>-22066260.714972496</x:v>
      </x:c>
      <x:c r="R11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112*'損益分岐設定'!$B$12*'損益分岐設定'!$B$11</x:f>
        <x:v>30010.934626307797</x:v>
      </x:c>
      <x:c r="S11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112*'損益分岐設定'!$B$12*'損益分岐設定'!$B$11</x:f>
        <x:v>34510.9346263078</x:v>
      </x:c>
      <x:c r="T11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112*'損益分岐設定'!$B$12*'損益分岐設定'!$B$11</x:f>
        <x:v>56510.9346263078</x:v>
      </x:c>
      <x:c r="U11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112*'損益分岐設定'!$B$12*'損益分岐設定'!$B$11</x:f>
        <x:v>86510.9346263078</x:v>
      </x:c>
      <x:c r="V112" s="1" t="n">
        <x:f>IF(I112&lt;=0,1001,IF(MAX('損益分岐設定'!B37,ROUNDUP(R112/I112,0))&lt;='損益分岐設定'!C37,MAX('損益分岐設定'!B37,ROUNDUP(R112/I112,0)),1001))</x:f>
        <x:v>1001</x:v>
      </x:c>
      <x:c r="W112" s="1" t="n">
        <x:f>IF(I112&lt;=0,1001,IF(MAX('損益分岐設定'!B38,ROUNDUP(S112/I112,0))&lt;='損益分岐設定'!C38,MAX('損益分岐設定'!B38,ROUNDUP(S112/I112,0)),1001))</x:f>
        <x:v>1001</x:v>
      </x:c>
      <x:c r="X112" s="1" t="n">
        <x:f>IF(I112&lt;=0,1001,IF(MAX('損益分岐設定'!B39,ROUNDUP(T112/I112,0))&lt;='損益分岐設定'!C39,MAX('損益分岐設定'!B39,ROUNDUP(T112/I112,0)),1001))</x:f>
        <x:v>1001</x:v>
      </x:c>
      <x:c r="Y112" s="1" t="n">
        <x:f>IF(I112&lt;=0,1001,IF(MAX('損益分岐設定'!B40,ROUNDUP(U112/I112,0))&lt;='損益分岐設定'!C40,MAX('損益分岐設定'!B40,ROUNDUP(U112/I112,0)),1001))</x:f>
        <x:v>1001</x:v>
      </x:c>
      <x:c r="Z112" s="1" t="n">
        <x:f>IF(I112&lt;=0,'損益分岐設定'!C37,IF('損益分岐設定'!C37*I112-R112&lt;0,'損益分岐設定'!C37,IF('損益分岐設定'!B37*I112-R112&gt;=0,0,ROUNDUP(R112/I112,0)-1)))</x:f>
        <x:v>10</x:v>
      </x:c>
      <x:c r="AA112" s="1" t="n">
        <x:f>IF(I112&lt;=0,'損益分岐設定'!C38,IF('損益分岐設定'!C38*I112-S112&lt;0,'損益分岐設定'!C38,IF('損益分岐設定'!B38*I112-S112&gt;=0,0,ROUNDUP(S112/I112,0)-1)))</x:f>
        <x:v>100</x:v>
      </x:c>
      <x:c r="AB112" s="1" t="n">
        <x:f>IF(I112&lt;=0,'損益分岐設定'!C39,IF('損益分岐設定'!C39*I112-T112&lt;0,'損益分岐設定'!C39,IF('損益分岐設定'!B39*I112-T112&gt;=0,0,ROUNDUP(T112/I112,0)-1)))</x:f>
        <x:v>500</x:v>
      </x:c>
      <x:c r="AC112" s="1" t="n">
        <x:f>IF(I112&lt;=0,'損益分岐設定'!C40,IF('損益分岐設定'!C40*I112-U112&lt;0,'損益分岐設定'!C40,IF('損益分岐設定'!B40*I112-U112&gt;=0,0,ROUNDUP(U112/I112,0)-1)))</x:f>
        <x:v>1000</x:v>
      </x:c>
      <x:c r="AD112" s="1" t="n">
        <x:v>0</x:v>
      </x:c>
      <x:c r="AE112" s="1" t="n">
        <x:v>0</x:v>
      </x:c>
      <x:c r="AF112" s="1" t="n">
        <x:v>1</x:v>
      </x:c>
      <x:c r="AG112" s="1" t="n">
        <x:f>AD112*'損益分岐設定'!$C$58+AE112*'損益分岐設定'!$C$61+AF112*'損益分岐設定'!$C$64</x:f>
        <x:v>24711.76447753906</x:v>
      </x:c>
      <x:c r="AH112" s="1" t="n">
        <x:f>AD112*'損益分岐設定'!$D$58+AE112*'損益分岐設定'!$D$61+AF112*'損益分岐設定'!$D$64</x:f>
        <x:v>1200</x:v>
      </x:c>
      <x:c r="AI112" s="1" t="n">
        <x:f>AD112*'損益分岐設定'!$E$58+AE112*'損益分岐設定'!$E$61+AF112*'損益分岐設定'!$E$64</x:f>
        <x:v>1600</x:v>
      </x:c>
      <x:c r="AJ112" s="1" t="n">
        <x:f>(AD112*'損益分岐設定'!$F$58+AE112*'損益分岐設定'!$F$61+AF112*'損益分岐設定'!$F$64*1)*'損益分岐設定'!$B$22</x:f>
        <x:v>18000</x:v>
      </x:c>
      <x:c r="AK112" s="1" t="n">
        <x:f>AD112*'損益分岐設定'!$G$58+AE112*'損益分岐設定'!$G$61+AF112*'損益分岐設定'!$G$64</x:f>
        <x:v>12000</x:v>
      </x:c>
      <x:c r="AL112" s="1" t="n">
        <x:f>AD112*'損益分岐設定'!$H$58+AE112*'損益分岐設定'!$H$61+AF112*'損益分岐設定'!$H$64</x:f>
        <x:v>1666.6666666666667</x:v>
      </x:c>
      <x:c r="AM112" s="1" t="n">
        <x:f>MAX(1,ROUNDUP('損益分岐設定'!C37*AJ112/('損益分岐設定'!$B$23*'損益分岐設定'!$B$24*3600*'損益分岐設定'!$B$25),0))</x:f>
        <x:v>1</x:v>
      </x:c>
      <x:c r="AN112" s="1" t="n">
        <x:f>MAX(2,ROUNDUP('損益分岐設定'!C38*AJ112/('損益分岐設定'!$B$23*'損益分岐設定'!$B$24*3600*'損益分岐設定'!$B$25),0))</x:f>
        <x:v>4</x:v>
      </x:c>
      <x:c r="AO112" s="1" t="n">
        <x:f>MAX(2,ROUNDUP('損益分岐設定'!C39*AJ112/('損益分岐設定'!$B$23*'損益分岐設定'!$B$24*3600*'損益分岐設定'!$B$25),0))</x:f>
        <x:v>18</x:v>
      </x:c>
      <x:c r="AP112" s="1" t="n">
        <x:f>MAX(2,ROUNDUP('損益分岐設定'!C40*AJ112/('損益分岐設定'!$B$23*'損益分岐設定'!$B$24*3600*'損益分岐設定'!$B$25),0))</x:f>
        <x:v>36</x:v>
      </x:c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 ht="23" customHeight="1">
      <x:c r="A113" s="1" t="str">
        <x:v>Run</x:v>
      </x:c>
      <x:c r="B113" s="1" t="str">
        <x:v>Business Plus</x:v>
      </x:c>
      <x:c r="C113" s="1" t="str">
        <x:v>高位</x:v>
      </x:c>
      <x:c r="D113" s="21" t="n">
        <x:v>0.5</x:v>
      </x:c>
      <x:c r="E113" s="1" t="n">
        <x:v>0</x:v>
      </x:c>
      <x:c r="F113" s="7" t="n">
        <x:f>AD113*'損益分岐設定'!$B$5+AE113*'損益分岐設定'!$B$6+AF113*'損益分岐設定'!$B$7</x:f>
        <x:v>8000</x:v>
      </x:c>
      <x:c r="G113" s="7" t="n">
        <x:f>AG113+(AH113+AI113)*('損益分岐設定'!$B$29+0.5*'損益分岐設定'!$B$30)+AK113*'損益分岐設定'!$B$32+(AJ113+AK113/'損益分岐設定'!$B$28*'損益分岐設定'!$B$26)*('損益分岐設定'!$B$29+'損益分岐設定'!$B$31*'損益分岐設定'!$B$30)</x:f>
        <x:v>24825.08311367952</x:v>
      </x:c>
      <x:c r="H113" s="7" t="n">
        <x:f>AL113*E113</x:f>
        <x:v>0</x:v>
      </x:c>
      <x:c r="I113" s="7" t="n">
        <x:f>F113*(1-D113-'損益分岐設定'!$B$10)-G113-H113</x:f>
        <x:v>-21113.08311367952</x:v>
      </x:c>
      <x:c r="J113" s="1" t="str">
        <x:f>IF(MIN(V113:Y113)&gt;1000,"範囲内なし",MIN(V113:Y113))</x:f>
        <x:v>範囲内なし</x:v>
      </x:c>
      <x:c r="K113" s="1" t="str">
        <x:f>IF(MAX(Z113:AC113)&gt;=1000,"範囲内なし",MAX(1,MAX(Z113:AC113)+1))</x:f>
        <x:v>範囲内なし</x:v>
      </x:c>
      <x:c r="L113" s="7" t="n">
        <x:f>10*I113-R113</x:f>
        <x:v>-233141.765763103</x:v>
      </x:c>
      <x:c r="M113" s="7" t="n">
        <x:f>30*I113-S113</x:f>
        <x:v>-659903.4280366934</x:v>
      </x:c>
      <x:c r="N113" s="7" t="n">
        <x:f>50*I113-S113</x:f>
        <x:v>-1082165.090310284</x:v>
      </x:c>
      <x:c r="O113" s="7" t="n">
        <x:f>100*I113-S113</x:f>
        <x:v>-2137819.24599426</x:v>
      </x:c>
      <x:c r="P113" s="7" t="n">
        <x:f>300*I113-T113</x:f>
        <x:v>-6382435.868730163</x:v>
      </x:c>
      <x:c r="Q113" s="7" t="n">
        <x:f>1000*I113-U113</x:f>
        <x:v>-21191594.048305828</x:v>
      </x:c>
      <x:c r="R11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113*'損益分岐設定'!$B$12*'損益分岐設定'!$B$11</x:f>
        <x:v>22010.934626307797</x:v>
      </x:c>
      <x:c r="S11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113*'損益分岐設定'!$B$12*'損益分岐設定'!$B$11</x:f>
        <x:v>26510.934626307797</x:v>
      </x:c>
      <x:c r="T11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113*'損益分岐設定'!$B$12*'損益分岐設定'!$B$11</x:f>
        <x:v>48510.9346263078</x:v>
      </x:c>
      <x:c r="U11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113*'損益分岐設定'!$B$12*'損益分岐設定'!$B$11</x:f>
        <x:v>78510.9346263078</x:v>
      </x:c>
      <x:c r="V113" s="1" t="n">
        <x:f>IF(I113&lt;=0,1001,IF(MAX('損益分岐設定'!B37,ROUNDUP(R113/I113,0))&lt;='損益分岐設定'!C37,MAX('損益分岐設定'!B37,ROUNDUP(R113/I113,0)),1001))</x:f>
        <x:v>1001</x:v>
      </x:c>
      <x:c r="W113" s="1" t="n">
        <x:f>IF(I113&lt;=0,1001,IF(MAX('損益分岐設定'!B38,ROUNDUP(S113/I113,0))&lt;='損益分岐設定'!C38,MAX('損益分岐設定'!B38,ROUNDUP(S113/I113,0)),1001))</x:f>
        <x:v>1001</x:v>
      </x:c>
      <x:c r="X113" s="1" t="n">
        <x:f>IF(I113&lt;=0,1001,IF(MAX('損益分岐設定'!B39,ROUNDUP(T113/I113,0))&lt;='損益分岐設定'!C39,MAX('損益分岐設定'!B39,ROUNDUP(T113/I113,0)),1001))</x:f>
        <x:v>1001</x:v>
      </x:c>
      <x:c r="Y113" s="1" t="n">
        <x:f>IF(I113&lt;=0,1001,IF(MAX('損益分岐設定'!B40,ROUNDUP(U113/I113,0))&lt;='損益分岐設定'!C40,MAX('損益分岐設定'!B40,ROUNDUP(U113/I113,0)),1001))</x:f>
        <x:v>1001</x:v>
      </x:c>
      <x:c r="Z113" s="1" t="n">
        <x:f>IF(I113&lt;=0,'損益分岐設定'!C37,IF('損益分岐設定'!C37*I113-R113&lt;0,'損益分岐設定'!C37,IF('損益分岐設定'!B37*I113-R113&gt;=0,0,ROUNDUP(R113/I113,0)-1)))</x:f>
        <x:v>10</x:v>
      </x:c>
      <x:c r="AA113" s="1" t="n">
        <x:f>IF(I113&lt;=0,'損益分岐設定'!C38,IF('損益分岐設定'!C38*I113-S113&lt;0,'損益分岐設定'!C38,IF('損益分岐設定'!B38*I113-S113&gt;=0,0,ROUNDUP(S113/I113,0)-1)))</x:f>
        <x:v>100</x:v>
      </x:c>
      <x:c r="AB113" s="1" t="n">
        <x:f>IF(I113&lt;=0,'損益分岐設定'!C39,IF('損益分岐設定'!C39*I113-T113&lt;0,'損益分岐設定'!C39,IF('損益分岐設定'!B39*I113-T113&gt;=0,0,ROUNDUP(T113/I113,0)-1)))</x:f>
        <x:v>500</x:v>
      </x:c>
      <x:c r="AC113" s="1" t="n">
        <x:f>IF(I113&lt;=0,'損益分岐設定'!C40,IF('損益分岐設定'!C40*I113-U113&lt;0,'損益分岐設定'!C40,IF('損益分岐設定'!B40*I113-U113&gt;=0,0,ROUNDUP(U113/I113,0)-1)))</x:f>
        <x:v>1000</x:v>
      </x:c>
      <x:c r="AD113" s="1" t="n">
        <x:v>0</x:v>
      </x:c>
      <x:c r="AE113" s="1" t="n">
        <x:v>0</x:v>
      </x:c>
      <x:c r="AF113" s="1" t="n">
        <x:v>1</x:v>
      </x:c>
      <x:c r="AG113" s="1" t="n">
        <x:f>AD113*'損益分岐設定'!$C$58+AE113*'損益分岐設定'!$C$61+AF113*'損益分岐設定'!$C$64</x:f>
        <x:v>24711.76447753906</x:v>
      </x:c>
      <x:c r="AH113" s="1" t="n">
        <x:f>AD113*'損益分岐設定'!$D$58+AE113*'損益分岐設定'!$D$61+AF113*'損益分岐設定'!$D$64</x:f>
        <x:v>1200</x:v>
      </x:c>
      <x:c r="AI113" s="1" t="n">
        <x:f>AD113*'損益分岐設定'!$E$58+AE113*'損益分岐設定'!$E$61+AF113*'損益分岐設定'!$E$64</x:f>
        <x:v>1600</x:v>
      </x:c>
      <x:c r="AJ113" s="1" t="n">
        <x:f>(AD113*'損益分岐設定'!$F$58+AE113*'損益分岐設定'!$F$61+AF113*'損益分岐設定'!$F$64*1)*'損益分岐設定'!$B$22</x:f>
        <x:v>18000</x:v>
      </x:c>
      <x:c r="AK113" s="1" t="n">
        <x:f>AD113*'損益分岐設定'!$G$58+AE113*'損益分岐設定'!$G$61+AF113*'損益分岐設定'!$G$64</x:f>
        <x:v>12000</x:v>
      </x:c>
      <x:c r="AL113" s="1" t="n">
        <x:f>AD113*'損益分岐設定'!$H$58+AE113*'損益分岐設定'!$H$61+AF113*'損益分岐設定'!$H$64</x:f>
        <x:v>1666.6666666666667</x:v>
      </x:c>
      <x:c r="AM113" s="1" t="n">
        <x:f>MAX(1,ROUNDUP('損益分岐設定'!C37*AJ113/('損益分岐設定'!$B$23*'損益分岐設定'!$B$24*3600*'損益分岐設定'!$B$25),0))</x:f>
        <x:v>1</x:v>
      </x:c>
      <x:c r="AN113" s="1" t="n">
        <x:f>MAX(2,ROUNDUP('損益分岐設定'!C38*AJ113/('損益分岐設定'!$B$23*'損益分岐設定'!$B$24*3600*'損益分岐設定'!$B$25),0))</x:f>
        <x:v>4</x:v>
      </x:c>
      <x:c r="AO113" s="1" t="n">
        <x:f>MAX(2,ROUNDUP('損益分岐設定'!C39*AJ113/('損益分岐設定'!$B$23*'損益分岐設定'!$B$24*3600*'損益分岐設定'!$B$25),0))</x:f>
        <x:v>18</x:v>
      </x:c>
      <x:c r="AP113" s="1" t="n">
        <x:f>MAX(2,ROUNDUP('損益分岐設定'!C40*AJ113/('損益分岐設定'!$B$23*'損益分岐設定'!$B$24*3600*'損益分岐設定'!$B$25),0))</x:f>
        <x:v>36</x:v>
      </x:c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 ht="23" customHeight="1">
      <x:c r="A114" s="1" t="str">
        <x:v>Run</x:v>
      </x:c>
      <x:c r="B114" s="1" t="str">
        <x:v>Business Plus</x:v>
      </x:c>
      <x:c r="C114" s="1" t="str">
        <x:v>高位</x:v>
      </x:c>
      <x:c r="D114" s="21" t="n">
        <x:v>0.5</x:v>
      </x:c>
      <x:c r="E114" s="1" t="n">
        <x:v>1</x:v>
      </x:c>
      <x:c r="F114" s="7" t="n">
        <x:f>AD114*'損益分岐設定'!$B$5+AE114*'損益分岐設定'!$B$6+AF114*'損益分岐設定'!$B$7</x:f>
        <x:v>8000</x:v>
      </x:c>
      <x:c r="G114" s="7" t="n">
        <x:f>AG114+(AH114+AI114)*('損益分岐設定'!$B$29+0.5*'損益分岐設定'!$B$30)+AK114*'損益分岐設定'!$B$32+(AJ114+AK114/'損益分岐設定'!$B$28*'損益分岐設定'!$B$26)*('損益分岐設定'!$B$29+'損益分岐設定'!$B$31*'損益分岐設定'!$B$30)</x:f>
        <x:v>24825.08311367952</x:v>
      </x:c>
      <x:c r="H114" s="7" t="n">
        <x:f>AL114*E114</x:f>
        <x:v>1666.6666666666667</x:v>
      </x:c>
      <x:c r="I114" s="7" t="n">
        <x:f>F114*(1-D114-'損益分岐設定'!$B$10)-G114-H114</x:f>
        <x:v>-22779.74978034619</x:v>
      </x:c>
      <x:c r="J114" s="1" t="str">
        <x:f>IF(MIN(V114:Y114)&gt;1000,"範囲内なし",MIN(V114:Y114))</x:f>
        <x:v>範囲内なし</x:v>
      </x:c>
      <x:c r="K114" s="1" t="str">
        <x:f>IF(MAX(Z114:AC114)&gt;=1000,"範囲内なし",MAX(1,MAX(Z114:AC114)+1))</x:f>
        <x:v>範囲内なし</x:v>
      </x:c>
      <x:c r="L114" s="7" t="n">
        <x:f>10*I114-R114</x:f>
        <x:v>-257808.4324297697</x:v>
      </x:c>
      <x:c r="M114" s="7" t="n">
        <x:f>30*I114-S114</x:f>
        <x:v>-717903.4280366935</x:v>
      </x:c>
      <x:c r="N114" s="7" t="n">
        <x:f>50*I114-S114</x:f>
        <x:v>-1173498.4236436172</x:v>
      </x:c>
      <x:c r="O114" s="7" t="n">
        <x:f>100*I114-S114</x:f>
        <x:v>-2312485.9126609266</x:v>
      </x:c>
      <x:c r="P114" s="7" t="n">
        <x:f>300*I114-T114</x:f>
        <x:v>-6890435.868730164</x:v>
      </x:c>
      <x:c r="Q114" s="7" t="n">
        <x:f>1000*I114-U114</x:f>
        <x:v>-22866260.714972496</x:v>
      </x:c>
      <x:c r="R11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114*'損益分岐設定'!$B$12*'損益分岐設定'!$B$11</x:f>
        <x:v>30010.934626307797</x:v>
      </x:c>
      <x:c r="S11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114*'損益分岐設定'!$B$12*'損益分岐設定'!$B$11</x:f>
        <x:v>34510.9346263078</x:v>
      </x:c>
      <x:c r="T11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114*'損益分岐設定'!$B$12*'損益分岐設定'!$B$11</x:f>
        <x:v>56510.9346263078</x:v>
      </x:c>
      <x:c r="U11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114*'損益分岐設定'!$B$12*'損益分岐設定'!$B$11</x:f>
        <x:v>86510.9346263078</x:v>
      </x:c>
      <x:c r="V114" s="1" t="n">
        <x:f>IF(I114&lt;=0,1001,IF(MAX('損益分岐設定'!B37,ROUNDUP(R114/I114,0))&lt;='損益分岐設定'!C37,MAX('損益分岐設定'!B37,ROUNDUP(R114/I114,0)),1001))</x:f>
        <x:v>1001</x:v>
      </x:c>
      <x:c r="W114" s="1" t="n">
        <x:f>IF(I114&lt;=0,1001,IF(MAX('損益分岐設定'!B38,ROUNDUP(S114/I114,0))&lt;='損益分岐設定'!C38,MAX('損益分岐設定'!B38,ROUNDUP(S114/I114,0)),1001))</x:f>
        <x:v>1001</x:v>
      </x:c>
      <x:c r="X114" s="1" t="n">
        <x:f>IF(I114&lt;=0,1001,IF(MAX('損益分岐設定'!B39,ROUNDUP(T114/I114,0))&lt;='損益分岐設定'!C39,MAX('損益分岐設定'!B39,ROUNDUP(T114/I114,0)),1001))</x:f>
        <x:v>1001</x:v>
      </x:c>
      <x:c r="Y114" s="1" t="n">
        <x:f>IF(I114&lt;=0,1001,IF(MAX('損益分岐設定'!B40,ROUNDUP(U114/I114,0))&lt;='損益分岐設定'!C40,MAX('損益分岐設定'!B40,ROUNDUP(U114/I114,0)),1001))</x:f>
        <x:v>1001</x:v>
      </x:c>
      <x:c r="Z114" s="1" t="n">
        <x:f>IF(I114&lt;=0,'損益分岐設定'!C37,IF('損益分岐設定'!C37*I114-R114&lt;0,'損益分岐設定'!C37,IF('損益分岐設定'!B37*I114-R114&gt;=0,0,ROUNDUP(R114/I114,0)-1)))</x:f>
        <x:v>10</x:v>
      </x:c>
      <x:c r="AA114" s="1" t="n">
        <x:f>IF(I114&lt;=0,'損益分岐設定'!C38,IF('損益分岐設定'!C38*I114-S114&lt;0,'損益分岐設定'!C38,IF('損益分岐設定'!B38*I114-S114&gt;=0,0,ROUNDUP(S114/I114,0)-1)))</x:f>
        <x:v>100</x:v>
      </x:c>
      <x:c r="AB114" s="1" t="n">
        <x:f>IF(I114&lt;=0,'損益分岐設定'!C39,IF('損益分岐設定'!C39*I114-T114&lt;0,'損益分岐設定'!C39,IF('損益分岐設定'!B39*I114-T114&gt;=0,0,ROUNDUP(T114/I114,0)-1)))</x:f>
        <x:v>500</x:v>
      </x:c>
      <x:c r="AC114" s="1" t="n">
        <x:f>IF(I114&lt;=0,'損益分岐設定'!C40,IF('損益分岐設定'!C40*I114-U114&lt;0,'損益分岐設定'!C40,IF('損益分岐設定'!B40*I114-U114&gt;=0,0,ROUNDUP(U114/I114,0)-1)))</x:f>
        <x:v>1000</x:v>
      </x:c>
      <x:c r="AD114" s="1" t="n">
        <x:v>0</x:v>
      </x:c>
      <x:c r="AE114" s="1" t="n">
        <x:v>0</x:v>
      </x:c>
      <x:c r="AF114" s="1" t="n">
        <x:v>1</x:v>
      </x:c>
      <x:c r="AG114" s="1" t="n">
        <x:f>AD114*'損益分岐設定'!$C$58+AE114*'損益分岐設定'!$C$61+AF114*'損益分岐設定'!$C$64</x:f>
        <x:v>24711.76447753906</x:v>
      </x:c>
      <x:c r="AH114" s="1" t="n">
        <x:f>AD114*'損益分岐設定'!$D$58+AE114*'損益分岐設定'!$D$61+AF114*'損益分岐設定'!$D$64</x:f>
        <x:v>1200</x:v>
      </x:c>
      <x:c r="AI114" s="1" t="n">
        <x:f>AD114*'損益分岐設定'!$E$58+AE114*'損益分岐設定'!$E$61+AF114*'損益分岐設定'!$E$64</x:f>
        <x:v>1600</x:v>
      </x:c>
      <x:c r="AJ114" s="1" t="n">
        <x:f>(AD114*'損益分岐設定'!$F$58+AE114*'損益分岐設定'!$F$61+AF114*'損益分岐設定'!$F$64*1)*'損益分岐設定'!$B$22</x:f>
        <x:v>18000</x:v>
      </x:c>
      <x:c r="AK114" s="1" t="n">
        <x:f>AD114*'損益分岐設定'!$G$58+AE114*'損益分岐設定'!$G$61+AF114*'損益分岐設定'!$G$64</x:f>
        <x:v>12000</x:v>
      </x:c>
      <x:c r="AL114" s="1" t="n">
        <x:f>AD114*'損益分岐設定'!$H$58+AE114*'損益分岐設定'!$H$61+AF114*'損益分岐設定'!$H$64</x:f>
        <x:v>1666.6666666666667</x:v>
      </x:c>
      <x:c r="AM114" s="1" t="n">
        <x:f>MAX(1,ROUNDUP('損益分岐設定'!C37*AJ114/('損益分岐設定'!$B$23*'損益分岐設定'!$B$24*3600*'損益分岐設定'!$B$25),0))</x:f>
        <x:v>1</x:v>
      </x:c>
      <x:c r="AN114" s="1" t="n">
        <x:f>MAX(2,ROUNDUP('損益分岐設定'!C38*AJ114/('損益分岐設定'!$B$23*'損益分岐設定'!$B$24*3600*'損益分岐設定'!$B$25),0))</x:f>
        <x:v>4</x:v>
      </x:c>
      <x:c r="AO114" s="1" t="n">
        <x:f>MAX(2,ROUNDUP('損益分岐設定'!C39*AJ114/('損益分岐設定'!$B$23*'損益分岐設定'!$B$24*3600*'損益分岐設定'!$B$25),0))</x:f>
        <x:v>18</x:v>
      </x:c>
      <x:c r="AP114" s="1" t="n">
        <x:f>MAX(2,ROUNDUP('損益分岐設定'!C40*AJ114/('損益分岐設定'!$B$23*'損益分岐設定'!$B$24*3600*'損益分岐設定'!$B$25),0))</x:f>
        <x:v>36</x:v>
      </x:c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 ht="23" customHeight="1">
      <x:c r="A115" s="1" t="str">
        <x:v>Run</x:v>
      </x:c>
      <x:c r="B115" s="1" t="str">
        <x:v>Business Plus</x:v>
      </x:c>
      <x:c r="C115" s="1" t="str">
        <x:v>標準+高位混在</x:v>
      </x:c>
      <x:c r="D115" s="21" t="n">
        <x:v>0</x:v>
      </x:c>
      <x:c r="E115" s="1" t="n">
        <x:v>0</x:v>
      </x:c>
      <x:c r="F115" s="7" t="n">
        <x:f>AD115*'損益分岐設定'!$B$5+AE115*'損益分岐設定'!$B$6+AF115*'損益分岐設定'!$B$7</x:f>
        <x:v>8000</x:v>
      </x:c>
      <x:c r="G115" s="7" t="n">
        <x:f>AG115+(AH115+AI115)*('損益分岐設定'!$B$29+0.5*'損益分岐設定'!$B$30)+AK115*'損益分岐設定'!$B$32+(AJ115+AK115/'損益分岐設定'!$B$28*'損益分岐設定'!$B$26)*('損益分岐設定'!$B$29+'損益分岐設定'!$B$31*'損益分岐設定'!$B$30)</x:f>
        <x:v>5795.857601900387</x:v>
      </x:c>
      <x:c r="H115" s="7" t="n">
        <x:f>AL115*E115</x:f>
        <x:v>0</x:v>
      </x:c>
      <x:c r="I115" s="7" t="n">
        <x:f>F115*(1-D115-'損益分岐設定'!$B$10)-G115-H115</x:f>
        <x:v>1916.1423980996133</x:v>
      </x:c>
      <x:c r="J115" s="1" t="n">
        <x:f>IF(MIN(V115:Y115)&gt;1000,"範囲内なし",MIN(V115:Y115))</x:f>
        <x:v>14</x:v>
      </x:c>
      <x:c r="K115" s="1" t="n">
        <x:f>IF(MAX(Z115:AC115)&gt;=1000,"範囲内なし",MAX(1,MAX(Z115:AC115)+1))</x:f>
        <x:v>14</x:v>
      </x:c>
      <x:c r="L115" s="7" t="n">
        <x:f>10*I115-R115</x:f>
        <x:v>-2849.510645311664</x:v>
      </x:c>
      <x:c r="M115" s="7" t="n">
        <x:f>30*I115-S115</x:f>
        <x:v>30973.337316680605</x:v>
      </x:c>
      <x:c r="N115" s="7" t="n">
        <x:f>50*I115-S115</x:f>
        <x:v>69296.18527867287</x:v>
      </x:c>
      <x:c r="O115" s="7" t="n">
        <x:f>100*I115-S115</x:f>
        <x:v>165103.30518365352</x:v>
      </x:c>
      <x:c r="P115" s="7" t="n">
        <x:f>300*I115-T115</x:f>
        <x:v>526331.7848035762</x:v>
      </x:c>
      <x:c r="Q115" s="7" t="n">
        <x:f>1000*I115-U115</x:f>
        <x:v>1837631.4634733056</x:v>
      </x:c>
      <x:c r="R11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115*'損益分岐設定'!$B$12*'損益分岐設定'!$B$11</x:f>
        <x:v>22010.934626307797</x:v>
      </x:c>
      <x:c r="S11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115*'損益分岐設定'!$B$12*'損益分岐設定'!$B$11</x:f>
        <x:v>26510.934626307797</x:v>
      </x:c>
      <x:c r="T11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115*'損益分岐設定'!$B$12*'損益分岐設定'!$B$11</x:f>
        <x:v>48510.9346263078</x:v>
      </x:c>
      <x:c r="U11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115*'損益分岐設定'!$B$12*'損益分岐設定'!$B$11</x:f>
        <x:v>78510.9346263078</x:v>
      </x:c>
      <x:c r="V115" s="1" t="n">
        <x:f>IF(I115&lt;=0,1001,IF(MAX('損益分岐設定'!B37,ROUNDUP(R115/I115,0))&lt;='損益分岐設定'!C37,MAX('損益分岐設定'!B37,ROUNDUP(R115/I115,0)),1001))</x:f>
        <x:v>1001</x:v>
      </x:c>
      <x:c r="W115" s="1" t="n">
        <x:f>IF(I115&lt;=0,1001,IF(MAX('損益分岐設定'!B38,ROUNDUP(S115/I115,0))&lt;='損益分岐設定'!C38,MAX('損益分岐設定'!B38,ROUNDUP(S115/I115,0)),1001))</x:f>
        <x:v>14</x:v>
      </x:c>
      <x:c r="X115" s="1" t="n">
        <x:f>IF(I115&lt;=0,1001,IF(MAX('損益分岐設定'!B39,ROUNDUP(T115/I115,0))&lt;='損益分岐設定'!C39,MAX('損益分岐設定'!B39,ROUNDUP(T115/I115,0)),1001))</x:f>
        <x:v>101</x:v>
      </x:c>
      <x:c r="Y115" s="1" t="n">
        <x:f>IF(I115&lt;=0,1001,IF(MAX('損益分岐設定'!B40,ROUNDUP(U115/I115,0))&lt;='損益分岐設定'!C40,MAX('損益分岐設定'!B40,ROUNDUP(U115/I115,0)),1001))</x:f>
        <x:v>501</x:v>
      </x:c>
      <x:c r="Z115" s="1" t="n">
        <x:f>IF(I115&lt;=0,'損益分岐設定'!C37,IF('損益分岐設定'!C37*I115-R115&lt;0,'損益分岐設定'!C37,IF('損益分岐設定'!B37*I115-R115&gt;=0,0,ROUNDUP(R115/I115,0)-1)))</x:f>
        <x:v>10</x:v>
      </x:c>
      <x:c r="AA115" s="1" t="n">
        <x:f>IF(I115&lt;=0,'損益分岐設定'!C38,IF('損益分岐設定'!C38*I115-S115&lt;0,'損益分岐設定'!C38,IF('損益分岐設定'!B38*I115-S115&gt;=0,0,ROUNDUP(S115/I115,0)-1)))</x:f>
        <x:v>13</x:v>
      </x:c>
      <x:c r="AB115" s="1" t="n">
        <x:f>IF(I115&lt;=0,'損益分岐設定'!C39,IF('損益分岐設定'!C39*I115-T115&lt;0,'損益分岐設定'!C39,IF('損益分岐設定'!B39*I115-T115&gt;=0,0,ROUNDUP(T115/I115,0)-1)))</x:f>
        <x:v>0</x:v>
      </x:c>
      <x:c r="AC115" s="1" t="n">
        <x:f>IF(I115&lt;=0,'損益分岐設定'!C40,IF('損益分岐設定'!C40*I115-U115&lt;0,'損益分岐設定'!C40,IF('損益分岐設定'!B40*I115-U115&gt;=0,0,ROUNDUP(U115/I115,0)-1)))</x:f>
        <x:v>0</x:v>
      </x:c>
      <x:c r="AD115" s="1" t="n">
        <x:v>0</x:v>
      </x:c>
      <x:c r="AE115" s="1" t="n">
        <x:v>0</x:v>
      </x:c>
      <x:c r="AF115" s="1" t="n">
        <x:v>1</x:v>
      </x:c>
      <x:c r="AG115" s="1" t="n">
        <x:f>AD115*('損益分岐設定'!$C$57*(1-'損益分岐設定'!$B$51)+'損益分岐設定'!$C$58*'損益分岐設定'!$B$51)+AE115*('損益分岐設定'!$C$60*(1-'損益分岐設定'!$B$51)+'損益分岐設定'!$C$61*'損益分岐設定'!$B$51)+AF115*('損益分岐設定'!$C$63*(1-'損益分岐設定'!$B$51)+'損益分岐設定'!$C$64*'損益分岐設定'!$B$51)</x:f>
        <x:v>5765.522041015625</x:v>
      </x:c>
      <x:c r="AH115" s="1" t="n">
        <x:f>AD115*('損益分岐設定'!$D$57*(1-'損益分岐設定'!$B$51)+'損益分岐設定'!$D$58*'損益分岐設定'!$B$51)+AE115*('損益分岐設定'!$D$60*(1-'損益分岐設定'!$B$51)+'損益分岐設定'!$D$61*'損益分岐設定'!$B$51)+AF115*('損益分岐設定'!$D$63*(1-'損益分岐設定'!$B$51)+'損益分岐設定'!$D$64*'損益分岐設定'!$B$51)</x:f>
        <x:v>480</x:v>
      </x:c>
      <x:c r="AI115" s="1" t="n">
        <x:f>AD115*('損益分岐設定'!$E$57*(1-'損益分岐設定'!$B$51)+'損益分岐設定'!$E$58*'損益分岐設定'!$B$51)+AE115*('損益分岐設定'!$E$60*(1-'損益分岐設定'!$B$51)+'損益分岐設定'!$E$61*'損益分岐設定'!$B$51)+AF115*('損益分岐設定'!$E$63*(1-'損益分岐設定'!$B$51)+'損益分岐設定'!$E$64*'損益分岐設定'!$B$51)</x:f>
        <x:v>560</x:v>
      </x:c>
      <x:c r="AJ115" s="1" t="n">
        <x:f>(AD115*('損益分岐設定'!$F$57*(1-'損益分岐設定'!$B$51)+'損益分岐設定'!$F$58*'損益分岐設定'!$B$51)+AE115*('損益分岐設定'!$F$60*(1-'損益分岐設定'!$B$51)+'損益分岐設定'!$F$61*'損益分岐設定'!$B$51)+AF115*('損益分岐設定'!$F$63*(1-'損益分岐設定'!$B$51)+'損益分岐設定'!$F$64*'損益分岐設定'!$B$51)*1)*'損益分岐設定'!$B$22</x:f>
        <x:v>4560</x:v>
      </x:c>
      <x:c r="AK115" s="1" t="n">
        <x:f>AD115*('損益分岐設定'!$G$57*(1-'損益分岐設定'!$B$51)+'損益分岐設定'!$G$58*'損益分岐設定'!$B$51)+AE115*('損益分岐設定'!$G$60*(1-'損益分岐設定'!$B$51)+'損益分岐設定'!$G$61*'損益分岐設定'!$B$51)+AF115*('損益分岐設定'!$G$63*(1-'損益分岐設定'!$B$51)+'損益分岐設定'!$G$64*'損益分岐設定'!$B$51)</x:f>
        <x:v>4000</x:v>
      </x:c>
      <x:c r="AL115" s="1" t="n">
        <x:f>AD115*('損益分岐設定'!$H$57*(1-'損益分岐設定'!$B$51)+'損益分岐設定'!$H$58*'損益分岐設定'!$B$51)+AE115*('損益分岐設定'!$H$60*(1-'損益分岐設定'!$B$51)+'損益分岐設定'!$H$61*'損益分岐設定'!$B$51)+AF115*('損益分岐設定'!$H$63*(1-'損益分岐設定'!$B$51)+'損益分岐設定'!$H$64*'損益分岐設定'!$B$51)</x:f>
        <x:v>1026.666666666667</x:v>
      </x:c>
      <x:c r="AM115" s="1" t="n">
        <x:f>MAX(1,ROUNDUP('損益分岐設定'!C37*AJ115/('損益分岐設定'!$B$23*'損益分岐設定'!$B$24*3600*'損益分岐設定'!$B$25),0))</x:f>
        <x:v>1</x:v>
      </x:c>
      <x:c r="AN115" s="1" t="n">
        <x:f>MAX(2,ROUNDUP('損益分岐設定'!C38*AJ115/('損益分岐設定'!$B$23*'損益分岐設定'!$B$24*3600*'損益分岐設定'!$B$25),0))</x:f>
        <x:v>2</x:v>
      </x:c>
      <x:c r="AO115" s="1" t="n">
        <x:f>MAX(2,ROUNDUP('損益分岐設定'!C39*AJ115/('損益分岐設定'!$B$23*'損益分岐設定'!$B$24*3600*'損益分岐設定'!$B$25),0))</x:f>
        <x:v>5</x:v>
      </x:c>
      <x:c r="AP115" s="1" t="n">
        <x:f>MAX(2,ROUNDUP('損益分岐設定'!C40*AJ115/('損益分岐設定'!$B$23*'損益分岐設定'!$B$24*3600*'損益分岐設定'!$B$25),0))</x:f>
        <x:v>9</x:v>
      </x:c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 ht="23" customHeight="1">
      <x:c r="A116" s="1" t="str">
        <x:v>Run</x:v>
      </x:c>
      <x:c r="B116" s="1" t="str">
        <x:v>Business Plus</x:v>
      </x:c>
      <x:c r="C116" s="1" t="str">
        <x:v>標準+高位混在</x:v>
      </x:c>
      <x:c r="D116" s="21" t="n">
        <x:v>0</x:v>
      </x:c>
      <x:c r="E116" s="1" t="n">
        <x:v>1</x:v>
      </x:c>
      <x:c r="F116" s="7" t="n">
        <x:f>AD116*'損益分岐設定'!$B$5+AE116*'損益分岐設定'!$B$6+AF116*'損益分岐設定'!$B$7</x:f>
        <x:v>8000</x:v>
      </x:c>
      <x:c r="G116" s="7" t="n">
        <x:f>AG116+(AH116+AI116)*('損益分岐設定'!$B$29+0.5*'損益分岐設定'!$B$30)+AK116*'損益分岐設定'!$B$32+(AJ116+AK116/'損益分岐設定'!$B$28*'損益分岐設定'!$B$26)*('損益分岐設定'!$B$29+'損益分岐設定'!$B$31*'損益分岐設定'!$B$30)</x:f>
        <x:v>5795.857601900387</x:v>
      </x:c>
      <x:c r="H116" s="7" t="n">
        <x:f>AL116*E116</x:f>
        <x:v>1026.666666666667</x:v>
      </x:c>
      <x:c r="I116" s="7" t="n">
        <x:f>F116*(1-D116-'損益分岐設定'!$B$10)-G116-H116</x:f>
        <x:v>889.4757314329463</x:v>
      </x:c>
      <x:c r="J116" s="1" t="n">
        <x:f>IF(MIN(V116:Y116)&gt;1000,"範囲内なし",MIN(V116:Y116))</x:f>
        <x:v>39</x:v>
      </x:c>
      <x:c r="K116" s="1" t="n">
        <x:f>IF(MAX(Z116:AC116)&gt;=1000,"範囲内なし",MAX(1,MAX(Z116:AC116)+1))</x:f>
        <x:v>39</x:v>
      </x:c>
      <x:c r="L116" s="7" t="n">
        <x:f>10*I116-R116</x:f>
        <x:v>-21116.177311978332</x:v>
      </x:c>
      <x:c r="M116" s="7" t="n">
        <x:f>30*I116-S116</x:f>
        <x:v>-7826.66268331941</x:v>
      </x:c>
      <x:c r="N116" s="7" t="n">
        <x:f>50*I116-S116</x:f>
        <x:v>9962.85194533952</x:v>
      </x:c>
      <x:c r="O116" s="7" t="n">
        <x:f>100*I116-S116</x:f>
        <x:v>54436.63851698684</x:v>
      </x:c>
      <x:c r="P116" s="7" t="n">
        <x:f>300*I116-T116</x:f>
        <x:v>210331.78480357607</x:v>
      </x:c>
      <x:c r="Q116" s="7" t="n">
        <x:f>1000*I116-U116</x:f>
        <x:v>802964.7968066385</x:v>
      </x:c>
      <x:c r="R11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116*'損益分岐設定'!$B$12*'損益分岐設定'!$B$11</x:f>
        <x:v>30010.934626307797</x:v>
      </x:c>
      <x:c r="S11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116*'損益分岐設定'!$B$12*'損益分岐設定'!$B$11</x:f>
        <x:v>34510.9346263078</x:v>
      </x:c>
      <x:c r="T11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116*'損益分岐設定'!$B$12*'損益分岐設定'!$B$11</x:f>
        <x:v>56510.9346263078</x:v>
      </x:c>
      <x:c r="U11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116*'損益分岐設定'!$B$12*'損益分岐設定'!$B$11</x:f>
        <x:v>86510.9346263078</x:v>
      </x:c>
      <x:c r="V116" s="1" t="n">
        <x:f>IF(I116&lt;=0,1001,IF(MAX('損益分岐設定'!B37,ROUNDUP(R116/I116,0))&lt;='損益分岐設定'!C37,MAX('損益分岐設定'!B37,ROUNDUP(R116/I116,0)),1001))</x:f>
        <x:v>1001</x:v>
      </x:c>
      <x:c r="W116" s="1" t="n">
        <x:f>IF(I116&lt;=0,1001,IF(MAX('損益分岐設定'!B38,ROUNDUP(S116/I116,0))&lt;='損益分岐設定'!C38,MAX('損益分岐設定'!B38,ROUNDUP(S116/I116,0)),1001))</x:f>
        <x:v>39</x:v>
      </x:c>
      <x:c r="X116" s="1" t="n">
        <x:f>IF(I116&lt;=0,1001,IF(MAX('損益分岐設定'!B39,ROUNDUP(T116/I116,0))&lt;='損益分岐設定'!C39,MAX('損益分岐設定'!B39,ROUNDUP(T116/I116,0)),1001))</x:f>
        <x:v>101</x:v>
      </x:c>
      <x:c r="Y116" s="1" t="n">
        <x:f>IF(I116&lt;=0,1001,IF(MAX('損益分岐設定'!B40,ROUNDUP(U116/I116,0))&lt;='損益分岐設定'!C40,MAX('損益分岐設定'!B40,ROUNDUP(U116/I116,0)),1001))</x:f>
        <x:v>501</x:v>
      </x:c>
      <x:c r="Z116" s="1" t="n">
        <x:f>IF(I116&lt;=0,'損益分岐設定'!C37,IF('損益分岐設定'!C37*I116-R116&lt;0,'損益分岐設定'!C37,IF('損益分岐設定'!B37*I116-R116&gt;=0,0,ROUNDUP(R116/I116,0)-1)))</x:f>
        <x:v>10</x:v>
      </x:c>
      <x:c r="AA116" s="1" t="n">
        <x:f>IF(I116&lt;=0,'損益分岐設定'!C38,IF('損益分岐設定'!C38*I116-S116&lt;0,'損益分岐設定'!C38,IF('損益分岐設定'!B38*I116-S116&gt;=0,0,ROUNDUP(S116/I116,0)-1)))</x:f>
        <x:v>38</x:v>
      </x:c>
      <x:c r="AB116" s="1" t="n">
        <x:f>IF(I116&lt;=0,'損益分岐設定'!C39,IF('損益分岐設定'!C39*I116-T116&lt;0,'損益分岐設定'!C39,IF('損益分岐設定'!B39*I116-T116&gt;=0,0,ROUNDUP(T116/I116,0)-1)))</x:f>
        <x:v>0</x:v>
      </x:c>
      <x:c r="AC116" s="1" t="n">
        <x:f>IF(I116&lt;=0,'損益分岐設定'!C40,IF('損益分岐設定'!C40*I116-U116&lt;0,'損益分岐設定'!C40,IF('損益分岐設定'!B40*I116-U116&gt;=0,0,ROUNDUP(U116/I116,0)-1)))</x:f>
        <x:v>0</x:v>
      </x:c>
      <x:c r="AD116" s="1" t="n">
        <x:v>0</x:v>
      </x:c>
      <x:c r="AE116" s="1" t="n">
        <x:v>0</x:v>
      </x:c>
      <x:c r="AF116" s="1" t="n">
        <x:v>1</x:v>
      </x:c>
      <x:c r="AG116" s="1" t="n">
        <x:f>AD116*('損益分岐設定'!$C$57*(1-'損益分岐設定'!$B$51)+'損益分岐設定'!$C$58*'損益分岐設定'!$B$51)+AE116*('損益分岐設定'!$C$60*(1-'損益分岐設定'!$B$51)+'損益分岐設定'!$C$61*'損益分岐設定'!$B$51)+AF116*('損益分岐設定'!$C$63*(1-'損益分岐設定'!$B$51)+'損益分岐設定'!$C$64*'損益分岐設定'!$B$51)</x:f>
        <x:v>5765.522041015625</x:v>
      </x:c>
      <x:c r="AH116" s="1" t="n">
        <x:f>AD116*('損益分岐設定'!$D$57*(1-'損益分岐設定'!$B$51)+'損益分岐設定'!$D$58*'損益分岐設定'!$B$51)+AE116*('損益分岐設定'!$D$60*(1-'損益分岐設定'!$B$51)+'損益分岐設定'!$D$61*'損益分岐設定'!$B$51)+AF116*('損益分岐設定'!$D$63*(1-'損益分岐設定'!$B$51)+'損益分岐設定'!$D$64*'損益分岐設定'!$B$51)</x:f>
        <x:v>480</x:v>
      </x:c>
      <x:c r="AI116" s="1" t="n">
        <x:f>AD116*('損益分岐設定'!$E$57*(1-'損益分岐設定'!$B$51)+'損益分岐設定'!$E$58*'損益分岐設定'!$B$51)+AE116*('損益分岐設定'!$E$60*(1-'損益分岐設定'!$B$51)+'損益分岐設定'!$E$61*'損益分岐設定'!$B$51)+AF116*('損益分岐設定'!$E$63*(1-'損益分岐設定'!$B$51)+'損益分岐設定'!$E$64*'損益分岐設定'!$B$51)</x:f>
        <x:v>560</x:v>
      </x:c>
      <x:c r="AJ116" s="1" t="n">
        <x:f>(AD116*('損益分岐設定'!$F$57*(1-'損益分岐設定'!$B$51)+'損益分岐設定'!$F$58*'損益分岐設定'!$B$51)+AE116*('損益分岐設定'!$F$60*(1-'損益分岐設定'!$B$51)+'損益分岐設定'!$F$61*'損益分岐設定'!$B$51)+AF116*('損益分岐設定'!$F$63*(1-'損益分岐設定'!$B$51)+'損益分岐設定'!$F$64*'損益分岐設定'!$B$51)*1)*'損益分岐設定'!$B$22</x:f>
        <x:v>4560</x:v>
      </x:c>
      <x:c r="AK116" s="1" t="n">
        <x:f>AD116*('損益分岐設定'!$G$57*(1-'損益分岐設定'!$B$51)+'損益分岐設定'!$G$58*'損益分岐設定'!$B$51)+AE116*('損益分岐設定'!$G$60*(1-'損益分岐設定'!$B$51)+'損益分岐設定'!$G$61*'損益分岐設定'!$B$51)+AF116*('損益分岐設定'!$G$63*(1-'損益分岐設定'!$B$51)+'損益分岐設定'!$G$64*'損益分岐設定'!$B$51)</x:f>
        <x:v>4000</x:v>
      </x:c>
      <x:c r="AL116" s="1" t="n">
        <x:f>AD116*('損益分岐設定'!$H$57*(1-'損益分岐設定'!$B$51)+'損益分岐設定'!$H$58*'損益分岐設定'!$B$51)+AE116*('損益分岐設定'!$H$60*(1-'損益分岐設定'!$B$51)+'損益分岐設定'!$H$61*'損益分岐設定'!$B$51)+AF116*('損益分岐設定'!$H$63*(1-'損益分岐設定'!$B$51)+'損益分岐設定'!$H$64*'損益分岐設定'!$B$51)</x:f>
        <x:v>1026.666666666667</x:v>
      </x:c>
      <x:c r="AM116" s="1" t="n">
        <x:f>MAX(1,ROUNDUP('損益分岐設定'!C37*AJ116/('損益分岐設定'!$B$23*'損益分岐設定'!$B$24*3600*'損益分岐設定'!$B$25),0))</x:f>
        <x:v>1</x:v>
      </x:c>
      <x:c r="AN116" s="1" t="n">
        <x:f>MAX(2,ROUNDUP('損益分岐設定'!C38*AJ116/('損益分岐設定'!$B$23*'損益分岐設定'!$B$24*3600*'損益分岐設定'!$B$25),0))</x:f>
        <x:v>2</x:v>
      </x:c>
      <x:c r="AO116" s="1" t="n">
        <x:f>MAX(2,ROUNDUP('損益分岐設定'!C39*AJ116/('損益分岐設定'!$B$23*'損益分岐設定'!$B$24*3600*'損益分岐設定'!$B$25),0))</x:f>
        <x:v>5</x:v>
      </x:c>
      <x:c r="AP116" s="1" t="n">
        <x:f>MAX(2,ROUNDUP('損益分岐設定'!C40*AJ116/('損益分岐設定'!$B$23*'損益分岐設定'!$B$24*3600*'損益分岐設定'!$B$25),0))</x:f>
        <x:v>9</x:v>
      </x:c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 ht="23" customHeight="1">
      <x:c r="A117" s="1" t="str">
        <x:v>Run</x:v>
      </x:c>
      <x:c r="B117" s="1" t="str">
        <x:v>Business Plus</x:v>
      </x:c>
      <x:c r="C117" s="1" t="str">
        <x:v>標準+高位混在</x:v>
      </x:c>
      <x:c r="D117" s="21" t="n">
        <x:v>0.2</x:v>
      </x:c>
      <x:c r="E117" s="1" t="n">
        <x:v>0</x:v>
      </x:c>
      <x:c r="F117" s="7" t="n">
        <x:f>AD117*'損益分岐設定'!$B$5+AE117*'損益分岐設定'!$B$6+AF117*'損益分岐設定'!$B$7</x:f>
        <x:v>8000</x:v>
      </x:c>
      <x:c r="G117" s="7" t="n">
        <x:f>AG117+(AH117+AI117)*('損益分岐設定'!$B$29+0.5*'損益分岐設定'!$B$30)+AK117*'損益分岐設定'!$B$32+(AJ117+AK117/'損益分岐設定'!$B$28*'損益分岐設定'!$B$26)*('損益分岐設定'!$B$29+'損益分岐設定'!$B$31*'損益分岐設定'!$B$30)</x:f>
        <x:v>5795.857601900387</x:v>
      </x:c>
      <x:c r="H117" s="7" t="n">
        <x:f>AL117*E117</x:f>
        <x:v>0</x:v>
      </x:c>
      <x:c r="I117" s="7" t="n">
        <x:f>F117*(1-D117-'損益分岐設定'!$B$10)-G117-H117</x:f>
        <x:v>316.1423980996133</x:v>
      </x:c>
      <x:c r="J117" s="1" t="n">
        <x:f>IF(MIN(V117:Y117)&gt;1000,"範囲内なし",MIN(V117:Y117))</x:f>
        <x:v>84</x:v>
      </x:c>
      <x:c r="K117" s="1" t="n">
        <x:f>IF(MAX(Z117:AC117)&gt;=1000,"範囲内なし",MAX(1,MAX(Z117:AC117)+1))</x:f>
        <x:v>154</x:v>
      </x:c>
      <x:c r="L117" s="7" t="n">
        <x:f>10*I117-R117</x:f>
        <x:v>-18849.510645311664</x:v>
      </x:c>
      <x:c r="M117" s="7" t="n">
        <x:f>30*I117-S117</x:f>
        <x:v>-17026.6626833194</x:v>
      </x:c>
      <x:c r="N117" s="7" t="n">
        <x:f>50*I117-S117</x:f>
        <x:v>-10703.814721327133</x:v>
      </x:c>
      <x:c r="O117" s="7" t="n">
        <x:f>100*I117-S117</x:f>
        <x:v>5103.305183653531</x:v>
      </x:c>
      <x:c r="P117" s="7" t="n">
        <x:f>300*I117-T117</x:f>
        <x:v>46331.78480357619</x:v>
      </x:c>
      <x:c r="Q117" s="7" t="n">
        <x:f>1000*I117-U117</x:f>
        <x:v>237631.46347330546</x:v>
      </x:c>
      <x:c r="R11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117*'損益分岐設定'!$B$12*'損益分岐設定'!$B$11</x:f>
        <x:v>22010.934626307797</x:v>
      </x:c>
      <x:c r="S11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117*'損益分岐設定'!$B$12*'損益分岐設定'!$B$11</x:f>
        <x:v>26510.934626307797</x:v>
      </x:c>
      <x:c r="T11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117*'損益分岐設定'!$B$12*'損益分岐設定'!$B$11</x:f>
        <x:v>48510.9346263078</x:v>
      </x:c>
      <x:c r="U11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117*'損益分岐設定'!$B$12*'損益分岐設定'!$B$11</x:f>
        <x:v>78510.9346263078</x:v>
      </x:c>
      <x:c r="V117" s="1" t="n">
        <x:f>IF(I117&lt;=0,1001,IF(MAX('損益分岐設定'!B37,ROUNDUP(R117/I117,0))&lt;='損益分岐設定'!C37,MAX('損益分岐設定'!B37,ROUNDUP(R117/I117,0)),1001))</x:f>
        <x:v>1001</x:v>
      </x:c>
      <x:c r="W117" s="1" t="n">
        <x:f>IF(I117&lt;=0,1001,IF(MAX('損益分岐設定'!B38,ROUNDUP(S117/I117,0))&lt;='損益分岐設定'!C38,MAX('損益分岐設定'!B38,ROUNDUP(S117/I117,0)),1001))</x:f>
        <x:v>84</x:v>
      </x:c>
      <x:c r="X117" s="1" t="n">
        <x:f>IF(I117&lt;=0,1001,IF(MAX('損益分岐設定'!B39,ROUNDUP(T117/I117,0))&lt;='損益分岐設定'!C39,MAX('損益分岐設定'!B39,ROUNDUP(T117/I117,0)),1001))</x:f>
        <x:v>154</x:v>
      </x:c>
      <x:c r="Y117" s="1" t="n">
        <x:f>IF(I117&lt;=0,1001,IF(MAX('損益分岐設定'!B40,ROUNDUP(U117/I117,0))&lt;='損益分岐設定'!C40,MAX('損益分岐設定'!B40,ROUNDUP(U117/I117,0)),1001))</x:f>
        <x:v>501</x:v>
      </x:c>
      <x:c r="Z117" s="1" t="n">
        <x:f>IF(I117&lt;=0,'損益分岐設定'!C37,IF('損益分岐設定'!C37*I117-R117&lt;0,'損益分岐設定'!C37,IF('損益分岐設定'!B37*I117-R117&gt;=0,0,ROUNDUP(R117/I117,0)-1)))</x:f>
        <x:v>10</x:v>
      </x:c>
      <x:c r="AA117" s="1" t="n">
        <x:f>IF(I117&lt;=0,'損益分岐設定'!C38,IF('損益分岐設定'!C38*I117-S117&lt;0,'損益分岐設定'!C38,IF('損益分岐設定'!B38*I117-S117&gt;=0,0,ROUNDUP(S117/I117,0)-1)))</x:f>
        <x:v>83</x:v>
      </x:c>
      <x:c r="AB117" s="1" t="n">
        <x:f>IF(I117&lt;=0,'損益分岐設定'!C39,IF('損益分岐設定'!C39*I117-T117&lt;0,'損益分岐設定'!C39,IF('損益分岐設定'!B39*I117-T117&gt;=0,0,ROUNDUP(T117/I117,0)-1)))</x:f>
        <x:v>153</x:v>
      </x:c>
      <x:c r="AC117" s="1" t="n">
        <x:f>IF(I117&lt;=0,'損益分岐設定'!C40,IF('損益分岐設定'!C40*I117-U117&lt;0,'損益分岐設定'!C40,IF('損益分岐設定'!B40*I117-U117&gt;=0,0,ROUNDUP(U117/I117,0)-1)))</x:f>
        <x:v>0</x:v>
      </x:c>
      <x:c r="AD117" s="1" t="n">
        <x:v>0</x:v>
      </x:c>
      <x:c r="AE117" s="1" t="n">
        <x:v>0</x:v>
      </x:c>
      <x:c r="AF117" s="1" t="n">
        <x:v>1</x:v>
      </x:c>
      <x:c r="AG117" s="1" t="n">
        <x:f>AD117*('損益分岐設定'!$C$57*(1-'損益分岐設定'!$B$51)+'損益分岐設定'!$C$58*'損益分岐設定'!$B$51)+AE117*('損益分岐設定'!$C$60*(1-'損益分岐設定'!$B$51)+'損益分岐設定'!$C$61*'損益分岐設定'!$B$51)+AF117*('損益分岐設定'!$C$63*(1-'損益分岐設定'!$B$51)+'損益分岐設定'!$C$64*'損益分岐設定'!$B$51)</x:f>
        <x:v>5765.522041015625</x:v>
      </x:c>
      <x:c r="AH117" s="1" t="n">
        <x:f>AD117*('損益分岐設定'!$D$57*(1-'損益分岐設定'!$B$51)+'損益分岐設定'!$D$58*'損益分岐設定'!$B$51)+AE117*('損益分岐設定'!$D$60*(1-'損益分岐設定'!$B$51)+'損益分岐設定'!$D$61*'損益分岐設定'!$B$51)+AF117*('損益分岐設定'!$D$63*(1-'損益分岐設定'!$B$51)+'損益分岐設定'!$D$64*'損益分岐設定'!$B$51)</x:f>
        <x:v>480</x:v>
      </x:c>
      <x:c r="AI117" s="1" t="n">
        <x:f>AD117*('損益分岐設定'!$E$57*(1-'損益分岐設定'!$B$51)+'損益分岐設定'!$E$58*'損益分岐設定'!$B$51)+AE117*('損益分岐設定'!$E$60*(1-'損益分岐設定'!$B$51)+'損益分岐設定'!$E$61*'損益分岐設定'!$B$51)+AF117*('損益分岐設定'!$E$63*(1-'損益分岐設定'!$B$51)+'損益分岐設定'!$E$64*'損益分岐設定'!$B$51)</x:f>
        <x:v>560</x:v>
      </x:c>
      <x:c r="AJ117" s="1" t="n">
        <x:f>(AD117*('損益分岐設定'!$F$57*(1-'損益分岐設定'!$B$51)+'損益分岐設定'!$F$58*'損益分岐設定'!$B$51)+AE117*('損益分岐設定'!$F$60*(1-'損益分岐設定'!$B$51)+'損益分岐設定'!$F$61*'損益分岐設定'!$B$51)+AF117*('損益分岐設定'!$F$63*(1-'損益分岐設定'!$B$51)+'損益分岐設定'!$F$64*'損益分岐設定'!$B$51)*1)*'損益分岐設定'!$B$22</x:f>
        <x:v>4560</x:v>
      </x:c>
      <x:c r="AK117" s="1" t="n">
        <x:f>AD117*('損益分岐設定'!$G$57*(1-'損益分岐設定'!$B$51)+'損益分岐設定'!$G$58*'損益分岐設定'!$B$51)+AE117*('損益分岐設定'!$G$60*(1-'損益分岐設定'!$B$51)+'損益分岐設定'!$G$61*'損益分岐設定'!$B$51)+AF117*('損益分岐設定'!$G$63*(1-'損益分岐設定'!$B$51)+'損益分岐設定'!$G$64*'損益分岐設定'!$B$51)</x:f>
        <x:v>4000</x:v>
      </x:c>
      <x:c r="AL117" s="1" t="n">
        <x:f>AD117*('損益分岐設定'!$H$57*(1-'損益分岐設定'!$B$51)+'損益分岐設定'!$H$58*'損益分岐設定'!$B$51)+AE117*('損益分岐設定'!$H$60*(1-'損益分岐設定'!$B$51)+'損益分岐設定'!$H$61*'損益分岐設定'!$B$51)+AF117*('損益分岐設定'!$H$63*(1-'損益分岐設定'!$B$51)+'損益分岐設定'!$H$64*'損益分岐設定'!$B$51)</x:f>
        <x:v>1026.666666666667</x:v>
      </x:c>
      <x:c r="AM117" s="1" t="n">
        <x:f>MAX(1,ROUNDUP('損益分岐設定'!C37*AJ117/('損益分岐設定'!$B$23*'損益分岐設定'!$B$24*3600*'損益分岐設定'!$B$25),0))</x:f>
        <x:v>1</x:v>
      </x:c>
      <x:c r="AN117" s="1" t="n">
        <x:f>MAX(2,ROUNDUP('損益分岐設定'!C38*AJ117/('損益分岐設定'!$B$23*'損益分岐設定'!$B$24*3600*'損益分岐設定'!$B$25),0))</x:f>
        <x:v>2</x:v>
      </x:c>
      <x:c r="AO117" s="1" t="n">
        <x:f>MAX(2,ROUNDUP('損益分岐設定'!C39*AJ117/('損益分岐設定'!$B$23*'損益分岐設定'!$B$24*3600*'損益分岐設定'!$B$25),0))</x:f>
        <x:v>5</x:v>
      </x:c>
      <x:c r="AP117" s="1" t="n">
        <x:f>MAX(2,ROUNDUP('損益分岐設定'!C40*AJ117/('損益分岐設定'!$B$23*'損益分岐設定'!$B$24*3600*'損益分岐設定'!$B$25),0))</x:f>
        <x:v>9</x:v>
      </x:c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 ht="23" customHeight="1">
      <x:c r="A118" s="1" t="str">
        <x:v>Run</x:v>
      </x:c>
      <x:c r="B118" s="1" t="str">
        <x:v>Business Plus</x:v>
      </x:c>
      <x:c r="C118" s="1" t="str">
        <x:v>標準+高位混在</x:v>
      </x:c>
      <x:c r="D118" s="21" t="n">
        <x:v>0.2</x:v>
      </x:c>
      <x:c r="E118" s="1" t="n">
        <x:v>1</x:v>
      </x:c>
      <x:c r="F118" s="7" t="n">
        <x:f>AD118*'損益分岐設定'!$B$5+AE118*'損益分岐設定'!$B$6+AF118*'損益分岐設定'!$B$7</x:f>
        <x:v>8000</x:v>
      </x:c>
      <x:c r="G118" s="7" t="n">
        <x:f>AG118+(AH118+AI118)*('損益分岐設定'!$B$29+0.5*'損益分岐設定'!$B$30)+AK118*'損益分岐設定'!$B$32+(AJ118+AK118/'損益分岐設定'!$B$28*'損益分岐設定'!$B$26)*('損益分岐設定'!$B$29+'損益分岐設定'!$B$31*'損益分岐設定'!$B$30)</x:f>
        <x:v>5795.857601900387</x:v>
      </x:c>
      <x:c r="H118" s="7" t="n">
        <x:f>AL118*E118</x:f>
        <x:v>1026.666666666667</x:v>
      </x:c>
      <x:c r="I118" s="7" t="n">
        <x:f>F118*(1-D118-'損益分岐設定'!$B$10)-G118-H118</x:f>
        <x:v>-710.5242685670537</x:v>
      </x:c>
      <x:c r="J118" s="1" t="str">
        <x:f>IF(MIN(V118:Y118)&gt;1000,"範囲内なし",MIN(V118:Y118))</x:f>
        <x:v>範囲内なし</x:v>
      </x:c>
      <x:c r="K118" s="1" t="str">
        <x:f>IF(MAX(Z118:AC118)&gt;=1000,"範囲内なし",MAX(1,MAX(Z118:AC118)+1))</x:f>
        <x:v>範囲内なし</x:v>
      </x:c>
      <x:c r="L118" s="7" t="n">
        <x:f>10*I118-R118</x:f>
        <x:v>-37116.17731197833</x:v>
      </x:c>
      <x:c r="M118" s="7" t="n">
        <x:f>30*I118-S118</x:f>
        <x:v>-55826.66268331941</x:v>
      </x:c>
      <x:c r="N118" s="7" t="n">
        <x:f>50*I118-S118</x:f>
        <x:v>-70037.14805466047</x:v>
      </x:c>
      <x:c r="O118" s="7" t="n">
        <x:f>100*I118-S118</x:f>
        <x:v>-105563.36148301317</x:v>
      </x:c>
      <x:c r="P118" s="7" t="n">
        <x:f>300*I118-T118</x:f>
        <x:v>-269668.2151964239</x:v>
      </x:c>
      <x:c r="Q118" s="7" t="n">
        <x:f>1000*I118-U118</x:f>
        <x:v>-797035.2031933615</x:v>
      </x:c>
      <x:c r="R11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118*'損益分岐設定'!$B$12*'損益分岐設定'!$B$11</x:f>
        <x:v>30010.934626307797</x:v>
      </x:c>
      <x:c r="S11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118*'損益分岐設定'!$B$12*'損益分岐設定'!$B$11</x:f>
        <x:v>34510.9346263078</x:v>
      </x:c>
      <x:c r="T11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118*'損益分岐設定'!$B$12*'損益分岐設定'!$B$11</x:f>
        <x:v>56510.9346263078</x:v>
      </x:c>
      <x:c r="U11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118*'損益分岐設定'!$B$12*'損益分岐設定'!$B$11</x:f>
        <x:v>86510.9346263078</x:v>
      </x:c>
      <x:c r="V118" s="1" t="n">
        <x:f>IF(I118&lt;=0,1001,IF(MAX('損益分岐設定'!B37,ROUNDUP(R118/I118,0))&lt;='損益分岐設定'!C37,MAX('損益分岐設定'!B37,ROUNDUP(R118/I118,0)),1001))</x:f>
        <x:v>1001</x:v>
      </x:c>
      <x:c r="W118" s="1" t="n">
        <x:f>IF(I118&lt;=0,1001,IF(MAX('損益分岐設定'!B38,ROUNDUP(S118/I118,0))&lt;='損益分岐設定'!C38,MAX('損益分岐設定'!B38,ROUNDUP(S118/I118,0)),1001))</x:f>
        <x:v>1001</x:v>
      </x:c>
      <x:c r="X118" s="1" t="n">
        <x:f>IF(I118&lt;=0,1001,IF(MAX('損益分岐設定'!B39,ROUNDUP(T118/I118,0))&lt;='損益分岐設定'!C39,MAX('損益分岐設定'!B39,ROUNDUP(T118/I118,0)),1001))</x:f>
        <x:v>1001</x:v>
      </x:c>
      <x:c r="Y118" s="1" t="n">
        <x:f>IF(I118&lt;=0,1001,IF(MAX('損益分岐設定'!B40,ROUNDUP(U118/I118,0))&lt;='損益分岐設定'!C40,MAX('損益分岐設定'!B40,ROUNDUP(U118/I118,0)),1001))</x:f>
        <x:v>1001</x:v>
      </x:c>
      <x:c r="Z118" s="1" t="n">
        <x:f>IF(I118&lt;=0,'損益分岐設定'!C37,IF('損益分岐設定'!C37*I118-R118&lt;0,'損益分岐設定'!C37,IF('損益分岐設定'!B37*I118-R118&gt;=0,0,ROUNDUP(R118/I118,0)-1)))</x:f>
        <x:v>10</x:v>
      </x:c>
      <x:c r="AA118" s="1" t="n">
        <x:f>IF(I118&lt;=0,'損益分岐設定'!C38,IF('損益分岐設定'!C38*I118-S118&lt;0,'損益分岐設定'!C38,IF('損益分岐設定'!B38*I118-S118&gt;=0,0,ROUNDUP(S118/I118,0)-1)))</x:f>
        <x:v>100</x:v>
      </x:c>
      <x:c r="AB118" s="1" t="n">
        <x:f>IF(I118&lt;=0,'損益分岐設定'!C39,IF('損益分岐設定'!C39*I118-T118&lt;0,'損益分岐設定'!C39,IF('損益分岐設定'!B39*I118-T118&gt;=0,0,ROUNDUP(T118/I118,0)-1)))</x:f>
        <x:v>500</x:v>
      </x:c>
      <x:c r="AC118" s="1" t="n">
        <x:f>IF(I118&lt;=0,'損益分岐設定'!C40,IF('損益分岐設定'!C40*I118-U118&lt;0,'損益分岐設定'!C40,IF('損益分岐設定'!B40*I118-U118&gt;=0,0,ROUNDUP(U118/I118,0)-1)))</x:f>
        <x:v>1000</x:v>
      </x:c>
      <x:c r="AD118" s="1" t="n">
        <x:v>0</x:v>
      </x:c>
      <x:c r="AE118" s="1" t="n">
        <x:v>0</x:v>
      </x:c>
      <x:c r="AF118" s="1" t="n">
        <x:v>1</x:v>
      </x:c>
      <x:c r="AG118" s="1" t="n">
        <x:f>AD118*('損益分岐設定'!$C$57*(1-'損益分岐設定'!$B$51)+'損益分岐設定'!$C$58*'損益分岐設定'!$B$51)+AE118*('損益分岐設定'!$C$60*(1-'損益分岐設定'!$B$51)+'損益分岐設定'!$C$61*'損益分岐設定'!$B$51)+AF118*('損益分岐設定'!$C$63*(1-'損益分岐設定'!$B$51)+'損益分岐設定'!$C$64*'損益分岐設定'!$B$51)</x:f>
        <x:v>5765.522041015625</x:v>
      </x:c>
      <x:c r="AH118" s="1" t="n">
        <x:f>AD118*('損益分岐設定'!$D$57*(1-'損益分岐設定'!$B$51)+'損益分岐設定'!$D$58*'損益分岐設定'!$B$51)+AE118*('損益分岐設定'!$D$60*(1-'損益分岐設定'!$B$51)+'損益分岐設定'!$D$61*'損益分岐設定'!$B$51)+AF118*('損益分岐設定'!$D$63*(1-'損益分岐設定'!$B$51)+'損益分岐設定'!$D$64*'損益分岐設定'!$B$51)</x:f>
        <x:v>480</x:v>
      </x:c>
      <x:c r="AI118" s="1" t="n">
        <x:f>AD118*('損益分岐設定'!$E$57*(1-'損益分岐設定'!$B$51)+'損益分岐設定'!$E$58*'損益分岐設定'!$B$51)+AE118*('損益分岐設定'!$E$60*(1-'損益分岐設定'!$B$51)+'損益分岐設定'!$E$61*'損益分岐設定'!$B$51)+AF118*('損益分岐設定'!$E$63*(1-'損益分岐設定'!$B$51)+'損益分岐設定'!$E$64*'損益分岐設定'!$B$51)</x:f>
        <x:v>560</x:v>
      </x:c>
      <x:c r="AJ118" s="1" t="n">
        <x:f>(AD118*('損益分岐設定'!$F$57*(1-'損益分岐設定'!$B$51)+'損益分岐設定'!$F$58*'損益分岐設定'!$B$51)+AE118*('損益分岐設定'!$F$60*(1-'損益分岐設定'!$B$51)+'損益分岐設定'!$F$61*'損益分岐設定'!$B$51)+AF118*('損益分岐設定'!$F$63*(1-'損益分岐設定'!$B$51)+'損益分岐設定'!$F$64*'損益分岐設定'!$B$51)*1)*'損益分岐設定'!$B$22</x:f>
        <x:v>4560</x:v>
      </x:c>
      <x:c r="AK118" s="1" t="n">
        <x:f>AD118*('損益分岐設定'!$G$57*(1-'損益分岐設定'!$B$51)+'損益分岐設定'!$G$58*'損益分岐設定'!$B$51)+AE118*('損益分岐設定'!$G$60*(1-'損益分岐設定'!$B$51)+'損益分岐設定'!$G$61*'損益分岐設定'!$B$51)+AF118*('損益分岐設定'!$G$63*(1-'損益分岐設定'!$B$51)+'損益分岐設定'!$G$64*'損益分岐設定'!$B$51)</x:f>
        <x:v>4000</x:v>
      </x:c>
      <x:c r="AL118" s="1" t="n">
        <x:f>AD118*('損益分岐設定'!$H$57*(1-'損益分岐設定'!$B$51)+'損益分岐設定'!$H$58*'損益分岐設定'!$B$51)+AE118*('損益分岐設定'!$H$60*(1-'損益分岐設定'!$B$51)+'損益分岐設定'!$H$61*'損益分岐設定'!$B$51)+AF118*('損益分岐設定'!$H$63*(1-'損益分岐設定'!$B$51)+'損益分岐設定'!$H$64*'損益分岐設定'!$B$51)</x:f>
        <x:v>1026.666666666667</x:v>
      </x:c>
      <x:c r="AM118" s="1" t="n">
        <x:f>MAX(1,ROUNDUP('損益分岐設定'!C37*AJ118/('損益分岐設定'!$B$23*'損益分岐設定'!$B$24*3600*'損益分岐設定'!$B$25),0))</x:f>
        <x:v>1</x:v>
      </x:c>
      <x:c r="AN118" s="1" t="n">
        <x:f>MAX(2,ROUNDUP('損益分岐設定'!C38*AJ118/('損益分岐設定'!$B$23*'損益分岐設定'!$B$24*3600*'損益分岐設定'!$B$25),0))</x:f>
        <x:v>2</x:v>
      </x:c>
      <x:c r="AO118" s="1" t="n">
        <x:f>MAX(2,ROUNDUP('損益分岐設定'!C39*AJ118/('損益分岐設定'!$B$23*'損益分岐設定'!$B$24*3600*'損益分岐設定'!$B$25),0))</x:f>
        <x:v>5</x:v>
      </x:c>
      <x:c r="AP118" s="1" t="n">
        <x:f>MAX(2,ROUNDUP('損益分岐設定'!C40*AJ118/('損益分岐設定'!$B$23*'損益分岐設定'!$B$24*3600*'損益分岐設定'!$B$25),0))</x:f>
        <x:v>9</x:v>
      </x:c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 ht="23" customHeight="1">
      <x:c r="A119" s="1" t="str">
        <x:v>Run</x:v>
      </x:c>
      <x:c r="B119" s="1" t="str">
        <x:v>Business Plus</x:v>
      </x:c>
      <x:c r="C119" s="1" t="str">
        <x:v>標準+高位混在</x:v>
      </x:c>
      <x:c r="D119" s="21" t="n">
        <x:v>0.3</x:v>
      </x:c>
      <x:c r="E119" s="1" t="n">
        <x:v>0</x:v>
      </x:c>
      <x:c r="F119" s="7" t="n">
        <x:f>AD119*'損益分岐設定'!$B$5+AE119*'損益分岐設定'!$B$6+AF119*'損益分岐設定'!$B$7</x:f>
        <x:v>8000</x:v>
      </x:c>
      <x:c r="G119" s="7" t="n">
        <x:f>AG119+(AH119+AI119)*('損益分岐設定'!$B$29+0.5*'損益分岐設定'!$B$30)+AK119*'損益分岐設定'!$B$32+(AJ119+AK119/'損益分岐設定'!$B$28*'損益分岐設定'!$B$26)*('損益分岐設定'!$B$29+'損益分岐設定'!$B$31*'損益分岐設定'!$B$30)</x:f>
        <x:v>5795.857601900387</x:v>
      </x:c>
      <x:c r="H119" s="7" t="n">
        <x:f>AL119*E119</x:f>
        <x:v>0</x:v>
      </x:c>
      <x:c r="I119" s="7" t="n">
        <x:f>F119*(1-D119-'損益分岐設定'!$B$10)-G119-H119</x:f>
        <x:v>-483.85760190038764</x:v>
      </x:c>
      <x:c r="J119" s="1" t="str">
        <x:f>IF(MIN(V119:Y119)&gt;1000,"範囲内なし",MIN(V119:Y119))</x:f>
        <x:v>範囲内なし</x:v>
      </x:c>
      <x:c r="K119" s="1" t="str">
        <x:f>IF(MAX(Z119:AC119)&gt;=1000,"範囲内なし",MAX(1,MAX(Z119:AC119)+1))</x:f>
        <x:v>範囲内なし</x:v>
      </x:c>
      <x:c r="L119" s="7" t="n">
        <x:f>10*I119-R119</x:f>
        <x:v>-26849.510645311675</x:v>
      </x:c>
      <x:c r="M119" s="7" t="n">
        <x:f>30*I119-S119</x:f>
        <x:v>-41026.662683319424</x:v>
      </x:c>
      <x:c r="N119" s="7" t="n">
        <x:f>50*I119-S119</x:f>
        <x:v>-50703.81472132718</x:v>
      </x:c>
      <x:c r="O119" s="7" t="n">
        <x:f>100*I119-S119</x:f>
        <x:v>-74896.69481634657</x:v>
      </x:c>
      <x:c r="P119" s="7" t="n">
        <x:f>300*I119-T119</x:f>
        <x:v>-193668.2151964241</x:v>
      </x:c>
      <x:c r="Q119" s="7" t="n">
        <x:f>1000*I119-U119</x:f>
        <x:v>-562368.5365266954</x:v>
      </x:c>
      <x:c r="R11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119*'損益分岐設定'!$B$12*'損益分岐設定'!$B$11</x:f>
        <x:v>22010.934626307797</x:v>
      </x:c>
      <x:c r="S11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119*'損益分岐設定'!$B$12*'損益分岐設定'!$B$11</x:f>
        <x:v>26510.934626307797</x:v>
      </x:c>
      <x:c r="T11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119*'損益分岐設定'!$B$12*'損益分岐設定'!$B$11</x:f>
        <x:v>48510.9346263078</x:v>
      </x:c>
      <x:c r="U11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119*'損益分岐設定'!$B$12*'損益分岐設定'!$B$11</x:f>
        <x:v>78510.9346263078</x:v>
      </x:c>
      <x:c r="V119" s="1" t="n">
        <x:f>IF(I119&lt;=0,1001,IF(MAX('損益分岐設定'!B37,ROUNDUP(R119/I119,0))&lt;='損益分岐設定'!C37,MAX('損益分岐設定'!B37,ROUNDUP(R119/I119,0)),1001))</x:f>
        <x:v>1001</x:v>
      </x:c>
      <x:c r="W119" s="1" t="n">
        <x:f>IF(I119&lt;=0,1001,IF(MAX('損益分岐設定'!B38,ROUNDUP(S119/I119,0))&lt;='損益分岐設定'!C38,MAX('損益分岐設定'!B38,ROUNDUP(S119/I119,0)),1001))</x:f>
        <x:v>1001</x:v>
      </x:c>
      <x:c r="X119" s="1" t="n">
        <x:f>IF(I119&lt;=0,1001,IF(MAX('損益分岐設定'!B39,ROUNDUP(T119/I119,0))&lt;='損益分岐設定'!C39,MAX('損益分岐設定'!B39,ROUNDUP(T119/I119,0)),1001))</x:f>
        <x:v>1001</x:v>
      </x:c>
      <x:c r="Y119" s="1" t="n">
        <x:f>IF(I119&lt;=0,1001,IF(MAX('損益分岐設定'!B40,ROUNDUP(U119/I119,0))&lt;='損益分岐設定'!C40,MAX('損益分岐設定'!B40,ROUNDUP(U119/I119,0)),1001))</x:f>
        <x:v>1001</x:v>
      </x:c>
      <x:c r="Z119" s="1" t="n">
        <x:f>IF(I119&lt;=0,'損益分岐設定'!C37,IF('損益分岐設定'!C37*I119-R119&lt;0,'損益分岐設定'!C37,IF('損益分岐設定'!B37*I119-R119&gt;=0,0,ROUNDUP(R119/I119,0)-1)))</x:f>
        <x:v>10</x:v>
      </x:c>
      <x:c r="AA119" s="1" t="n">
        <x:f>IF(I119&lt;=0,'損益分岐設定'!C38,IF('損益分岐設定'!C38*I119-S119&lt;0,'損益分岐設定'!C38,IF('損益分岐設定'!B38*I119-S119&gt;=0,0,ROUNDUP(S119/I119,0)-1)))</x:f>
        <x:v>100</x:v>
      </x:c>
      <x:c r="AB119" s="1" t="n">
        <x:f>IF(I119&lt;=0,'損益分岐設定'!C39,IF('損益分岐設定'!C39*I119-T119&lt;0,'損益分岐設定'!C39,IF('損益分岐設定'!B39*I119-T119&gt;=0,0,ROUNDUP(T119/I119,0)-1)))</x:f>
        <x:v>500</x:v>
      </x:c>
      <x:c r="AC119" s="1" t="n">
        <x:f>IF(I119&lt;=0,'損益分岐設定'!C40,IF('損益分岐設定'!C40*I119-U119&lt;0,'損益分岐設定'!C40,IF('損益分岐設定'!B40*I119-U119&gt;=0,0,ROUNDUP(U119/I119,0)-1)))</x:f>
        <x:v>1000</x:v>
      </x:c>
      <x:c r="AD119" s="1" t="n">
        <x:v>0</x:v>
      </x:c>
      <x:c r="AE119" s="1" t="n">
        <x:v>0</x:v>
      </x:c>
      <x:c r="AF119" s="1" t="n">
        <x:v>1</x:v>
      </x:c>
      <x:c r="AG119" s="1" t="n">
        <x:f>AD119*('損益分岐設定'!$C$57*(1-'損益分岐設定'!$B$51)+'損益分岐設定'!$C$58*'損益分岐設定'!$B$51)+AE119*('損益分岐設定'!$C$60*(1-'損益分岐設定'!$B$51)+'損益分岐設定'!$C$61*'損益分岐設定'!$B$51)+AF119*('損益分岐設定'!$C$63*(1-'損益分岐設定'!$B$51)+'損益分岐設定'!$C$64*'損益分岐設定'!$B$51)</x:f>
        <x:v>5765.522041015625</x:v>
      </x:c>
      <x:c r="AH119" s="1" t="n">
        <x:f>AD119*('損益分岐設定'!$D$57*(1-'損益分岐設定'!$B$51)+'損益分岐設定'!$D$58*'損益分岐設定'!$B$51)+AE119*('損益分岐設定'!$D$60*(1-'損益分岐設定'!$B$51)+'損益分岐設定'!$D$61*'損益分岐設定'!$B$51)+AF119*('損益分岐設定'!$D$63*(1-'損益分岐設定'!$B$51)+'損益分岐設定'!$D$64*'損益分岐設定'!$B$51)</x:f>
        <x:v>480</x:v>
      </x:c>
      <x:c r="AI119" s="1" t="n">
        <x:f>AD119*('損益分岐設定'!$E$57*(1-'損益分岐設定'!$B$51)+'損益分岐設定'!$E$58*'損益分岐設定'!$B$51)+AE119*('損益分岐設定'!$E$60*(1-'損益分岐設定'!$B$51)+'損益分岐設定'!$E$61*'損益分岐設定'!$B$51)+AF119*('損益分岐設定'!$E$63*(1-'損益分岐設定'!$B$51)+'損益分岐設定'!$E$64*'損益分岐設定'!$B$51)</x:f>
        <x:v>560</x:v>
      </x:c>
      <x:c r="AJ119" s="1" t="n">
        <x:f>(AD119*('損益分岐設定'!$F$57*(1-'損益分岐設定'!$B$51)+'損益分岐設定'!$F$58*'損益分岐設定'!$B$51)+AE119*('損益分岐設定'!$F$60*(1-'損益分岐設定'!$B$51)+'損益分岐設定'!$F$61*'損益分岐設定'!$B$51)+AF119*('損益分岐設定'!$F$63*(1-'損益分岐設定'!$B$51)+'損益分岐設定'!$F$64*'損益分岐設定'!$B$51)*1)*'損益分岐設定'!$B$22</x:f>
        <x:v>4560</x:v>
      </x:c>
      <x:c r="AK119" s="1" t="n">
        <x:f>AD119*('損益分岐設定'!$G$57*(1-'損益分岐設定'!$B$51)+'損益分岐設定'!$G$58*'損益分岐設定'!$B$51)+AE119*('損益分岐設定'!$G$60*(1-'損益分岐設定'!$B$51)+'損益分岐設定'!$G$61*'損益分岐設定'!$B$51)+AF119*('損益分岐設定'!$G$63*(1-'損益分岐設定'!$B$51)+'損益分岐設定'!$G$64*'損益分岐設定'!$B$51)</x:f>
        <x:v>4000</x:v>
      </x:c>
      <x:c r="AL119" s="1" t="n">
        <x:f>AD119*('損益分岐設定'!$H$57*(1-'損益分岐設定'!$B$51)+'損益分岐設定'!$H$58*'損益分岐設定'!$B$51)+AE119*('損益分岐設定'!$H$60*(1-'損益分岐設定'!$B$51)+'損益分岐設定'!$H$61*'損益分岐設定'!$B$51)+AF119*('損益分岐設定'!$H$63*(1-'損益分岐設定'!$B$51)+'損益分岐設定'!$H$64*'損益分岐設定'!$B$51)</x:f>
        <x:v>1026.666666666667</x:v>
      </x:c>
      <x:c r="AM119" s="1" t="n">
        <x:f>MAX(1,ROUNDUP('損益分岐設定'!C37*AJ119/('損益分岐設定'!$B$23*'損益分岐設定'!$B$24*3600*'損益分岐設定'!$B$25),0))</x:f>
        <x:v>1</x:v>
      </x:c>
      <x:c r="AN119" s="1" t="n">
        <x:f>MAX(2,ROUNDUP('損益分岐設定'!C38*AJ119/('損益分岐設定'!$B$23*'損益分岐設定'!$B$24*3600*'損益分岐設定'!$B$25),0))</x:f>
        <x:v>2</x:v>
      </x:c>
      <x:c r="AO119" s="1" t="n">
        <x:f>MAX(2,ROUNDUP('損益分岐設定'!C39*AJ119/('損益分岐設定'!$B$23*'損益分岐設定'!$B$24*3600*'損益分岐設定'!$B$25),0))</x:f>
        <x:v>5</x:v>
      </x:c>
      <x:c r="AP119" s="1" t="n">
        <x:f>MAX(2,ROUNDUP('損益分岐設定'!C40*AJ119/('損益分岐設定'!$B$23*'損益分岐設定'!$B$24*3600*'損益分岐設定'!$B$25),0))</x:f>
        <x:v>9</x:v>
      </x:c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 ht="23" customHeight="1">
      <x:c r="A120" s="1" t="str">
        <x:v>Run</x:v>
      </x:c>
      <x:c r="B120" s="1" t="str">
        <x:v>Business Plus</x:v>
      </x:c>
      <x:c r="C120" s="1" t="str">
        <x:v>標準+高位混在</x:v>
      </x:c>
      <x:c r="D120" s="21" t="n">
        <x:v>0.3</x:v>
      </x:c>
      <x:c r="E120" s="1" t="n">
        <x:v>1</x:v>
      </x:c>
      <x:c r="F120" s="7" t="n">
        <x:f>AD120*'損益分岐設定'!$B$5+AE120*'損益分岐設定'!$B$6+AF120*'損益分岐設定'!$B$7</x:f>
        <x:v>8000</x:v>
      </x:c>
      <x:c r="G120" s="7" t="n">
        <x:f>AG120+(AH120+AI120)*('損益分岐設定'!$B$29+0.5*'損益分岐設定'!$B$30)+AK120*'損益分岐設定'!$B$32+(AJ120+AK120/'損益分岐設定'!$B$28*'損益分岐設定'!$B$26)*('損益分岐設定'!$B$29+'損益分岐設定'!$B$31*'損益分岐設定'!$B$30)</x:f>
        <x:v>5795.857601900387</x:v>
      </x:c>
      <x:c r="H120" s="7" t="n">
        <x:f>AL120*E120</x:f>
        <x:v>1026.666666666667</x:v>
      </x:c>
      <x:c r="I120" s="7" t="n">
        <x:f>F120*(1-D120-'損益分岐設定'!$B$10)-G120-H120</x:f>
        <x:v>-1510.5242685670546</x:v>
      </x:c>
      <x:c r="J120" s="1" t="str">
        <x:f>IF(MIN(V120:Y120)&gt;1000,"範囲内なし",MIN(V120:Y120))</x:f>
        <x:v>範囲内なし</x:v>
      </x:c>
      <x:c r="K120" s="1" t="str">
        <x:f>IF(MAX(Z120:AC120)&gt;=1000,"範囲内なし",MAX(1,MAX(Z120:AC120)+1))</x:f>
        <x:v>範囲内なし</x:v>
      </x:c>
      <x:c r="L120" s="7" t="n">
        <x:f>10*I120-R120</x:f>
        <x:v>-45116.17731197835</x:v>
      </x:c>
      <x:c r="M120" s="7" t="n">
        <x:f>30*I120-S120</x:f>
        <x:v>-79826.66268331945</x:v>
      </x:c>
      <x:c r="N120" s="7" t="n">
        <x:f>50*I120-S120</x:f>
        <x:v>-110037.14805466053</x:v>
      </x:c>
      <x:c r="O120" s="7" t="n">
        <x:f>100*I120-S120</x:f>
        <x:v>-185563.36148301326</x:v>
      </x:c>
      <x:c r="P120" s="7" t="n">
        <x:f>300*I120-T120</x:f>
        <x:v>-509668.21519642416</x:v>
      </x:c>
      <x:c r="Q120" s="7" t="n">
        <x:f>1000*I120-U120</x:f>
        <x:v>-1597035.2031933623</x:v>
      </x:c>
      <x:c r="R12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120*'損益分岐設定'!$B$12*'損益分岐設定'!$B$11</x:f>
        <x:v>30010.934626307797</x:v>
      </x:c>
      <x:c r="S12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120*'損益分岐設定'!$B$12*'損益分岐設定'!$B$11</x:f>
        <x:v>34510.9346263078</x:v>
      </x:c>
      <x:c r="T12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120*'損益分岐設定'!$B$12*'損益分岐設定'!$B$11</x:f>
        <x:v>56510.9346263078</x:v>
      </x:c>
      <x:c r="U12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120*'損益分岐設定'!$B$12*'損益分岐設定'!$B$11</x:f>
        <x:v>86510.9346263078</x:v>
      </x:c>
      <x:c r="V120" s="1" t="n">
        <x:f>IF(I120&lt;=0,1001,IF(MAX('損益分岐設定'!B37,ROUNDUP(R120/I120,0))&lt;='損益分岐設定'!C37,MAX('損益分岐設定'!B37,ROUNDUP(R120/I120,0)),1001))</x:f>
        <x:v>1001</x:v>
      </x:c>
      <x:c r="W120" s="1" t="n">
        <x:f>IF(I120&lt;=0,1001,IF(MAX('損益分岐設定'!B38,ROUNDUP(S120/I120,0))&lt;='損益分岐設定'!C38,MAX('損益分岐設定'!B38,ROUNDUP(S120/I120,0)),1001))</x:f>
        <x:v>1001</x:v>
      </x:c>
      <x:c r="X120" s="1" t="n">
        <x:f>IF(I120&lt;=0,1001,IF(MAX('損益分岐設定'!B39,ROUNDUP(T120/I120,0))&lt;='損益分岐設定'!C39,MAX('損益分岐設定'!B39,ROUNDUP(T120/I120,0)),1001))</x:f>
        <x:v>1001</x:v>
      </x:c>
      <x:c r="Y120" s="1" t="n">
        <x:f>IF(I120&lt;=0,1001,IF(MAX('損益分岐設定'!B40,ROUNDUP(U120/I120,0))&lt;='損益分岐設定'!C40,MAX('損益分岐設定'!B40,ROUNDUP(U120/I120,0)),1001))</x:f>
        <x:v>1001</x:v>
      </x:c>
      <x:c r="Z120" s="1" t="n">
        <x:f>IF(I120&lt;=0,'損益分岐設定'!C37,IF('損益分岐設定'!C37*I120-R120&lt;0,'損益分岐設定'!C37,IF('損益分岐設定'!B37*I120-R120&gt;=0,0,ROUNDUP(R120/I120,0)-1)))</x:f>
        <x:v>10</x:v>
      </x:c>
      <x:c r="AA120" s="1" t="n">
        <x:f>IF(I120&lt;=0,'損益分岐設定'!C38,IF('損益分岐設定'!C38*I120-S120&lt;0,'損益分岐設定'!C38,IF('損益分岐設定'!B38*I120-S120&gt;=0,0,ROUNDUP(S120/I120,0)-1)))</x:f>
        <x:v>100</x:v>
      </x:c>
      <x:c r="AB120" s="1" t="n">
        <x:f>IF(I120&lt;=0,'損益分岐設定'!C39,IF('損益分岐設定'!C39*I120-T120&lt;0,'損益分岐設定'!C39,IF('損益分岐設定'!B39*I120-T120&gt;=0,0,ROUNDUP(T120/I120,0)-1)))</x:f>
        <x:v>500</x:v>
      </x:c>
      <x:c r="AC120" s="1" t="n">
        <x:f>IF(I120&lt;=0,'損益分岐設定'!C40,IF('損益分岐設定'!C40*I120-U120&lt;0,'損益分岐設定'!C40,IF('損益分岐設定'!B40*I120-U120&gt;=0,0,ROUNDUP(U120/I120,0)-1)))</x:f>
        <x:v>1000</x:v>
      </x:c>
      <x:c r="AD120" s="1" t="n">
        <x:v>0</x:v>
      </x:c>
      <x:c r="AE120" s="1" t="n">
        <x:v>0</x:v>
      </x:c>
      <x:c r="AF120" s="1" t="n">
        <x:v>1</x:v>
      </x:c>
      <x:c r="AG120" s="1" t="n">
        <x:f>AD120*('損益分岐設定'!$C$57*(1-'損益分岐設定'!$B$51)+'損益分岐設定'!$C$58*'損益分岐設定'!$B$51)+AE120*('損益分岐設定'!$C$60*(1-'損益分岐設定'!$B$51)+'損益分岐設定'!$C$61*'損益分岐設定'!$B$51)+AF120*('損益分岐設定'!$C$63*(1-'損益分岐設定'!$B$51)+'損益分岐設定'!$C$64*'損益分岐設定'!$B$51)</x:f>
        <x:v>5765.522041015625</x:v>
      </x:c>
      <x:c r="AH120" s="1" t="n">
        <x:f>AD120*('損益分岐設定'!$D$57*(1-'損益分岐設定'!$B$51)+'損益分岐設定'!$D$58*'損益分岐設定'!$B$51)+AE120*('損益分岐設定'!$D$60*(1-'損益分岐設定'!$B$51)+'損益分岐設定'!$D$61*'損益分岐設定'!$B$51)+AF120*('損益分岐設定'!$D$63*(1-'損益分岐設定'!$B$51)+'損益分岐設定'!$D$64*'損益分岐設定'!$B$51)</x:f>
        <x:v>480</x:v>
      </x:c>
      <x:c r="AI120" s="1" t="n">
        <x:f>AD120*('損益分岐設定'!$E$57*(1-'損益分岐設定'!$B$51)+'損益分岐設定'!$E$58*'損益分岐設定'!$B$51)+AE120*('損益分岐設定'!$E$60*(1-'損益分岐設定'!$B$51)+'損益分岐設定'!$E$61*'損益分岐設定'!$B$51)+AF120*('損益分岐設定'!$E$63*(1-'損益分岐設定'!$B$51)+'損益分岐設定'!$E$64*'損益分岐設定'!$B$51)</x:f>
        <x:v>560</x:v>
      </x:c>
      <x:c r="AJ120" s="1" t="n">
        <x:f>(AD120*('損益分岐設定'!$F$57*(1-'損益分岐設定'!$B$51)+'損益分岐設定'!$F$58*'損益分岐設定'!$B$51)+AE120*('損益分岐設定'!$F$60*(1-'損益分岐設定'!$B$51)+'損益分岐設定'!$F$61*'損益分岐設定'!$B$51)+AF120*('損益分岐設定'!$F$63*(1-'損益分岐設定'!$B$51)+'損益分岐設定'!$F$64*'損益分岐設定'!$B$51)*1)*'損益分岐設定'!$B$22</x:f>
        <x:v>4560</x:v>
      </x:c>
      <x:c r="AK120" s="1" t="n">
        <x:f>AD120*('損益分岐設定'!$G$57*(1-'損益分岐設定'!$B$51)+'損益分岐設定'!$G$58*'損益分岐設定'!$B$51)+AE120*('損益分岐設定'!$G$60*(1-'損益分岐設定'!$B$51)+'損益分岐設定'!$G$61*'損益分岐設定'!$B$51)+AF120*('損益分岐設定'!$G$63*(1-'損益分岐設定'!$B$51)+'損益分岐設定'!$G$64*'損益分岐設定'!$B$51)</x:f>
        <x:v>4000</x:v>
      </x:c>
      <x:c r="AL120" s="1" t="n">
        <x:f>AD120*('損益分岐設定'!$H$57*(1-'損益分岐設定'!$B$51)+'損益分岐設定'!$H$58*'損益分岐設定'!$B$51)+AE120*('損益分岐設定'!$H$60*(1-'損益分岐設定'!$B$51)+'損益分岐設定'!$H$61*'損益分岐設定'!$B$51)+AF120*('損益分岐設定'!$H$63*(1-'損益分岐設定'!$B$51)+'損益分岐設定'!$H$64*'損益分岐設定'!$B$51)</x:f>
        <x:v>1026.666666666667</x:v>
      </x:c>
      <x:c r="AM120" s="1" t="n">
        <x:f>MAX(1,ROUNDUP('損益分岐設定'!C37*AJ120/('損益分岐設定'!$B$23*'損益分岐設定'!$B$24*3600*'損益分岐設定'!$B$25),0))</x:f>
        <x:v>1</x:v>
      </x:c>
      <x:c r="AN120" s="1" t="n">
        <x:f>MAX(2,ROUNDUP('損益分岐設定'!C38*AJ120/('損益分岐設定'!$B$23*'損益分岐設定'!$B$24*3600*'損益分岐設定'!$B$25),0))</x:f>
        <x:v>2</x:v>
      </x:c>
      <x:c r="AO120" s="1" t="n">
        <x:f>MAX(2,ROUNDUP('損益分岐設定'!C39*AJ120/('損益分岐設定'!$B$23*'損益分岐設定'!$B$24*3600*'損益分岐設定'!$B$25),0))</x:f>
        <x:v>5</x:v>
      </x:c>
      <x:c r="AP120" s="1" t="n">
        <x:f>MAX(2,ROUNDUP('損益分岐設定'!C40*AJ120/('損益分岐設定'!$B$23*'損益分岐設定'!$B$24*3600*'損益分岐設定'!$B$25),0))</x:f>
        <x:v>9</x:v>
      </x:c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 ht="23" customHeight="1">
      <x:c r="A121" s="1" t="str">
        <x:v>Run</x:v>
      </x:c>
      <x:c r="B121" s="1" t="str">
        <x:v>Business Plus</x:v>
      </x:c>
      <x:c r="C121" s="1" t="str">
        <x:v>標準+高位混在</x:v>
      </x:c>
      <x:c r="D121" s="21" t="n">
        <x:v>0.4</x:v>
      </x:c>
      <x:c r="E121" s="1" t="n">
        <x:v>0</x:v>
      </x:c>
      <x:c r="F121" s="7" t="n">
        <x:f>AD121*'損益分岐設定'!$B$5+AE121*'損益分岐設定'!$B$6+AF121*'損益分岐設定'!$B$7</x:f>
        <x:v>8000</x:v>
      </x:c>
      <x:c r="G121" s="7" t="n">
        <x:f>AG121+(AH121+AI121)*('損益分岐設定'!$B$29+0.5*'損益分岐設定'!$B$30)+AK121*'損益分岐設定'!$B$32+(AJ121+AK121/'損益分岐設定'!$B$28*'損益分岐設定'!$B$26)*('損益分岐設定'!$B$29+'損益分岐設定'!$B$31*'損益分岐設定'!$B$30)</x:f>
        <x:v>5795.857601900387</x:v>
      </x:c>
      <x:c r="H121" s="7" t="n">
        <x:f>AL121*E121</x:f>
        <x:v>0</x:v>
      </x:c>
      <x:c r="I121" s="7" t="n">
        <x:f>F121*(1-D121-'損益分岐設定'!$B$10)-G121-H121</x:f>
        <x:v>-1283.8576019003867</x:v>
      </x:c>
      <x:c r="J121" s="1" t="str">
        <x:f>IF(MIN(V121:Y121)&gt;1000,"範囲内なし",MIN(V121:Y121))</x:f>
        <x:v>範囲内なし</x:v>
      </x:c>
      <x:c r="K121" s="1" t="str">
        <x:f>IF(MAX(Z121:AC121)&gt;=1000,"範囲内なし",MAX(1,MAX(Z121:AC121)+1))</x:f>
        <x:v>範囲内なし</x:v>
      </x:c>
      <x:c r="L121" s="7" t="n">
        <x:f>10*I121-R121</x:f>
        <x:v>-34849.51064531166</x:v>
      </x:c>
      <x:c r="M121" s="7" t="n">
        <x:f>30*I121-S121</x:f>
        <x:v>-65026.662683319395</x:v>
      </x:c>
      <x:c r="N121" s="7" t="n">
        <x:f>50*I121-S121</x:f>
        <x:v>-90703.81472132713</x:v>
      </x:c>
      <x:c r="O121" s="7" t="n">
        <x:f>100*I121-S121</x:f>
        <x:v>-154896.69481634648</x:v>
      </x:c>
      <x:c r="P121" s="7" t="n">
        <x:f>300*I121-T121</x:f>
        <x:v>-433668.2151964238</x:v>
      </x:c>
      <x:c r="Q121" s="7" t="n">
        <x:f>1000*I121-U121</x:f>
        <x:v>-1362368.5365266944</x:v>
      </x:c>
      <x:c r="R12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121*'損益分岐設定'!$B$12*'損益分岐設定'!$B$11</x:f>
        <x:v>22010.934626307797</x:v>
      </x:c>
      <x:c r="S12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121*'損益分岐設定'!$B$12*'損益分岐設定'!$B$11</x:f>
        <x:v>26510.934626307797</x:v>
      </x:c>
      <x:c r="T12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121*'損益分岐設定'!$B$12*'損益分岐設定'!$B$11</x:f>
        <x:v>48510.9346263078</x:v>
      </x:c>
      <x:c r="U12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121*'損益分岐設定'!$B$12*'損益分岐設定'!$B$11</x:f>
        <x:v>78510.9346263078</x:v>
      </x:c>
      <x:c r="V121" s="1" t="n">
        <x:f>IF(I121&lt;=0,1001,IF(MAX('損益分岐設定'!B37,ROUNDUP(R121/I121,0))&lt;='損益分岐設定'!C37,MAX('損益分岐設定'!B37,ROUNDUP(R121/I121,0)),1001))</x:f>
        <x:v>1001</x:v>
      </x:c>
      <x:c r="W121" s="1" t="n">
        <x:f>IF(I121&lt;=0,1001,IF(MAX('損益分岐設定'!B38,ROUNDUP(S121/I121,0))&lt;='損益分岐設定'!C38,MAX('損益分岐設定'!B38,ROUNDUP(S121/I121,0)),1001))</x:f>
        <x:v>1001</x:v>
      </x:c>
      <x:c r="X121" s="1" t="n">
        <x:f>IF(I121&lt;=0,1001,IF(MAX('損益分岐設定'!B39,ROUNDUP(T121/I121,0))&lt;='損益分岐設定'!C39,MAX('損益分岐設定'!B39,ROUNDUP(T121/I121,0)),1001))</x:f>
        <x:v>1001</x:v>
      </x:c>
      <x:c r="Y121" s="1" t="n">
        <x:f>IF(I121&lt;=0,1001,IF(MAX('損益分岐設定'!B40,ROUNDUP(U121/I121,0))&lt;='損益分岐設定'!C40,MAX('損益分岐設定'!B40,ROUNDUP(U121/I121,0)),1001))</x:f>
        <x:v>1001</x:v>
      </x:c>
      <x:c r="Z121" s="1" t="n">
        <x:f>IF(I121&lt;=0,'損益分岐設定'!C37,IF('損益分岐設定'!C37*I121-R121&lt;0,'損益分岐設定'!C37,IF('損益分岐設定'!B37*I121-R121&gt;=0,0,ROUNDUP(R121/I121,0)-1)))</x:f>
        <x:v>10</x:v>
      </x:c>
      <x:c r="AA121" s="1" t="n">
        <x:f>IF(I121&lt;=0,'損益分岐設定'!C38,IF('損益分岐設定'!C38*I121-S121&lt;0,'損益分岐設定'!C38,IF('損益分岐設定'!B38*I121-S121&gt;=0,0,ROUNDUP(S121/I121,0)-1)))</x:f>
        <x:v>100</x:v>
      </x:c>
      <x:c r="AB121" s="1" t="n">
        <x:f>IF(I121&lt;=0,'損益分岐設定'!C39,IF('損益分岐設定'!C39*I121-T121&lt;0,'損益分岐設定'!C39,IF('損益分岐設定'!B39*I121-T121&gt;=0,0,ROUNDUP(T121/I121,0)-1)))</x:f>
        <x:v>500</x:v>
      </x:c>
      <x:c r="AC121" s="1" t="n">
        <x:f>IF(I121&lt;=0,'損益分岐設定'!C40,IF('損益分岐設定'!C40*I121-U121&lt;0,'損益分岐設定'!C40,IF('損益分岐設定'!B40*I121-U121&gt;=0,0,ROUNDUP(U121/I121,0)-1)))</x:f>
        <x:v>1000</x:v>
      </x:c>
      <x:c r="AD121" s="1" t="n">
        <x:v>0</x:v>
      </x:c>
      <x:c r="AE121" s="1" t="n">
        <x:v>0</x:v>
      </x:c>
      <x:c r="AF121" s="1" t="n">
        <x:v>1</x:v>
      </x:c>
      <x:c r="AG121" s="1" t="n">
        <x:f>AD121*('損益分岐設定'!$C$57*(1-'損益分岐設定'!$B$51)+'損益分岐設定'!$C$58*'損益分岐設定'!$B$51)+AE121*('損益分岐設定'!$C$60*(1-'損益分岐設定'!$B$51)+'損益分岐設定'!$C$61*'損益分岐設定'!$B$51)+AF121*('損益分岐設定'!$C$63*(1-'損益分岐設定'!$B$51)+'損益分岐設定'!$C$64*'損益分岐設定'!$B$51)</x:f>
        <x:v>5765.522041015625</x:v>
      </x:c>
      <x:c r="AH121" s="1" t="n">
        <x:f>AD121*('損益分岐設定'!$D$57*(1-'損益分岐設定'!$B$51)+'損益分岐設定'!$D$58*'損益分岐設定'!$B$51)+AE121*('損益分岐設定'!$D$60*(1-'損益分岐設定'!$B$51)+'損益分岐設定'!$D$61*'損益分岐設定'!$B$51)+AF121*('損益分岐設定'!$D$63*(1-'損益分岐設定'!$B$51)+'損益分岐設定'!$D$64*'損益分岐設定'!$B$51)</x:f>
        <x:v>480</x:v>
      </x:c>
      <x:c r="AI121" s="1" t="n">
        <x:f>AD121*('損益分岐設定'!$E$57*(1-'損益分岐設定'!$B$51)+'損益分岐設定'!$E$58*'損益分岐設定'!$B$51)+AE121*('損益分岐設定'!$E$60*(1-'損益分岐設定'!$B$51)+'損益分岐設定'!$E$61*'損益分岐設定'!$B$51)+AF121*('損益分岐設定'!$E$63*(1-'損益分岐設定'!$B$51)+'損益分岐設定'!$E$64*'損益分岐設定'!$B$51)</x:f>
        <x:v>560</x:v>
      </x:c>
      <x:c r="AJ121" s="1" t="n">
        <x:f>(AD121*('損益分岐設定'!$F$57*(1-'損益分岐設定'!$B$51)+'損益分岐設定'!$F$58*'損益分岐設定'!$B$51)+AE121*('損益分岐設定'!$F$60*(1-'損益分岐設定'!$B$51)+'損益分岐設定'!$F$61*'損益分岐設定'!$B$51)+AF121*('損益分岐設定'!$F$63*(1-'損益分岐設定'!$B$51)+'損益分岐設定'!$F$64*'損益分岐設定'!$B$51)*1)*'損益分岐設定'!$B$22</x:f>
        <x:v>4560</x:v>
      </x:c>
      <x:c r="AK121" s="1" t="n">
        <x:f>AD121*('損益分岐設定'!$G$57*(1-'損益分岐設定'!$B$51)+'損益分岐設定'!$G$58*'損益分岐設定'!$B$51)+AE121*('損益分岐設定'!$G$60*(1-'損益分岐設定'!$B$51)+'損益分岐設定'!$G$61*'損益分岐設定'!$B$51)+AF121*('損益分岐設定'!$G$63*(1-'損益分岐設定'!$B$51)+'損益分岐設定'!$G$64*'損益分岐設定'!$B$51)</x:f>
        <x:v>4000</x:v>
      </x:c>
      <x:c r="AL121" s="1" t="n">
        <x:f>AD121*('損益分岐設定'!$H$57*(1-'損益分岐設定'!$B$51)+'損益分岐設定'!$H$58*'損益分岐設定'!$B$51)+AE121*('損益分岐設定'!$H$60*(1-'損益分岐設定'!$B$51)+'損益分岐設定'!$H$61*'損益分岐設定'!$B$51)+AF121*('損益分岐設定'!$H$63*(1-'損益分岐設定'!$B$51)+'損益分岐設定'!$H$64*'損益分岐設定'!$B$51)</x:f>
        <x:v>1026.666666666667</x:v>
      </x:c>
      <x:c r="AM121" s="1" t="n">
        <x:f>MAX(1,ROUNDUP('損益分岐設定'!C37*AJ121/('損益分岐設定'!$B$23*'損益分岐設定'!$B$24*3600*'損益分岐設定'!$B$25),0))</x:f>
        <x:v>1</x:v>
      </x:c>
      <x:c r="AN121" s="1" t="n">
        <x:f>MAX(2,ROUNDUP('損益分岐設定'!C38*AJ121/('損益分岐設定'!$B$23*'損益分岐設定'!$B$24*3600*'損益分岐設定'!$B$25),0))</x:f>
        <x:v>2</x:v>
      </x:c>
      <x:c r="AO121" s="1" t="n">
        <x:f>MAX(2,ROUNDUP('損益分岐設定'!C39*AJ121/('損益分岐設定'!$B$23*'損益分岐設定'!$B$24*3600*'損益分岐設定'!$B$25),0))</x:f>
        <x:v>5</x:v>
      </x:c>
      <x:c r="AP121" s="1" t="n">
        <x:f>MAX(2,ROUNDUP('損益分岐設定'!C40*AJ121/('損益分岐設定'!$B$23*'損益分岐設定'!$B$24*3600*'損益分岐設定'!$B$25),0))</x:f>
        <x:v>9</x:v>
      </x:c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 ht="23" customHeight="1">
      <x:c r="A122" s="1" t="str">
        <x:v>Run</x:v>
      </x:c>
      <x:c r="B122" s="1" t="str">
        <x:v>Business Plus</x:v>
      </x:c>
      <x:c r="C122" s="1" t="str">
        <x:v>標準+高位混在</x:v>
      </x:c>
      <x:c r="D122" s="21" t="n">
        <x:v>0.4</x:v>
      </x:c>
      <x:c r="E122" s="1" t="n">
        <x:v>1</x:v>
      </x:c>
      <x:c r="F122" s="7" t="n">
        <x:f>AD122*'損益分岐設定'!$B$5+AE122*'損益分岐設定'!$B$6+AF122*'損益分岐設定'!$B$7</x:f>
        <x:v>8000</x:v>
      </x:c>
      <x:c r="G122" s="7" t="n">
        <x:f>AG122+(AH122+AI122)*('損益分岐設定'!$B$29+0.5*'損益分岐設定'!$B$30)+AK122*'損益分岐設定'!$B$32+(AJ122+AK122/'損益分岐設定'!$B$28*'損益分岐設定'!$B$26)*('損益分岐設定'!$B$29+'損益分岐設定'!$B$31*'損益分岐設定'!$B$30)</x:f>
        <x:v>5795.857601900387</x:v>
      </x:c>
      <x:c r="H122" s="7" t="n">
        <x:f>AL122*E122</x:f>
        <x:v>1026.666666666667</x:v>
      </x:c>
      <x:c r="I122" s="7" t="n">
        <x:f>F122*(1-D122-'損益分岐設定'!$B$10)-G122-H122</x:f>
        <x:v>-2310.5242685670537</x:v>
      </x:c>
      <x:c r="J122" s="1" t="str">
        <x:f>IF(MIN(V122:Y122)&gt;1000,"範囲内なし",MIN(V122:Y122))</x:f>
        <x:v>範囲内なし</x:v>
      </x:c>
      <x:c r="K122" s="1" t="str">
        <x:f>IF(MAX(Z122:AC122)&gt;=1000,"範囲内なし",MAX(1,MAX(Z122:AC122)+1))</x:f>
        <x:v>範囲内なし</x:v>
      </x:c>
      <x:c r="L122" s="7" t="n">
        <x:f>10*I122-R122</x:f>
        <x:v>-53116.17731197833</x:v>
      </x:c>
      <x:c r="M122" s="7" t="n">
        <x:f>30*I122-S122</x:f>
        <x:v>-103826.66268331942</x:v>
      </x:c>
      <x:c r="N122" s="7" t="n">
        <x:f>50*I122-S122</x:f>
        <x:v>-150037.14805466047</x:v>
      </x:c>
      <x:c r="O122" s="7" t="n">
        <x:f>100*I122-S122</x:f>
        <x:v>-265563.36148301314</x:v>
      </x:c>
      <x:c r="P122" s="7" t="n">
        <x:f>300*I122-T122</x:f>
        <x:v>-749668.2151964239</x:v>
      </x:c>
      <x:c r="Q122" s="7" t="n">
        <x:f>1000*I122-U122</x:f>
        <x:v>-2397035.2031933614</x:v>
      </x:c>
      <x:c r="R12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122*'損益分岐設定'!$B$12*'損益分岐設定'!$B$11</x:f>
        <x:v>30010.934626307797</x:v>
      </x:c>
      <x:c r="S12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122*'損益分岐設定'!$B$12*'損益分岐設定'!$B$11</x:f>
        <x:v>34510.9346263078</x:v>
      </x:c>
      <x:c r="T12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122*'損益分岐設定'!$B$12*'損益分岐設定'!$B$11</x:f>
        <x:v>56510.9346263078</x:v>
      </x:c>
      <x:c r="U12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122*'損益分岐設定'!$B$12*'損益分岐設定'!$B$11</x:f>
        <x:v>86510.9346263078</x:v>
      </x:c>
      <x:c r="V122" s="1" t="n">
        <x:f>IF(I122&lt;=0,1001,IF(MAX('損益分岐設定'!B37,ROUNDUP(R122/I122,0))&lt;='損益分岐設定'!C37,MAX('損益分岐設定'!B37,ROUNDUP(R122/I122,0)),1001))</x:f>
        <x:v>1001</x:v>
      </x:c>
      <x:c r="W122" s="1" t="n">
        <x:f>IF(I122&lt;=0,1001,IF(MAX('損益分岐設定'!B38,ROUNDUP(S122/I122,0))&lt;='損益分岐設定'!C38,MAX('損益分岐設定'!B38,ROUNDUP(S122/I122,0)),1001))</x:f>
        <x:v>1001</x:v>
      </x:c>
      <x:c r="X122" s="1" t="n">
        <x:f>IF(I122&lt;=0,1001,IF(MAX('損益分岐設定'!B39,ROUNDUP(T122/I122,0))&lt;='損益分岐設定'!C39,MAX('損益分岐設定'!B39,ROUNDUP(T122/I122,0)),1001))</x:f>
        <x:v>1001</x:v>
      </x:c>
      <x:c r="Y122" s="1" t="n">
        <x:f>IF(I122&lt;=0,1001,IF(MAX('損益分岐設定'!B40,ROUNDUP(U122/I122,0))&lt;='損益分岐設定'!C40,MAX('損益分岐設定'!B40,ROUNDUP(U122/I122,0)),1001))</x:f>
        <x:v>1001</x:v>
      </x:c>
      <x:c r="Z122" s="1" t="n">
        <x:f>IF(I122&lt;=0,'損益分岐設定'!C37,IF('損益分岐設定'!C37*I122-R122&lt;0,'損益分岐設定'!C37,IF('損益分岐設定'!B37*I122-R122&gt;=0,0,ROUNDUP(R122/I122,0)-1)))</x:f>
        <x:v>10</x:v>
      </x:c>
      <x:c r="AA122" s="1" t="n">
        <x:f>IF(I122&lt;=0,'損益分岐設定'!C38,IF('損益分岐設定'!C38*I122-S122&lt;0,'損益分岐設定'!C38,IF('損益分岐設定'!B38*I122-S122&gt;=0,0,ROUNDUP(S122/I122,0)-1)))</x:f>
        <x:v>100</x:v>
      </x:c>
      <x:c r="AB122" s="1" t="n">
        <x:f>IF(I122&lt;=0,'損益分岐設定'!C39,IF('損益分岐設定'!C39*I122-T122&lt;0,'損益分岐設定'!C39,IF('損益分岐設定'!B39*I122-T122&gt;=0,0,ROUNDUP(T122/I122,0)-1)))</x:f>
        <x:v>500</x:v>
      </x:c>
      <x:c r="AC122" s="1" t="n">
        <x:f>IF(I122&lt;=0,'損益分岐設定'!C40,IF('損益分岐設定'!C40*I122-U122&lt;0,'損益分岐設定'!C40,IF('損益分岐設定'!B40*I122-U122&gt;=0,0,ROUNDUP(U122/I122,0)-1)))</x:f>
        <x:v>1000</x:v>
      </x:c>
      <x:c r="AD122" s="1" t="n">
        <x:v>0</x:v>
      </x:c>
      <x:c r="AE122" s="1" t="n">
        <x:v>0</x:v>
      </x:c>
      <x:c r="AF122" s="1" t="n">
        <x:v>1</x:v>
      </x:c>
      <x:c r="AG122" s="1" t="n">
        <x:f>AD122*('損益分岐設定'!$C$57*(1-'損益分岐設定'!$B$51)+'損益分岐設定'!$C$58*'損益分岐設定'!$B$51)+AE122*('損益分岐設定'!$C$60*(1-'損益分岐設定'!$B$51)+'損益分岐設定'!$C$61*'損益分岐設定'!$B$51)+AF122*('損益分岐設定'!$C$63*(1-'損益分岐設定'!$B$51)+'損益分岐設定'!$C$64*'損益分岐設定'!$B$51)</x:f>
        <x:v>5765.522041015625</x:v>
      </x:c>
      <x:c r="AH122" s="1" t="n">
        <x:f>AD122*('損益分岐設定'!$D$57*(1-'損益分岐設定'!$B$51)+'損益分岐設定'!$D$58*'損益分岐設定'!$B$51)+AE122*('損益分岐設定'!$D$60*(1-'損益分岐設定'!$B$51)+'損益分岐設定'!$D$61*'損益分岐設定'!$B$51)+AF122*('損益分岐設定'!$D$63*(1-'損益分岐設定'!$B$51)+'損益分岐設定'!$D$64*'損益分岐設定'!$B$51)</x:f>
        <x:v>480</x:v>
      </x:c>
      <x:c r="AI122" s="1" t="n">
        <x:f>AD122*('損益分岐設定'!$E$57*(1-'損益分岐設定'!$B$51)+'損益分岐設定'!$E$58*'損益分岐設定'!$B$51)+AE122*('損益分岐設定'!$E$60*(1-'損益分岐設定'!$B$51)+'損益分岐設定'!$E$61*'損益分岐設定'!$B$51)+AF122*('損益分岐設定'!$E$63*(1-'損益分岐設定'!$B$51)+'損益分岐設定'!$E$64*'損益分岐設定'!$B$51)</x:f>
        <x:v>560</x:v>
      </x:c>
      <x:c r="AJ122" s="1" t="n">
        <x:f>(AD122*('損益分岐設定'!$F$57*(1-'損益分岐設定'!$B$51)+'損益分岐設定'!$F$58*'損益分岐設定'!$B$51)+AE122*('損益分岐設定'!$F$60*(1-'損益分岐設定'!$B$51)+'損益分岐設定'!$F$61*'損益分岐設定'!$B$51)+AF122*('損益分岐設定'!$F$63*(1-'損益分岐設定'!$B$51)+'損益分岐設定'!$F$64*'損益分岐設定'!$B$51)*1)*'損益分岐設定'!$B$22</x:f>
        <x:v>4560</x:v>
      </x:c>
      <x:c r="AK122" s="1" t="n">
        <x:f>AD122*('損益分岐設定'!$G$57*(1-'損益分岐設定'!$B$51)+'損益分岐設定'!$G$58*'損益分岐設定'!$B$51)+AE122*('損益分岐設定'!$G$60*(1-'損益分岐設定'!$B$51)+'損益分岐設定'!$G$61*'損益分岐設定'!$B$51)+AF122*('損益分岐設定'!$G$63*(1-'損益分岐設定'!$B$51)+'損益分岐設定'!$G$64*'損益分岐設定'!$B$51)</x:f>
        <x:v>4000</x:v>
      </x:c>
      <x:c r="AL122" s="1" t="n">
        <x:f>AD122*('損益分岐設定'!$H$57*(1-'損益分岐設定'!$B$51)+'損益分岐設定'!$H$58*'損益分岐設定'!$B$51)+AE122*('損益分岐設定'!$H$60*(1-'損益分岐設定'!$B$51)+'損益分岐設定'!$H$61*'損益分岐設定'!$B$51)+AF122*('損益分岐設定'!$H$63*(1-'損益分岐設定'!$B$51)+'損益分岐設定'!$H$64*'損益分岐設定'!$B$51)</x:f>
        <x:v>1026.666666666667</x:v>
      </x:c>
      <x:c r="AM122" s="1" t="n">
        <x:f>MAX(1,ROUNDUP('損益分岐設定'!C37*AJ122/('損益分岐設定'!$B$23*'損益分岐設定'!$B$24*3600*'損益分岐設定'!$B$25),0))</x:f>
        <x:v>1</x:v>
      </x:c>
      <x:c r="AN122" s="1" t="n">
        <x:f>MAX(2,ROUNDUP('損益分岐設定'!C38*AJ122/('損益分岐設定'!$B$23*'損益分岐設定'!$B$24*3600*'損益分岐設定'!$B$25),0))</x:f>
        <x:v>2</x:v>
      </x:c>
      <x:c r="AO122" s="1" t="n">
        <x:f>MAX(2,ROUNDUP('損益分岐設定'!C39*AJ122/('損益分岐設定'!$B$23*'損益分岐設定'!$B$24*3600*'損益分岐設定'!$B$25),0))</x:f>
        <x:v>5</x:v>
      </x:c>
      <x:c r="AP122" s="1" t="n">
        <x:f>MAX(2,ROUNDUP('損益分岐設定'!C40*AJ122/('損益分岐設定'!$B$23*'損益分岐設定'!$B$24*3600*'損益分岐設定'!$B$25),0))</x:f>
        <x:v>9</x:v>
      </x:c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 ht="23" customHeight="1">
      <x:c r="A123" s="1" t="str">
        <x:v>Run</x:v>
      </x:c>
      <x:c r="B123" s="1" t="str">
        <x:v>Business Plus</x:v>
      </x:c>
      <x:c r="C123" s="1" t="str">
        <x:v>標準+高位混在</x:v>
      </x:c>
      <x:c r="D123" s="21" t="n">
        <x:v>0.5</x:v>
      </x:c>
      <x:c r="E123" s="1" t="n">
        <x:v>0</x:v>
      </x:c>
      <x:c r="F123" s="7" t="n">
        <x:f>AD123*'損益分岐設定'!$B$5+AE123*'損益分岐設定'!$B$6+AF123*'損益分岐設定'!$B$7</x:f>
        <x:v>8000</x:v>
      </x:c>
      <x:c r="G123" s="7" t="n">
        <x:f>AG123+(AH123+AI123)*('損益分岐設定'!$B$29+0.5*'損益分岐設定'!$B$30)+AK123*'損益分岐設定'!$B$32+(AJ123+AK123/'損益分岐設定'!$B$28*'損益分岐設定'!$B$26)*('損益分岐設定'!$B$29+'損益分岐設定'!$B$31*'損益分岐設定'!$B$30)</x:f>
        <x:v>5795.857601900387</x:v>
      </x:c>
      <x:c r="H123" s="7" t="n">
        <x:f>AL123*E123</x:f>
        <x:v>0</x:v>
      </x:c>
      <x:c r="I123" s="7" t="n">
        <x:f>F123*(1-D123-'損益分岐設定'!$B$10)-G123-H123</x:f>
        <x:v>-2083.8576019003867</x:v>
      </x:c>
      <x:c r="J123" s="1" t="str">
        <x:f>IF(MIN(V123:Y123)&gt;1000,"範囲内なし",MIN(V123:Y123))</x:f>
        <x:v>範囲内なし</x:v>
      </x:c>
      <x:c r="K123" s="1" t="str">
        <x:f>IF(MAX(Z123:AC123)&gt;=1000,"範囲内なし",MAX(1,MAX(Z123:AC123)+1))</x:f>
        <x:v>範囲内なし</x:v>
      </x:c>
      <x:c r="L123" s="7" t="n">
        <x:f>10*I123-R123</x:f>
        <x:v>-42849.51064531166</x:v>
      </x:c>
      <x:c r="M123" s="7" t="n">
        <x:f>30*I123-S123</x:f>
        <x:v>-89026.66268331939</x:v>
      </x:c>
      <x:c r="N123" s="7" t="n">
        <x:f>50*I123-S123</x:f>
        <x:v>-130703.81472132713</x:v>
      </x:c>
      <x:c r="O123" s="7" t="n">
        <x:f>100*I123-S123</x:f>
        <x:v>-234896.69481634648</x:v>
      </x:c>
      <x:c r="P123" s="7" t="n">
        <x:f>300*I123-T123</x:f>
        <x:v>-673668.2151964238</x:v>
      </x:c>
      <x:c r="Q123" s="7" t="n">
        <x:f>1000*I123-U123</x:f>
        <x:v>-2162368.5365266944</x:v>
      </x:c>
      <x:c r="R12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123*'損益分岐設定'!$B$12*'損益分岐設定'!$B$11</x:f>
        <x:v>22010.934626307797</x:v>
      </x:c>
      <x:c r="S12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123*'損益分岐設定'!$B$12*'損益分岐設定'!$B$11</x:f>
        <x:v>26510.934626307797</x:v>
      </x:c>
      <x:c r="T12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123*'損益分岐設定'!$B$12*'損益分岐設定'!$B$11</x:f>
        <x:v>48510.9346263078</x:v>
      </x:c>
      <x:c r="U12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123*'損益分岐設定'!$B$12*'損益分岐設定'!$B$11</x:f>
        <x:v>78510.9346263078</x:v>
      </x:c>
      <x:c r="V123" s="1" t="n">
        <x:f>IF(I123&lt;=0,1001,IF(MAX('損益分岐設定'!B37,ROUNDUP(R123/I123,0))&lt;='損益分岐設定'!C37,MAX('損益分岐設定'!B37,ROUNDUP(R123/I123,0)),1001))</x:f>
        <x:v>1001</x:v>
      </x:c>
      <x:c r="W123" s="1" t="n">
        <x:f>IF(I123&lt;=0,1001,IF(MAX('損益分岐設定'!B38,ROUNDUP(S123/I123,0))&lt;='損益分岐設定'!C38,MAX('損益分岐設定'!B38,ROUNDUP(S123/I123,0)),1001))</x:f>
        <x:v>1001</x:v>
      </x:c>
      <x:c r="X123" s="1" t="n">
        <x:f>IF(I123&lt;=0,1001,IF(MAX('損益分岐設定'!B39,ROUNDUP(T123/I123,0))&lt;='損益分岐設定'!C39,MAX('損益分岐設定'!B39,ROUNDUP(T123/I123,0)),1001))</x:f>
        <x:v>1001</x:v>
      </x:c>
      <x:c r="Y123" s="1" t="n">
        <x:f>IF(I123&lt;=0,1001,IF(MAX('損益分岐設定'!B40,ROUNDUP(U123/I123,0))&lt;='損益分岐設定'!C40,MAX('損益分岐設定'!B40,ROUNDUP(U123/I123,0)),1001))</x:f>
        <x:v>1001</x:v>
      </x:c>
      <x:c r="Z123" s="1" t="n">
        <x:f>IF(I123&lt;=0,'損益分岐設定'!C37,IF('損益分岐設定'!C37*I123-R123&lt;0,'損益分岐設定'!C37,IF('損益分岐設定'!B37*I123-R123&gt;=0,0,ROUNDUP(R123/I123,0)-1)))</x:f>
        <x:v>10</x:v>
      </x:c>
      <x:c r="AA123" s="1" t="n">
        <x:f>IF(I123&lt;=0,'損益分岐設定'!C38,IF('損益分岐設定'!C38*I123-S123&lt;0,'損益分岐設定'!C38,IF('損益分岐設定'!B38*I123-S123&gt;=0,0,ROUNDUP(S123/I123,0)-1)))</x:f>
        <x:v>100</x:v>
      </x:c>
      <x:c r="AB123" s="1" t="n">
        <x:f>IF(I123&lt;=0,'損益分岐設定'!C39,IF('損益分岐設定'!C39*I123-T123&lt;0,'損益分岐設定'!C39,IF('損益分岐設定'!B39*I123-T123&gt;=0,0,ROUNDUP(T123/I123,0)-1)))</x:f>
        <x:v>500</x:v>
      </x:c>
      <x:c r="AC123" s="1" t="n">
        <x:f>IF(I123&lt;=0,'損益分岐設定'!C40,IF('損益分岐設定'!C40*I123-U123&lt;0,'損益分岐設定'!C40,IF('損益分岐設定'!B40*I123-U123&gt;=0,0,ROUNDUP(U123/I123,0)-1)))</x:f>
        <x:v>1000</x:v>
      </x:c>
      <x:c r="AD123" s="1" t="n">
        <x:v>0</x:v>
      </x:c>
      <x:c r="AE123" s="1" t="n">
        <x:v>0</x:v>
      </x:c>
      <x:c r="AF123" s="1" t="n">
        <x:v>1</x:v>
      </x:c>
      <x:c r="AG123" s="1" t="n">
        <x:f>AD123*('損益分岐設定'!$C$57*(1-'損益分岐設定'!$B$51)+'損益分岐設定'!$C$58*'損益分岐設定'!$B$51)+AE123*('損益分岐設定'!$C$60*(1-'損益分岐設定'!$B$51)+'損益分岐設定'!$C$61*'損益分岐設定'!$B$51)+AF123*('損益分岐設定'!$C$63*(1-'損益分岐設定'!$B$51)+'損益分岐設定'!$C$64*'損益分岐設定'!$B$51)</x:f>
        <x:v>5765.522041015625</x:v>
      </x:c>
      <x:c r="AH123" s="1" t="n">
        <x:f>AD123*('損益分岐設定'!$D$57*(1-'損益分岐設定'!$B$51)+'損益分岐設定'!$D$58*'損益分岐設定'!$B$51)+AE123*('損益分岐設定'!$D$60*(1-'損益分岐設定'!$B$51)+'損益分岐設定'!$D$61*'損益分岐設定'!$B$51)+AF123*('損益分岐設定'!$D$63*(1-'損益分岐設定'!$B$51)+'損益分岐設定'!$D$64*'損益分岐設定'!$B$51)</x:f>
        <x:v>480</x:v>
      </x:c>
      <x:c r="AI123" s="1" t="n">
        <x:f>AD123*('損益分岐設定'!$E$57*(1-'損益分岐設定'!$B$51)+'損益分岐設定'!$E$58*'損益分岐設定'!$B$51)+AE123*('損益分岐設定'!$E$60*(1-'損益分岐設定'!$B$51)+'損益分岐設定'!$E$61*'損益分岐設定'!$B$51)+AF123*('損益分岐設定'!$E$63*(1-'損益分岐設定'!$B$51)+'損益分岐設定'!$E$64*'損益分岐設定'!$B$51)</x:f>
        <x:v>560</x:v>
      </x:c>
      <x:c r="AJ123" s="1" t="n">
        <x:f>(AD123*('損益分岐設定'!$F$57*(1-'損益分岐設定'!$B$51)+'損益分岐設定'!$F$58*'損益分岐設定'!$B$51)+AE123*('損益分岐設定'!$F$60*(1-'損益分岐設定'!$B$51)+'損益分岐設定'!$F$61*'損益分岐設定'!$B$51)+AF123*('損益分岐設定'!$F$63*(1-'損益分岐設定'!$B$51)+'損益分岐設定'!$F$64*'損益分岐設定'!$B$51)*1)*'損益分岐設定'!$B$22</x:f>
        <x:v>4560</x:v>
      </x:c>
      <x:c r="AK123" s="1" t="n">
        <x:f>AD123*('損益分岐設定'!$G$57*(1-'損益分岐設定'!$B$51)+'損益分岐設定'!$G$58*'損益分岐設定'!$B$51)+AE123*('損益分岐設定'!$G$60*(1-'損益分岐設定'!$B$51)+'損益分岐設定'!$G$61*'損益分岐設定'!$B$51)+AF123*('損益分岐設定'!$G$63*(1-'損益分岐設定'!$B$51)+'損益分岐設定'!$G$64*'損益分岐設定'!$B$51)</x:f>
        <x:v>4000</x:v>
      </x:c>
      <x:c r="AL123" s="1" t="n">
        <x:f>AD123*('損益分岐設定'!$H$57*(1-'損益分岐設定'!$B$51)+'損益分岐設定'!$H$58*'損益分岐設定'!$B$51)+AE123*('損益分岐設定'!$H$60*(1-'損益分岐設定'!$B$51)+'損益分岐設定'!$H$61*'損益分岐設定'!$B$51)+AF123*('損益分岐設定'!$H$63*(1-'損益分岐設定'!$B$51)+'損益分岐設定'!$H$64*'損益分岐設定'!$B$51)</x:f>
        <x:v>1026.666666666667</x:v>
      </x:c>
      <x:c r="AM123" s="1" t="n">
        <x:f>MAX(1,ROUNDUP('損益分岐設定'!C37*AJ123/('損益分岐設定'!$B$23*'損益分岐設定'!$B$24*3600*'損益分岐設定'!$B$25),0))</x:f>
        <x:v>1</x:v>
      </x:c>
      <x:c r="AN123" s="1" t="n">
        <x:f>MAX(2,ROUNDUP('損益分岐設定'!C38*AJ123/('損益分岐設定'!$B$23*'損益分岐設定'!$B$24*3600*'損益分岐設定'!$B$25),0))</x:f>
        <x:v>2</x:v>
      </x:c>
      <x:c r="AO123" s="1" t="n">
        <x:f>MAX(2,ROUNDUP('損益分岐設定'!C39*AJ123/('損益分岐設定'!$B$23*'損益分岐設定'!$B$24*3600*'損益分岐設定'!$B$25),0))</x:f>
        <x:v>5</x:v>
      </x:c>
      <x:c r="AP123" s="1" t="n">
        <x:f>MAX(2,ROUNDUP('損益分岐設定'!C40*AJ123/('損益分岐設定'!$B$23*'損益分岐設定'!$B$24*3600*'損益分岐設定'!$B$25),0))</x:f>
        <x:v>9</x:v>
      </x:c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 ht="23" customHeight="1">
      <x:c r="A124" s="1" t="str">
        <x:v>Run</x:v>
      </x:c>
      <x:c r="B124" s="1" t="str">
        <x:v>Business Plus</x:v>
      </x:c>
      <x:c r="C124" s="1" t="str">
        <x:v>標準+高位混在</x:v>
      </x:c>
      <x:c r="D124" s="21" t="n">
        <x:v>0.5</x:v>
      </x:c>
      <x:c r="E124" s="1" t="n">
        <x:v>1</x:v>
      </x:c>
      <x:c r="F124" s="7" t="n">
        <x:f>AD124*'損益分岐設定'!$B$5+AE124*'損益分岐設定'!$B$6+AF124*'損益分岐設定'!$B$7</x:f>
        <x:v>8000</x:v>
      </x:c>
      <x:c r="G124" s="7" t="n">
        <x:f>AG124+(AH124+AI124)*('損益分岐設定'!$B$29+0.5*'損益分岐設定'!$B$30)+AK124*'損益分岐設定'!$B$32+(AJ124+AK124/'損益分岐設定'!$B$28*'損益分岐設定'!$B$26)*('損益分岐設定'!$B$29+'損益分岐設定'!$B$31*'損益分岐設定'!$B$30)</x:f>
        <x:v>5795.857601900387</x:v>
      </x:c>
      <x:c r="H124" s="7" t="n">
        <x:f>AL124*E124</x:f>
        <x:v>1026.666666666667</x:v>
      </x:c>
      <x:c r="I124" s="7" t="n">
        <x:f>F124*(1-D124-'損益分岐設定'!$B$10)-G124-H124</x:f>
        <x:v>-3110.5242685670537</x:v>
      </x:c>
      <x:c r="J124" s="1" t="str">
        <x:f>IF(MIN(V124:Y124)&gt;1000,"範囲内なし",MIN(V124:Y124))</x:f>
        <x:v>範囲内なし</x:v>
      </x:c>
      <x:c r="K124" s="1" t="str">
        <x:f>IF(MAX(Z124:AC124)&gt;=1000,"範囲内なし",MAX(1,MAX(Z124:AC124)+1))</x:f>
        <x:v>範囲内なし</x:v>
      </x:c>
      <x:c r="L124" s="7" t="n">
        <x:f>10*I124-R124</x:f>
        <x:v>-61116.17731197833</x:v>
      </x:c>
      <x:c r="M124" s="7" t="n">
        <x:f>30*I124-S124</x:f>
        <x:v>-127826.66268331942</x:v>
      </x:c>
      <x:c r="N124" s="7" t="n">
        <x:f>50*I124-S124</x:f>
        <x:v>-190037.1480546605</x:v>
      </x:c>
      <x:c r="O124" s="7" t="n">
        <x:f>100*I124-S124</x:f>
        <x:v>-345563.3614830132</x:v>
      </x:c>
      <x:c r="P124" s="7" t="n">
        <x:f>300*I124-T124</x:f>
        <x:v>-989668.2151964239</x:v>
      </x:c>
      <x:c r="Q124" s="7" t="n">
        <x:f>1000*I124-U124</x:f>
        <x:v>-3197035.2031933614</x:v>
      </x:c>
      <x:c r="R12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124*'損益分岐設定'!$B$12*'損益分岐設定'!$B$11</x:f>
        <x:v>30010.934626307797</x:v>
      </x:c>
      <x:c r="S12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124*'損益分岐設定'!$B$12*'損益分岐設定'!$B$11</x:f>
        <x:v>34510.9346263078</x:v>
      </x:c>
      <x:c r="T12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124*'損益分岐設定'!$B$12*'損益分岐設定'!$B$11</x:f>
        <x:v>56510.9346263078</x:v>
      </x:c>
      <x:c r="U12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124*'損益分岐設定'!$B$12*'損益分岐設定'!$B$11</x:f>
        <x:v>86510.9346263078</x:v>
      </x:c>
      <x:c r="V124" s="1" t="n">
        <x:f>IF(I124&lt;=0,1001,IF(MAX('損益分岐設定'!B37,ROUNDUP(R124/I124,0))&lt;='損益分岐設定'!C37,MAX('損益分岐設定'!B37,ROUNDUP(R124/I124,0)),1001))</x:f>
        <x:v>1001</x:v>
      </x:c>
      <x:c r="W124" s="1" t="n">
        <x:f>IF(I124&lt;=0,1001,IF(MAX('損益分岐設定'!B38,ROUNDUP(S124/I124,0))&lt;='損益分岐設定'!C38,MAX('損益分岐設定'!B38,ROUNDUP(S124/I124,0)),1001))</x:f>
        <x:v>1001</x:v>
      </x:c>
      <x:c r="X124" s="1" t="n">
        <x:f>IF(I124&lt;=0,1001,IF(MAX('損益分岐設定'!B39,ROUNDUP(T124/I124,0))&lt;='損益分岐設定'!C39,MAX('損益分岐設定'!B39,ROUNDUP(T124/I124,0)),1001))</x:f>
        <x:v>1001</x:v>
      </x:c>
      <x:c r="Y124" s="1" t="n">
        <x:f>IF(I124&lt;=0,1001,IF(MAX('損益分岐設定'!B40,ROUNDUP(U124/I124,0))&lt;='損益分岐設定'!C40,MAX('損益分岐設定'!B40,ROUNDUP(U124/I124,0)),1001))</x:f>
        <x:v>1001</x:v>
      </x:c>
      <x:c r="Z124" s="1" t="n">
        <x:f>IF(I124&lt;=0,'損益分岐設定'!C37,IF('損益分岐設定'!C37*I124-R124&lt;0,'損益分岐設定'!C37,IF('損益分岐設定'!B37*I124-R124&gt;=0,0,ROUNDUP(R124/I124,0)-1)))</x:f>
        <x:v>10</x:v>
      </x:c>
      <x:c r="AA124" s="1" t="n">
        <x:f>IF(I124&lt;=0,'損益分岐設定'!C38,IF('損益分岐設定'!C38*I124-S124&lt;0,'損益分岐設定'!C38,IF('損益分岐設定'!B38*I124-S124&gt;=0,0,ROUNDUP(S124/I124,0)-1)))</x:f>
        <x:v>100</x:v>
      </x:c>
      <x:c r="AB124" s="1" t="n">
        <x:f>IF(I124&lt;=0,'損益分岐設定'!C39,IF('損益分岐設定'!C39*I124-T124&lt;0,'損益分岐設定'!C39,IF('損益分岐設定'!B39*I124-T124&gt;=0,0,ROUNDUP(T124/I124,0)-1)))</x:f>
        <x:v>500</x:v>
      </x:c>
      <x:c r="AC124" s="1" t="n">
        <x:f>IF(I124&lt;=0,'損益分岐設定'!C40,IF('損益分岐設定'!C40*I124-U124&lt;0,'損益分岐設定'!C40,IF('損益分岐設定'!B40*I124-U124&gt;=0,0,ROUNDUP(U124/I124,0)-1)))</x:f>
        <x:v>1000</x:v>
      </x:c>
      <x:c r="AD124" s="1" t="n">
        <x:v>0</x:v>
      </x:c>
      <x:c r="AE124" s="1" t="n">
        <x:v>0</x:v>
      </x:c>
      <x:c r="AF124" s="1" t="n">
        <x:v>1</x:v>
      </x:c>
      <x:c r="AG124" s="1" t="n">
        <x:f>AD124*('損益分岐設定'!$C$57*(1-'損益分岐設定'!$B$51)+'損益分岐設定'!$C$58*'損益分岐設定'!$B$51)+AE124*('損益分岐設定'!$C$60*(1-'損益分岐設定'!$B$51)+'損益分岐設定'!$C$61*'損益分岐設定'!$B$51)+AF124*('損益分岐設定'!$C$63*(1-'損益分岐設定'!$B$51)+'損益分岐設定'!$C$64*'損益分岐設定'!$B$51)</x:f>
        <x:v>5765.522041015625</x:v>
      </x:c>
      <x:c r="AH124" s="1" t="n">
        <x:f>AD124*('損益分岐設定'!$D$57*(1-'損益分岐設定'!$B$51)+'損益分岐設定'!$D$58*'損益分岐設定'!$B$51)+AE124*('損益分岐設定'!$D$60*(1-'損益分岐設定'!$B$51)+'損益分岐設定'!$D$61*'損益分岐設定'!$B$51)+AF124*('損益分岐設定'!$D$63*(1-'損益分岐設定'!$B$51)+'損益分岐設定'!$D$64*'損益分岐設定'!$B$51)</x:f>
        <x:v>480</x:v>
      </x:c>
      <x:c r="AI124" s="1" t="n">
        <x:f>AD124*('損益分岐設定'!$E$57*(1-'損益分岐設定'!$B$51)+'損益分岐設定'!$E$58*'損益分岐設定'!$B$51)+AE124*('損益分岐設定'!$E$60*(1-'損益分岐設定'!$B$51)+'損益分岐設定'!$E$61*'損益分岐設定'!$B$51)+AF124*('損益分岐設定'!$E$63*(1-'損益分岐設定'!$B$51)+'損益分岐設定'!$E$64*'損益分岐設定'!$B$51)</x:f>
        <x:v>560</x:v>
      </x:c>
      <x:c r="AJ124" s="1" t="n">
        <x:f>(AD124*('損益分岐設定'!$F$57*(1-'損益分岐設定'!$B$51)+'損益分岐設定'!$F$58*'損益分岐設定'!$B$51)+AE124*('損益分岐設定'!$F$60*(1-'損益分岐設定'!$B$51)+'損益分岐設定'!$F$61*'損益分岐設定'!$B$51)+AF124*('損益分岐設定'!$F$63*(1-'損益分岐設定'!$B$51)+'損益分岐設定'!$F$64*'損益分岐設定'!$B$51)*1)*'損益分岐設定'!$B$22</x:f>
        <x:v>4560</x:v>
      </x:c>
      <x:c r="AK124" s="1" t="n">
        <x:f>AD124*('損益分岐設定'!$G$57*(1-'損益分岐設定'!$B$51)+'損益分岐設定'!$G$58*'損益分岐設定'!$B$51)+AE124*('損益分岐設定'!$G$60*(1-'損益分岐設定'!$B$51)+'損益分岐設定'!$G$61*'損益分岐設定'!$B$51)+AF124*('損益分岐設定'!$G$63*(1-'損益分岐設定'!$B$51)+'損益分岐設定'!$G$64*'損益分岐設定'!$B$51)</x:f>
        <x:v>4000</x:v>
      </x:c>
      <x:c r="AL124" s="1" t="n">
        <x:f>AD124*('損益分岐設定'!$H$57*(1-'損益分岐設定'!$B$51)+'損益分岐設定'!$H$58*'損益分岐設定'!$B$51)+AE124*('損益分岐設定'!$H$60*(1-'損益分岐設定'!$B$51)+'損益分岐設定'!$H$61*'損益分岐設定'!$B$51)+AF124*('損益分岐設定'!$H$63*(1-'損益分岐設定'!$B$51)+'損益分岐設定'!$H$64*'損益分岐設定'!$B$51)</x:f>
        <x:v>1026.666666666667</x:v>
      </x:c>
      <x:c r="AM124" s="1" t="n">
        <x:f>MAX(1,ROUNDUP('損益分岐設定'!C37*AJ124/('損益分岐設定'!$B$23*'損益分岐設定'!$B$24*3600*'損益分岐設定'!$B$25),0))</x:f>
        <x:v>1</x:v>
      </x:c>
      <x:c r="AN124" s="1" t="n">
        <x:f>MAX(2,ROUNDUP('損益分岐設定'!C38*AJ124/('損益分岐設定'!$B$23*'損益分岐設定'!$B$24*3600*'損益分岐設定'!$B$25),0))</x:f>
        <x:v>2</x:v>
      </x:c>
      <x:c r="AO124" s="1" t="n">
        <x:f>MAX(2,ROUNDUP('損益分岐設定'!C39*AJ124/('損益分岐設定'!$B$23*'損益分岐設定'!$B$24*3600*'損益分岐設定'!$B$25),0))</x:f>
        <x:v>5</x:v>
      </x:c>
      <x:c r="AP124" s="1" t="n">
        <x:f>MAX(2,ROUNDUP('損益分岐設定'!C40*AJ124/('損益分岐設定'!$B$23*'損益分岐設定'!$B$24*3600*'損益分岐設定'!$B$25),0))</x:f>
        <x:v>9</x:v>
      </x:c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 ht="23" customHeight="1">
      <x:c r="A125" s="1" t="str">
        <x:v>Run</x:v>
      </x:c>
      <x:c r="B125" s="1" t="str">
        <x:v>混在</x:v>
      </x:c>
      <x:c r="C125" s="1" t="str">
        <x:v>低位</x:v>
      </x:c>
      <x:c r="D125" s="21" t="n">
        <x:v>0</x:v>
      </x:c>
      <x:c r="E125" s="1" t="n">
        <x:v>0</x:v>
      </x:c>
      <x:c r="F125" s="7" t="n">
        <x:f>AD125*'損益分岐設定'!$B$5+AE125*'損益分岐設定'!$B$6+AF125*'損益分岐設定'!$B$7</x:f>
        <x:v>4600</x:v>
      </x:c>
      <x:c r="G125" s="7" t="n">
        <x:f>AG125+(AH125+AI125)*('損益分岐設定'!$B$29+0.5*'損益分岐設定'!$B$30)+AK125*'損益分岐設定'!$B$32+(AJ125+AK125/'損益分岐設定'!$B$28*'損益分岐設定'!$B$26)*('損益分岐設定'!$B$29+'損益分岐設定'!$B$31*'損益分岐設定'!$B$30)</x:f>
        <x:v>110.88645732311313</x:v>
      </x:c>
      <x:c r="H125" s="7" t="n">
        <x:f>AL125*E125</x:f>
        <x:v>0</x:v>
      </x:c>
      <x:c r="I125" s="7" t="n">
        <x:f>F125*(1-D125-'損益分岐設定'!$B$10)-G125-H125</x:f>
        <x:v>4323.513542676887</x:v>
      </x:c>
      <x:c r="J125" s="1" t="n">
        <x:f>IF(MIN(V125:Y125)&gt;1000,"範囲内なし",MIN(V125:Y125))</x:f>
        <x:v>6</x:v>
      </x:c>
      <x:c r="K125" s="1" t="n">
        <x:f>IF(MAX(Z125:AC125)&gt;=1000,"範囲内なし",MAX(1,MAX(Z125:AC125)+1))</x:f>
        <x:v>6</x:v>
      </x:c>
      <x:c r="L125" s="7" t="n">
        <x:f>10*I125-R125</x:f>
        <x:v>21224.20080046107</x:v>
      </x:c>
      <x:c r="M125" s="7" t="n">
        <x:f>30*I125-S125</x:f>
        <x:v>103194.4716539988</x:v>
      </x:c>
      <x:c r="N125" s="7" t="n">
        <x:f>50*I125-S125</x:f>
        <x:v>189664.74250753652</x:v>
      </x:c>
      <x:c r="O125" s="7" t="n">
        <x:f>100*I125-S125</x:f>
        <x:v>405840.41964138084</x:v>
      </x:c>
      <x:c r="P125" s="7" t="n">
        <x:f>300*I125-T125</x:f>
        <x:v>1248543.128176758</x:v>
      </x:c>
      <x:c r="Q125" s="7" t="n">
        <x:f>1000*I125-U125</x:f>
        <x:v>4245002.608050579</x:v>
      </x:c>
      <x:c r="R12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125*'損益分岐設定'!$B$12*'損益分岐設定'!$B$11</x:f>
        <x:v>22010.934626307797</x:v>
      </x:c>
      <x:c r="S12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125*'損益分岐設定'!$B$12*'損益分岐設定'!$B$11</x:f>
        <x:v>26510.934626307797</x:v>
      </x:c>
      <x:c r="T12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125*'損益分岐設定'!$B$12*'損益分岐設定'!$B$11</x:f>
        <x:v>48510.9346263078</x:v>
      </x:c>
      <x:c r="U12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125*'損益分岐設定'!$B$12*'損益分岐設定'!$B$11</x:f>
        <x:v>78510.9346263078</x:v>
      </x:c>
      <x:c r="V125" s="1" t="n">
        <x:f>IF(I125&lt;=0,1001,IF(MAX('損益分岐設定'!B37,ROUNDUP(R125/I125,0))&lt;='損益分岐設定'!C37,MAX('損益分岐設定'!B37,ROUNDUP(R125/I125,0)),1001))</x:f>
        <x:v>6</x:v>
      </x:c>
      <x:c r="W125" s="1" t="n">
        <x:f>IF(I125&lt;=0,1001,IF(MAX('損益分岐設定'!B38,ROUNDUP(S125/I125,0))&lt;='損益分岐設定'!C38,MAX('損益分岐設定'!B38,ROUNDUP(S125/I125,0)),1001))</x:f>
        <x:v>11</x:v>
      </x:c>
      <x:c r="X125" s="1" t="n">
        <x:f>IF(I125&lt;=0,1001,IF(MAX('損益分岐設定'!B39,ROUNDUP(T125/I125,0))&lt;='損益分岐設定'!C39,MAX('損益分岐設定'!B39,ROUNDUP(T125/I125,0)),1001))</x:f>
        <x:v>101</x:v>
      </x:c>
      <x:c r="Y125" s="1" t="n">
        <x:f>IF(I125&lt;=0,1001,IF(MAX('損益分岐設定'!B40,ROUNDUP(U125/I125,0))&lt;='損益分岐設定'!C40,MAX('損益分岐設定'!B40,ROUNDUP(U125/I125,0)),1001))</x:f>
        <x:v>501</x:v>
      </x:c>
      <x:c r="Z125" s="1" t="n">
        <x:f>IF(I125&lt;=0,'損益分岐設定'!C37,IF('損益分岐設定'!C37*I125-R125&lt;0,'損益分岐設定'!C37,IF('損益分岐設定'!B37*I125-R125&gt;=0,0,ROUNDUP(R125/I125,0)-1)))</x:f>
        <x:v>5</x:v>
      </x:c>
      <x:c r="AA125" s="1" t="n">
        <x:f>IF(I125&lt;=0,'損益分岐設定'!C38,IF('損益分岐設定'!C38*I125-S125&lt;0,'損益分岐設定'!C38,IF('損益分岐設定'!B38*I125-S125&gt;=0,0,ROUNDUP(S125/I125,0)-1)))</x:f>
        <x:v>0</x:v>
      </x:c>
      <x:c r="AB125" s="1" t="n">
        <x:f>IF(I125&lt;=0,'損益分岐設定'!C39,IF('損益分岐設定'!C39*I125-T125&lt;0,'損益分岐設定'!C39,IF('損益分岐設定'!B39*I125-T125&gt;=0,0,ROUNDUP(T125/I125,0)-1)))</x:f>
        <x:v>0</x:v>
      </x:c>
      <x:c r="AC125" s="1" t="n">
        <x:f>IF(I125&lt;=0,'損益分岐設定'!C40,IF('損益分岐設定'!C40*I125-U125&lt;0,'損益分岐設定'!C40,IF('損益分岐設定'!B40*I125-U125&gt;=0,0,ROUNDUP(U125/I125,0)-1)))</x:f>
        <x:v>0</x:v>
      </x:c>
      <x:c r="AD125" s="1" t="n">
        <x:f>'損益分岐設定'!$D$5/SUM('損益分岐設定'!$D$5:$D$7)</x:f>
        <x:v>0.5</x:v>
      </x:c>
      <x:c r="AE125" s="1" t="n">
        <x:f>'損益分岐設定'!$D$6/SUM('損益分岐設定'!$D$5:$D$7)</x:f>
        <x:v>0.3</x:v>
      </x:c>
      <x:c r="AF125" s="1" t="n">
        <x:f>'損益分岐設定'!$D$7/SUM('損益分岐設定'!$D$5:$D$7)</x:f>
        <x:v>0.2</x:v>
      </x:c>
      <x:c r="AG125" s="1" t="n">
        <x:f>AD125*'損益分岐設定'!$C$56+AE125*'損益分岐設定'!$C$59+AF125*'損益分岐設定'!$C$62</x:f>
        <x:v>110.51909573059083</x:v>
      </x:c>
      <x:c r="AH125" s="1" t="n">
        <x:f>AD125*'損益分岐設定'!$D$56+AE125*'損益分岐設定'!$D$59+AF125*'損益分岐設定'!$D$62</x:f>
        <x:v>27.75</x:v>
      </x:c>
      <x:c r="AI125" s="1" t="n">
        <x:f>AD125*'損益分岐設定'!$E$56+AE125*'損益分岐設定'!$E$59+AF125*'損益分岐設定'!$E$62</x:f>
        <x:v>18.5</x:v>
      </x:c>
      <x:c r="AJ125" s="1" t="n">
        <x:f>(AD125*'損益分岐設定'!$F$56+AE125*'損益分岐設定'!$F$59+AF125*'損益分岐設定'!$F$62*1)*'損益分岐設定'!$B$22</x:f>
        <x:v>27.75</x:v>
      </x:c>
      <x:c r="AK125" s="1" t="n">
        <x:f>AD125*'損益分岐設定'!$G$56+AE125*'損益分岐設定'!$G$59+AF125*'損益分岐設定'!$G$62</x:f>
        <x:v>92.5</x:v>
      </x:c>
      <x:c r="AL125" s="1" t="n">
        <x:f>AD125*'損益分岐設定'!$H$56+AE125*'損益分岐設定'!$H$59+AF125*'損益分岐設定'!$H$62</x:f>
        <x:v>323.33333333333337</x:v>
      </x:c>
      <x:c r="AM125" s="1" t="n">
        <x:f>MAX(1,ROUNDUP('損益分岐設定'!C37*AJ125/('損益分岐設定'!$B$23*'損益分岐設定'!$B$24*3600*'損益分岐設定'!$B$25),0))</x:f>
        <x:v>1</x:v>
      </x:c>
      <x:c r="AN125" s="1" t="n">
        <x:f>MAX(2,ROUNDUP('損益分岐設定'!C38*AJ125/('損益分岐設定'!$B$23*'損益分岐設定'!$B$24*3600*'損益分岐設定'!$B$25),0))</x:f>
        <x:v>2</x:v>
      </x:c>
      <x:c r="AO125" s="1" t="n">
        <x:f>MAX(2,ROUNDUP('損益分岐設定'!C39*AJ125/('損益分岐設定'!$B$23*'損益分岐設定'!$B$24*3600*'損益分岐設定'!$B$25),0))</x:f>
        <x:v>2</x:v>
      </x:c>
      <x:c r="AP125" s="1" t="n">
        <x:f>MAX(2,ROUNDUP('損益分岐設定'!C40*AJ125/('損益分岐設定'!$B$23*'損益分岐設定'!$B$24*3600*'損益分岐設定'!$B$25),0))</x:f>
        <x:v>2</x:v>
      </x:c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 ht="23" customHeight="1">
      <x:c r="A126" s="1" t="str">
        <x:v>Run</x:v>
      </x:c>
      <x:c r="B126" s="1" t="str">
        <x:v>混在</x:v>
      </x:c>
      <x:c r="C126" s="1" t="str">
        <x:v>低位</x:v>
      </x:c>
      <x:c r="D126" s="21" t="n">
        <x:v>0</x:v>
      </x:c>
      <x:c r="E126" s="1" t="n">
        <x:v>1</x:v>
      </x:c>
      <x:c r="F126" s="7" t="n">
        <x:f>AD126*'損益分岐設定'!$B$5+AE126*'損益分岐設定'!$B$6+AF126*'損益分岐設定'!$B$7</x:f>
        <x:v>4600</x:v>
      </x:c>
      <x:c r="G126" s="7" t="n">
        <x:f>AG126+(AH126+AI126)*('損益分岐設定'!$B$29+0.5*'損益分岐設定'!$B$30)+AK126*'損益分岐設定'!$B$32+(AJ126+AK126/'損益分岐設定'!$B$28*'損益分岐設定'!$B$26)*('損益分岐設定'!$B$29+'損益分岐設定'!$B$31*'損益分岐設定'!$B$30)</x:f>
        <x:v>110.88645732311313</x:v>
      </x:c>
      <x:c r="H126" s="7" t="n">
        <x:f>AL126*E126</x:f>
        <x:v>323.33333333333337</x:v>
      </x:c>
      <x:c r="I126" s="7" t="n">
        <x:f>F126*(1-D126-'損益分岐設定'!$B$10)-G126-H126</x:f>
        <x:v>4000.180209343553</x:v>
      </x:c>
      <x:c r="J126" s="1" t="n">
        <x:f>IF(MIN(V126:Y126)&gt;1000,"範囲内なし",MIN(V126:Y126))</x:f>
        <x:v>8</x:v>
      </x:c>
      <x:c r="K126" s="1" t="n">
        <x:f>IF(MAX(Z126:AC126)&gt;=1000,"範囲内なし",MAX(1,MAX(Z126:AC126)+1))</x:f>
        <x:v>8</x:v>
      </x:c>
      <x:c r="L126" s="7" t="n">
        <x:f>10*I126-R126</x:f>
        <x:v>9990.867467127733</x:v>
      </x:c>
      <x:c r="M126" s="7" t="n">
        <x:f>30*I126-S126</x:f>
        <x:v>85494.4716539988</x:v>
      </x:c>
      <x:c r="N126" s="7" t="n">
        <x:f>50*I126-S126</x:f>
        <x:v>165498.07584086986</x:v>
      </x:c>
      <x:c r="O126" s="7" t="n">
        <x:f>100*I126-S126</x:f>
        <x:v>365507.0863080475</x:v>
      </x:c>
      <x:c r="P126" s="7" t="n">
        <x:f>300*I126-T126</x:f>
        <x:v>1143543.128176758</x:v>
      </x:c>
      <x:c r="Q126" s="7" t="n">
        <x:f>1000*I126-U126</x:f>
        <x:v>3913669.2747172453</x:v>
      </x:c>
      <x:c r="R12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126*'損益分岐設定'!$B$12*'損益分岐設定'!$B$11</x:f>
        <x:v>30010.934626307797</x:v>
      </x:c>
      <x:c r="S12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126*'損益分岐設定'!$B$12*'損益分岐設定'!$B$11</x:f>
        <x:v>34510.9346263078</x:v>
      </x:c>
      <x:c r="T12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126*'損益分岐設定'!$B$12*'損益分岐設定'!$B$11</x:f>
        <x:v>56510.9346263078</x:v>
      </x:c>
      <x:c r="U12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126*'損益分岐設定'!$B$12*'損益分岐設定'!$B$11</x:f>
        <x:v>86510.9346263078</x:v>
      </x:c>
      <x:c r="V126" s="1" t="n">
        <x:f>IF(I126&lt;=0,1001,IF(MAX('損益分岐設定'!B37,ROUNDUP(R126/I126,0))&lt;='損益分岐設定'!C37,MAX('損益分岐設定'!B37,ROUNDUP(R126/I126,0)),1001))</x:f>
        <x:v>8</x:v>
      </x:c>
      <x:c r="W126" s="1" t="n">
        <x:f>IF(I126&lt;=0,1001,IF(MAX('損益分岐設定'!B38,ROUNDUP(S126/I126,0))&lt;='損益分岐設定'!C38,MAX('損益分岐設定'!B38,ROUNDUP(S126/I126,0)),1001))</x:f>
        <x:v>11</x:v>
      </x:c>
      <x:c r="X126" s="1" t="n">
        <x:f>IF(I126&lt;=0,1001,IF(MAX('損益分岐設定'!B39,ROUNDUP(T126/I126,0))&lt;='損益分岐設定'!C39,MAX('損益分岐設定'!B39,ROUNDUP(T126/I126,0)),1001))</x:f>
        <x:v>101</x:v>
      </x:c>
      <x:c r="Y126" s="1" t="n">
        <x:f>IF(I126&lt;=0,1001,IF(MAX('損益分岐設定'!B40,ROUNDUP(U126/I126,0))&lt;='損益分岐設定'!C40,MAX('損益分岐設定'!B40,ROUNDUP(U126/I126,0)),1001))</x:f>
        <x:v>501</x:v>
      </x:c>
      <x:c r="Z126" s="1" t="n">
        <x:f>IF(I126&lt;=0,'損益分岐設定'!C37,IF('損益分岐設定'!C37*I126-R126&lt;0,'損益分岐設定'!C37,IF('損益分岐設定'!B37*I126-R126&gt;=0,0,ROUNDUP(R126/I126,0)-1)))</x:f>
        <x:v>7</x:v>
      </x:c>
      <x:c r="AA126" s="1" t="n">
        <x:f>IF(I126&lt;=0,'損益分岐設定'!C38,IF('損益分岐設定'!C38*I126-S126&lt;0,'損益分岐設定'!C38,IF('損益分岐設定'!B38*I126-S126&gt;=0,0,ROUNDUP(S126/I126,0)-1)))</x:f>
        <x:v>0</x:v>
      </x:c>
      <x:c r="AB126" s="1" t="n">
        <x:f>IF(I126&lt;=0,'損益分岐設定'!C39,IF('損益分岐設定'!C39*I126-T126&lt;0,'損益分岐設定'!C39,IF('損益分岐設定'!B39*I126-T126&gt;=0,0,ROUNDUP(T126/I126,0)-1)))</x:f>
        <x:v>0</x:v>
      </x:c>
      <x:c r="AC126" s="1" t="n">
        <x:f>IF(I126&lt;=0,'損益分岐設定'!C40,IF('損益分岐設定'!C40*I126-U126&lt;0,'損益分岐設定'!C40,IF('損益分岐設定'!B40*I126-U126&gt;=0,0,ROUNDUP(U126/I126,0)-1)))</x:f>
        <x:v>0</x:v>
      </x:c>
      <x:c r="AD126" s="1" t="n">
        <x:f>'損益分岐設定'!$D$5/SUM('損益分岐設定'!$D$5:$D$7)</x:f>
        <x:v>0.5</x:v>
      </x:c>
      <x:c r="AE126" s="1" t="n">
        <x:f>'損益分岐設定'!$D$6/SUM('損益分岐設定'!$D$5:$D$7)</x:f>
        <x:v>0.3</x:v>
      </x:c>
      <x:c r="AF126" s="1" t="n">
        <x:f>'損益分岐設定'!$D$7/SUM('損益分岐設定'!$D$5:$D$7)</x:f>
        <x:v>0.2</x:v>
      </x:c>
      <x:c r="AG126" s="1" t="n">
        <x:f>AD126*'損益分岐設定'!$C$56+AE126*'損益分岐設定'!$C$59+AF126*'損益分岐設定'!$C$62</x:f>
        <x:v>110.51909573059083</x:v>
      </x:c>
      <x:c r="AH126" s="1" t="n">
        <x:f>AD126*'損益分岐設定'!$D$56+AE126*'損益分岐設定'!$D$59+AF126*'損益分岐設定'!$D$62</x:f>
        <x:v>27.75</x:v>
      </x:c>
      <x:c r="AI126" s="1" t="n">
        <x:f>AD126*'損益分岐設定'!$E$56+AE126*'損益分岐設定'!$E$59+AF126*'損益分岐設定'!$E$62</x:f>
        <x:v>18.5</x:v>
      </x:c>
      <x:c r="AJ126" s="1" t="n">
        <x:f>(AD126*'損益分岐設定'!$F$56+AE126*'損益分岐設定'!$F$59+AF126*'損益分岐設定'!$F$62*1)*'損益分岐設定'!$B$22</x:f>
        <x:v>27.75</x:v>
      </x:c>
      <x:c r="AK126" s="1" t="n">
        <x:f>AD126*'損益分岐設定'!$G$56+AE126*'損益分岐設定'!$G$59+AF126*'損益分岐設定'!$G$62</x:f>
        <x:v>92.5</x:v>
      </x:c>
      <x:c r="AL126" s="1" t="n">
        <x:f>AD126*'損益分岐設定'!$H$56+AE126*'損益分岐設定'!$H$59+AF126*'損益分岐設定'!$H$62</x:f>
        <x:v>323.33333333333337</x:v>
      </x:c>
      <x:c r="AM126" s="1" t="n">
        <x:f>MAX(1,ROUNDUP('損益分岐設定'!C37*AJ126/('損益分岐設定'!$B$23*'損益分岐設定'!$B$24*3600*'損益分岐設定'!$B$25),0))</x:f>
        <x:v>1</x:v>
      </x:c>
      <x:c r="AN126" s="1" t="n">
        <x:f>MAX(2,ROUNDUP('損益分岐設定'!C38*AJ126/('損益分岐設定'!$B$23*'損益分岐設定'!$B$24*3600*'損益分岐設定'!$B$25),0))</x:f>
        <x:v>2</x:v>
      </x:c>
      <x:c r="AO126" s="1" t="n">
        <x:f>MAX(2,ROUNDUP('損益分岐設定'!C39*AJ126/('損益分岐設定'!$B$23*'損益分岐設定'!$B$24*3600*'損益分岐設定'!$B$25),0))</x:f>
        <x:v>2</x:v>
      </x:c>
      <x:c r="AP126" s="1" t="n">
        <x:f>MAX(2,ROUNDUP('損益分岐設定'!C40*AJ126/('損益分岐設定'!$B$23*'損益分岐設定'!$B$24*3600*'損益分岐設定'!$B$25),0))</x:f>
        <x:v>2</x:v>
      </x:c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 ht="23" customHeight="1">
      <x:c r="A127" s="1" t="str">
        <x:v>Run</x:v>
      </x:c>
      <x:c r="B127" s="1" t="str">
        <x:v>混在</x:v>
      </x:c>
      <x:c r="C127" s="1" t="str">
        <x:v>低位</x:v>
      </x:c>
      <x:c r="D127" s="21" t="n">
        <x:v>0.2</x:v>
      </x:c>
      <x:c r="E127" s="1" t="n">
        <x:v>0</x:v>
      </x:c>
      <x:c r="F127" s="7" t="n">
        <x:f>AD127*'損益分岐設定'!$B$5+AE127*'損益分岐設定'!$B$6+AF127*'損益分岐設定'!$B$7</x:f>
        <x:v>4600</x:v>
      </x:c>
      <x:c r="G127" s="7" t="n">
        <x:f>AG127+(AH127+AI127)*('損益分岐設定'!$B$29+0.5*'損益分岐設定'!$B$30)+AK127*'損益分岐設定'!$B$32+(AJ127+AK127/'損益分岐設定'!$B$28*'損益分岐設定'!$B$26)*('損益分岐設定'!$B$29+'損益分岐設定'!$B$31*'損益分岐設定'!$B$30)</x:f>
        <x:v>110.88645732311313</x:v>
      </x:c>
      <x:c r="H127" s="7" t="n">
        <x:f>AL127*E127</x:f>
        <x:v>0</x:v>
      </x:c>
      <x:c r="I127" s="7" t="n">
        <x:f>F127*(1-D127-'損益分岐設定'!$B$10)-G127-H127</x:f>
        <x:v>3403.513542676887</x:v>
      </x:c>
      <x:c r="J127" s="1" t="n">
        <x:f>IF(MIN(V127:Y127)&gt;1000,"範囲内なし",MIN(V127:Y127))</x:f>
        <x:v>7</x:v>
      </x:c>
      <x:c r="K127" s="1" t="n">
        <x:f>IF(MAX(Z127:AC127)&gt;=1000,"範囲内なし",MAX(1,MAX(Z127:AC127)+1))</x:f>
        <x:v>7</x:v>
      </x:c>
      <x:c r="L127" s="7" t="n">
        <x:f>10*I127-R127</x:f>
        <x:v>12024.200800461076</x:v>
      </x:c>
      <x:c r="M127" s="7" t="n">
        <x:f>30*I127-S127</x:f>
        <x:v>75594.4716539988</x:v>
      </x:c>
      <x:c r="N127" s="7" t="n">
        <x:f>50*I127-S127</x:f>
        <x:v>143664.74250753655</x:v>
      </x:c>
      <x:c r="O127" s="7" t="n">
        <x:f>100*I127-S127</x:f>
        <x:v>313840.4196413809</x:v>
      </x:c>
      <x:c r="P127" s="7" t="n">
        <x:f>300*I127-T127</x:f>
        <x:v>972543.1281767583</x:v>
      </x:c>
      <x:c r="Q127" s="7" t="n">
        <x:f>1000*I127-U127</x:f>
        <x:v>3325002.608050579</x:v>
      </x:c>
      <x:c r="R12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127*'損益分岐設定'!$B$12*'損益分岐設定'!$B$11</x:f>
        <x:v>22010.934626307797</x:v>
      </x:c>
      <x:c r="S12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127*'損益分岐設定'!$B$12*'損益分岐設定'!$B$11</x:f>
        <x:v>26510.934626307797</x:v>
      </x:c>
      <x:c r="T12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127*'損益分岐設定'!$B$12*'損益分岐設定'!$B$11</x:f>
        <x:v>48510.9346263078</x:v>
      </x:c>
      <x:c r="U12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127*'損益分岐設定'!$B$12*'損益分岐設定'!$B$11</x:f>
        <x:v>78510.9346263078</x:v>
      </x:c>
      <x:c r="V127" s="1" t="n">
        <x:f>IF(I127&lt;=0,1001,IF(MAX('損益分岐設定'!B37,ROUNDUP(R127/I127,0))&lt;='損益分岐設定'!C37,MAX('損益分岐設定'!B37,ROUNDUP(R127/I127,0)),1001))</x:f>
        <x:v>7</x:v>
      </x:c>
      <x:c r="W127" s="1" t="n">
        <x:f>IF(I127&lt;=0,1001,IF(MAX('損益分岐設定'!B38,ROUNDUP(S127/I127,0))&lt;='損益分岐設定'!C38,MAX('損益分岐設定'!B38,ROUNDUP(S127/I127,0)),1001))</x:f>
        <x:v>11</x:v>
      </x:c>
      <x:c r="X127" s="1" t="n">
        <x:f>IF(I127&lt;=0,1001,IF(MAX('損益分岐設定'!B39,ROUNDUP(T127/I127,0))&lt;='損益分岐設定'!C39,MAX('損益分岐設定'!B39,ROUNDUP(T127/I127,0)),1001))</x:f>
        <x:v>101</x:v>
      </x:c>
      <x:c r="Y127" s="1" t="n">
        <x:f>IF(I127&lt;=0,1001,IF(MAX('損益分岐設定'!B40,ROUNDUP(U127/I127,0))&lt;='損益分岐設定'!C40,MAX('損益分岐設定'!B40,ROUNDUP(U127/I127,0)),1001))</x:f>
        <x:v>501</x:v>
      </x:c>
      <x:c r="Z127" s="1" t="n">
        <x:f>IF(I127&lt;=0,'損益分岐設定'!C37,IF('損益分岐設定'!C37*I127-R127&lt;0,'損益分岐設定'!C37,IF('損益分岐設定'!B37*I127-R127&gt;=0,0,ROUNDUP(R127/I127,0)-1)))</x:f>
        <x:v>6</x:v>
      </x:c>
      <x:c r="AA127" s="1" t="n">
        <x:f>IF(I127&lt;=0,'損益分岐設定'!C38,IF('損益分岐設定'!C38*I127-S127&lt;0,'損益分岐設定'!C38,IF('損益分岐設定'!B38*I127-S127&gt;=0,0,ROUNDUP(S127/I127,0)-1)))</x:f>
        <x:v>0</x:v>
      </x:c>
      <x:c r="AB127" s="1" t="n">
        <x:f>IF(I127&lt;=0,'損益分岐設定'!C39,IF('損益分岐設定'!C39*I127-T127&lt;0,'損益分岐設定'!C39,IF('損益分岐設定'!B39*I127-T127&gt;=0,0,ROUNDUP(T127/I127,0)-1)))</x:f>
        <x:v>0</x:v>
      </x:c>
      <x:c r="AC127" s="1" t="n">
        <x:f>IF(I127&lt;=0,'損益分岐設定'!C40,IF('損益分岐設定'!C40*I127-U127&lt;0,'損益分岐設定'!C40,IF('損益分岐設定'!B40*I127-U127&gt;=0,0,ROUNDUP(U127/I127,0)-1)))</x:f>
        <x:v>0</x:v>
      </x:c>
      <x:c r="AD127" s="1" t="n">
        <x:f>'損益分岐設定'!$D$5/SUM('損益分岐設定'!$D$5:$D$7)</x:f>
        <x:v>0.5</x:v>
      </x:c>
      <x:c r="AE127" s="1" t="n">
        <x:f>'損益分岐設定'!$D$6/SUM('損益分岐設定'!$D$5:$D$7)</x:f>
        <x:v>0.3</x:v>
      </x:c>
      <x:c r="AF127" s="1" t="n">
        <x:f>'損益分岐設定'!$D$7/SUM('損益分岐設定'!$D$5:$D$7)</x:f>
        <x:v>0.2</x:v>
      </x:c>
      <x:c r="AG127" s="1" t="n">
        <x:f>AD127*'損益分岐設定'!$C$56+AE127*'損益分岐設定'!$C$59+AF127*'損益分岐設定'!$C$62</x:f>
        <x:v>110.51909573059083</x:v>
      </x:c>
      <x:c r="AH127" s="1" t="n">
        <x:f>AD127*'損益分岐設定'!$D$56+AE127*'損益分岐設定'!$D$59+AF127*'損益分岐設定'!$D$62</x:f>
        <x:v>27.75</x:v>
      </x:c>
      <x:c r="AI127" s="1" t="n">
        <x:f>AD127*'損益分岐設定'!$E$56+AE127*'損益分岐設定'!$E$59+AF127*'損益分岐設定'!$E$62</x:f>
        <x:v>18.5</x:v>
      </x:c>
      <x:c r="AJ127" s="1" t="n">
        <x:f>(AD127*'損益分岐設定'!$F$56+AE127*'損益分岐設定'!$F$59+AF127*'損益分岐設定'!$F$62*1)*'損益分岐設定'!$B$22</x:f>
        <x:v>27.75</x:v>
      </x:c>
      <x:c r="AK127" s="1" t="n">
        <x:f>AD127*'損益分岐設定'!$G$56+AE127*'損益分岐設定'!$G$59+AF127*'損益分岐設定'!$G$62</x:f>
        <x:v>92.5</x:v>
      </x:c>
      <x:c r="AL127" s="1" t="n">
        <x:f>AD127*'損益分岐設定'!$H$56+AE127*'損益分岐設定'!$H$59+AF127*'損益分岐設定'!$H$62</x:f>
        <x:v>323.33333333333337</x:v>
      </x:c>
      <x:c r="AM127" s="1" t="n">
        <x:f>MAX(1,ROUNDUP('損益分岐設定'!C37*AJ127/('損益分岐設定'!$B$23*'損益分岐設定'!$B$24*3600*'損益分岐設定'!$B$25),0))</x:f>
        <x:v>1</x:v>
      </x:c>
      <x:c r="AN127" s="1" t="n">
        <x:f>MAX(2,ROUNDUP('損益分岐設定'!C38*AJ127/('損益分岐設定'!$B$23*'損益分岐設定'!$B$24*3600*'損益分岐設定'!$B$25),0))</x:f>
        <x:v>2</x:v>
      </x:c>
      <x:c r="AO127" s="1" t="n">
        <x:f>MAX(2,ROUNDUP('損益分岐設定'!C39*AJ127/('損益分岐設定'!$B$23*'損益分岐設定'!$B$24*3600*'損益分岐設定'!$B$25),0))</x:f>
        <x:v>2</x:v>
      </x:c>
      <x:c r="AP127" s="1" t="n">
        <x:f>MAX(2,ROUNDUP('損益分岐設定'!C40*AJ127/('損益分岐設定'!$B$23*'損益分岐設定'!$B$24*3600*'損益分岐設定'!$B$25),0))</x:f>
        <x:v>2</x:v>
      </x:c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 ht="23" customHeight="1">
      <x:c r="A128" s="1" t="str">
        <x:v>Run</x:v>
      </x:c>
      <x:c r="B128" s="1" t="str">
        <x:v>混在</x:v>
      </x:c>
      <x:c r="C128" s="1" t="str">
        <x:v>低位</x:v>
      </x:c>
      <x:c r="D128" s="21" t="n">
        <x:v>0.2</x:v>
      </x:c>
      <x:c r="E128" s="1" t="n">
        <x:v>1</x:v>
      </x:c>
      <x:c r="F128" s="7" t="n">
        <x:f>AD128*'損益分岐設定'!$B$5+AE128*'損益分岐設定'!$B$6+AF128*'損益分岐設定'!$B$7</x:f>
        <x:v>4600</x:v>
      </x:c>
      <x:c r="G128" s="7" t="n">
        <x:f>AG128+(AH128+AI128)*('損益分岐設定'!$B$29+0.5*'損益分岐設定'!$B$30)+AK128*'損益分岐設定'!$B$32+(AJ128+AK128/'損益分岐設定'!$B$28*'損益分岐設定'!$B$26)*('損益分岐設定'!$B$29+'損益分岐設定'!$B$31*'損益分岐設定'!$B$30)</x:f>
        <x:v>110.88645732311313</x:v>
      </x:c>
      <x:c r="H128" s="7" t="n">
        <x:f>AL128*E128</x:f>
        <x:v>323.33333333333337</x:v>
      </x:c>
      <x:c r="I128" s="7" t="n">
        <x:f>F128*(1-D128-'損益分岐設定'!$B$10)-G128-H128</x:f>
        <x:v>3080.1802093435535</x:v>
      </x:c>
      <x:c r="J128" s="1" t="n">
        <x:f>IF(MIN(V128:Y128)&gt;1000,"範囲内なし",MIN(V128:Y128))</x:f>
        <x:v>10</x:v>
      </x:c>
      <x:c r="K128" s="1" t="n">
        <x:f>IF(MAX(Z128:AC128)&gt;=1000,"範囲内なし",MAX(1,MAX(Z128:AC128)+1))</x:f>
        <x:v>12</x:v>
      </x:c>
      <x:c r="L128" s="7" t="n">
        <x:f>10*I128-R128</x:f>
        <x:v>790.8674671277404</x:v>
      </x:c>
      <x:c r="M128" s="7" t="n">
        <x:f>30*I128-S128</x:f>
        <x:v>57894.47165399881</x:v>
      </x:c>
      <x:c r="N128" s="7" t="n">
        <x:f>50*I128-S128</x:f>
        <x:v>119498.07584086986</x:v>
      </x:c>
      <x:c r="O128" s="7" t="n">
        <x:f>100*I128-S128</x:f>
        <x:v>273507.0863080475</x:v>
      </x:c>
      <x:c r="P128" s="7" t="n">
        <x:f>300*I128-T128</x:f>
        <x:v>867543.1281767583</x:v>
      </x:c>
      <x:c r="Q128" s="7" t="n">
        <x:f>1000*I128-U128</x:f>
        <x:v>2993669.2747172457</x:v>
      </x:c>
      <x:c r="R12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128*'損益分岐設定'!$B$12*'損益分岐設定'!$B$11</x:f>
        <x:v>30010.934626307797</x:v>
      </x:c>
      <x:c r="S12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128*'損益分岐設定'!$B$12*'損益分岐設定'!$B$11</x:f>
        <x:v>34510.9346263078</x:v>
      </x:c>
      <x:c r="T12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128*'損益分岐設定'!$B$12*'損益分岐設定'!$B$11</x:f>
        <x:v>56510.9346263078</x:v>
      </x:c>
      <x:c r="U12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128*'損益分岐設定'!$B$12*'損益分岐設定'!$B$11</x:f>
        <x:v>86510.9346263078</x:v>
      </x:c>
      <x:c r="V128" s="1" t="n">
        <x:f>IF(I128&lt;=0,1001,IF(MAX('損益分岐設定'!B37,ROUNDUP(R128/I128,0))&lt;='損益分岐設定'!C37,MAX('損益分岐設定'!B37,ROUNDUP(R128/I128,0)),1001))</x:f>
        <x:v>10</x:v>
      </x:c>
      <x:c r="W128" s="1" t="n">
        <x:f>IF(I128&lt;=0,1001,IF(MAX('損益分岐設定'!B38,ROUNDUP(S128/I128,0))&lt;='損益分岐設定'!C38,MAX('損益分岐設定'!B38,ROUNDUP(S128/I128,0)),1001))</x:f>
        <x:v>12</x:v>
      </x:c>
      <x:c r="X128" s="1" t="n">
        <x:f>IF(I128&lt;=0,1001,IF(MAX('損益分岐設定'!B39,ROUNDUP(T128/I128,0))&lt;='損益分岐設定'!C39,MAX('損益分岐設定'!B39,ROUNDUP(T128/I128,0)),1001))</x:f>
        <x:v>101</x:v>
      </x:c>
      <x:c r="Y128" s="1" t="n">
        <x:f>IF(I128&lt;=0,1001,IF(MAX('損益分岐設定'!B40,ROUNDUP(U128/I128,0))&lt;='損益分岐設定'!C40,MAX('損益分岐設定'!B40,ROUNDUP(U128/I128,0)),1001))</x:f>
        <x:v>501</x:v>
      </x:c>
      <x:c r="Z128" s="1" t="n">
        <x:f>IF(I128&lt;=0,'損益分岐設定'!C37,IF('損益分岐設定'!C37*I128-R128&lt;0,'損益分岐設定'!C37,IF('損益分岐設定'!B37*I128-R128&gt;=0,0,ROUNDUP(R128/I128,0)-1)))</x:f>
        <x:v>9</x:v>
      </x:c>
      <x:c r="AA128" s="1" t="n">
        <x:f>IF(I128&lt;=0,'損益分岐設定'!C38,IF('損益分岐設定'!C38*I128-S128&lt;0,'損益分岐設定'!C38,IF('損益分岐設定'!B38*I128-S128&gt;=0,0,ROUNDUP(S128/I128,0)-1)))</x:f>
        <x:v>11</x:v>
      </x:c>
      <x:c r="AB128" s="1" t="n">
        <x:f>IF(I128&lt;=0,'損益分岐設定'!C39,IF('損益分岐設定'!C39*I128-T128&lt;0,'損益分岐設定'!C39,IF('損益分岐設定'!B39*I128-T128&gt;=0,0,ROUNDUP(T128/I128,0)-1)))</x:f>
        <x:v>0</x:v>
      </x:c>
      <x:c r="AC128" s="1" t="n">
        <x:f>IF(I128&lt;=0,'損益分岐設定'!C40,IF('損益分岐設定'!C40*I128-U128&lt;0,'損益分岐設定'!C40,IF('損益分岐設定'!B40*I128-U128&gt;=0,0,ROUNDUP(U128/I128,0)-1)))</x:f>
        <x:v>0</x:v>
      </x:c>
      <x:c r="AD128" s="1" t="n">
        <x:f>'損益分岐設定'!$D$5/SUM('損益分岐設定'!$D$5:$D$7)</x:f>
        <x:v>0.5</x:v>
      </x:c>
      <x:c r="AE128" s="1" t="n">
        <x:f>'損益分岐設定'!$D$6/SUM('損益分岐設定'!$D$5:$D$7)</x:f>
        <x:v>0.3</x:v>
      </x:c>
      <x:c r="AF128" s="1" t="n">
        <x:f>'損益分岐設定'!$D$7/SUM('損益分岐設定'!$D$5:$D$7)</x:f>
        <x:v>0.2</x:v>
      </x:c>
      <x:c r="AG128" s="1" t="n">
        <x:f>AD128*'損益分岐設定'!$C$56+AE128*'損益分岐設定'!$C$59+AF128*'損益分岐設定'!$C$62</x:f>
        <x:v>110.51909573059083</x:v>
      </x:c>
      <x:c r="AH128" s="1" t="n">
        <x:f>AD128*'損益分岐設定'!$D$56+AE128*'損益分岐設定'!$D$59+AF128*'損益分岐設定'!$D$62</x:f>
        <x:v>27.75</x:v>
      </x:c>
      <x:c r="AI128" s="1" t="n">
        <x:f>AD128*'損益分岐設定'!$E$56+AE128*'損益分岐設定'!$E$59+AF128*'損益分岐設定'!$E$62</x:f>
        <x:v>18.5</x:v>
      </x:c>
      <x:c r="AJ128" s="1" t="n">
        <x:f>(AD128*'損益分岐設定'!$F$56+AE128*'損益分岐設定'!$F$59+AF128*'損益分岐設定'!$F$62*1)*'損益分岐設定'!$B$22</x:f>
        <x:v>27.75</x:v>
      </x:c>
      <x:c r="AK128" s="1" t="n">
        <x:f>AD128*'損益分岐設定'!$G$56+AE128*'損益分岐設定'!$G$59+AF128*'損益分岐設定'!$G$62</x:f>
        <x:v>92.5</x:v>
      </x:c>
      <x:c r="AL128" s="1" t="n">
        <x:f>AD128*'損益分岐設定'!$H$56+AE128*'損益分岐設定'!$H$59+AF128*'損益分岐設定'!$H$62</x:f>
        <x:v>323.33333333333337</x:v>
      </x:c>
      <x:c r="AM128" s="1" t="n">
        <x:f>MAX(1,ROUNDUP('損益分岐設定'!C37*AJ128/('損益分岐設定'!$B$23*'損益分岐設定'!$B$24*3600*'損益分岐設定'!$B$25),0))</x:f>
        <x:v>1</x:v>
      </x:c>
      <x:c r="AN128" s="1" t="n">
        <x:f>MAX(2,ROUNDUP('損益分岐設定'!C38*AJ128/('損益分岐設定'!$B$23*'損益分岐設定'!$B$24*3600*'損益分岐設定'!$B$25),0))</x:f>
        <x:v>2</x:v>
      </x:c>
      <x:c r="AO128" s="1" t="n">
        <x:f>MAX(2,ROUNDUP('損益分岐設定'!C39*AJ128/('損益分岐設定'!$B$23*'損益分岐設定'!$B$24*3600*'損益分岐設定'!$B$25),0))</x:f>
        <x:v>2</x:v>
      </x:c>
      <x:c r="AP128" s="1" t="n">
        <x:f>MAX(2,ROUNDUP('損益分岐設定'!C40*AJ128/('損益分岐設定'!$B$23*'損益分岐設定'!$B$24*3600*'損益分岐設定'!$B$25),0))</x:f>
        <x:v>2</x:v>
      </x:c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 ht="23" customHeight="1">
      <x:c r="A129" s="1" t="str">
        <x:v>Run</x:v>
      </x:c>
      <x:c r="B129" s="1" t="str">
        <x:v>混在</x:v>
      </x:c>
      <x:c r="C129" s="1" t="str">
        <x:v>低位</x:v>
      </x:c>
      <x:c r="D129" s="21" t="n">
        <x:v>0.3</x:v>
      </x:c>
      <x:c r="E129" s="1" t="n">
        <x:v>0</x:v>
      </x:c>
      <x:c r="F129" s="7" t="n">
        <x:f>AD129*'損益分岐設定'!$B$5+AE129*'損益分岐設定'!$B$6+AF129*'損益分岐設定'!$B$7</x:f>
        <x:v>4600</x:v>
      </x:c>
      <x:c r="G129" s="7" t="n">
        <x:f>AG129+(AH129+AI129)*('損益分岐設定'!$B$29+0.5*'損益分岐設定'!$B$30)+AK129*'損益分岐設定'!$B$32+(AJ129+AK129/'損益分岐設定'!$B$28*'損益分岐設定'!$B$26)*('損益分岐設定'!$B$29+'損益分岐設定'!$B$31*'損益分岐設定'!$B$30)</x:f>
        <x:v>110.88645732311313</x:v>
      </x:c>
      <x:c r="H129" s="7" t="n">
        <x:f>AL129*E129</x:f>
        <x:v>0</x:v>
      </x:c>
      <x:c r="I129" s="7" t="n">
        <x:f>F129*(1-D129-'損益分岐設定'!$B$10)-G129-H129</x:f>
        <x:v>2943.5135426768866</x:v>
      </x:c>
      <x:c r="J129" s="1" t="n">
        <x:f>IF(MIN(V129:Y129)&gt;1000,"範囲内なし",MIN(V129:Y129))</x:f>
        <x:v>8</x:v>
      </x:c>
      <x:c r="K129" s="1" t="n">
        <x:f>IF(MAX(Z129:AC129)&gt;=1000,"範囲内なし",MAX(1,MAX(Z129:AC129)+1))</x:f>
        <x:v>8</x:v>
      </x:c>
      <x:c r="L129" s="7" t="n">
        <x:f>10*I129-R129</x:f>
        <x:v>7424.200800461069</x:v>
      </x:c>
      <x:c r="M129" s="7" t="n">
        <x:f>30*I129-S129</x:f>
        <x:v>61794.47165399881</x:v>
      </x:c>
      <x:c r="N129" s="7" t="n">
        <x:f>50*I129-S129</x:f>
        <x:v>120664.74250753652</x:v>
      </x:c>
      <x:c r="O129" s="7" t="n">
        <x:f>100*I129-S129</x:f>
        <x:v>267840.41964138084</x:v>
      </x:c>
      <x:c r="P129" s="7" t="n">
        <x:f>300*I129-T129</x:f>
        <x:v>834543.1281767582</x:v>
      </x:c>
      <x:c r="Q129" s="7" t="n">
        <x:f>1000*I129-U129</x:f>
        <x:v>2865002.6080505787</x:v>
      </x:c>
      <x:c r="R12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129*'損益分岐設定'!$B$12*'損益分岐設定'!$B$11</x:f>
        <x:v>22010.934626307797</x:v>
      </x:c>
      <x:c r="S12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129*'損益分岐設定'!$B$12*'損益分岐設定'!$B$11</x:f>
        <x:v>26510.934626307797</x:v>
      </x:c>
      <x:c r="T12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129*'損益分岐設定'!$B$12*'損益分岐設定'!$B$11</x:f>
        <x:v>48510.9346263078</x:v>
      </x:c>
      <x:c r="U12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129*'損益分岐設定'!$B$12*'損益分岐設定'!$B$11</x:f>
        <x:v>78510.9346263078</x:v>
      </x:c>
      <x:c r="V129" s="1" t="n">
        <x:f>IF(I129&lt;=0,1001,IF(MAX('損益分岐設定'!B37,ROUNDUP(R129/I129,0))&lt;='損益分岐設定'!C37,MAX('損益分岐設定'!B37,ROUNDUP(R129/I129,0)),1001))</x:f>
        <x:v>8</x:v>
      </x:c>
      <x:c r="W129" s="1" t="n">
        <x:f>IF(I129&lt;=0,1001,IF(MAX('損益分岐設定'!B38,ROUNDUP(S129/I129,0))&lt;='損益分岐設定'!C38,MAX('損益分岐設定'!B38,ROUNDUP(S129/I129,0)),1001))</x:f>
        <x:v>11</x:v>
      </x:c>
      <x:c r="X129" s="1" t="n">
        <x:f>IF(I129&lt;=0,1001,IF(MAX('損益分岐設定'!B39,ROUNDUP(T129/I129,0))&lt;='損益分岐設定'!C39,MAX('損益分岐設定'!B39,ROUNDUP(T129/I129,0)),1001))</x:f>
        <x:v>101</x:v>
      </x:c>
      <x:c r="Y129" s="1" t="n">
        <x:f>IF(I129&lt;=0,1001,IF(MAX('損益分岐設定'!B40,ROUNDUP(U129/I129,0))&lt;='損益分岐設定'!C40,MAX('損益分岐設定'!B40,ROUNDUP(U129/I129,0)),1001))</x:f>
        <x:v>501</x:v>
      </x:c>
      <x:c r="Z129" s="1" t="n">
        <x:f>IF(I129&lt;=0,'損益分岐設定'!C37,IF('損益分岐設定'!C37*I129-R129&lt;0,'損益分岐設定'!C37,IF('損益分岐設定'!B37*I129-R129&gt;=0,0,ROUNDUP(R129/I129,0)-1)))</x:f>
        <x:v>7</x:v>
      </x:c>
      <x:c r="AA129" s="1" t="n">
        <x:f>IF(I129&lt;=0,'損益分岐設定'!C38,IF('損益分岐設定'!C38*I129-S129&lt;0,'損益分岐設定'!C38,IF('損益分岐設定'!B38*I129-S129&gt;=0,0,ROUNDUP(S129/I129,0)-1)))</x:f>
        <x:v>0</x:v>
      </x:c>
      <x:c r="AB129" s="1" t="n">
        <x:f>IF(I129&lt;=0,'損益分岐設定'!C39,IF('損益分岐設定'!C39*I129-T129&lt;0,'損益分岐設定'!C39,IF('損益分岐設定'!B39*I129-T129&gt;=0,0,ROUNDUP(T129/I129,0)-1)))</x:f>
        <x:v>0</x:v>
      </x:c>
      <x:c r="AC129" s="1" t="n">
        <x:f>IF(I129&lt;=0,'損益分岐設定'!C40,IF('損益分岐設定'!C40*I129-U129&lt;0,'損益分岐設定'!C40,IF('損益分岐設定'!B40*I129-U129&gt;=0,0,ROUNDUP(U129/I129,0)-1)))</x:f>
        <x:v>0</x:v>
      </x:c>
      <x:c r="AD129" s="1" t="n">
        <x:f>'損益分岐設定'!$D$5/SUM('損益分岐設定'!$D$5:$D$7)</x:f>
        <x:v>0.5</x:v>
      </x:c>
      <x:c r="AE129" s="1" t="n">
        <x:f>'損益分岐設定'!$D$6/SUM('損益分岐設定'!$D$5:$D$7)</x:f>
        <x:v>0.3</x:v>
      </x:c>
      <x:c r="AF129" s="1" t="n">
        <x:f>'損益分岐設定'!$D$7/SUM('損益分岐設定'!$D$5:$D$7)</x:f>
        <x:v>0.2</x:v>
      </x:c>
      <x:c r="AG129" s="1" t="n">
        <x:f>AD129*'損益分岐設定'!$C$56+AE129*'損益分岐設定'!$C$59+AF129*'損益分岐設定'!$C$62</x:f>
        <x:v>110.51909573059083</x:v>
      </x:c>
      <x:c r="AH129" s="1" t="n">
        <x:f>AD129*'損益分岐設定'!$D$56+AE129*'損益分岐設定'!$D$59+AF129*'損益分岐設定'!$D$62</x:f>
        <x:v>27.75</x:v>
      </x:c>
      <x:c r="AI129" s="1" t="n">
        <x:f>AD129*'損益分岐設定'!$E$56+AE129*'損益分岐設定'!$E$59+AF129*'損益分岐設定'!$E$62</x:f>
        <x:v>18.5</x:v>
      </x:c>
      <x:c r="AJ129" s="1" t="n">
        <x:f>(AD129*'損益分岐設定'!$F$56+AE129*'損益分岐設定'!$F$59+AF129*'損益分岐設定'!$F$62*1)*'損益分岐設定'!$B$22</x:f>
        <x:v>27.75</x:v>
      </x:c>
      <x:c r="AK129" s="1" t="n">
        <x:f>AD129*'損益分岐設定'!$G$56+AE129*'損益分岐設定'!$G$59+AF129*'損益分岐設定'!$G$62</x:f>
        <x:v>92.5</x:v>
      </x:c>
      <x:c r="AL129" s="1" t="n">
        <x:f>AD129*'損益分岐設定'!$H$56+AE129*'損益分岐設定'!$H$59+AF129*'損益分岐設定'!$H$62</x:f>
        <x:v>323.33333333333337</x:v>
      </x:c>
      <x:c r="AM129" s="1" t="n">
        <x:f>MAX(1,ROUNDUP('損益分岐設定'!C37*AJ129/('損益分岐設定'!$B$23*'損益分岐設定'!$B$24*3600*'損益分岐設定'!$B$25),0))</x:f>
        <x:v>1</x:v>
      </x:c>
      <x:c r="AN129" s="1" t="n">
        <x:f>MAX(2,ROUNDUP('損益分岐設定'!C38*AJ129/('損益分岐設定'!$B$23*'損益分岐設定'!$B$24*3600*'損益分岐設定'!$B$25),0))</x:f>
        <x:v>2</x:v>
      </x:c>
      <x:c r="AO129" s="1" t="n">
        <x:f>MAX(2,ROUNDUP('損益分岐設定'!C39*AJ129/('損益分岐設定'!$B$23*'損益分岐設定'!$B$24*3600*'損益分岐設定'!$B$25),0))</x:f>
        <x:v>2</x:v>
      </x:c>
      <x:c r="AP129" s="1" t="n">
        <x:f>MAX(2,ROUNDUP('損益分岐設定'!C40*AJ129/('損益分岐設定'!$B$23*'損益分岐設定'!$B$24*3600*'損益分岐設定'!$B$25),0))</x:f>
        <x:v>2</x:v>
      </x:c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 ht="23" customHeight="1">
      <x:c r="A130" s="1" t="str">
        <x:v>Run</x:v>
      </x:c>
      <x:c r="B130" s="1" t="str">
        <x:v>混在</x:v>
      </x:c>
      <x:c r="C130" s="1" t="str">
        <x:v>低位</x:v>
      </x:c>
      <x:c r="D130" s="21" t="n">
        <x:v>0.3</x:v>
      </x:c>
      <x:c r="E130" s="1" t="n">
        <x:v>1</x:v>
      </x:c>
      <x:c r="F130" s="7" t="n">
        <x:f>AD130*'損益分岐設定'!$B$5+AE130*'損益分岐設定'!$B$6+AF130*'損益分岐設定'!$B$7</x:f>
        <x:v>4600</x:v>
      </x:c>
      <x:c r="G130" s="7" t="n">
        <x:f>AG130+(AH130+AI130)*('損益分岐設定'!$B$29+0.5*'損益分岐設定'!$B$30)+AK130*'損益分岐設定'!$B$32+(AJ130+AK130/'損益分岐設定'!$B$28*'損益分岐設定'!$B$26)*('損益分岐設定'!$B$29+'損益分岐設定'!$B$31*'損益分岐設定'!$B$30)</x:f>
        <x:v>110.88645732311313</x:v>
      </x:c>
      <x:c r="H130" s="7" t="n">
        <x:f>AL130*E130</x:f>
        <x:v>323.33333333333337</x:v>
      </x:c>
      <x:c r="I130" s="7" t="n">
        <x:f>F130*(1-D130-'損益分岐設定'!$B$10)-G130-H130</x:f>
        <x:v>2620.180209343553</x:v>
      </x:c>
      <x:c r="J130" s="1" t="n">
        <x:f>IF(MIN(V130:Y130)&gt;1000,"範囲内なし",MIN(V130:Y130))</x:f>
        <x:v>14</x:v>
      </x:c>
      <x:c r="K130" s="1" t="n">
        <x:f>IF(MAX(Z130:AC130)&gt;=1000,"範囲内なし",MAX(1,MAX(Z130:AC130)+1))</x:f>
        <x:v>14</x:v>
      </x:c>
      <x:c r="L130" s="7" t="n">
        <x:f>10*I130-R130</x:f>
        <x:v>-3809.132532872267</x:v>
      </x:c>
      <x:c r="M130" s="7" t="n">
        <x:f>30*I130-S130</x:f>
        <x:v>44094.47165399879</x:v>
      </x:c>
      <x:c r="N130" s="7" t="n">
        <x:f>50*I130-S130</x:f>
        <x:v>96498.07584086986</x:v>
      </x:c>
      <x:c r="O130" s="7" t="n">
        <x:f>100*I130-S130</x:f>
        <x:v>227507.0863080475</x:v>
      </x:c>
      <x:c r="P130" s="7" t="n">
        <x:f>300*I130-T130</x:f>
        <x:v>729543.1281767581</x:v>
      </x:c>
      <x:c r="Q130" s="7" t="n">
        <x:f>1000*I130-U130</x:f>
        <x:v>2533669.2747172453</x:v>
      </x:c>
      <x:c r="R13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130*'損益分岐設定'!$B$12*'損益分岐設定'!$B$11</x:f>
        <x:v>30010.934626307797</x:v>
      </x:c>
      <x:c r="S13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130*'損益分岐設定'!$B$12*'損益分岐設定'!$B$11</x:f>
        <x:v>34510.9346263078</x:v>
      </x:c>
      <x:c r="T13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130*'損益分岐設定'!$B$12*'損益分岐設定'!$B$11</x:f>
        <x:v>56510.9346263078</x:v>
      </x:c>
      <x:c r="U13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130*'損益分岐設定'!$B$12*'損益分岐設定'!$B$11</x:f>
        <x:v>86510.9346263078</x:v>
      </x:c>
      <x:c r="V130" s="1" t="n">
        <x:f>IF(I130&lt;=0,1001,IF(MAX('損益分岐設定'!B37,ROUNDUP(R130/I130,0))&lt;='損益分岐設定'!C37,MAX('損益分岐設定'!B37,ROUNDUP(R130/I130,0)),1001))</x:f>
        <x:v>1001</x:v>
      </x:c>
      <x:c r="W130" s="1" t="n">
        <x:f>IF(I130&lt;=0,1001,IF(MAX('損益分岐設定'!B38,ROUNDUP(S130/I130,0))&lt;='損益分岐設定'!C38,MAX('損益分岐設定'!B38,ROUNDUP(S130/I130,0)),1001))</x:f>
        <x:v>14</x:v>
      </x:c>
      <x:c r="X130" s="1" t="n">
        <x:f>IF(I130&lt;=0,1001,IF(MAX('損益分岐設定'!B39,ROUNDUP(T130/I130,0))&lt;='損益分岐設定'!C39,MAX('損益分岐設定'!B39,ROUNDUP(T130/I130,0)),1001))</x:f>
        <x:v>101</x:v>
      </x:c>
      <x:c r="Y130" s="1" t="n">
        <x:f>IF(I130&lt;=0,1001,IF(MAX('損益分岐設定'!B40,ROUNDUP(U130/I130,0))&lt;='損益分岐設定'!C40,MAX('損益分岐設定'!B40,ROUNDUP(U130/I130,0)),1001))</x:f>
        <x:v>501</x:v>
      </x:c>
      <x:c r="Z130" s="1" t="n">
        <x:f>IF(I130&lt;=0,'損益分岐設定'!C37,IF('損益分岐設定'!C37*I130-R130&lt;0,'損益分岐設定'!C37,IF('損益分岐設定'!B37*I130-R130&gt;=0,0,ROUNDUP(R130/I130,0)-1)))</x:f>
        <x:v>10</x:v>
      </x:c>
      <x:c r="AA130" s="1" t="n">
        <x:f>IF(I130&lt;=0,'損益分岐設定'!C38,IF('損益分岐設定'!C38*I130-S130&lt;0,'損益分岐設定'!C38,IF('損益分岐設定'!B38*I130-S130&gt;=0,0,ROUNDUP(S130/I130,0)-1)))</x:f>
        <x:v>13</x:v>
      </x:c>
      <x:c r="AB130" s="1" t="n">
        <x:f>IF(I130&lt;=0,'損益分岐設定'!C39,IF('損益分岐設定'!C39*I130-T130&lt;0,'損益分岐設定'!C39,IF('損益分岐設定'!B39*I130-T130&gt;=0,0,ROUNDUP(T130/I130,0)-1)))</x:f>
        <x:v>0</x:v>
      </x:c>
      <x:c r="AC130" s="1" t="n">
        <x:f>IF(I130&lt;=0,'損益分岐設定'!C40,IF('損益分岐設定'!C40*I130-U130&lt;0,'損益分岐設定'!C40,IF('損益分岐設定'!B40*I130-U130&gt;=0,0,ROUNDUP(U130/I130,0)-1)))</x:f>
        <x:v>0</x:v>
      </x:c>
      <x:c r="AD130" s="1" t="n">
        <x:f>'損益分岐設定'!$D$5/SUM('損益分岐設定'!$D$5:$D$7)</x:f>
        <x:v>0.5</x:v>
      </x:c>
      <x:c r="AE130" s="1" t="n">
        <x:f>'損益分岐設定'!$D$6/SUM('損益分岐設定'!$D$5:$D$7)</x:f>
        <x:v>0.3</x:v>
      </x:c>
      <x:c r="AF130" s="1" t="n">
        <x:f>'損益分岐設定'!$D$7/SUM('損益分岐設定'!$D$5:$D$7)</x:f>
        <x:v>0.2</x:v>
      </x:c>
      <x:c r="AG130" s="1" t="n">
        <x:f>AD130*'損益分岐設定'!$C$56+AE130*'損益分岐設定'!$C$59+AF130*'損益分岐設定'!$C$62</x:f>
        <x:v>110.51909573059083</x:v>
      </x:c>
      <x:c r="AH130" s="1" t="n">
        <x:f>AD130*'損益分岐設定'!$D$56+AE130*'損益分岐設定'!$D$59+AF130*'損益分岐設定'!$D$62</x:f>
        <x:v>27.75</x:v>
      </x:c>
      <x:c r="AI130" s="1" t="n">
        <x:f>AD130*'損益分岐設定'!$E$56+AE130*'損益分岐設定'!$E$59+AF130*'損益分岐設定'!$E$62</x:f>
        <x:v>18.5</x:v>
      </x:c>
      <x:c r="AJ130" s="1" t="n">
        <x:f>(AD130*'損益分岐設定'!$F$56+AE130*'損益分岐設定'!$F$59+AF130*'損益分岐設定'!$F$62*1)*'損益分岐設定'!$B$22</x:f>
        <x:v>27.75</x:v>
      </x:c>
      <x:c r="AK130" s="1" t="n">
        <x:f>AD130*'損益分岐設定'!$G$56+AE130*'損益分岐設定'!$G$59+AF130*'損益分岐設定'!$G$62</x:f>
        <x:v>92.5</x:v>
      </x:c>
      <x:c r="AL130" s="1" t="n">
        <x:f>AD130*'損益分岐設定'!$H$56+AE130*'損益分岐設定'!$H$59+AF130*'損益分岐設定'!$H$62</x:f>
        <x:v>323.33333333333337</x:v>
      </x:c>
      <x:c r="AM130" s="1" t="n">
        <x:f>MAX(1,ROUNDUP('損益分岐設定'!C37*AJ130/('損益分岐設定'!$B$23*'損益分岐設定'!$B$24*3600*'損益分岐設定'!$B$25),0))</x:f>
        <x:v>1</x:v>
      </x:c>
      <x:c r="AN130" s="1" t="n">
        <x:f>MAX(2,ROUNDUP('損益分岐設定'!C38*AJ130/('損益分岐設定'!$B$23*'損益分岐設定'!$B$24*3600*'損益分岐設定'!$B$25),0))</x:f>
        <x:v>2</x:v>
      </x:c>
      <x:c r="AO130" s="1" t="n">
        <x:f>MAX(2,ROUNDUP('損益分岐設定'!C39*AJ130/('損益分岐設定'!$B$23*'損益分岐設定'!$B$24*3600*'損益分岐設定'!$B$25),0))</x:f>
        <x:v>2</x:v>
      </x:c>
      <x:c r="AP130" s="1" t="n">
        <x:f>MAX(2,ROUNDUP('損益分岐設定'!C40*AJ130/('損益分岐設定'!$B$23*'損益分岐設定'!$B$24*3600*'損益分岐設定'!$B$25),0))</x:f>
        <x:v>2</x:v>
      </x:c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 ht="23" customHeight="1">
      <x:c r="A131" s="1" t="str">
        <x:v>Run</x:v>
      </x:c>
      <x:c r="B131" s="1" t="str">
        <x:v>混在</x:v>
      </x:c>
      <x:c r="C131" s="1" t="str">
        <x:v>低位</x:v>
      </x:c>
      <x:c r="D131" s="21" t="n">
        <x:v>0.4</x:v>
      </x:c>
      <x:c r="E131" s="1" t="n">
        <x:v>0</x:v>
      </x:c>
      <x:c r="F131" s="7" t="n">
        <x:f>AD131*'損益分岐設定'!$B$5+AE131*'損益分岐設定'!$B$6+AF131*'損益分岐設定'!$B$7</x:f>
        <x:v>4600</x:v>
      </x:c>
      <x:c r="G131" s="7" t="n">
        <x:f>AG131+(AH131+AI131)*('損益分岐設定'!$B$29+0.5*'損益分岐設定'!$B$30)+AK131*'損益分岐設定'!$B$32+(AJ131+AK131/'損益分岐設定'!$B$28*'損益分岐設定'!$B$26)*('損益分岐設定'!$B$29+'損益分岐設定'!$B$31*'損益分岐設定'!$B$30)</x:f>
        <x:v>110.88645732311313</x:v>
      </x:c>
      <x:c r="H131" s="7" t="n">
        <x:f>AL131*E131</x:f>
        <x:v>0</x:v>
      </x:c>
      <x:c r="I131" s="7" t="n">
        <x:f>F131*(1-D131-'損益分岐設定'!$B$10)-G131-H131</x:f>
        <x:v>2483.5135426768866</x:v>
      </x:c>
      <x:c r="J131" s="1" t="n">
        <x:f>IF(MIN(V131:Y131)&gt;1000,"範囲内なし",MIN(V131:Y131))</x:f>
        <x:v>9</x:v>
      </x:c>
      <x:c r="K131" s="1" t="n">
        <x:f>IF(MAX(Z131:AC131)&gt;=1000,"範囲内なし",MAX(1,MAX(Z131:AC131)+1))</x:f>
        <x:v>9</x:v>
      </x:c>
      <x:c r="L131" s="7" t="n">
        <x:f>10*I131-R131</x:f>
        <x:v>2824.200800461069</x:v>
      </x:c>
      <x:c r="M131" s="7" t="n">
        <x:f>30*I131-S131</x:f>
        <x:v>47994.47165399881</x:v>
      </x:c>
      <x:c r="N131" s="7" t="n">
        <x:f>50*I131-S131</x:f>
        <x:v>97664.74250753652</x:v>
      </x:c>
      <x:c r="O131" s="7" t="n">
        <x:f>100*I131-S131</x:f>
        <x:v>221840.41964138084</x:v>
      </x:c>
      <x:c r="P131" s="7" t="n">
        <x:f>300*I131-T131</x:f>
        <x:v>696543.1281767582</x:v>
      </x:c>
      <x:c r="Q131" s="7" t="n">
        <x:f>1000*I131-U131</x:f>
        <x:v>2405002.6080505787</x:v>
      </x:c>
      <x:c r="R13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131*'損益分岐設定'!$B$12*'損益分岐設定'!$B$11</x:f>
        <x:v>22010.934626307797</x:v>
      </x:c>
      <x:c r="S13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131*'損益分岐設定'!$B$12*'損益分岐設定'!$B$11</x:f>
        <x:v>26510.934626307797</x:v>
      </x:c>
      <x:c r="T13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131*'損益分岐設定'!$B$12*'損益分岐設定'!$B$11</x:f>
        <x:v>48510.9346263078</x:v>
      </x:c>
      <x:c r="U13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131*'損益分岐設定'!$B$12*'損益分岐設定'!$B$11</x:f>
        <x:v>78510.9346263078</x:v>
      </x:c>
      <x:c r="V131" s="1" t="n">
        <x:f>IF(I131&lt;=0,1001,IF(MAX('損益分岐設定'!B37,ROUNDUP(R131/I131,0))&lt;='損益分岐設定'!C37,MAX('損益分岐設定'!B37,ROUNDUP(R131/I131,0)),1001))</x:f>
        <x:v>9</x:v>
      </x:c>
      <x:c r="W131" s="1" t="n">
        <x:f>IF(I131&lt;=0,1001,IF(MAX('損益分岐設定'!B38,ROUNDUP(S131/I131,0))&lt;='損益分岐設定'!C38,MAX('損益分岐設定'!B38,ROUNDUP(S131/I131,0)),1001))</x:f>
        <x:v>11</x:v>
      </x:c>
      <x:c r="X131" s="1" t="n">
        <x:f>IF(I131&lt;=0,1001,IF(MAX('損益分岐設定'!B39,ROUNDUP(T131/I131,0))&lt;='損益分岐設定'!C39,MAX('損益分岐設定'!B39,ROUNDUP(T131/I131,0)),1001))</x:f>
        <x:v>101</x:v>
      </x:c>
      <x:c r="Y131" s="1" t="n">
        <x:f>IF(I131&lt;=0,1001,IF(MAX('損益分岐設定'!B40,ROUNDUP(U131/I131,0))&lt;='損益分岐設定'!C40,MAX('損益分岐設定'!B40,ROUNDUP(U131/I131,0)),1001))</x:f>
        <x:v>501</x:v>
      </x:c>
      <x:c r="Z131" s="1" t="n">
        <x:f>IF(I131&lt;=0,'損益分岐設定'!C37,IF('損益分岐設定'!C37*I131-R131&lt;0,'損益分岐設定'!C37,IF('損益分岐設定'!B37*I131-R131&gt;=0,0,ROUNDUP(R131/I131,0)-1)))</x:f>
        <x:v>8</x:v>
      </x:c>
      <x:c r="AA131" s="1" t="n">
        <x:f>IF(I131&lt;=0,'損益分岐設定'!C38,IF('損益分岐設定'!C38*I131-S131&lt;0,'損益分岐設定'!C38,IF('損益分岐設定'!B38*I131-S131&gt;=0,0,ROUNDUP(S131/I131,0)-1)))</x:f>
        <x:v>0</x:v>
      </x:c>
      <x:c r="AB131" s="1" t="n">
        <x:f>IF(I131&lt;=0,'損益分岐設定'!C39,IF('損益分岐設定'!C39*I131-T131&lt;0,'損益分岐設定'!C39,IF('損益分岐設定'!B39*I131-T131&gt;=0,0,ROUNDUP(T131/I131,0)-1)))</x:f>
        <x:v>0</x:v>
      </x:c>
      <x:c r="AC131" s="1" t="n">
        <x:f>IF(I131&lt;=0,'損益分岐設定'!C40,IF('損益分岐設定'!C40*I131-U131&lt;0,'損益分岐設定'!C40,IF('損益分岐設定'!B40*I131-U131&gt;=0,0,ROUNDUP(U131/I131,0)-1)))</x:f>
        <x:v>0</x:v>
      </x:c>
      <x:c r="AD131" s="1" t="n">
        <x:f>'損益分岐設定'!$D$5/SUM('損益分岐設定'!$D$5:$D$7)</x:f>
        <x:v>0.5</x:v>
      </x:c>
      <x:c r="AE131" s="1" t="n">
        <x:f>'損益分岐設定'!$D$6/SUM('損益分岐設定'!$D$5:$D$7)</x:f>
        <x:v>0.3</x:v>
      </x:c>
      <x:c r="AF131" s="1" t="n">
        <x:f>'損益分岐設定'!$D$7/SUM('損益分岐設定'!$D$5:$D$7)</x:f>
        <x:v>0.2</x:v>
      </x:c>
      <x:c r="AG131" s="1" t="n">
        <x:f>AD131*'損益分岐設定'!$C$56+AE131*'損益分岐設定'!$C$59+AF131*'損益分岐設定'!$C$62</x:f>
        <x:v>110.51909573059083</x:v>
      </x:c>
      <x:c r="AH131" s="1" t="n">
        <x:f>AD131*'損益分岐設定'!$D$56+AE131*'損益分岐設定'!$D$59+AF131*'損益分岐設定'!$D$62</x:f>
        <x:v>27.75</x:v>
      </x:c>
      <x:c r="AI131" s="1" t="n">
        <x:f>AD131*'損益分岐設定'!$E$56+AE131*'損益分岐設定'!$E$59+AF131*'損益分岐設定'!$E$62</x:f>
        <x:v>18.5</x:v>
      </x:c>
      <x:c r="AJ131" s="1" t="n">
        <x:f>(AD131*'損益分岐設定'!$F$56+AE131*'損益分岐設定'!$F$59+AF131*'損益分岐設定'!$F$62*1)*'損益分岐設定'!$B$22</x:f>
        <x:v>27.75</x:v>
      </x:c>
      <x:c r="AK131" s="1" t="n">
        <x:f>AD131*'損益分岐設定'!$G$56+AE131*'損益分岐設定'!$G$59+AF131*'損益分岐設定'!$G$62</x:f>
        <x:v>92.5</x:v>
      </x:c>
      <x:c r="AL131" s="1" t="n">
        <x:f>AD131*'損益分岐設定'!$H$56+AE131*'損益分岐設定'!$H$59+AF131*'損益分岐設定'!$H$62</x:f>
        <x:v>323.33333333333337</x:v>
      </x:c>
      <x:c r="AM131" s="1" t="n">
        <x:f>MAX(1,ROUNDUP('損益分岐設定'!C37*AJ131/('損益分岐設定'!$B$23*'損益分岐設定'!$B$24*3600*'損益分岐設定'!$B$25),0))</x:f>
        <x:v>1</x:v>
      </x:c>
      <x:c r="AN131" s="1" t="n">
        <x:f>MAX(2,ROUNDUP('損益分岐設定'!C38*AJ131/('損益分岐設定'!$B$23*'損益分岐設定'!$B$24*3600*'損益分岐設定'!$B$25),0))</x:f>
        <x:v>2</x:v>
      </x:c>
      <x:c r="AO131" s="1" t="n">
        <x:f>MAX(2,ROUNDUP('損益分岐設定'!C39*AJ131/('損益分岐設定'!$B$23*'損益分岐設定'!$B$24*3600*'損益分岐設定'!$B$25),0))</x:f>
        <x:v>2</x:v>
      </x:c>
      <x:c r="AP131" s="1" t="n">
        <x:f>MAX(2,ROUNDUP('損益分岐設定'!C40*AJ131/('損益分岐設定'!$B$23*'損益分岐設定'!$B$24*3600*'損益分岐設定'!$B$25),0))</x:f>
        <x:v>2</x:v>
      </x:c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 ht="23" customHeight="1">
      <x:c r="A132" s="1" t="str">
        <x:v>Run</x:v>
      </x:c>
      <x:c r="B132" s="1" t="str">
        <x:v>混在</x:v>
      </x:c>
      <x:c r="C132" s="1" t="str">
        <x:v>低位</x:v>
      </x:c>
      <x:c r="D132" s="21" t="n">
        <x:v>0.4</x:v>
      </x:c>
      <x:c r="E132" s="1" t="n">
        <x:v>1</x:v>
      </x:c>
      <x:c r="F132" s="7" t="n">
        <x:f>AD132*'損益分岐設定'!$B$5+AE132*'損益分岐設定'!$B$6+AF132*'損益分岐設定'!$B$7</x:f>
        <x:v>4600</x:v>
      </x:c>
      <x:c r="G132" s="7" t="n">
        <x:f>AG132+(AH132+AI132)*('損益分岐設定'!$B$29+0.5*'損益分岐設定'!$B$30)+AK132*'損益分岐設定'!$B$32+(AJ132+AK132/'損益分岐設定'!$B$28*'損益分岐設定'!$B$26)*('損益分岐設定'!$B$29+'損益分岐設定'!$B$31*'損益分岐設定'!$B$30)</x:f>
        <x:v>110.88645732311313</x:v>
      </x:c>
      <x:c r="H132" s="7" t="n">
        <x:f>AL132*E132</x:f>
        <x:v>323.33333333333337</x:v>
      </x:c>
      <x:c r="I132" s="7" t="n">
        <x:f>F132*(1-D132-'損益分岐設定'!$B$10)-G132-H132</x:f>
        <x:v>2160.180209343553</x:v>
      </x:c>
      <x:c r="J132" s="1" t="n">
        <x:f>IF(MIN(V132:Y132)&gt;1000,"範囲内なし",MIN(V132:Y132))</x:f>
        <x:v>16</x:v>
      </x:c>
      <x:c r="K132" s="1" t="n">
        <x:f>IF(MAX(Z132:AC132)&gt;=1000,"範囲内なし",MAX(1,MAX(Z132:AC132)+1))</x:f>
        <x:v>16</x:v>
      </x:c>
      <x:c r="L132" s="7" t="n">
        <x:f>10*I132-R132</x:f>
        <x:v>-8409.132532872267</x:v>
      </x:c>
      <x:c r="M132" s="7" t="n">
        <x:f>30*I132-S132</x:f>
        <x:v>30294.471653998793</x:v>
      </x:c>
      <x:c r="N132" s="7" t="n">
        <x:f>50*I132-S132</x:f>
        <x:v>73498.07584086986</x:v>
      </x:c>
      <x:c r="O132" s="7" t="n">
        <x:f>100*I132-S132</x:f>
        <x:v>181507.0863080475</x:v>
      </x:c>
      <x:c r="P132" s="7" t="n">
        <x:f>300*I132-T132</x:f>
        <x:v>591543.1281767581</x:v>
      </x:c>
      <x:c r="Q132" s="7" t="n">
        <x:f>1000*I132-U132</x:f>
        <x:v>2073669.2747172453</x:v>
      </x:c>
      <x:c r="R13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132*'損益分岐設定'!$B$12*'損益分岐設定'!$B$11</x:f>
        <x:v>30010.934626307797</x:v>
      </x:c>
      <x:c r="S13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132*'損益分岐設定'!$B$12*'損益分岐設定'!$B$11</x:f>
        <x:v>34510.9346263078</x:v>
      </x:c>
      <x:c r="T13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132*'損益分岐設定'!$B$12*'損益分岐設定'!$B$11</x:f>
        <x:v>56510.9346263078</x:v>
      </x:c>
      <x:c r="U13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132*'損益分岐設定'!$B$12*'損益分岐設定'!$B$11</x:f>
        <x:v>86510.9346263078</x:v>
      </x:c>
      <x:c r="V132" s="1" t="n">
        <x:f>IF(I132&lt;=0,1001,IF(MAX('損益分岐設定'!B37,ROUNDUP(R132/I132,0))&lt;='損益分岐設定'!C37,MAX('損益分岐設定'!B37,ROUNDUP(R132/I132,0)),1001))</x:f>
        <x:v>1001</x:v>
      </x:c>
      <x:c r="W132" s="1" t="n">
        <x:f>IF(I132&lt;=0,1001,IF(MAX('損益分岐設定'!B38,ROUNDUP(S132/I132,0))&lt;='損益分岐設定'!C38,MAX('損益分岐設定'!B38,ROUNDUP(S132/I132,0)),1001))</x:f>
        <x:v>16</x:v>
      </x:c>
      <x:c r="X132" s="1" t="n">
        <x:f>IF(I132&lt;=0,1001,IF(MAX('損益分岐設定'!B39,ROUNDUP(T132/I132,0))&lt;='損益分岐設定'!C39,MAX('損益分岐設定'!B39,ROUNDUP(T132/I132,0)),1001))</x:f>
        <x:v>101</x:v>
      </x:c>
      <x:c r="Y132" s="1" t="n">
        <x:f>IF(I132&lt;=0,1001,IF(MAX('損益分岐設定'!B40,ROUNDUP(U132/I132,0))&lt;='損益分岐設定'!C40,MAX('損益分岐設定'!B40,ROUNDUP(U132/I132,0)),1001))</x:f>
        <x:v>501</x:v>
      </x:c>
      <x:c r="Z132" s="1" t="n">
        <x:f>IF(I132&lt;=0,'損益分岐設定'!C37,IF('損益分岐設定'!C37*I132-R132&lt;0,'損益分岐設定'!C37,IF('損益分岐設定'!B37*I132-R132&gt;=0,0,ROUNDUP(R132/I132,0)-1)))</x:f>
        <x:v>10</x:v>
      </x:c>
      <x:c r="AA132" s="1" t="n">
        <x:f>IF(I132&lt;=0,'損益分岐設定'!C38,IF('損益分岐設定'!C38*I132-S132&lt;0,'損益分岐設定'!C38,IF('損益分岐設定'!B38*I132-S132&gt;=0,0,ROUNDUP(S132/I132,0)-1)))</x:f>
        <x:v>15</x:v>
      </x:c>
      <x:c r="AB132" s="1" t="n">
        <x:f>IF(I132&lt;=0,'損益分岐設定'!C39,IF('損益分岐設定'!C39*I132-T132&lt;0,'損益分岐設定'!C39,IF('損益分岐設定'!B39*I132-T132&gt;=0,0,ROUNDUP(T132/I132,0)-1)))</x:f>
        <x:v>0</x:v>
      </x:c>
      <x:c r="AC132" s="1" t="n">
        <x:f>IF(I132&lt;=0,'損益分岐設定'!C40,IF('損益分岐設定'!C40*I132-U132&lt;0,'損益分岐設定'!C40,IF('損益分岐設定'!B40*I132-U132&gt;=0,0,ROUNDUP(U132/I132,0)-1)))</x:f>
        <x:v>0</x:v>
      </x:c>
      <x:c r="AD132" s="1" t="n">
        <x:f>'損益分岐設定'!$D$5/SUM('損益分岐設定'!$D$5:$D$7)</x:f>
        <x:v>0.5</x:v>
      </x:c>
      <x:c r="AE132" s="1" t="n">
        <x:f>'損益分岐設定'!$D$6/SUM('損益分岐設定'!$D$5:$D$7)</x:f>
        <x:v>0.3</x:v>
      </x:c>
      <x:c r="AF132" s="1" t="n">
        <x:f>'損益分岐設定'!$D$7/SUM('損益分岐設定'!$D$5:$D$7)</x:f>
        <x:v>0.2</x:v>
      </x:c>
      <x:c r="AG132" s="1" t="n">
        <x:f>AD132*'損益分岐設定'!$C$56+AE132*'損益分岐設定'!$C$59+AF132*'損益分岐設定'!$C$62</x:f>
        <x:v>110.51909573059083</x:v>
      </x:c>
      <x:c r="AH132" s="1" t="n">
        <x:f>AD132*'損益分岐設定'!$D$56+AE132*'損益分岐設定'!$D$59+AF132*'損益分岐設定'!$D$62</x:f>
        <x:v>27.75</x:v>
      </x:c>
      <x:c r="AI132" s="1" t="n">
        <x:f>AD132*'損益分岐設定'!$E$56+AE132*'損益分岐設定'!$E$59+AF132*'損益分岐設定'!$E$62</x:f>
        <x:v>18.5</x:v>
      </x:c>
      <x:c r="AJ132" s="1" t="n">
        <x:f>(AD132*'損益分岐設定'!$F$56+AE132*'損益分岐設定'!$F$59+AF132*'損益分岐設定'!$F$62*1)*'損益分岐設定'!$B$22</x:f>
        <x:v>27.75</x:v>
      </x:c>
      <x:c r="AK132" s="1" t="n">
        <x:f>AD132*'損益分岐設定'!$G$56+AE132*'損益分岐設定'!$G$59+AF132*'損益分岐設定'!$G$62</x:f>
        <x:v>92.5</x:v>
      </x:c>
      <x:c r="AL132" s="1" t="n">
        <x:f>AD132*'損益分岐設定'!$H$56+AE132*'損益分岐設定'!$H$59+AF132*'損益分岐設定'!$H$62</x:f>
        <x:v>323.33333333333337</x:v>
      </x:c>
      <x:c r="AM132" s="1" t="n">
        <x:f>MAX(1,ROUNDUP('損益分岐設定'!C37*AJ132/('損益分岐設定'!$B$23*'損益分岐設定'!$B$24*3600*'損益分岐設定'!$B$25),0))</x:f>
        <x:v>1</x:v>
      </x:c>
      <x:c r="AN132" s="1" t="n">
        <x:f>MAX(2,ROUNDUP('損益分岐設定'!C38*AJ132/('損益分岐設定'!$B$23*'損益分岐設定'!$B$24*3600*'損益分岐設定'!$B$25),0))</x:f>
        <x:v>2</x:v>
      </x:c>
      <x:c r="AO132" s="1" t="n">
        <x:f>MAX(2,ROUNDUP('損益分岐設定'!C39*AJ132/('損益分岐設定'!$B$23*'損益分岐設定'!$B$24*3600*'損益分岐設定'!$B$25),0))</x:f>
        <x:v>2</x:v>
      </x:c>
      <x:c r="AP132" s="1" t="n">
        <x:f>MAX(2,ROUNDUP('損益分岐設定'!C40*AJ132/('損益分岐設定'!$B$23*'損益分岐設定'!$B$24*3600*'損益分岐設定'!$B$25),0))</x:f>
        <x:v>2</x:v>
      </x:c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 ht="23" customHeight="1">
      <x:c r="A133" s="1" t="str">
        <x:v>Run</x:v>
      </x:c>
      <x:c r="B133" s="1" t="str">
        <x:v>混在</x:v>
      </x:c>
      <x:c r="C133" s="1" t="str">
        <x:v>低位</x:v>
      </x:c>
      <x:c r="D133" s="21" t="n">
        <x:v>0.5</x:v>
      </x:c>
      <x:c r="E133" s="1" t="n">
        <x:v>0</x:v>
      </x:c>
      <x:c r="F133" s="7" t="n">
        <x:f>AD133*'損益分岐設定'!$B$5+AE133*'損益分岐設定'!$B$6+AF133*'損益分岐設定'!$B$7</x:f>
        <x:v>4600</x:v>
      </x:c>
      <x:c r="G133" s="7" t="n">
        <x:f>AG133+(AH133+AI133)*('損益分岐設定'!$B$29+0.5*'損益分岐設定'!$B$30)+AK133*'損益分岐設定'!$B$32+(AJ133+AK133/'損益分岐設定'!$B$28*'損益分岐設定'!$B$26)*('損益分岐設定'!$B$29+'損益分岐設定'!$B$31*'損益分岐設定'!$B$30)</x:f>
        <x:v>110.88645732311313</x:v>
      </x:c>
      <x:c r="H133" s="7" t="n">
        <x:f>AL133*E133</x:f>
        <x:v>0</x:v>
      </x:c>
      <x:c r="I133" s="7" t="n">
        <x:f>F133*(1-D133-'損益分岐設定'!$B$10)-G133-H133</x:f>
        <x:v>2023.513542676887</x:v>
      </x:c>
      <x:c r="J133" s="1" t="n">
        <x:f>IF(MIN(V133:Y133)&gt;1000,"範囲内なし",MIN(V133:Y133))</x:f>
        <x:v>14</x:v>
      </x:c>
      <x:c r="K133" s="1" t="n">
        <x:f>IF(MAX(Z133:AC133)&gt;=1000,"範囲内なし",MAX(1,MAX(Z133:AC133)+1))</x:f>
        <x:v>14</x:v>
      </x:c>
      <x:c r="L133" s="7" t="n">
        <x:f>10*I133-R133</x:f>
        <x:v>-1775.7991995389275</x:v>
      </x:c>
      <x:c r="M133" s="7" t="n">
        <x:f>30*I133-S133</x:f>
        <x:v>34194.471653998815</x:v>
      </x:c>
      <x:c r="N133" s="7" t="n">
        <x:f>50*I133-S133</x:f>
        <x:v>74664.74250753655</x:v>
      </x:c>
      <x:c r="O133" s="7" t="n">
        <x:f>100*I133-S133</x:f>
        <x:v>175840.4196413809</x:v>
      </x:c>
      <x:c r="P133" s="7" t="n">
        <x:f>300*I133-T133</x:f>
        <x:v>558543.1281767583</x:v>
      </x:c>
      <x:c r="Q133" s="7" t="n">
        <x:f>1000*I133-U133</x:f>
        <x:v>1945002.6080505792</x:v>
      </x:c>
      <x:c r="R13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133*'損益分岐設定'!$B$12*'損益分岐設定'!$B$11</x:f>
        <x:v>22010.934626307797</x:v>
      </x:c>
      <x:c r="S13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133*'損益分岐設定'!$B$12*'損益分岐設定'!$B$11</x:f>
        <x:v>26510.934626307797</x:v>
      </x:c>
      <x:c r="T13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133*'損益分岐設定'!$B$12*'損益分岐設定'!$B$11</x:f>
        <x:v>48510.9346263078</x:v>
      </x:c>
      <x:c r="U13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133*'損益分岐設定'!$B$12*'損益分岐設定'!$B$11</x:f>
        <x:v>78510.9346263078</x:v>
      </x:c>
      <x:c r="V133" s="1" t="n">
        <x:f>IF(I133&lt;=0,1001,IF(MAX('損益分岐設定'!B37,ROUNDUP(R133/I133,0))&lt;='損益分岐設定'!C37,MAX('損益分岐設定'!B37,ROUNDUP(R133/I133,0)),1001))</x:f>
        <x:v>1001</x:v>
      </x:c>
      <x:c r="W133" s="1" t="n">
        <x:f>IF(I133&lt;=0,1001,IF(MAX('損益分岐設定'!B38,ROUNDUP(S133/I133,0))&lt;='損益分岐設定'!C38,MAX('損益分岐設定'!B38,ROUNDUP(S133/I133,0)),1001))</x:f>
        <x:v>14</x:v>
      </x:c>
      <x:c r="X133" s="1" t="n">
        <x:f>IF(I133&lt;=0,1001,IF(MAX('損益分岐設定'!B39,ROUNDUP(T133/I133,0))&lt;='損益分岐設定'!C39,MAX('損益分岐設定'!B39,ROUNDUP(T133/I133,0)),1001))</x:f>
        <x:v>101</x:v>
      </x:c>
      <x:c r="Y133" s="1" t="n">
        <x:f>IF(I133&lt;=0,1001,IF(MAX('損益分岐設定'!B40,ROUNDUP(U133/I133,0))&lt;='損益分岐設定'!C40,MAX('損益分岐設定'!B40,ROUNDUP(U133/I133,0)),1001))</x:f>
        <x:v>501</x:v>
      </x:c>
      <x:c r="Z133" s="1" t="n">
        <x:f>IF(I133&lt;=0,'損益分岐設定'!C37,IF('損益分岐設定'!C37*I133-R133&lt;0,'損益分岐設定'!C37,IF('損益分岐設定'!B37*I133-R133&gt;=0,0,ROUNDUP(R133/I133,0)-1)))</x:f>
        <x:v>10</x:v>
      </x:c>
      <x:c r="AA133" s="1" t="n">
        <x:f>IF(I133&lt;=0,'損益分岐設定'!C38,IF('損益分岐設定'!C38*I133-S133&lt;0,'損益分岐設定'!C38,IF('損益分岐設定'!B38*I133-S133&gt;=0,0,ROUNDUP(S133/I133,0)-1)))</x:f>
        <x:v>13</x:v>
      </x:c>
      <x:c r="AB133" s="1" t="n">
        <x:f>IF(I133&lt;=0,'損益分岐設定'!C39,IF('損益分岐設定'!C39*I133-T133&lt;0,'損益分岐設定'!C39,IF('損益分岐設定'!B39*I133-T133&gt;=0,0,ROUNDUP(T133/I133,0)-1)))</x:f>
        <x:v>0</x:v>
      </x:c>
      <x:c r="AC133" s="1" t="n">
        <x:f>IF(I133&lt;=0,'損益分岐設定'!C40,IF('損益分岐設定'!C40*I133-U133&lt;0,'損益分岐設定'!C40,IF('損益分岐設定'!B40*I133-U133&gt;=0,0,ROUNDUP(U133/I133,0)-1)))</x:f>
        <x:v>0</x:v>
      </x:c>
      <x:c r="AD133" s="1" t="n">
        <x:f>'損益分岐設定'!$D$5/SUM('損益分岐設定'!$D$5:$D$7)</x:f>
        <x:v>0.5</x:v>
      </x:c>
      <x:c r="AE133" s="1" t="n">
        <x:f>'損益分岐設定'!$D$6/SUM('損益分岐設定'!$D$5:$D$7)</x:f>
        <x:v>0.3</x:v>
      </x:c>
      <x:c r="AF133" s="1" t="n">
        <x:f>'損益分岐設定'!$D$7/SUM('損益分岐設定'!$D$5:$D$7)</x:f>
        <x:v>0.2</x:v>
      </x:c>
      <x:c r="AG133" s="1" t="n">
        <x:f>AD133*'損益分岐設定'!$C$56+AE133*'損益分岐設定'!$C$59+AF133*'損益分岐設定'!$C$62</x:f>
        <x:v>110.51909573059083</x:v>
      </x:c>
      <x:c r="AH133" s="1" t="n">
        <x:f>AD133*'損益分岐設定'!$D$56+AE133*'損益分岐設定'!$D$59+AF133*'損益分岐設定'!$D$62</x:f>
        <x:v>27.75</x:v>
      </x:c>
      <x:c r="AI133" s="1" t="n">
        <x:f>AD133*'損益分岐設定'!$E$56+AE133*'損益分岐設定'!$E$59+AF133*'損益分岐設定'!$E$62</x:f>
        <x:v>18.5</x:v>
      </x:c>
      <x:c r="AJ133" s="1" t="n">
        <x:f>(AD133*'損益分岐設定'!$F$56+AE133*'損益分岐設定'!$F$59+AF133*'損益分岐設定'!$F$62*1)*'損益分岐設定'!$B$22</x:f>
        <x:v>27.75</x:v>
      </x:c>
      <x:c r="AK133" s="1" t="n">
        <x:f>AD133*'損益分岐設定'!$G$56+AE133*'損益分岐設定'!$G$59+AF133*'損益分岐設定'!$G$62</x:f>
        <x:v>92.5</x:v>
      </x:c>
      <x:c r="AL133" s="1" t="n">
        <x:f>AD133*'損益分岐設定'!$H$56+AE133*'損益分岐設定'!$H$59+AF133*'損益分岐設定'!$H$62</x:f>
        <x:v>323.33333333333337</x:v>
      </x:c>
      <x:c r="AM133" s="1" t="n">
        <x:f>MAX(1,ROUNDUP('損益分岐設定'!C37*AJ133/('損益分岐設定'!$B$23*'損益分岐設定'!$B$24*3600*'損益分岐設定'!$B$25),0))</x:f>
        <x:v>1</x:v>
      </x:c>
      <x:c r="AN133" s="1" t="n">
        <x:f>MAX(2,ROUNDUP('損益分岐設定'!C38*AJ133/('損益分岐設定'!$B$23*'損益分岐設定'!$B$24*3600*'損益分岐設定'!$B$25),0))</x:f>
        <x:v>2</x:v>
      </x:c>
      <x:c r="AO133" s="1" t="n">
        <x:f>MAX(2,ROUNDUP('損益分岐設定'!C39*AJ133/('損益分岐設定'!$B$23*'損益分岐設定'!$B$24*3600*'損益分岐設定'!$B$25),0))</x:f>
        <x:v>2</x:v>
      </x:c>
      <x:c r="AP133" s="1" t="n">
        <x:f>MAX(2,ROUNDUP('損益分岐設定'!C40*AJ133/('損益分岐設定'!$B$23*'損益分岐設定'!$B$24*3600*'損益分岐設定'!$B$25),0))</x:f>
        <x:v>2</x:v>
      </x:c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 ht="23" customHeight="1">
      <x:c r="A134" s="1" t="str">
        <x:v>Run</x:v>
      </x:c>
      <x:c r="B134" s="1" t="str">
        <x:v>混在</x:v>
      </x:c>
      <x:c r="C134" s="1" t="str">
        <x:v>低位</x:v>
      </x:c>
      <x:c r="D134" s="21" t="n">
        <x:v>0.5</x:v>
      </x:c>
      <x:c r="E134" s="1" t="n">
        <x:v>1</x:v>
      </x:c>
      <x:c r="F134" s="7" t="n">
        <x:f>AD134*'損益分岐設定'!$B$5+AE134*'損益分岐設定'!$B$6+AF134*'損益分岐設定'!$B$7</x:f>
        <x:v>4600</x:v>
      </x:c>
      <x:c r="G134" s="7" t="n">
        <x:f>AG134+(AH134+AI134)*('損益分岐設定'!$B$29+0.5*'損益分岐設定'!$B$30)+AK134*'損益分岐設定'!$B$32+(AJ134+AK134/'損益分岐設定'!$B$28*'損益分岐設定'!$B$26)*('損益分岐設定'!$B$29+'損益分岐設定'!$B$31*'損益分岐設定'!$B$30)</x:f>
        <x:v>110.88645732311313</x:v>
      </x:c>
      <x:c r="H134" s="7" t="n">
        <x:f>AL134*E134</x:f>
        <x:v>323.33333333333337</x:v>
      </x:c>
      <x:c r="I134" s="7" t="n">
        <x:f>F134*(1-D134-'損益分岐設定'!$B$10)-G134-H134</x:f>
        <x:v>1700.1802093435535</x:v>
      </x:c>
      <x:c r="J134" s="1" t="n">
        <x:f>IF(MIN(V134:Y134)&gt;1000,"範囲内なし",MIN(V134:Y134))</x:f>
        <x:v>21</x:v>
      </x:c>
      <x:c r="K134" s="1" t="n">
        <x:f>IF(MAX(Z134:AC134)&gt;=1000,"範囲内なし",MAX(1,MAX(Z134:AC134)+1))</x:f>
        <x:v>21</x:v>
      </x:c>
      <x:c r="L134" s="7" t="n">
        <x:f>10*I134-R134</x:f>
        <x:v>-13009.13253287226</x:v>
      </x:c>
      <x:c r="M134" s="7" t="n">
        <x:f>30*I134-S134</x:f>
        <x:v>16494.471653998808</x:v>
      </x:c>
      <x:c r="N134" s="7" t="n">
        <x:f>50*I134-S134</x:f>
        <x:v>50498.07584086988</x:v>
      </x:c>
      <x:c r="O134" s="7" t="n">
        <x:f>100*I134-S134</x:f>
        <x:v>135507.08630804755</x:v>
      </x:c>
      <x:c r="P134" s="7" t="n">
        <x:f>300*I134-T134</x:f>
        <x:v>453543.12817675824</x:v>
      </x:c>
      <x:c r="Q134" s="7" t="n">
        <x:f>1000*I134-U134</x:f>
        <x:v>1613669.2747172457</x:v>
      </x:c>
      <x:c r="R13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134*'損益分岐設定'!$B$12*'損益分岐設定'!$B$11</x:f>
        <x:v>30010.934626307797</x:v>
      </x:c>
      <x:c r="S13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134*'損益分岐設定'!$B$12*'損益分岐設定'!$B$11</x:f>
        <x:v>34510.9346263078</x:v>
      </x:c>
      <x:c r="T13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134*'損益分岐設定'!$B$12*'損益分岐設定'!$B$11</x:f>
        <x:v>56510.9346263078</x:v>
      </x:c>
      <x:c r="U13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134*'損益分岐設定'!$B$12*'損益分岐設定'!$B$11</x:f>
        <x:v>86510.9346263078</x:v>
      </x:c>
      <x:c r="V134" s="1" t="n">
        <x:f>IF(I134&lt;=0,1001,IF(MAX('損益分岐設定'!B37,ROUNDUP(R134/I134,0))&lt;='損益分岐設定'!C37,MAX('損益分岐設定'!B37,ROUNDUP(R134/I134,0)),1001))</x:f>
        <x:v>1001</x:v>
      </x:c>
      <x:c r="W134" s="1" t="n">
        <x:f>IF(I134&lt;=0,1001,IF(MAX('損益分岐設定'!B38,ROUNDUP(S134/I134,0))&lt;='損益分岐設定'!C38,MAX('損益分岐設定'!B38,ROUNDUP(S134/I134,0)),1001))</x:f>
        <x:v>21</x:v>
      </x:c>
      <x:c r="X134" s="1" t="n">
        <x:f>IF(I134&lt;=0,1001,IF(MAX('損益分岐設定'!B39,ROUNDUP(T134/I134,0))&lt;='損益分岐設定'!C39,MAX('損益分岐設定'!B39,ROUNDUP(T134/I134,0)),1001))</x:f>
        <x:v>101</x:v>
      </x:c>
      <x:c r="Y134" s="1" t="n">
        <x:f>IF(I134&lt;=0,1001,IF(MAX('損益分岐設定'!B40,ROUNDUP(U134/I134,0))&lt;='損益分岐設定'!C40,MAX('損益分岐設定'!B40,ROUNDUP(U134/I134,0)),1001))</x:f>
        <x:v>501</x:v>
      </x:c>
      <x:c r="Z134" s="1" t="n">
        <x:f>IF(I134&lt;=0,'損益分岐設定'!C37,IF('損益分岐設定'!C37*I134-R134&lt;0,'損益分岐設定'!C37,IF('損益分岐設定'!B37*I134-R134&gt;=0,0,ROUNDUP(R134/I134,0)-1)))</x:f>
        <x:v>10</x:v>
      </x:c>
      <x:c r="AA134" s="1" t="n">
        <x:f>IF(I134&lt;=0,'損益分岐設定'!C38,IF('損益分岐設定'!C38*I134-S134&lt;0,'損益分岐設定'!C38,IF('損益分岐設定'!B38*I134-S134&gt;=0,0,ROUNDUP(S134/I134,0)-1)))</x:f>
        <x:v>20</x:v>
      </x:c>
      <x:c r="AB134" s="1" t="n">
        <x:f>IF(I134&lt;=0,'損益分岐設定'!C39,IF('損益分岐設定'!C39*I134-T134&lt;0,'損益分岐設定'!C39,IF('損益分岐設定'!B39*I134-T134&gt;=0,0,ROUNDUP(T134/I134,0)-1)))</x:f>
        <x:v>0</x:v>
      </x:c>
      <x:c r="AC134" s="1" t="n">
        <x:f>IF(I134&lt;=0,'損益分岐設定'!C40,IF('損益分岐設定'!C40*I134-U134&lt;0,'損益分岐設定'!C40,IF('損益分岐設定'!B40*I134-U134&gt;=0,0,ROUNDUP(U134/I134,0)-1)))</x:f>
        <x:v>0</x:v>
      </x:c>
      <x:c r="AD134" s="1" t="n">
        <x:f>'損益分岐設定'!$D$5/SUM('損益分岐設定'!$D$5:$D$7)</x:f>
        <x:v>0.5</x:v>
      </x:c>
      <x:c r="AE134" s="1" t="n">
        <x:f>'損益分岐設定'!$D$6/SUM('損益分岐設定'!$D$5:$D$7)</x:f>
        <x:v>0.3</x:v>
      </x:c>
      <x:c r="AF134" s="1" t="n">
        <x:f>'損益分岐設定'!$D$7/SUM('損益分岐設定'!$D$5:$D$7)</x:f>
        <x:v>0.2</x:v>
      </x:c>
      <x:c r="AG134" s="1" t="n">
        <x:f>AD134*'損益分岐設定'!$C$56+AE134*'損益分岐設定'!$C$59+AF134*'損益分岐設定'!$C$62</x:f>
        <x:v>110.51909573059083</x:v>
      </x:c>
      <x:c r="AH134" s="1" t="n">
        <x:f>AD134*'損益分岐設定'!$D$56+AE134*'損益分岐設定'!$D$59+AF134*'損益分岐設定'!$D$62</x:f>
        <x:v>27.75</x:v>
      </x:c>
      <x:c r="AI134" s="1" t="n">
        <x:f>AD134*'損益分岐設定'!$E$56+AE134*'損益分岐設定'!$E$59+AF134*'損益分岐設定'!$E$62</x:f>
        <x:v>18.5</x:v>
      </x:c>
      <x:c r="AJ134" s="1" t="n">
        <x:f>(AD134*'損益分岐設定'!$F$56+AE134*'損益分岐設定'!$F$59+AF134*'損益分岐設定'!$F$62*1)*'損益分岐設定'!$B$22</x:f>
        <x:v>27.75</x:v>
      </x:c>
      <x:c r="AK134" s="1" t="n">
        <x:f>AD134*'損益分岐設定'!$G$56+AE134*'損益分岐設定'!$G$59+AF134*'損益分岐設定'!$G$62</x:f>
        <x:v>92.5</x:v>
      </x:c>
      <x:c r="AL134" s="1" t="n">
        <x:f>AD134*'損益分岐設定'!$H$56+AE134*'損益分岐設定'!$H$59+AF134*'損益分岐設定'!$H$62</x:f>
        <x:v>323.33333333333337</x:v>
      </x:c>
      <x:c r="AM134" s="1" t="n">
        <x:f>MAX(1,ROUNDUP('損益分岐設定'!C37*AJ134/('損益分岐設定'!$B$23*'損益分岐設定'!$B$24*3600*'損益分岐設定'!$B$25),0))</x:f>
        <x:v>1</x:v>
      </x:c>
      <x:c r="AN134" s="1" t="n">
        <x:f>MAX(2,ROUNDUP('損益分岐設定'!C38*AJ134/('損益分岐設定'!$B$23*'損益分岐設定'!$B$24*3600*'損益分岐設定'!$B$25),0))</x:f>
        <x:v>2</x:v>
      </x:c>
      <x:c r="AO134" s="1" t="n">
        <x:f>MAX(2,ROUNDUP('損益分岐設定'!C39*AJ134/('損益分岐設定'!$B$23*'損益分岐設定'!$B$24*3600*'損益分岐設定'!$B$25),0))</x:f>
        <x:v>2</x:v>
      </x:c>
      <x:c r="AP134" s="1" t="n">
        <x:f>MAX(2,ROUNDUP('損益分岐設定'!C40*AJ134/('損益分岐設定'!$B$23*'損益分岐設定'!$B$24*3600*'損益分岐設定'!$B$25),0))</x:f>
        <x:v>2</x:v>
      </x:c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 ht="23" customHeight="1">
      <x:c r="A135" s="1" t="str">
        <x:v>Run</x:v>
      </x:c>
      <x:c r="B135" s="1" t="str">
        <x:v>混在</x:v>
      </x:c>
      <x:c r="C135" s="1" t="str">
        <x:v>標準</x:v>
      </x:c>
      <x:c r="D135" s="21" t="n">
        <x:v>0</x:v>
      </x:c>
      <x:c r="E135" s="1" t="n">
        <x:v>0</x:v>
      </x:c>
      <x:c r="F135" s="7" t="n">
        <x:f>AD135*'損益分岐設定'!$B$5+AE135*'損益分岐設定'!$B$6+AF135*'損益分岐設定'!$B$7</x:f>
        <x:v>4600</x:v>
      </x:c>
      <x:c r="G135" s="7" t="n">
        <x:f>AG135+(AH135+AI135)*('損益分岐設定'!$B$29+0.5*'損益分岐設定'!$B$30)+AK135*'損益分岐設定'!$B$32+(AJ135+AK135/'損益分岐設定'!$B$28*'損益分岐設定'!$B$26)*('損益分岐設定'!$B$29+'損益分岐設定'!$B$31*'損益分岐設定'!$B$30)</x:f>
        <x:v>415.763952863573</x:v>
      </x:c>
      <x:c r="H135" s="7" t="n">
        <x:f>AL135*E135</x:f>
        <x:v>0</x:v>
      </x:c>
      <x:c r="I135" s="7" t="n">
        <x:f>F135*(1-D135-'損益分岐設定'!$B$10)-G135-H135</x:f>
        <x:v>4018.6360471364264</x:v>
      </x:c>
      <x:c r="J135" s="1" t="n">
        <x:f>IF(MIN(V135:Y135)&gt;1000,"範囲内なし",MIN(V135:Y135))</x:f>
        <x:v>6</x:v>
      </x:c>
      <x:c r="K135" s="1" t="n">
        <x:f>IF(MAX(Z135:AC135)&gt;=1000,"範囲内なし",MAX(1,MAX(Z135:AC135)+1))</x:f>
        <x:v>6</x:v>
      </x:c>
      <x:c r="L135" s="7" t="n">
        <x:f>10*I135-R135</x:f>
        <x:v>18175.425845056467</x:v>
      </x:c>
      <x:c r="M135" s="7" t="n">
        <x:f>30*I135-S135</x:f>
        <x:v>94048.146787785</x:v>
      </x:c>
      <x:c r="N135" s="7" t="n">
        <x:f>50*I135-S135</x:f>
        <x:v>174420.8677305135</x:v>
      </x:c>
      <x:c r="O135" s="7" t="n">
        <x:f>100*I135-S135</x:f>
        <x:v>375352.6700873348</x:v>
      </x:c>
      <x:c r="P135" s="7" t="n">
        <x:f>300*I135-T135</x:f>
        <x:v>1157079.8795146202</x:v>
      </x:c>
      <x:c r="Q135" s="7" t="n">
        <x:f>1000*I135-U135</x:f>
        <x:v>3940125.1125101186</x:v>
      </x:c>
      <x:c r="R13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135*'損益分岐設定'!$B$12*'損益分岐設定'!$B$11</x:f>
        <x:v>22010.934626307797</x:v>
      </x:c>
      <x:c r="S13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135*'損益分岐設定'!$B$12*'損益分岐設定'!$B$11</x:f>
        <x:v>26510.934626307797</x:v>
      </x:c>
      <x:c r="T13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135*'損益分岐設定'!$B$12*'損益分岐設定'!$B$11</x:f>
        <x:v>48510.9346263078</x:v>
      </x:c>
      <x:c r="U13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135*'損益分岐設定'!$B$12*'損益分岐設定'!$B$11</x:f>
        <x:v>78510.9346263078</x:v>
      </x:c>
      <x:c r="V135" s="1" t="n">
        <x:f>IF(I135&lt;=0,1001,IF(MAX('損益分岐設定'!B37,ROUNDUP(R135/I135,0))&lt;='損益分岐設定'!C37,MAX('損益分岐設定'!B37,ROUNDUP(R135/I135,0)),1001))</x:f>
        <x:v>6</x:v>
      </x:c>
      <x:c r="W135" s="1" t="n">
        <x:f>IF(I135&lt;=0,1001,IF(MAX('損益分岐設定'!B38,ROUNDUP(S135/I135,0))&lt;='損益分岐設定'!C38,MAX('損益分岐設定'!B38,ROUNDUP(S135/I135,0)),1001))</x:f>
        <x:v>11</x:v>
      </x:c>
      <x:c r="X135" s="1" t="n">
        <x:f>IF(I135&lt;=0,1001,IF(MAX('損益分岐設定'!B39,ROUNDUP(T135/I135,0))&lt;='損益分岐設定'!C39,MAX('損益分岐設定'!B39,ROUNDUP(T135/I135,0)),1001))</x:f>
        <x:v>101</x:v>
      </x:c>
      <x:c r="Y135" s="1" t="n">
        <x:f>IF(I135&lt;=0,1001,IF(MAX('損益分岐設定'!B40,ROUNDUP(U135/I135,0))&lt;='損益分岐設定'!C40,MAX('損益分岐設定'!B40,ROUNDUP(U135/I135,0)),1001))</x:f>
        <x:v>501</x:v>
      </x:c>
      <x:c r="Z135" s="1" t="n">
        <x:f>IF(I135&lt;=0,'損益分岐設定'!C37,IF('損益分岐設定'!C37*I135-R135&lt;0,'損益分岐設定'!C37,IF('損益分岐設定'!B37*I135-R135&gt;=0,0,ROUNDUP(R135/I135,0)-1)))</x:f>
        <x:v>5</x:v>
      </x:c>
      <x:c r="AA135" s="1" t="n">
        <x:f>IF(I135&lt;=0,'損益分岐設定'!C38,IF('損益分岐設定'!C38*I135-S135&lt;0,'損益分岐設定'!C38,IF('損益分岐設定'!B38*I135-S135&gt;=0,0,ROUNDUP(S135/I135,0)-1)))</x:f>
        <x:v>0</x:v>
      </x:c>
      <x:c r="AB135" s="1" t="n">
        <x:f>IF(I135&lt;=0,'損益分岐設定'!C39,IF('損益分岐設定'!C39*I135-T135&lt;0,'損益分岐設定'!C39,IF('損益分岐設定'!B39*I135-T135&gt;=0,0,ROUNDUP(T135/I135,0)-1)))</x:f>
        <x:v>0</x:v>
      </x:c>
      <x:c r="AC135" s="1" t="n">
        <x:f>IF(I135&lt;=0,'損益分岐設定'!C40,IF('損益分岐設定'!C40*I135-U135&lt;0,'損益分岐設定'!C40,IF('損益分岐設定'!B40*I135-U135&gt;=0,0,ROUNDUP(U135/I135,0)-1)))</x:f>
        <x:v>0</x:v>
      </x:c>
      <x:c r="AD135" s="1" t="n">
        <x:f>'損益分岐設定'!$D$5/SUM('損益分岐設定'!$D$5:$D$7)</x:f>
        <x:v>0.5</x:v>
      </x:c>
      <x:c r="AE135" s="1" t="n">
        <x:f>'損益分岐設定'!$D$6/SUM('損益分岐設定'!$D$5:$D$7)</x:f>
        <x:v>0.3</x:v>
      </x:c>
      <x:c r="AF135" s="1" t="n">
        <x:f>'損益分岐設定'!$D$7/SUM('損益分岐設定'!$D$5:$D$7)</x:f>
        <x:v>0.2</x:v>
      </x:c>
      <x:c r="AG135" s="1" t="n">
        <x:f>AD135*'損益分岐設定'!$C$57+AE135*'損益分岐設定'!$C$60+AF135*'損益分岐設定'!$C$63</x:f>
        <x:v>412.2157297973632</x:v>
      </x:c>
      <x:c r="AH135" s="1" t="n">
        <x:f>AD135*'損益分岐設定'!$D$57+AE135*'損益分岐設定'!$D$60+AF135*'損益分岐設定'!$D$63</x:f>
        <x:v>111</x:v>
      </x:c>
      <x:c r="AI135" s="1" t="n">
        <x:f>AD135*'損益分岐設定'!$E$57+AE135*'損益分岐設定'!$E$60+AF135*'損益分岐設定'!$E$63</x:f>
        <x:v>111</x:v>
      </x:c>
      <x:c r="AJ135" s="1" t="n">
        <x:f>(AD135*'損益分岐設定'!$F$57+AE135*'損益分岐設定'!$F$60+AF135*'損益分岐設定'!$F$63*1)*'損益分岐設定'!$B$22</x:f>
        <x:v>444</x:v>
      </x:c>
      <x:c r="AK135" s="1" t="n">
        <x:f>AD135*'損益分岐設定'!$G$57+AE135*'損益分岐設定'!$G$60+AF135*'損益分岐設定'!$G$63</x:f>
        <x:v>740</x:v>
      </x:c>
      <x:c r="AL135" s="1" t="n">
        <x:f>AD135*'損益分岐設定'!$H$57+AE135*'損益分岐設定'!$H$60+AF135*'損益分岐設定'!$H$63</x:f>
        <x:v>656.6666666666666</x:v>
      </x:c>
      <x:c r="AM135" s="1" t="n">
        <x:f>MAX(1,ROUNDUP('損益分岐設定'!C37*AJ135/('損益分岐設定'!$B$23*'損益分岐設定'!$B$24*3600*'損益分岐設定'!$B$25),0))</x:f>
        <x:v>1</x:v>
      </x:c>
      <x:c r="AN135" s="1" t="n">
        <x:f>MAX(2,ROUNDUP('損益分岐設定'!C38*AJ135/('損益分岐設定'!$B$23*'損益分岐設定'!$B$24*3600*'損益分岐設定'!$B$25),0))</x:f>
        <x:v>2</x:v>
      </x:c>
      <x:c r="AO135" s="1" t="n">
        <x:f>MAX(2,ROUNDUP('損益分岐設定'!C39*AJ135/('損益分岐設定'!$B$23*'損益分岐設定'!$B$24*3600*'損益分岐設定'!$B$25),0))</x:f>
        <x:v>2</x:v>
      </x:c>
      <x:c r="AP135" s="1" t="n">
        <x:f>MAX(2,ROUNDUP('損益分岐設定'!C40*AJ135/('損益分岐設定'!$B$23*'損益分岐設定'!$B$24*3600*'損益分岐設定'!$B$25),0))</x:f>
        <x:v>2</x:v>
      </x:c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 ht="23" customHeight="1">
      <x:c r="A136" s="1" t="str">
        <x:v>Run</x:v>
      </x:c>
      <x:c r="B136" s="1" t="str">
        <x:v>混在</x:v>
      </x:c>
      <x:c r="C136" s="1" t="str">
        <x:v>標準</x:v>
      </x:c>
      <x:c r="D136" s="21" t="n">
        <x:v>0</x:v>
      </x:c>
      <x:c r="E136" s="1" t="n">
        <x:v>1</x:v>
      </x:c>
      <x:c r="F136" s="7" t="n">
        <x:f>AD136*'損益分岐設定'!$B$5+AE136*'損益分岐設定'!$B$6+AF136*'損益分岐設定'!$B$7</x:f>
        <x:v>4600</x:v>
      </x:c>
      <x:c r="G136" s="7" t="n">
        <x:f>AG136+(AH136+AI136)*('損益分岐設定'!$B$29+0.5*'損益分岐設定'!$B$30)+AK136*'損益分岐設定'!$B$32+(AJ136+AK136/'損益分岐設定'!$B$28*'損益分岐設定'!$B$26)*('損益分岐設定'!$B$29+'損益分岐設定'!$B$31*'損益分岐設定'!$B$30)</x:f>
        <x:v>415.763952863573</x:v>
      </x:c>
      <x:c r="H136" s="7" t="n">
        <x:f>AL136*E136</x:f>
        <x:v>656.6666666666666</x:v>
      </x:c>
      <x:c r="I136" s="7" t="n">
        <x:f>F136*(1-D136-'損益分岐設定'!$B$10)-G136-H136</x:f>
        <x:v>3361.96938046976</x:v>
      </x:c>
      <x:c r="J136" s="1" t="n">
        <x:f>IF(MIN(V136:Y136)&gt;1000,"範囲内なし",MIN(V136:Y136))</x:f>
        <x:v>9</x:v>
      </x:c>
      <x:c r="K136" s="1" t="n">
        <x:f>IF(MAX(Z136:AC136)&gt;=1000,"範囲内なし",MAX(1,MAX(Z136:AC136)+1))</x:f>
        <x:v>9</x:v>
      </x:c>
      <x:c r="L136" s="7" t="n">
        <x:f>10*I136-R136</x:f>
        <x:v>3608.7591783898024</x:v>
      </x:c>
      <x:c r="M136" s="7" t="n">
        <x:f>30*I136-S136</x:f>
        <x:v>66348.146787785</x:v>
      </x:c>
      <x:c r="N136" s="7" t="n">
        <x:f>50*I136-S136</x:f>
        <x:v>133587.5343971802</x:v>
      </x:c>
      <x:c r="O136" s="7" t="n">
        <x:f>100*I136-S136</x:f>
        <x:v>301686.0034206682</x:v>
      </x:c>
      <x:c r="P136" s="7" t="n">
        <x:f>300*I136-T136</x:f>
        <x:v>952079.8795146202</x:v>
      </x:c>
      <x:c r="Q136" s="7" t="n">
        <x:f>1000*I136-U136</x:f>
        <x:v>3275458.445843452</x:v>
      </x:c>
      <x:c r="R13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136*'損益分岐設定'!$B$12*'損益分岐設定'!$B$11</x:f>
        <x:v>30010.934626307797</x:v>
      </x:c>
      <x:c r="S13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136*'損益分岐設定'!$B$12*'損益分岐設定'!$B$11</x:f>
        <x:v>34510.9346263078</x:v>
      </x:c>
      <x:c r="T13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136*'損益分岐設定'!$B$12*'損益分岐設定'!$B$11</x:f>
        <x:v>56510.9346263078</x:v>
      </x:c>
      <x:c r="U13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136*'損益分岐設定'!$B$12*'損益分岐設定'!$B$11</x:f>
        <x:v>86510.9346263078</x:v>
      </x:c>
      <x:c r="V136" s="1" t="n">
        <x:f>IF(I136&lt;=0,1001,IF(MAX('損益分岐設定'!B37,ROUNDUP(R136/I136,0))&lt;='損益分岐設定'!C37,MAX('損益分岐設定'!B37,ROUNDUP(R136/I136,0)),1001))</x:f>
        <x:v>9</x:v>
      </x:c>
      <x:c r="W136" s="1" t="n">
        <x:f>IF(I136&lt;=0,1001,IF(MAX('損益分岐設定'!B38,ROUNDUP(S136/I136,0))&lt;='損益分岐設定'!C38,MAX('損益分岐設定'!B38,ROUNDUP(S136/I136,0)),1001))</x:f>
        <x:v>11</x:v>
      </x:c>
      <x:c r="X136" s="1" t="n">
        <x:f>IF(I136&lt;=0,1001,IF(MAX('損益分岐設定'!B39,ROUNDUP(T136/I136,0))&lt;='損益分岐設定'!C39,MAX('損益分岐設定'!B39,ROUNDUP(T136/I136,0)),1001))</x:f>
        <x:v>101</x:v>
      </x:c>
      <x:c r="Y136" s="1" t="n">
        <x:f>IF(I136&lt;=0,1001,IF(MAX('損益分岐設定'!B40,ROUNDUP(U136/I136,0))&lt;='損益分岐設定'!C40,MAX('損益分岐設定'!B40,ROUNDUP(U136/I136,0)),1001))</x:f>
        <x:v>501</x:v>
      </x:c>
      <x:c r="Z136" s="1" t="n">
        <x:f>IF(I136&lt;=0,'損益分岐設定'!C37,IF('損益分岐設定'!C37*I136-R136&lt;0,'損益分岐設定'!C37,IF('損益分岐設定'!B37*I136-R136&gt;=0,0,ROUNDUP(R136/I136,0)-1)))</x:f>
        <x:v>8</x:v>
      </x:c>
      <x:c r="AA136" s="1" t="n">
        <x:f>IF(I136&lt;=0,'損益分岐設定'!C38,IF('損益分岐設定'!C38*I136-S136&lt;0,'損益分岐設定'!C38,IF('損益分岐設定'!B38*I136-S136&gt;=0,0,ROUNDUP(S136/I136,0)-1)))</x:f>
        <x:v>0</x:v>
      </x:c>
      <x:c r="AB136" s="1" t="n">
        <x:f>IF(I136&lt;=0,'損益分岐設定'!C39,IF('損益分岐設定'!C39*I136-T136&lt;0,'損益分岐設定'!C39,IF('損益分岐設定'!B39*I136-T136&gt;=0,0,ROUNDUP(T136/I136,0)-1)))</x:f>
        <x:v>0</x:v>
      </x:c>
      <x:c r="AC136" s="1" t="n">
        <x:f>IF(I136&lt;=0,'損益分岐設定'!C40,IF('損益分岐設定'!C40*I136-U136&lt;0,'損益分岐設定'!C40,IF('損益分岐設定'!B40*I136-U136&gt;=0,0,ROUNDUP(U136/I136,0)-1)))</x:f>
        <x:v>0</x:v>
      </x:c>
      <x:c r="AD136" s="1" t="n">
        <x:f>'損益分岐設定'!$D$5/SUM('損益分岐設定'!$D$5:$D$7)</x:f>
        <x:v>0.5</x:v>
      </x:c>
      <x:c r="AE136" s="1" t="n">
        <x:f>'損益分岐設定'!$D$6/SUM('損益分岐設定'!$D$5:$D$7)</x:f>
        <x:v>0.3</x:v>
      </x:c>
      <x:c r="AF136" s="1" t="n">
        <x:f>'損益分岐設定'!$D$7/SUM('損益分岐設定'!$D$5:$D$7)</x:f>
        <x:v>0.2</x:v>
      </x:c>
      <x:c r="AG136" s="1" t="n">
        <x:f>AD136*'損益分岐設定'!$C$57+AE136*'損益分岐設定'!$C$60+AF136*'損益分岐設定'!$C$63</x:f>
        <x:v>412.2157297973632</x:v>
      </x:c>
      <x:c r="AH136" s="1" t="n">
        <x:f>AD136*'損益分岐設定'!$D$57+AE136*'損益分岐設定'!$D$60+AF136*'損益分岐設定'!$D$63</x:f>
        <x:v>111</x:v>
      </x:c>
      <x:c r="AI136" s="1" t="n">
        <x:f>AD136*'損益分岐設定'!$E$57+AE136*'損益分岐設定'!$E$60+AF136*'損益分岐設定'!$E$63</x:f>
        <x:v>111</x:v>
      </x:c>
      <x:c r="AJ136" s="1" t="n">
        <x:f>(AD136*'損益分岐設定'!$F$57+AE136*'損益分岐設定'!$F$60+AF136*'損益分岐設定'!$F$63*1)*'損益分岐設定'!$B$22</x:f>
        <x:v>444</x:v>
      </x:c>
      <x:c r="AK136" s="1" t="n">
        <x:f>AD136*'損益分岐設定'!$G$57+AE136*'損益分岐設定'!$G$60+AF136*'損益分岐設定'!$G$63</x:f>
        <x:v>740</x:v>
      </x:c>
      <x:c r="AL136" s="1" t="n">
        <x:f>AD136*'損益分岐設定'!$H$57+AE136*'損益分岐設定'!$H$60+AF136*'損益分岐設定'!$H$63</x:f>
        <x:v>656.6666666666666</x:v>
      </x:c>
      <x:c r="AM136" s="1" t="n">
        <x:f>MAX(1,ROUNDUP('損益分岐設定'!C37*AJ136/('損益分岐設定'!$B$23*'損益分岐設定'!$B$24*3600*'損益分岐設定'!$B$25),0))</x:f>
        <x:v>1</x:v>
      </x:c>
      <x:c r="AN136" s="1" t="n">
        <x:f>MAX(2,ROUNDUP('損益分岐設定'!C38*AJ136/('損益分岐設定'!$B$23*'損益分岐設定'!$B$24*3600*'損益分岐設定'!$B$25),0))</x:f>
        <x:v>2</x:v>
      </x:c>
      <x:c r="AO136" s="1" t="n">
        <x:f>MAX(2,ROUNDUP('損益分岐設定'!C39*AJ136/('損益分岐設定'!$B$23*'損益分岐設定'!$B$24*3600*'損益分岐設定'!$B$25),0))</x:f>
        <x:v>2</x:v>
      </x:c>
      <x:c r="AP136" s="1" t="n">
        <x:f>MAX(2,ROUNDUP('損益分岐設定'!C40*AJ136/('損益分岐設定'!$B$23*'損益分岐設定'!$B$24*3600*'損益分岐設定'!$B$25),0))</x:f>
        <x:v>2</x:v>
      </x:c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 ht="23" customHeight="1">
      <x:c r="A137" s="1" t="str">
        <x:v>Run</x:v>
      </x:c>
      <x:c r="B137" s="1" t="str">
        <x:v>混在</x:v>
      </x:c>
      <x:c r="C137" s="1" t="str">
        <x:v>標準</x:v>
      </x:c>
      <x:c r="D137" s="21" t="n">
        <x:v>0.2</x:v>
      </x:c>
      <x:c r="E137" s="1" t="n">
        <x:v>0</x:v>
      </x:c>
      <x:c r="F137" s="7" t="n">
        <x:f>AD137*'損益分岐設定'!$B$5+AE137*'損益分岐設定'!$B$6+AF137*'損益分岐設定'!$B$7</x:f>
        <x:v>4600</x:v>
      </x:c>
      <x:c r="G137" s="7" t="n">
        <x:f>AG137+(AH137+AI137)*('損益分岐設定'!$B$29+0.5*'損益分岐設定'!$B$30)+AK137*'損益分岐設定'!$B$32+(AJ137+AK137/'損益分岐設定'!$B$28*'損益分岐設定'!$B$26)*('損益分岐設定'!$B$29+'損益分岐設定'!$B$31*'損益分岐設定'!$B$30)</x:f>
        <x:v>415.763952863573</x:v>
      </x:c>
      <x:c r="H137" s="7" t="n">
        <x:f>AL137*E137</x:f>
        <x:v>0</x:v>
      </x:c>
      <x:c r="I137" s="7" t="n">
        <x:f>F137*(1-D137-'損益分岐設定'!$B$10)-G137-H137</x:f>
        <x:v>3098.636047136427</x:v>
      </x:c>
      <x:c r="J137" s="1" t="n">
        <x:f>IF(MIN(V137:Y137)&gt;1000,"範囲内なし",MIN(V137:Y137))</x:f>
        <x:v>8</x:v>
      </x:c>
      <x:c r="K137" s="1" t="n">
        <x:f>IF(MAX(Z137:AC137)&gt;=1000,"範囲内なし",MAX(1,MAX(Z137:AC137)+1))</x:f>
        <x:v>8</x:v>
      </x:c>
      <x:c r="L137" s="7" t="n">
        <x:f>10*I137-R137</x:f>
        <x:v>8975.425845056474</x:v>
      </x:c>
      <x:c r="M137" s="7" t="n">
        <x:f>30*I137-S137</x:f>
        <x:v>66448.14678778502</x:v>
      </x:c>
      <x:c r="N137" s="7" t="n">
        <x:f>50*I137-S137</x:f>
        <x:v>128420.86773051354</x:v>
      </x:c>
      <x:c r="O137" s="7" t="n">
        <x:f>100*I137-S137</x:f>
        <x:v>283352.6700873349</x:v>
      </x:c>
      <x:c r="P137" s="7" t="n">
        <x:f>300*I137-T137</x:f>
        <x:v>881079.8795146203</x:v>
      </x:c>
      <x:c r="Q137" s="7" t="n">
        <x:f>1000*I137-U137</x:f>
        <x:v>3020125.112510119</x:v>
      </x:c>
      <x:c r="R13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137*'損益分岐設定'!$B$12*'損益分岐設定'!$B$11</x:f>
        <x:v>22010.934626307797</x:v>
      </x:c>
      <x:c r="S13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137*'損益分岐設定'!$B$12*'損益分岐設定'!$B$11</x:f>
        <x:v>26510.934626307797</x:v>
      </x:c>
      <x:c r="T13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137*'損益分岐設定'!$B$12*'損益分岐設定'!$B$11</x:f>
        <x:v>48510.9346263078</x:v>
      </x:c>
      <x:c r="U13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137*'損益分岐設定'!$B$12*'損益分岐設定'!$B$11</x:f>
        <x:v>78510.9346263078</x:v>
      </x:c>
      <x:c r="V137" s="1" t="n">
        <x:f>IF(I137&lt;=0,1001,IF(MAX('損益分岐設定'!B37,ROUNDUP(R137/I137,0))&lt;='損益分岐設定'!C37,MAX('損益分岐設定'!B37,ROUNDUP(R137/I137,0)),1001))</x:f>
        <x:v>8</x:v>
      </x:c>
      <x:c r="W137" s="1" t="n">
        <x:f>IF(I137&lt;=0,1001,IF(MAX('損益分岐設定'!B38,ROUNDUP(S137/I137,0))&lt;='損益分岐設定'!C38,MAX('損益分岐設定'!B38,ROUNDUP(S137/I137,0)),1001))</x:f>
        <x:v>11</x:v>
      </x:c>
      <x:c r="X137" s="1" t="n">
        <x:f>IF(I137&lt;=0,1001,IF(MAX('損益分岐設定'!B39,ROUNDUP(T137/I137,0))&lt;='損益分岐設定'!C39,MAX('損益分岐設定'!B39,ROUNDUP(T137/I137,0)),1001))</x:f>
        <x:v>101</x:v>
      </x:c>
      <x:c r="Y137" s="1" t="n">
        <x:f>IF(I137&lt;=0,1001,IF(MAX('損益分岐設定'!B40,ROUNDUP(U137/I137,0))&lt;='損益分岐設定'!C40,MAX('損益分岐設定'!B40,ROUNDUP(U137/I137,0)),1001))</x:f>
        <x:v>501</x:v>
      </x:c>
      <x:c r="Z137" s="1" t="n">
        <x:f>IF(I137&lt;=0,'損益分岐設定'!C37,IF('損益分岐設定'!C37*I137-R137&lt;0,'損益分岐設定'!C37,IF('損益分岐設定'!B37*I137-R137&gt;=0,0,ROUNDUP(R137/I137,0)-1)))</x:f>
        <x:v>7</x:v>
      </x:c>
      <x:c r="AA137" s="1" t="n">
        <x:f>IF(I137&lt;=0,'損益分岐設定'!C38,IF('損益分岐設定'!C38*I137-S137&lt;0,'損益分岐設定'!C38,IF('損益分岐設定'!B38*I137-S137&gt;=0,0,ROUNDUP(S137/I137,0)-1)))</x:f>
        <x:v>0</x:v>
      </x:c>
      <x:c r="AB137" s="1" t="n">
        <x:f>IF(I137&lt;=0,'損益分岐設定'!C39,IF('損益分岐設定'!C39*I137-T137&lt;0,'損益分岐設定'!C39,IF('損益分岐設定'!B39*I137-T137&gt;=0,0,ROUNDUP(T137/I137,0)-1)))</x:f>
        <x:v>0</x:v>
      </x:c>
      <x:c r="AC137" s="1" t="n">
        <x:f>IF(I137&lt;=0,'損益分岐設定'!C40,IF('損益分岐設定'!C40*I137-U137&lt;0,'損益分岐設定'!C40,IF('損益分岐設定'!B40*I137-U137&gt;=0,0,ROUNDUP(U137/I137,0)-1)))</x:f>
        <x:v>0</x:v>
      </x:c>
      <x:c r="AD137" s="1" t="n">
        <x:f>'損益分岐設定'!$D$5/SUM('損益分岐設定'!$D$5:$D$7)</x:f>
        <x:v>0.5</x:v>
      </x:c>
      <x:c r="AE137" s="1" t="n">
        <x:f>'損益分岐設定'!$D$6/SUM('損益分岐設定'!$D$5:$D$7)</x:f>
        <x:v>0.3</x:v>
      </x:c>
      <x:c r="AF137" s="1" t="n">
        <x:f>'損益分岐設定'!$D$7/SUM('損益分岐設定'!$D$5:$D$7)</x:f>
        <x:v>0.2</x:v>
      </x:c>
      <x:c r="AG137" s="1" t="n">
        <x:f>AD137*'損益分岐設定'!$C$57+AE137*'損益分岐設定'!$C$60+AF137*'損益分岐設定'!$C$63</x:f>
        <x:v>412.2157297973632</x:v>
      </x:c>
      <x:c r="AH137" s="1" t="n">
        <x:f>AD137*'損益分岐設定'!$D$57+AE137*'損益分岐設定'!$D$60+AF137*'損益分岐設定'!$D$63</x:f>
        <x:v>111</x:v>
      </x:c>
      <x:c r="AI137" s="1" t="n">
        <x:f>AD137*'損益分岐設定'!$E$57+AE137*'損益分岐設定'!$E$60+AF137*'損益分岐設定'!$E$63</x:f>
        <x:v>111</x:v>
      </x:c>
      <x:c r="AJ137" s="1" t="n">
        <x:f>(AD137*'損益分岐設定'!$F$57+AE137*'損益分岐設定'!$F$60+AF137*'損益分岐設定'!$F$63*1)*'損益分岐設定'!$B$22</x:f>
        <x:v>444</x:v>
      </x:c>
      <x:c r="AK137" s="1" t="n">
        <x:f>AD137*'損益分岐設定'!$G$57+AE137*'損益分岐設定'!$G$60+AF137*'損益分岐設定'!$G$63</x:f>
        <x:v>740</x:v>
      </x:c>
      <x:c r="AL137" s="1" t="n">
        <x:f>AD137*'損益分岐設定'!$H$57+AE137*'損益分岐設定'!$H$60+AF137*'損益分岐設定'!$H$63</x:f>
        <x:v>656.6666666666666</x:v>
      </x:c>
      <x:c r="AM137" s="1" t="n">
        <x:f>MAX(1,ROUNDUP('損益分岐設定'!C37*AJ137/('損益分岐設定'!$B$23*'損益分岐設定'!$B$24*3600*'損益分岐設定'!$B$25),0))</x:f>
        <x:v>1</x:v>
      </x:c>
      <x:c r="AN137" s="1" t="n">
        <x:f>MAX(2,ROUNDUP('損益分岐設定'!C38*AJ137/('損益分岐設定'!$B$23*'損益分岐設定'!$B$24*3600*'損益分岐設定'!$B$25),0))</x:f>
        <x:v>2</x:v>
      </x:c>
      <x:c r="AO137" s="1" t="n">
        <x:f>MAX(2,ROUNDUP('損益分岐設定'!C39*AJ137/('損益分岐設定'!$B$23*'損益分岐設定'!$B$24*3600*'損益分岐設定'!$B$25),0))</x:f>
        <x:v>2</x:v>
      </x:c>
      <x:c r="AP137" s="1" t="n">
        <x:f>MAX(2,ROUNDUP('損益分岐設定'!C40*AJ137/('損益分岐設定'!$B$23*'損益分岐設定'!$B$24*3600*'損益分岐設定'!$B$25),0))</x:f>
        <x:v>2</x:v>
      </x:c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 ht="23" customHeight="1">
      <x:c r="A138" s="1" t="str">
        <x:v>Run</x:v>
      </x:c>
      <x:c r="B138" s="1" t="str">
        <x:v>混在</x:v>
      </x:c>
      <x:c r="C138" s="1" t="str">
        <x:v>標準</x:v>
      </x:c>
      <x:c r="D138" s="21" t="n">
        <x:v>0.2</x:v>
      </x:c>
      <x:c r="E138" s="1" t="n">
        <x:v>1</x:v>
      </x:c>
      <x:c r="F138" s="7" t="n">
        <x:f>AD138*'損益分岐設定'!$B$5+AE138*'損益分岐設定'!$B$6+AF138*'損益分岐設定'!$B$7</x:f>
        <x:v>4600</x:v>
      </x:c>
      <x:c r="G138" s="7" t="n">
        <x:f>AG138+(AH138+AI138)*('損益分岐設定'!$B$29+0.5*'損益分岐設定'!$B$30)+AK138*'損益分岐設定'!$B$32+(AJ138+AK138/'損益分岐設定'!$B$28*'損益分岐設定'!$B$26)*('損益分岐設定'!$B$29+'損益分岐設定'!$B$31*'損益分岐設定'!$B$30)</x:f>
        <x:v>415.763952863573</x:v>
      </x:c>
      <x:c r="H138" s="7" t="n">
        <x:f>AL138*E138</x:f>
        <x:v>656.6666666666666</x:v>
      </x:c>
      <x:c r="I138" s="7" t="n">
        <x:f>F138*(1-D138-'損益分岐設定'!$B$10)-G138-H138</x:f>
        <x:v>2441.9693804697604</x:v>
      </x:c>
      <x:c r="J138" s="1" t="n">
        <x:f>IF(MIN(V138:Y138)&gt;1000,"範囲内なし",MIN(V138:Y138))</x:f>
        <x:v>15</x:v>
      </x:c>
      <x:c r="K138" s="1" t="n">
        <x:f>IF(MAX(Z138:AC138)&gt;=1000,"範囲内なし",MAX(1,MAX(Z138:AC138)+1))</x:f>
        <x:v>15</x:v>
      </x:c>
      <x:c r="L138" s="7" t="n">
        <x:f>10*I138-R138</x:f>
        <x:v>-5591.240821610194</x:v>
      </x:c>
      <x:c r="M138" s="7" t="n">
        <x:f>30*I138-S138</x:f>
        <x:v>38748.146787785015</x:v>
      </x:c>
      <x:c r="N138" s="7" t="n">
        <x:f>50*I138-S138</x:f>
        <x:v>87587.53439718022</x:v>
      </x:c>
      <x:c r="O138" s="7" t="n">
        <x:f>100*I138-S138</x:f>
        <x:v>209686.00342066825</x:v>
      </x:c>
      <x:c r="P138" s="7" t="n">
        <x:f>300*I138-T138</x:f>
        <x:v>676079.8795146203</x:v>
      </x:c>
      <x:c r="Q138" s="7" t="n">
        <x:f>1000*I138-U138</x:f>
        <x:v>2355458.4458434526</x:v>
      </x:c>
      <x:c r="R13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138*'損益分岐設定'!$B$12*'損益分岐設定'!$B$11</x:f>
        <x:v>30010.934626307797</x:v>
      </x:c>
      <x:c r="S13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138*'損益分岐設定'!$B$12*'損益分岐設定'!$B$11</x:f>
        <x:v>34510.9346263078</x:v>
      </x:c>
      <x:c r="T13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138*'損益分岐設定'!$B$12*'損益分岐設定'!$B$11</x:f>
        <x:v>56510.9346263078</x:v>
      </x:c>
      <x:c r="U13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138*'損益分岐設定'!$B$12*'損益分岐設定'!$B$11</x:f>
        <x:v>86510.9346263078</x:v>
      </x:c>
      <x:c r="V138" s="1" t="n">
        <x:f>IF(I138&lt;=0,1001,IF(MAX('損益分岐設定'!B37,ROUNDUP(R138/I138,0))&lt;='損益分岐設定'!C37,MAX('損益分岐設定'!B37,ROUNDUP(R138/I138,0)),1001))</x:f>
        <x:v>1001</x:v>
      </x:c>
      <x:c r="W138" s="1" t="n">
        <x:f>IF(I138&lt;=0,1001,IF(MAX('損益分岐設定'!B38,ROUNDUP(S138/I138,0))&lt;='損益分岐設定'!C38,MAX('損益分岐設定'!B38,ROUNDUP(S138/I138,0)),1001))</x:f>
        <x:v>15</x:v>
      </x:c>
      <x:c r="X138" s="1" t="n">
        <x:f>IF(I138&lt;=0,1001,IF(MAX('損益分岐設定'!B39,ROUNDUP(T138/I138,0))&lt;='損益分岐設定'!C39,MAX('損益分岐設定'!B39,ROUNDUP(T138/I138,0)),1001))</x:f>
        <x:v>101</x:v>
      </x:c>
      <x:c r="Y138" s="1" t="n">
        <x:f>IF(I138&lt;=0,1001,IF(MAX('損益分岐設定'!B40,ROUNDUP(U138/I138,0))&lt;='損益分岐設定'!C40,MAX('損益分岐設定'!B40,ROUNDUP(U138/I138,0)),1001))</x:f>
        <x:v>501</x:v>
      </x:c>
      <x:c r="Z138" s="1" t="n">
        <x:f>IF(I138&lt;=0,'損益分岐設定'!C37,IF('損益分岐設定'!C37*I138-R138&lt;0,'損益分岐設定'!C37,IF('損益分岐設定'!B37*I138-R138&gt;=0,0,ROUNDUP(R138/I138,0)-1)))</x:f>
        <x:v>10</x:v>
      </x:c>
      <x:c r="AA138" s="1" t="n">
        <x:f>IF(I138&lt;=0,'損益分岐設定'!C38,IF('損益分岐設定'!C38*I138-S138&lt;0,'損益分岐設定'!C38,IF('損益分岐設定'!B38*I138-S138&gt;=0,0,ROUNDUP(S138/I138,0)-1)))</x:f>
        <x:v>14</x:v>
      </x:c>
      <x:c r="AB138" s="1" t="n">
        <x:f>IF(I138&lt;=0,'損益分岐設定'!C39,IF('損益分岐設定'!C39*I138-T138&lt;0,'損益分岐設定'!C39,IF('損益分岐設定'!B39*I138-T138&gt;=0,0,ROUNDUP(T138/I138,0)-1)))</x:f>
        <x:v>0</x:v>
      </x:c>
      <x:c r="AC138" s="1" t="n">
        <x:f>IF(I138&lt;=0,'損益分岐設定'!C40,IF('損益分岐設定'!C40*I138-U138&lt;0,'損益分岐設定'!C40,IF('損益分岐設定'!B40*I138-U138&gt;=0,0,ROUNDUP(U138/I138,0)-1)))</x:f>
        <x:v>0</x:v>
      </x:c>
      <x:c r="AD138" s="1" t="n">
        <x:f>'損益分岐設定'!$D$5/SUM('損益分岐設定'!$D$5:$D$7)</x:f>
        <x:v>0.5</x:v>
      </x:c>
      <x:c r="AE138" s="1" t="n">
        <x:f>'損益分岐設定'!$D$6/SUM('損益分岐設定'!$D$5:$D$7)</x:f>
        <x:v>0.3</x:v>
      </x:c>
      <x:c r="AF138" s="1" t="n">
        <x:f>'損益分岐設定'!$D$7/SUM('損益分岐設定'!$D$5:$D$7)</x:f>
        <x:v>0.2</x:v>
      </x:c>
      <x:c r="AG138" s="1" t="n">
        <x:f>AD138*'損益分岐設定'!$C$57+AE138*'損益分岐設定'!$C$60+AF138*'損益分岐設定'!$C$63</x:f>
        <x:v>412.2157297973632</x:v>
      </x:c>
      <x:c r="AH138" s="1" t="n">
        <x:f>AD138*'損益分岐設定'!$D$57+AE138*'損益分岐設定'!$D$60+AF138*'損益分岐設定'!$D$63</x:f>
        <x:v>111</x:v>
      </x:c>
      <x:c r="AI138" s="1" t="n">
        <x:f>AD138*'損益分岐設定'!$E$57+AE138*'損益分岐設定'!$E$60+AF138*'損益分岐設定'!$E$63</x:f>
        <x:v>111</x:v>
      </x:c>
      <x:c r="AJ138" s="1" t="n">
        <x:f>(AD138*'損益分岐設定'!$F$57+AE138*'損益分岐設定'!$F$60+AF138*'損益分岐設定'!$F$63*1)*'損益分岐設定'!$B$22</x:f>
        <x:v>444</x:v>
      </x:c>
      <x:c r="AK138" s="1" t="n">
        <x:f>AD138*'損益分岐設定'!$G$57+AE138*'損益分岐設定'!$G$60+AF138*'損益分岐設定'!$G$63</x:f>
        <x:v>740</x:v>
      </x:c>
      <x:c r="AL138" s="1" t="n">
        <x:f>AD138*'損益分岐設定'!$H$57+AE138*'損益分岐設定'!$H$60+AF138*'損益分岐設定'!$H$63</x:f>
        <x:v>656.6666666666666</x:v>
      </x:c>
      <x:c r="AM138" s="1" t="n">
        <x:f>MAX(1,ROUNDUP('損益分岐設定'!C37*AJ138/('損益分岐設定'!$B$23*'損益分岐設定'!$B$24*3600*'損益分岐設定'!$B$25),0))</x:f>
        <x:v>1</x:v>
      </x:c>
      <x:c r="AN138" s="1" t="n">
        <x:f>MAX(2,ROUNDUP('損益分岐設定'!C38*AJ138/('損益分岐設定'!$B$23*'損益分岐設定'!$B$24*3600*'損益分岐設定'!$B$25),0))</x:f>
        <x:v>2</x:v>
      </x:c>
      <x:c r="AO138" s="1" t="n">
        <x:f>MAX(2,ROUNDUP('損益分岐設定'!C39*AJ138/('損益分岐設定'!$B$23*'損益分岐設定'!$B$24*3600*'損益分岐設定'!$B$25),0))</x:f>
        <x:v>2</x:v>
      </x:c>
      <x:c r="AP138" s="1" t="n">
        <x:f>MAX(2,ROUNDUP('損益分岐設定'!C40*AJ138/('損益分岐設定'!$B$23*'損益分岐設定'!$B$24*3600*'損益分岐設定'!$B$25),0))</x:f>
        <x:v>2</x:v>
      </x:c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 ht="23" customHeight="1">
      <x:c r="A139" s="1" t="str">
        <x:v>Run</x:v>
      </x:c>
      <x:c r="B139" s="1" t="str">
        <x:v>混在</x:v>
      </x:c>
      <x:c r="C139" s="1" t="str">
        <x:v>標準</x:v>
      </x:c>
      <x:c r="D139" s="21" t="n">
        <x:v>0.3</x:v>
      </x:c>
      <x:c r="E139" s="1" t="n">
        <x:v>0</x:v>
      </x:c>
      <x:c r="F139" s="7" t="n">
        <x:f>AD139*'損益分岐設定'!$B$5+AE139*'損益分岐設定'!$B$6+AF139*'損益分岐設定'!$B$7</x:f>
        <x:v>4600</x:v>
      </x:c>
      <x:c r="G139" s="7" t="n">
        <x:f>AG139+(AH139+AI139)*('損益分岐設定'!$B$29+0.5*'損益分岐設定'!$B$30)+AK139*'損益分岐設定'!$B$32+(AJ139+AK139/'損益分岐設定'!$B$28*'損益分岐設定'!$B$26)*('損益分岐設定'!$B$29+'損益分岐設定'!$B$31*'損益分岐設定'!$B$30)</x:f>
        <x:v>415.763952863573</x:v>
      </x:c>
      <x:c r="H139" s="7" t="n">
        <x:f>AL139*E139</x:f>
        <x:v>0</x:v>
      </x:c>
      <x:c r="I139" s="7" t="n">
        <x:f>F139*(1-D139-'損益分岐設定'!$B$10)-G139-H139</x:f>
        <x:v>2638.6360471364264</x:v>
      </x:c>
      <x:c r="J139" s="1" t="n">
        <x:f>IF(MIN(V139:Y139)&gt;1000,"範囲内なし",MIN(V139:Y139))</x:f>
        <x:v>9</x:v>
      </x:c>
      <x:c r="K139" s="1" t="n">
        <x:f>IF(MAX(Z139:AC139)&gt;=1000,"範囲内なし",MAX(1,MAX(Z139:AC139)+1))</x:f>
        <x:v>9</x:v>
      </x:c>
      <x:c r="L139" s="7" t="n">
        <x:f>10*I139-R139</x:f>
        <x:v>4375.425845056467</x:v>
      </x:c>
      <x:c r="M139" s="7" t="n">
        <x:f>30*I139-S139</x:f>
        <x:v>52648.146787785</x:v>
      </x:c>
      <x:c r="N139" s="7" t="n">
        <x:f>50*I139-S139</x:f>
        <x:v>105420.8677305135</x:v>
      </x:c>
      <x:c r="O139" s="7" t="n">
        <x:f>100*I139-S139</x:f>
        <x:v>237352.67008733482</x:v>
      </x:c>
      <x:c r="P139" s="7" t="n">
        <x:f>300*I139-T139</x:f>
        <x:v>743079.8795146202</x:v>
      </x:c>
      <x:c r="Q139" s="7" t="n">
        <x:f>1000*I139-U139</x:f>
        <x:v>2560125.1125101186</x:v>
      </x:c>
      <x:c r="R13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139*'損益分岐設定'!$B$12*'損益分岐設定'!$B$11</x:f>
        <x:v>22010.934626307797</x:v>
      </x:c>
      <x:c r="S13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139*'損益分岐設定'!$B$12*'損益分岐設定'!$B$11</x:f>
        <x:v>26510.934626307797</x:v>
      </x:c>
      <x:c r="T13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139*'損益分岐設定'!$B$12*'損益分岐設定'!$B$11</x:f>
        <x:v>48510.9346263078</x:v>
      </x:c>
      <x:c r="U13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139*'損益分岐設定'!$B$12*'損益分岐設定'!$B$11</x:f>
        <x:v>78510.9346263078</x:v>
      </x:c>
      <x:c r="V139" s="1" t="n">
        <x:f>IF(I139&lt;=0,1001,IF(MAX('損益分岐設定'!B37,ROUNDUP(R139/I139,0))&lt;='損益分岐設定'!C37,MAX('損益分岐設定'!B37,ROUNDUP(R139/I139,0)),1001))</x:f>
        <x:v>9</x:v>
      </x:c>
      <x:c r="W139" s="1" t="n">
        <x:f>IF(I139&lt;=0,1001,IF(MAX('損益分岐設定'!B38,ROUNDUP(S139/I139,0))&lt;='損益分岐設定'!C38,MAX('損益分岐設定'!B38,ROUNDUP(S139/I139,0)),1001))</x:f>
        <x:v>11</x:v>
      </x:c>
      <x:c r="X139" s="1" t="n">
        <x:f>IF(I139&lt;=0,1001,IF(MAX('損益分岐設定'!B39,ROUNDUP(T139/I139,0))&lt;='損益分岐設定'!C39,MAX('損益分岐設定'!B39,ROUNDUP(T139/I139,0)),1001))</x:f>
        <x:v>101</x:v>
      </x:c>
      <x:c r="Y139" s="1" t="n">
        <x:f>IF(I139&lt;=0,1001,IF(MAX('損益分岐設定'!B40,ROUNDUP(U139/I139,0))&lt;='損益分岐設定'!C40,MAX('損益分岐設定'!B40,ROUNDUP(U139/I139,0)),1001))</x:f>
        <x:v>501</x:v>
      </x:c>
      <x:c r="Z139" s="1" t="n">
        <x:f>IF(I139&lt;=0,'損益分岐設定'!C37,IF('損益分岐設定'!C37*I139-R139&lt;0,'損益分岐設定'!C37,IF('損益分岐設定'!B37*I139-R139&gt;=0,0,ROUNDUP(R139/I139,0)-1)))</x:f>
        <x:v>8</x:v>
      </x:c>
      <x:c r="AA139" s="1" t="n">
        <x:f>IF(I139&lt;=0,'損益分岐設定'!C38,IF('損益分岐設定'!C38*I139-S139&lt;0,'損益分岐設定'!C38,IF('損益分岐設定'!B38*I139-S139&gt;=0,0,ROUNDUP(S139/I139,0)-1)))</x:f>
        <x:v>0</x:v>
      </x:c>
      <x:c r="AB139" s="1" t="n">
        <x:f>IF(I139&lt;=0,'損益分岐設定'!C39,IF('損益分岐設定'!C39*I139-T139&lt;0,'損益分岐設定'!C39,IF('損益分岐設定'!B39*I139-T139&gt;=0,0,ROUNDUP(T139/I139,0)-1)))</x:f>
        <x:v>0</x:v>
      </x:c>
      <x:c r="AC139" s="1" t="n">
        <x:f>IF(I139&lt;=0,'損益分岐設定'!C40,IF('損益分岐設定'!C40*I139-U139&lt;0,'損益分岐設定'!C40,IF('損益分岐設定'!B40*I139-U139&gt;=0,0,ROUNDUP(U139/I139,0)-1)))</x:f>
        <x:v>0</x:v>
      </x:c>
      <x:c r="AD139" s="1" t="n">
        <x:f>'損益分岐設定'!$D$5/SUM('損益分岐設定'!$D$5:$D$7)</x:f>
        <x:v>0.5</x:v>
      </x:c>
      <x:c r="AE139" s="1" t="n">
        <x:f>'損益分岐設定'!$D$6/SUM('損益分岐設定'!$D$5:$D$7)</x:f>
        <x:v>0.3</x:v>
      </x:c>
      <x:c r="AF139" s="1" t="n">
        <x:f>'損益分岐設定'!$D$7/SUM('損益分岐設定'!$D$5:$D$7)</x:f>
        <x:v>0.2</x:v>
      </x:c>
      <x:c r="AG139" s="1" t="n">
        <x:f>AD139*'損益分岐設定'!$C$57+AE139*'損益分岐設定'!$C$60+AF139*'損益分岐設定'!$C$63</x:f>
        <x:v>412.2157297973632</x:v>
      </x:c>
      <x:c r="AH139" s="1" t="n">
        <x:f>AD139*'損益分岐設定'!$D$57+AE139*'損益分岐設定'!$D$60+AF139*'損益分岐設定'!$D$63</x:f>
        <x:v>111</x:v>
      </x:c>
      <x:c r="AI139" s="1" t="n">
        <x:f>AD139*'損益分岐設定'!$E$57+AE139*'損益分岐設定'!$E$60+AF139*'損益分岐設定'!$E$63</x:f>
        <x:v>111</x:v>
      </x:c>
      <x:c r="AJ139" s="1" t="n">
        <x:f>(AD139*'損益分岐設定'!$F$57+AE139*'損益分岐設定'!$F$60+AF139*'損益分岐設定'!$F$63*1)*'損益分岐設定'!$B$22</x:f>
        <x:v>444</x:v>
      </x:c>
      <x:c r="AK139" s="1" t="n">
        <x:f>AD139*'損益分岐設定'!$G$57+AE139*'損益分岐設定'!$G$60+AF139*'損益分岐設定'!$G$63</x:f>
        <x:v>740</x:v>
      </x:c>
      <x:c r="AL139" s="1" t="n">
        <x:f>AD139*'損益分岐設定'!$H$57+AE139*'損益分岐設定'!$H$60+AF139*'損益分岐設定'!$H$63</x:f>
        <x:v>656.6666666666666</x:v>
      </x:c>
      <x:c r="AM139" s="1" t="n">
        <x:f>MAX(1,ROUNDUP('損益分岐設定'!C37*AJ139/('損益分岐設定'!$B$23*'損益分岐設定'!$B$24*3600*'損益分岐設定'!$B$25),0))</x:f>
        <x:v>1</x:v>
      </x:c>
      <x:c r="AN139" s="1" t="n">
        <x:f>MAX(2,ROUNDUP('損益分岐設定'!C38*AJ139/('損益分岐設定'!$B$23*'損益分岐設定'!$B$24*3600*'損益分岐設定'!$B$25),0))</x:f>
        <x:v>2</x:v>
      </x:c>
      <x:c r="AO139" s="1" t="n">
        <x:f>MAX(2,ROUNDUP('損益分岐設定'!C39*AJ139/('損益分岐設定'!$B$23*'損益分岐設定'!$B$24*3600*'損益分岐設定'!$B$25),0))</x:f>
        <x:v>2</x:v>
      </x:c>
      <x:c r="AP139" s="1" t="n">
        <x:f>MAX(2,ROUNDUP('損益分岐設定'!C40*AJ139/('損益分岐設定'!$B$23*'損益分岐設定'!$B$24*3600*'損益分岐設定'!$B$25),0))</x:f>
        <x:v>2</x:v>
      </x:c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 ht="23" customHeight="1">
      <x:c r="A140" s="1" t="str">
        <x:v>Run</x:v>
      </x:c>
      <x:c r="B140" s="1" t="str">
        <x:v>混在</x:v>
      </x:c>
      <x:c r="C140" s="1" t="str">
        <x:v>標準</x:v>
      </x:c>
      <x:c r="D140" s="21" t="n">
        <x:v>0.3</x:v>
      </x:c>
      <x:c r="E140" s="1" t="n">
        <x:v>1</x:v>
      </x:c>
      <x:c r="F140" s="7" t="n">
        <x:f>AD140*'損益分岐設定'!$B$5+AE140*'損益分岐設定'!$B$6+AF140*'損益分岐設定'!$B$7</x:f>
        <x:v>4600</x:v>
      </x:c>
      <x:c r="G140" s="7" t="n">
        <x:f>AG140+(AH140+AI140)*('損益分岐設定'!$B$29+0.5*'損益分岐設定'!$B$30)+AK140*'損益分岐設定'!$B$32+(AJ140+AK140/'損益分岐設定'!$B$28*'損益分岐設定'!$B$26)*('損益分岐設定'!$B$29+'損益分岐設定'!$B$31*'損益分岐設定'!$B$30)</x:f>
        <x:v>415.763952863573</x:v>
      </x:c>
      <x:c r="H140" s="7" t="n">
        <x:f>AL140*E140</x:f>
        <x:v>656.6666666666666</x:v>
      </x:c>
      <x:c r="I140" s="7" t="n">
        <x:f>F140*(1-D140-'損益分岐設定'!$B$10)-G140-H140</x:f>
        <x:v>1981.96938046976</x:v>
      </x:c>
      <x:c r="J140" s="1" t="n">
        <x:f>IF(MIN(V140:Y140)&gt;1000,"範囲内なし",MIN(V140:Y140))</x:f>
        <x:v>18</x:v>
      </x:c>
      <x:c r="K140" s="1" t="n">
        <x:f>IF(MAX(Z140:AC140)&gt;=1000,"範囲内なし",MAX(1,MAX(Z140:AC140)+1))</x:f>
        <x:v>18</x:v>
      </x:c>
      <x:c r="L140" s="7" t="n">
        <x:f>10*I140-R140</x:f>
        <x:v>-10191.240821610198</x:v>
      </x:c>
      <x:c r="M140" s="7" t="n">
        <x:f>30*I140-S140</x:f>
        <x:v>24948.146787785</x:v>
      </x:c>
      <x:c r="N140" s="7" t="n">
        <x:f>50*I140-S140</x:f>
        <x:v>64587.5343971802</x:v>
      </x:c>
      <x:c r="O140" s="7" t="n">
        <x:f>100*I140-S140</x:f>
        <x:v>163686.0034206682</x:v>
      </x:c>
      <x:c r="P140" s="7" t="n">
        <x:f>300*I140-T140</x:f>
        <x:v>538079.8795146202</x:v>
      </x:c>
      <x:c r="Q140" s="7" t="n">
        <x:f>1000*I140-U140</x:f>
        <x:v>1895458.4458434521</x:v>
      </x:c>
      <x:c r="R14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140*'損益分岐設定'!$B$12*'損益分岐設定'!$B$11</x:f>
        <x:v>30010.934626307797</x:v>
      </x:c>
      <x:c r="S14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140*'損益分岐設定'!$B$12*'損益分岐設定'!$B$11</x:f>
        <x:v>34510.9346263078</x:v>
      </x:c>
      <x:c r="T14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140*'損益分岐設定'!$B$12*'損益分岐設定'!$B$11</x:f>
        <x:v>56510.9346263078</x:v>
      </x:c>
      <x:c r="U14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140*'損益分岐設定'!$B$12*'損益分岐設定'!$B$11</x:f>
        <x:v>86510.9346263078</x:v>
      </x:c>
      <x:c r="V140" s="1" t="n">
        <x:f>IF(I140&lt;=0,1001,IF(MAX('損益分岐設定'!B37,ROUNDUP(R140/I140,0))&lt;='損益分岐設定'!C37,MAX('損益分岐設定'!B37,ROUNDUP(R140/I140,0)),1001))</x:f>
        <x:v>1001</x:v>
      </x:c>
      <x:c r="W140" s="1" t="n">
        <x:f>IF(I140&lt;=0,1001,IF(MAX('損益分岐設定'!B38,ROUNDUP(S140/I140,0))&lt;='損益分岐設定'!C38,MAX('損益分岐設定'!B38,ROUNDUP(S140/I140,0)),1001))</x:f>
        <x:v>18</x:v>
      </x:c>
      <x:c r="X140" s="1" t="n">
        <x:f>IF(I140&lt;=0,1001,IF(MAX('損益分岐設定'!B39,ROUNDUP(T140/I140,0))&lt;='損益分岐設定'!C39,MAX('損益分岐設定'!B39,ROUNDUP(T140/I140,0)),1001))</x:f>
        <x:v>101</x:v>
      </x:c>
      <x:c r="Y140" s="1" t="n">
        <x:f>IF(I140&lt;=0,1001,IF(MAX('損益分岐設定'!B40,ROUNDUP(U140/I140,0))&lt;='損益分岐設定'!C40,MAX('損益分岐設定'!B40,ROUNDUP(U140/I140,0)),1001))</x:f>
        <x:v>501</x:v>
      </x:c>
      <x:c r="Z140" s="1" t="n">
        <x:f>IF(I140&lt;=0,'損益分岐設定'!C37,IF('損益分岐設定'!C37*I140-R140&lt;0,'損益分岐設定'!C37,IF('損益分岐設定'!B37*I140-R140&gt;=0,0,ROUNDUP(R140/I140,0)-1)))</x:f>
        <x:v>10</x:v>
      </x:c>
      <x:c r="AA140" s="1" t="n">
        <x:f>IF(I140&lt;=0,'損益分岐設定'!C38,IF('損益分岐設定'!C38*I140-S140&lt;0,'損益分岐設定'!C38,IF('損益分岐設定'!B38*I140-S140&gt;=0,0,ROUNDUP(S140/I140,0)-1)))</x:f>
        <x:v>17</x:v>
      </x:c>
      <x:c r="AB140" s="1" t="n">
        <x:f>IF(I140&lt;=0,'損益分岐設定'!C39,IF('損益分岐設定'!C39*I140-T140&lt;0,'損益分岐設定'!C39,IF('損益分岐設定'!B39*I140-T140&gt;=0,0,ROUNDUP(T140/I140,0)-1)))</x:f>
        <x:v>0</x:v>
      </x:c>
      <x:c r="AC140" s="1" t="n">
        <x:f>IF(I140&lt;=0,'損益分岐設定'!C40,IF('損益分岐設定'!C40*I140-U140&lt;0,'損益分岐設定'!C40,IF('損益分岐設定'!B40*I140-U140&gt;=0,0,ROUNDUP(U140/I140,0)-1)))</x:f>
        <x:v>0</x:v>
      </x:c>
      <x:c r="AD140" s="1" t="n">
        <x:f>'損益分岐設定'!$D$5/SUM('損益分岐設定'!$D$5:$D$7)</x:f>
        <x:v>0.5</x:v>
      </x:c>
      <x:c r="AE140" s="1" t="n">
        <x:f>'損益分岐設定'!$D$6/SUM('損益分岐設定'!$D$5:$D$7)</x:f>
        <x:v>0.3</x:v>
      </x:c>
      <x:c r="AF140" s="1" t="n">
        <x:f>'損益分岐設定'!$D$7/SUM('損益分岐設定'!$D$5:$D$7)</x:f>
        <x:v>0.2</x:v>
      </x:c>
      <x:c r="AG140" s="1" t="n">
        <x:f>AD140*'損益分岐設定'!$C$57+AE140*'損益分岐設定'!$C$60+AF140*'損益分岐設定'!$C$63</x:f>
        <x:v>412.2157297973632</x:v>
      </x:c>
      <x:c r="AH140" s="1" t="n">
        <x:f>AD140*'損益分岐設定'!$D$57+AE140*'損益分岐設定'!$D$60+AF140*'損益分岐設定'!$D$63</x:f>
        <x:v>111</x:v>
      </x:c>
      <x:c r="AI140" s="1" t="n">
        <x:f>AD140*'損益分岐設定'!$E$57+AE140*'損益分岐設定'!$E$60+AF140*'損益分岐設定'!$E$63</x:f>
        <x:v>111</x:v>
      </x:c>
      <x:c r="AJ140" s="1" t="n">
        <x:f>(AD140*'損益分岐設定'!$F$57+AE140*'損益分岐設定'!$F$60+AF140*'損益分岐設定'!$F$63*1)*'損益分岐設定'!$B$22</x:f>
        <x:v>444</x:v>
      </x:c>
      <x:c r="AK140" s="1" t="n">
        <x:f>AD140*'損益分岐設定'!$G$57+AE140*'損益分岐設定'!$G$60+AF140*'損益分岐設定'!$G$63</x:f>
        <x:v>740</x:v>
      </x:c>
      <x:c r="AL140" s="1" t="n">
        <x:f>AD140*'損益分岐設定'!$H$57+AE140*'損益分岐設定'!$H$60+AF140*'損益分岐設定'!$H$63</x:f>
        <x:v>656.6666666666666</x:v>
      </x:c>
      <x:c r="AM140" s="1" t="n">
        <x:f>MAX(1,ROUNDUP('損益分岐設定'!C37*AJ140/('損益分岐設定'!$B$23*'損益分岐設定'!$B$24*3600*'損益分岐設定'!$B$25),0))</x:f>
        <x:v>1</x:v>
      </x:c>
      <x:c r="AN140" s="1" t="n">
        <x:f>MAX(2,ROUNDUP('損益分岐設定'!C38*AJ140/('損益分岐設定'!$B$23*'損益分岐設定'!$B$24*3600*'損益分岐設定'!$B$25),0))</x:f>
        <x:v>2</x:v>
      </x:c>
      <x:c r="AO140" s="1" t="n">
        <x:f>MAX(2,ROUNDUP('損益分岐設定'!C39*AJ140/('損益分岐設定'!$B$23*'損益分岐設定'!$B$24*3600*'損益分岐設定'!$B$25),0))</x:f>
        <x:v>2</x:v>
      </x:c>
      <x:c r="AP140" s="1" t="n">
        <x:f>MAX(2,ROUNDUP('損益分岐設定'!C40*AJ140/('損益分岐設定'!$B$23*'損益分岐設定'!$B$24*3600*'損益分岐設定'!$B$25),0))</x:f>
        <x:v>2</x:v>
      </x:c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 ht="23" customHeight="1">
      <x:c r="A141" s="1" t="str">
        <x:v>Run</x:v>
      </x:c>
      <x:c r="B141" s="1" t="str">
        <x:v>混在</x:v>
      </x:c>
      <x:c r="C141" s="1" t="str">
        <x:v>標準</x:v>
      </x:c>
      <x:c r="D141" s="21" t="n">
        <x:v>0.4</x:v>
      </x:c>
      <x:c r="E141" s="1" t="n">
        <x:v>0</x:v>
      </x:c>
      <x:c r="F141" s="7" t="n">
        <x:f>AD141*'損益分岐設定'!$B$5+AE141*'損益分岐設定'!$B$6+AF141*'損益分岐設定'!$B$7</x:f>
        <x:v>4600</x:v>
      </x:c>
      <x:c r="G141" s="7" t="n">
        <x:f>AG141+(AH141+AI141)*('損益分岐設定'!$B$29+0.5*'損益分岐設定'!$B$30)+AK141*'損益分岐設定'!$B$32+(AJ141+AK141/'損益分岐設定'!$B$28*'損益分岐設定'!$B$26)*('損益分岐設定'!$B$29+'損益分岐設定'!$B$31*'損益分岐設定'!$B$30)</x:f>
        <x:v>415.763952863573</x:v>
      </x:c>
      <x:c r="H141" s="7" t="n">
        <x:f>AL141*E141</x:f>
        <x:v>0</x:v>
      </x:c>
      <x:c r="I141" s="7" t="n">
        <x:f>F141*(1-D141-'損益分岐設定'!$B$10)-G141-H141</x:f>
        <x:v>2178.6360471364264</x:v>
      </x:c>
      <x:c r="J141" s="1" t="n">
        <x:f>IF(MIN(V141:Y141)&gt;1000,"範囲内なし",MIN(V141:Y141))</x:f>
        <x:v>13</x:v>
      </x:c>
      <x:c r="K141" s="1" t="n">
        <x:f>IF(MAX(Z141:AC141)&gt;=1000,"範囲内なし",MAX(1,MAX(Z141:AC141)+1))</x:f>
        <x:v>13</x:v>
      </x:c>
      <x:c r="L141" s="7" t="n">
        <x:f>10*I141-R141</x:f>
        <x:v>-224.57415494353336</x:v>
      </x:c>
      <x:c r="M141" s="7" t="n">
        <x:f>30*I141-S141</x:f>
        <x:v>38848.146787784994</x:v>
      </x:c>
      <x:c r="N141" s="7" t="n">
        <x:f>50*I141-S141</x:f>
        <x:v>82420.86773051354</x:v>
      </x:c>
      <x:c r="O141" s="7" t="n">
        <x:f>100*I141-S141</x:f>
        <x:v>191352.67008733485</x:v>
      </x:c>
      <x:c r="P141" s="7" t="n">
        <x:f>300*I141-T141</x:f>
        <x:v>605079.8795146202</x:v>
      </x:c>
      <x:c r="Q141" s="7" t="n">
        <x:f>1000*I141-U141</x:f>
        <x:v>2100125.1125101186</x:v>
      </x:c>
      <x:c r="R14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141*'損益分岐設定'!$B$12*'損益分岐設定'!$B$11</x:f>
        <x:v>22010.934626307797</x:v>
      </x:c>
      <x:c r="S14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141*'損益分岐設定'!$B$12*'損益分岐設定'!$B$11</x:f>
        <x:v>26510.934626307797</x:v>
      </x:c>
      <x:c r="T14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141*'損益分岐設定'!$B$12*'損益分岐設定'!$B$11</x:f>
        <x:v>48510.9346263078</x:v>
      </x:c>
      <x:c r="U14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141*'損益分岐設定'!$B$12*'損益分岐設定'!$B$11</x:f>
        <x:v>78510.9346263078</x:v>
      </x:c>
      <x:c r="V141" s="1" t="n">
        <x:f>IF(I141&lt;=0,1001,IF(MAX('損益分岐設定'!B37,ROUNDUP(R141/I141,0))&lt;='損益分岐設定'!C37,MAX('損益分岐設定'!B37,ROUNDUP(R141/I141,0)),1001))</x:f>
        <x:v>1001</x:v>
      </x:c>
      <x:c r="W141" s="1" t="n">
        <x:f>IF(I141&lt;=0,1001,IF(MAX('損益分岐設定'!B38,ROUNDUP(S141/I141,0))&lt;='損益分岐設定'!C38,MAX('損益分岐設定'!B38,ROUNDUP(S141/I141,0)),1001))</x:f>
        <x:v>13</x:v>
      </x:c>
      <x:c r="X141" s="1" t="n">
        <x:f>IF(I141&lt;=0,1001,IF(MAX('損益分岐設定'!B39,ROUNDUP(T141/I141,0))&lt;='損益分岐設定'!C39,MAX('損益分岐設定'!B39,ROUNDUP(T141/I141,0)),1001))</x:f>
        <x:v>101</x:v>
      </x:c>
      <x:c r="Y141" s="1" t="n">
        <x:f>IF(I141&lt;=0,1001,IF(MAX('損益分岐設定'!B40,ROUNDUP(U141/I141,0))&lt;='損益分岐設定'!C40,MAX('損益分岐設定'!B40,ROUNDUP(U141/I141,0)),1001))</x:f>
        <x:v>501</x:v>
      </x:c>
      <x:c r="Z141" s="1" t="n">
        <x:f>IF(I141&lt;=0,'損益分岐設定'!C37,IF('損益分岐設定'!C37*I141-R141&lt;0,'損益分岐設定'!C37,IF('損益分岐設定'!B37*I141-R141&gt;=0,0,ROUNDUP(R141/I141,0)-1)))</x:f>
        <x:v>10</x:v>
      </x:c>
      <x:c r="AA141" s="1" t="n">
        <x:f>IF(I141&lt;=0,'損益分岐設定'!C38,IF('損益分岐設定'!C38*I141-S141&lt;0,'損益分岐設定'!C38,IF('損益分岐設定'!B38*I141-S141&gt;=0,0,ROUNDUP(S141/I141,0)-1)))</x:f>
        <x:v>12</x:v>
      </x:c>
      <x:c r="AB141" s="1" t="n">
        <x:f>IF(I141&lt;=0,'損益分岐設定'!C39,IF('損益分岐設定'!C39*I141-T141&lt;0,'損益分岐設定'!C39,IF('損益分岐設定'!B39*I141-T141&gt;=0,0,ROUNDUP(T141/I141,0)-1)))</x:f>
        <x:v>0</x:v>
      </x:c>
      <x:c r="AC141" s="1" t="n">
        <x:f>IF(I141&lt;=0,'損益分岐設定'!C40,IF('損益分岐設定'!C40*I141-U141&lt;0,'損益分岐設定'!C40,IF('損益分岐設定'!B40*I141-U141&gt;=0,0,ROUNDUP(U141/I141,0)-1)))</x:f>
        <x:v>0</x:v>
      </x:c>
      <x:c r="AD141" s="1" t="n">
        <x:f>'損益分岐設定'!$D$5/SUM('損益分岐設定'!$D$5:$D$7)</x:f>
        <x:v>0.5</x:v>
      </x:c>
      <x:c r="AE141" s="1" t="n">
        <x:f>'損益分岐設定'!$D$6/SUM('損益分岐設定'!$D$5:$D$7)</x:f>
        <x:v>0.3</x:v>
      </x:c>
      <x:c r="AF141" s="1" t="n">
        <x:f>'損益分岐設定'!$D$7/SUM('損益分岐設定'!$D$5:$D$7)</x:f>
        <x:v>0.2</x:v>
      </x:c>
      <x:c r="AG141" s="1" t="n">
        <x:f>AD141*'損益分岐設定'!$C$57+AE141*'損益分岐設定'!$C$60+AF141*'損益分岐設定'!$C$63</x:f>
        <x:v>412.2157297973632</x:v>
      </x:c>
      <x:c r="AH141" s="1" t="n">
        <x:f>AD141*'損益分岐設定'!$D$57+AE141*'損益分岐設定'!$D$60+AF141*'損益分岐設定'!$D$63</x:f>
        <x:v>111</x:v>
      </x:c>
      <x:c r="AI141" s="1" t="n">
        <x:f>AD141*'損益分岐設定'!$E$57+AE141*'損益分岐設定'!$E$60+AF141*'損益分岐設定'!$E$63</x:f>
        <x:v>111</x:v>
      </x:c>
      <x:c r="AJ141" s="1" t="n">
        <x:f>(AD141*'損益分岐設定'!$F$57+AE141*'損益分岐設定'!$F$60+AF141*'損益分岐設定'!$F$63*1)*'損益分岐設定'!$B$22</x:f>
        <x:v>444</x:v>
      </x:c>
      <x:c r="AK141" s="1" t="n">
        <x:f>AD141*'損益分岐設定'!$G$57+AE141*'損益分岐設定'!$G$60+AF141*'損益分岐設定'!$G$63</x:f>
        <x:v>740</x:v>
      </x:c>
      <x:c r="AL141" s="1" t="n">
        <x:f>AD141*'損益分岐設定'!$H$57+AE141*'損益分岐設定'!$H$60+AF141*'損益分岐設定'!$H$63</x:f>
        <x:v>656.6666666666666</x:v>
      </x:c>
      <x:c r="AM141" s="1" t="n">
        <x:f>MAX(1,ROUNDUP('損益分岐設定'!C37*AJ141/('損益分岐設定'!$B$23*'損益分岐設定'!$B$24*3600*'損益分岐設定'!$B$25),0))</x:f>
        <x:v>1</x:v>
      </x:c>
      <x:c r="AN141" s="1" t="n">
        <x:f>MAX(2,ROUNDUP('損益分岐設定'!C38*AJ141/('損益分岐設定'!$B$23*'損益分岐設定'!$B$24*3600*'損益分岐設定'!$B$25),0))</x:f>
        <x:v>2</x:v>
      </x:c>
      <x:c r="AO141" s="1" t="n">
        <x:f>MAX(2,ROUNDUP('損益分岐設定'!C39*AJ141/('損益分岐設定'!$B$23*'損益分岐設定'!$B$24*3600*'損益分岐設定'!$B$25),0))</x:f>
        <x:v>2</x:v>
      </x:c>
      <x:c r="AP141" s="1" t="n">
        <x:f>MAX(2,ROUNDUP('損益分岐設定'!C40*AJ141/('損益分岐設定'!$B$23*'損益分岐設定'!$B$24*3600*'損益分岐設定'!$B$25),0))</x:f>
        <x:v>2</x:v>
      </x:c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 ht="23" customHeight="1">
      <x:c r="A142" s="1" t="str">
        <x:v>Run</x:v>
      </x:c>
      <x:c r="B142" s="1" t="str">
        <x:v>混在</x:v>
      </x:c>
      <x:c r="C142" s="1" t="str">
        <x:v>標準</x:v>
      </x:c>
      <x:c r="D142" s="21" t="n">
        <x:v>0.4</x:v>
      </x:c>
      <x:c r="E142" s="1" t="n">
        <x:v>1</x:v>
      </x:c>
      <x:c r="F142" s="7" t="n">
        <x:f>AD142*'損益分岐設定'!$B$5+AE142*'損益分岐設定'!$B$6+AF142*'損益分岐設定'!$B$7</x:f>
        <x:v>4600</x:v>
      </x:c>
      <x:c r="G142" s="7" t="n">
        <x:f>AG142+(AH142+AI142)*('損益分岐設定'!$B$29+0.5*'損益分岐設定'!$B$30)+AK142*'損益分岐設定'!$B$32+(AJ142+AK142/'損益分岐設定'!$B$28*'損益分岐設定'!$B$26)*('損益分岐設定'!$B$29+'損益分岐設定'!$B$31*'損益分岐設定'!$B$30)</x:f>
        <x:v>415.763952863573</x:v>
      </x:c>
      <x:c r="H142" s="7" t="n">
        <x:f>AL142*E142</x:f>
        <x:v>656.6666666666666</x:v>
      </x:c>
      <x:c r="I142" s="7" t="n">
        <x:f>F142*(1-D142-'損益分岐設定'!$B$10)-G142-H142</x:f>
        <x:v>1521.96938046976</x:v>
      </x:c>
      <x:c r="J142" s="1" t="n">
        <x:f>IF(MIN(V142:Y142)&gt;1000,"範囲内なし",MIN(V142:Y142))</x:f>
        <x:v>23</x:v>
      </x:c>
      <x:c r="K142" s="1" t="n">
        <x:f>IF(MAX(Z142:AC142)&gt;=1000,"範囲内なし",MAX(1,MAX(Z142:AC142)+1))</x:f>
        <x:v>23</x:v>
      </x:c>
      <x:c r="L142" s="7" t="n">
        <x:f>10*I142-R142</x:f>
        <x:v>-14791.240821610198</x:v>
      </x:c>
      <x:c r="M142" s="7" t="n">
        <x:f>30*I142-S142</x:f>
        <x:v>11148.146787785001</x:v>
      </x:c>
      <x:c r="N142" s="7" t="n">
        <x:f>50*I142-S142</x:f>
        <x:v>41587.5343971802</x:v>
      </x:c>
      <x:c r="O142" s="7" t="n">
        <x:f>100*I142-S142</x:f>
        <x:v>117686.00342066819</x:v>
      </x:c>
      <x:c r="P142" s="7" t="n">
        <x:f>300*I142-T142</x:f>
        <x:v>400079.8795146202</x:v>
      </x:c>
      <x:c r="Q142" s="7" t="n">
        <x:f>1000*I142-U142</x:f>
        <x:v>1435458.4458434521</x:v>
      </x:c>
      <x:c r="R14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142*'損益分岐設定'!$B$12*'損益分岐設定'!$B$11</x:f>
        <x:v>30010.934626307797</x:v>
      </x:c>
      <x:c r="S14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142*'損益分岐設定'!$B$12*'損益分岐設定'!$B$11</x:f>
        <x:v>34510.9346263078</x:v>
      </x:c>
      <x:c r="T14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142*'損益分岐設定'!$B$12*'損益分岐設定'!$B$11</x:f>
        <x:v>56510.9346263078</x:v>
      </x:c>
      <x:c r="U14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142*'損益分岐設定'!$B$12*'損益分岐設定'!$B$11</x:f>
        <x:v>86510.9346263078</x:v>
      </x:c>
      <x:c r="V142" s="1" t="n">
        <x:f>IF(I142&lt;=0,1001,IF(MAX('損益分岐設定'!B37,ROUNDUP(R142/I142,0))&lt;='損益分岐設定'!C37,MAX('損益分岐設定'!B37,ROUNDUP(R142/I142,0)),1001))</x:f>
        <x:v>1001</x:v>
      </x:c>
      <x:c r="W142" s="1" t="n">
        <x:f>IF(I142&lt;=0,1001,IF(MAX('損益分岐設定'!B38,ROUNDUP(S142/I142,0))&lt;='損益分岐設定'!C38,MAX('損益分岐設定'!B38,ROUNDUP(S142/I142,0)),1001))</x:f>
        <x:v>23</x:v>
      </x:c>
      <x:c r="X142" s="1" t="n">
        <x:f>IF(I142&lt;=0,1001,IF(MAX('損益分岐設定'!B39,ROUNDUP(T142/I142,0))&lt;='損益分岐設定'!C39,MAX('損益分岐設定'!B39,ROUNDUP(T142/I142,0)),1001))</x:f>
        <x:v>101</x:v>
      </x:c>
      <x:c r="Y142" s="1" t="n">
        <x:f>IF(I142&lt;=0,1001,IF(MAX('損益分岐設定'!B40,ROUNDUP(U142/I142,0))&lt;='損益分岐設定'!C40,MAX('損益分岐設定'!B40,ROUNDUP(U142/I142,0)),1001))</x:f>
        <x:v>501</x:v>
      </x:c>
      <x:c r="Z142" s="1" t="n">
        <x:f>IF(I142&lt;=0,'損益分岐設定'!C37,IF('損益分岐設定'!C37*I142-R142&lt;0,'損益分岐設定'!C37,IF('損益分岐設定'!B37*I142-R142&gt;=0,0,ROUNDUP(R142/I142,0)-1)))</x:f>
        <x:v>10</x:v>
      </x:c>
      <x:c r="AA142" s="1" t="n">
        <x:f>IF(I142&lt;=0,'損益分岐設定'!C38,IF('損益分岐設定'!C38*I142-S142&lt;0,'損益分岐設定'!C38,IF('損益分岐設定'!B38*I142-S142&gt;=0,0,ROUNDUP(S142/I142,0)-1)))</x:f>
        <x:v>22</x:v>
      </x:c>
      <x:c r="AB142" s="1" t="n">
        <x:f>IF(I142&lt;=0,'損益分岐設定'!C39,IF('損益分岐設定'!C39*I142-T142&lt;0,'損益分岐設定'!C39,IF('損益分岐設定'!B39*I142-T142&gt;=0,0,ROUNDUP(T142/I142,0)-1)))</x:f>
        <x:v>0</x:v>
      </x:c>
      <x:c r="AC142" s="1" t="n">
        <x:f>IF(I142&lt;=0,'損益分岐設定'!C40,IF('損益分岐設定'!C40*I142-U142&lt;0,'損益分岐設定'!C40,IF('損益分岐設定'!B40*I142-U142&gt;=0,0,ROUNDUP(U142/I142,0)-1)))</x:f>
        <x:v>0</x:v>
      </x:c>
      <x:c r="AD142" s="1" t="n">
        <x:f>'損益分岐設定'!$D$5/SUM('損益分岐設定'!$D$5:$D$7)</x:f>
        <x:v>0.5</x:v>
      </x:c>
      <x:c r="AE142" s="1" t="n">
        <x:f>'損益分岐設定'!$D$6/SUM('損益分岐設定'!$D$5:$D$7)</x:f>
        <x:v>0.3</x:v>
      </x:c>
      <x:c r="AF142" s="1" t="n">
        <x:f>'損益分岐設定'!$D$7/SUM('損益分岐設定'!$D$5:$D$7)</x:f>
        <x:v>0.2</x:v>
      </x:c>
      <x:c r="AG142" s="1" t="n">
        <x:f>AD142*'損益分岐設定'!$C$57+AE142*'損益分岐設定'!$C$60+AF142*'損益分岐設定'!$C$63</x:f>
        <x:v>412.2157297973632</x:v>
      </x:c>
      <x:c r="AH142" s="1" t="n">
        <x:f>AD142*'損益分岐設定'!$D$57+AE142*'損益分岐設定'!$D$60+AF142*'損益分岐設定'!$D$63</x:f>
        <x:v>111</x:v>
      </x:c>
      <x:c r="AI142" s="1" t="n">
        <x:f>AD142*'損益分岐設定'!$E$57+AE142*'損益分岐設定'!$E$60+AF142*'損益分岐設定'!$E$63</x:f>
        <x:v>111</x:v>
      </x:c>
      <x:c r="AJ142" s="1" t="n">
        <x:f>(AD142*'損益分岐設定'!$F$57+AE142*'損益分岐設定'!$F$60+AF142*'損益分岐設定'!$F$63*1)*'損益分岐設定'!$B$22</x:f>
        <x:v>444</x:v>
      </x:c>
      <x:c r="AK142" s="1" t="n">
        <x:f>AD142*'損益分岐設定'!$G$57+AE142*'損益分岐設定'!$G$60+AF142*'損益分岐設定'!$G$63</x:f>
        <x:v>740</x:v>
      </x:c>
      <x:c r="AL142" s="1" t="n">
        <x:f>AD142*'損益分岐設定'!$H$57+AE142*'損益分岐設定'!$H$60+AF142*'損益分岐設定'!$H$63</x:f>
        <x:v>656.6666666666666</x:v>
      </x:c>
      <x:c r="AM142" s="1" t="n">
        <x:f>MAX(1,ROUNDUP('損益分岐設定'!C37*AJ142/('損益分岐設定'!$B$23*'損益分岐設定'!$B$24*3600*'損益分岐設定'!$B$25),0))</x:f>
        <x:v>1</x:v>
      </x:c>
      <x:c r="AN142" s="1" t="n">
        <x:f>MAX(2,ROUNDUP('損益分岐設定'!C38*AJ142/('損益分岐設定'!$B$23*'損益分岐設定'!$B$24*3600*'損益分岐設定'!$B$25),0))</x:f>
        <x:v>2</x:v>
      </x:c>
      <x:c r="AO142" s="1" t="n">
        <x:f>MAX(2,ROUNDUP('損益分岐設定'!C39*AJ142/('損益分岐設定'!$B$23*'損益分岐設定'!$B$24*3600*'損益分岐設定'!$B$25),0))</x:f>
        <x:v>2</x:v>
      </x:c>
      <x:c r="AP142" s="1" t="n">
        <x:f>MAX(2,ROUNDUP('損益分岐設定'!C40*AJ142/('損益分岐設定'!$B$23*'損益分岐設定'!$B$24*3600*'損益分岐設定'!$B$25),0))</x:f>
        <x:v>2</x:v>
      </x:c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 ht="23" customHeight="1">
      <x:c r="A143" s="1" t="str">
        <x:v>Run</x:v>
      </x:c>
      <x:c r="B143" s="1" t="str">
        <x:v>混在</x:v>
      </x:c>
      <x:c r="C143" s="1" t="str">
        <x:v>標準</x:v>
      </x:c>
      <x:c r="D143" s="21" t="n">
        <x:v>0.5</x:v>
      </x:c>
      <x:c r="E143" s="1" t="n">
        <x:v>0</x:v>
      </x:c>
      <x:c r="F143" s="7" t="n">
        <x:f>AD143*'損益分岐設定'!$B$5+AE143*'損益分岐設定'!$B$6+AF143*'損益分岐設定'!$B$7</x:f>
        <x:v>4600</x:v>
      </x:c>
      <x:c r="G143" s="7" t="n">
        <x:f>AG143+(AH143+AI143)*('損益分岐設定'!$B$29+0.5*'損益分岐設定'!$B$30)+AK143*'損益分岐設定'!$B$32+(AJ143+AK143/'損益分岐設定'!$B$28*'損益分岐設定'!$B$26)*('損益分岐設定'!$B$29+'損益分岐設定'!$B$31*'損益分岐設定'!$B$30)</x:f>
        <x:v>415.763952863573</x:v>
      </x:c>
      <x:c r="H143" s="7" t="n">
        <x:f>AL143*E143</x:f>
        <x:v>0</x:v>
      </x:c>
      <x:c r="I143" s="7" t="n">
        <x:f>F143*(1-D143-'損益分岐設定'!$B$10)-G143-H143</x:f>
        <x:v>1718.6360471364271</x:v>
      </x:c>
      <x:c r="J143" s="1" t="n">
        <x:f>IF(MIN(V143:Y143)&gt;1000,"範囲内なし",MIN(V143:Y143))</x:f>
        <x:v>16</x:v>
      </x:c>
      <x:c r="K143" s="1" t="n">
        <x:f>IF(MAX(Z143:AC143)&gt;=1000,"範囲内なし",MAX(1,MAX(Z143:AC143)+1))</x:f>
        <x:v>16</x:v>
      </x:c>
      <x:c r="L143" s="7" t="n">
        <x:f>10*I143-R143</x:f>
        <x:v>-4824.574154943526</x:v>
      </x:c>
      <x:c r="M143" s="7" t="n">
        <x:f>30*I143-S143</x:f>
        <x:v>25048.146787785015</x:v>
      </x:c>
      <x:c r="N143" s="7" t="n">
        <x:f>50*I143-S143</x:f>
        <x:v>59420.86773051356</x:v>
      </x:c>
      <x:c r="O143" s="7" t="n">
        <x:f>100*I143-S143</x:f>
        <x:v>145352.6700873349</x:v>
      </x:c>
      <x:c r="P143" s="7" t="n">
        <x:f>300*I143-T143</x:f>
        <x:v>467079.87951462035</x:v>
      </x:c>
      <x:c r="Q143" s="7" t="n">
        <x:f>1000*I143-U143</x:f>
        <x:v>1640125.1125101193</x:v>
      </x:c>
      <x:c r="R14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143*'損益分岐設定'!$B$12*'損益分岐設定'!$B$11</x:f>
        <x:v>22010.934626307797</x:v>
      </x:c>
      <x:c r="S14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143*'損益分岐設定'!$B$12*'損益分岐設定'!$B$11</x:f>
        <x:v>26510.934626307797</x:v>
      </x:c>
      <x:c r="T14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143*'損益分岐設定'!$B$12*'損益分岐設定'!$B$11</x:f>
        <x:v>48510.9346263078</x:v>
      </x:c>
      <x:c r="U14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143*'損益分岐設定'!$B$12*'損益分岐設定'!$B$11</x:f>
        <x:v>78510.9346263078</x:v>
      </x:c>
      <x:c r="V143" s="1" t="n">
        <x:f>IF(I143&lt;=0,1001,IF(MAX('損益分岐設定'!B37,ROUNDUP(R143/I143,0))&lt;='損益分岐設定'!C37,MAX('損益分岐設定'!B37,ROUNDUP(R143/I143,0)),1001))</x:f>
        <x:v>1001</x:v>
      </x:c>
      <x:c r="W143" s="1" t="n">
        <x:f>IF(I143&lt;=0,1001,IF(MAX('損益分岐設定'!B38,ROUNDUP(S143/I143,0))&lt;='損益分岐設定'!C38,MAX('損益分岐設定'!B38,ROUNDUP(S143/I143,0)),1001))</x:f>
        <x:v>16</x:v>
      </x:c>
      <x:c r="X143" s="1" t="n">
        <x:f>IF(I143&lt;=0,1001,IF(MAX('損益分岐設定'!B39,ROUNDUP(T143/I143,0))&lt;='損益分岐設定'!C39,MAX('損益分岐設定'!B39,ROUNDUP(T143/I143,0)),1001))</x:f>
        <x:v>101</x:v>
      </x:c>
      <x:c r="Y143" s="1" t="n">
        <x:f>IF(I143&lt;=0,1001,IF(MAX('損益分岐設定'!B40,ROUNDUP(U143/I143,0))&lt;='損益分岐設定'!C40,MAX('損益分岐設定'!B40,ROUNDUP(U143/I143,0)),1001))</x:f>
        <x:v>501</x:v>
      </x:c>
      <x:c r="Z143" s="1" t="n">
        <x:f>IF(I143&lt;=0,'損益分岐設定'!C37,IF('損益分岐設定'!C37*I143-R143&lt;0,'損益分岐設定'!C37,IF('損益分岐設定'!B37*I143-R143&gt;=0,0,ROUNDUP(R143/I143,0)-1)))</x:f>
        <x:v>10</x:v>
      </x:c>
      <x:c r="AA143" s="1" t="n">
        <x:f>IF(I143&lt;=0,'損益分岐設定'!C38,IF('損益分岐設定'!C38*I143-S143&lt;0,'損益分岐設定'!C38,IF('損益分岐設定'!B38*I143-S143&gt;=0,0,ROUNDUP(S143/I143,0)-1)))</x:f>
        <x:v>15</x:v>
      </x:c>
      <x:c r="AB143" s="1" t="n">
        <x:f>IF(I143&lt;=0,'損益分岐設定'!C39,IF('損益分岐設定'!C39*I143-T143&lt;0,'損益分岐設定'!C39,IF('損益分岐設定'!B39*I143-T143&gt;=0,0,ROUNDUP(T143/I143,0)-1)))</x:f>
        <x:v>0</x:v>
      </x:c>
      <x:c r="AC143" s="1" t="n">
        <x:f>IF(I143&lt;=0,'損益分岐設定'!C40,IF('損益分岐設定'!C40*I143-U143&lt;0,'損益分岐設定'!C40,IF('損益分岐設定'!B40*I143-U143&gt;=0,0,ROUNDUP(U143/I143,0)-1)))</x:f>
        <x:v>0</x:v>
      </x:c>
      <x:c r="AD143" s="1" t="n">
        <x:f>'損益分岐設定'!$D$5/SUM('損益分岐設定'!$D$5:$D$7)</x:f>
        <x:v>0.5</x:v>
      </x:c>
      <x:c r="AE143" s="1" t="n">
        <x:f>'損益分岐設定'!$D$6/SUM('損益分岐設定'!$D$5:$D$7)</x:f>
        <x:v>0.3</x:v>
      </x:c>
      <x:c r="AF143" s="1" t="n">
        <x:f>'損益分岐設定'!$D$7/SUM('損益分岐設定'!$D$5:$D$7)</x:f>
        <x:v>0.2</x:v>
      </x:c>
      <x:c r="AG143" s="1" t="n">
        <x:f>AD143*'損益分岐設定'!$C$57+AE143*'損益分岐設定'!$C$60+AF143*'損益分岐設定'!$C$63</x:f>
        <x:v>412.2157297973632</x:v>
      </x:c>
      <x:c r="AH143" s="1" t="n">
        <x:f>AD143*'損益分岐設定'!$D$57+AE143*'損益分岐設定'!$D$60+AF143*'損益分岐設定'!$D$63</x:f>
        <x:v>111</x:v>
      </x:c>
      <x:c r="AI143" s="1" t="n">
        <x:f>AD143*'損益分岐設定'!$E$57+AE143*'損益分岐設定'!$E$60+AF143*'損益分岐設定'!$E$63</x:f>
        <x:v>111</x:v>
      </x:c>
      <x:c r="AJ143" s="1" t="n">
        <x:f>(AD143*'損益分岐設定'!$F$57+AE143*'損益分岐設定'!$F$60+AF143*'損益分岐設定'!$F$63*1)*'損益分岐設定'!$B$22</x:f>
        <x:v>444</x:v>
      </x:c>
      <x:c r="AK143" s="1" t="n">
        <x:f>AD143*'損益分岐設定'!$G$57+AE143*'損益分岐設定'!$G$60+AF143*'損益分岐設定'!$G$63</x:f>
        <x:v>740</x:v>
      </x:c>
      <x:c r="AL143" s="1" t="n">
        <x:f>AD143*'損益分岐設定'!$H$57+AE143*'損益分岐設定'!$H$60+AF143*'損益分岐設定'!$H$63</x:f>
        <x:v>656.6666666666666</x:v>
      </x:c>
      <x:c r="AM143" s="1" t="n">
        <x:f>MAX(1,ROUNDUP('損益分岐設定'!C37*AJ143/('損益分岐設定'!$B$23*'損益分岐設定'!$B$24*3600*'損益分岐設定'!$B$25),0))</x:f>
        <x:v>1</x:v>
      </x:c>
      <x:c r="AN143" s="1" t="n">
        <x:f>MAX(2,ROUNDUP('損益分岐設定'!C38*AJ143/('損益分岐設定'!$B$23*'損益分岐設定'!$B$24*3600*'損益分岐設定'!$B$25),0))</x:f>
        <x:v>2</x:v>
      </x:c>
      <x:c r="AO143" s="1" t="n">
        <x:f>MAX(2,ROUNDUP('損益分岐設定'!C39*AJ143/('損益分岐設定'!$B$23*'損益分岐設定'!$B$24*3600*'損益分岐設定'!$B$25),0))</x:f>
        <x:v>2</x:v>
      </x:c>
      <x:c r="AP143" s="1" t="n">
        <x:f>MAX(2,ROUNDUP('損益分岐設定'!C40*AJ143/('損益分岐設定'!$B$23*'損益分岐設定'!$B$24*3600*'損益分岐設定'!$B$25),0))</x:f>
        <x:v>2</x:v>
      </x:c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 ht="23" customHeight="1">
      <x:c r="A144" s="1" t="str">
        <x:v>Run</x:v>
      </x:c>
      <x:c r="B144" s="1" t="str">
        <x:v>混在</x:v>
      </x:c>
      <x:c r="C144" s="1" t="str">
        <x:v>標準</x:v>
      </x:c>
      <x:c r="D144" s="21" t="n">
        <x:v>0.5</x:v>
      </x:c>
      <x:c r="E144" s="1" t="n">
        <x:v>1</x:v>
      </x:c>
      <x:c r="F144" s="7" t="n">
        <x:f>AD144*'損益分岐設定'!$B$5+AE144*'損益分岐設定'!$B$6+AF144*'損益分岐設定'!$B$7</x:f>
        <x:v>4600</x:v>
      </x:c>
      <x:c r="G144" s="7" t="n">
        <x:f>AG144+(AH144+AI144)*('損益分岐設定'!$B$29+0.5*'損益分岐設定'!$B$30)+AK144*'損益分岐設定'!$B$32+(AJ144+AK144/'損益分岐設定'!$B$28*'損益分岐設定'!$B$26)*('損益分岐設定'!$B$29+'損益分岐設定'!$B$31*'損益分岐設定'!$B$30)</x:f>
        <x:v>415.763952863573</x:v>
      </x:c>
      <x:c r="H144" s="7" t="n">
        <x:f>AL144*E144</x:f>
        <x:v>656.6666666666666</x:v>
      </x:c>
      <x:c r="I144" s="7" t="n">
        <x:f>F144*(1-D144-'損益分岐設定'!$B$10)-G144-H144</x:f>
        <x:v>1061.9693804697604</x:v>
      </x:c>
      <x:c r="J144" s="1" t="n">
        <x:f>IF(MIN(V144:Y144)&gt;1000,"範囲内なし",MIN(V144:Y144))</x:f>
        <x:v>33</x:v>
      </x:c>
      <x:c r="K144" s="1" t="n">
        <x:f>IF(MAX(Z144:AC144)&gt;=1000,"範囲内なし",MAX(1,MAX(Z144:AC144)+1))</x:f>
        <x:v>33</x:v>
      </x:c>
      <x:c r="L144" s="7" t="n">
        <x:f>10*I144-R144</x:f>
        <x:v>-19391.240821610194</x:v>
      </x:c>
      <x:c r="M144" s="7" t="n">
        <x:f>30*I144-S144</x:f>
        <x:v>-2651.8532122149845</x:v>
      </x:c>
      <x:c r="N144" s="7" t="n">
        <x:f>50*I144-S144</x:f>
        <x:v>18587.53439718022</x:v>
      </x:c>
      <x:c r="O144" s="7" t="n">
        <x:f>100*I144-S144</x:f>
        <x:v>71686.00342066825</x:v>
      </x:c>
      <x:c r="P144" s="7" t="n">
        <x:f>300*I144-T144</x:f>
        <x:v>262079.8795146203</x:v>
      </x:c>
      <x:c r="Q144" s="7" t="n">
        <x:f>1000*I144-U144</x:f>
        <x:v>975458.4458434526</x:v>
      </x:c>
      <x:c r="R14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144*'損益分岐設定'!$B$12*'損益分岐設定'!$B$11</x:f>
        <x:v>30010.934626307797</x:v>
      </x:c>
      <x:c r="S14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144*'損益分岐設定'!$B$12*'損益分岐設定'!$B$11</x:f>
        <x:v>34510.9346263078</x:v>
      </x:c>
      <x:c r="T14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144*'損益分岐設定'!$B$12*'損益分岐設定'!$B$11</x:f>
        <x:v>56510.9346263078</x:v>
      </x:c>
      <x:c r="U14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144*'損益分岐設定'!$B$12*'損益分岐設定'!$B$11</x:f>
        <x:v>86510.9346263078</x:v>
      </x:c>
      <x:c r="V144" s="1" t="n">
        <x:f>IF(I144&lt;=0,1001,IF(MAX('損益分岐設定'!B37,ROUNDUP(R144/I144,0))&lt;='損益分岐設定'!C37,MAX('損益分岐設定'!B37,ROUNDUP(R144/I144,0)),1001))</x:f>
        <x:v>1001</x:v>
      </x:c>
      <x:c r="W144" s="1" t="n">
        <x:f>IF(I144&lt;=0,1001,IF(MAX('損益分岐設定'!B38,ROUNDUP(S144/I144,0))&lt;='損益分岐設定'!C38,MAX('損益分岐設定'!B38,ROUNDUP(S144/I144,0)),1001))</x:f>
        <x:v>33</x:v>
      </x:c>
      <x:c r="X144" s="1" t="n">
        <x:f>IF(I144&lt;=0,1001,IF(MAX('損益分岐設定'!B39,ROUNDUP(T144/I144,0))&lt;='損益分岐設定'!C39,MAX('損益分岐設定'!B39,ROUNDUP(T144/I144,0)),1001))</x:f>
        <x:v>101</x:v>
      </x:c>
      <x:c r="Y144" s="1" t="n">
        <x:f>IF(I144&lt;=0,1001,IF(MAX('損益分岐設定'!B40,ROUNDUP(U144/I144,0))&lt;='損益分岐設定'!C40,MAX('損益分岐設定'!B40,ROUNDUP(U144/I144,0)),1001))</x:f>
        <x:v>501</x:v>
      </x:c>
      <x:c r="Z144" s="1" t="n">
        <x:f>IF(I144&lt;=0,'損益分岐設定'!C37,IF('損益分岐設定'!C37*I144-R144&lt;0,'損益分岐設定'!C37,IF('損益分岐設定'!B37*I144-R144&gt;=0,0,ROUNDUP(R144/I144,0)-1)))</x:f>
        <x:v>10</x:v>
      </x:c>
      <x:c r="AA144" s="1" t="n">
        <x:f>IF(I144&lt;=0,'損益分岐設定'!C38,IF('損益分岐設定'!C38*I144-S144&lt;0,'損益分岐設定'!C38,IF('損益分岐設定'!B38*I144-S144&gt;=0,0,ROUNDUP(S144/I144,0)-1)))</x:f>
        <x:v>32</x:v>
      </x:c>
      <x:c r="AB144" s="1" t="n">
        <x:f>IF(I144&lt;=0,'損益分岐設定'!C39,IF('損益分岐設定'!C39*I144-T144&lt;0,'損益分岐設定'!C39,IF('損益分岐設定'!B39*I144-T144&gt;=0,0,ROUNDUP(T144/I144,0)-1)))</x:f>
        <x:v>0</x:v>
      </x:c>
      <x:c r="AC144" s="1" t="n">
        <x:f>IF(I144&lt;=0,'損益分岐設定'!C40,IF('損益分岐設定'!C40*I144-U144&lt;0,'損益分岐設定'!C40,IF('損益分岐設定'!B40*I144-U144&gt;=0,0,ROUNDUP(U144/I144,0)-1)))</x:f>
        <x:v>0</x:v>
      </x:c>
      <x:c r="AD144" s="1" t="n">
        <x:f>'損益分岐設定'!$D$5/SUM('損益分岐設定'!$D$5:$D$7)</x:f>
        <x:v>0.5</x:v>
      </x:c>
      <x:c r="AE144" s="1" t="n">
        <x:f>'損益分岐設定'!$D$6/SUM('損益分岐設定'!$D$5:$D$7)</x:f>
        <x:v>0.3</x:v>
      </x:c>
      <x:c r="AF144" s="1" t="n">
        <x:f>'損益分岐設定'!$D$7/SUM('損益分岐設定'!$D$5:$D$7)</x:f>
        <x:v>0.2</x:v>
      </x:c>
      <x:c r="AG144" s="1" t="n">
        <x:f>AD144*'損益分岐設定'!$C$57+AE144*'損益分岐設定'!$C$60+AF144*'損益分岐設定'!$C$63</x:f>
        <x:v>412.2157297973632</x:v>
      </x:c>
      <x:c r="AH144" s="1" t="n">
        <x:f>AD144*'損益分岐設定'!$D$57+AE144*'損益分岐設定'!$D$60+AF144*'損益分岐設定'!$D$63</x:f>
        <x:v>111</x:v>
      </x:c>
      <x:c r="AI144" s="1" t="n">
        <x:f>AD144*'損益分岐設定'!$E$57+AE144*'損益分岐設定'!$E$60+AF144*'損益分岐設定'!$E$63</x:f>
        <x:v>111</x:v>
      </x:c>
      <x:c r="AJ144" s="1" t="n">
        <x:f>(AD144*'損益分岐設定'!$F$57+AE144*'損益分岐設定'!$F$60+AF144*'損益分岐設定'!$F$63*1)*'損益分岐設定'!$B$22</x:f>
        <x:v>444</x:v>
      </x:c>
      <x:c r="AK144" s="1" t="n">
        <x:f>AD144*'損益分岐設定'!$G$57+AE144*'損益分岐設定'!$G$60+AF144*'損益分岐設定'!$G$63</x:f>
        <x:v>740</x:v>
      </x:c>
      <x:c r="AL144" s="1" t="n">
        <x:f>AD144*'損益分岐設定'!$H$57+AE144*'損益分岐設定'!$H$60+AF144*'損益分岐設定'!$H$63</x:f>
        <x:v>656.6666666666666</x:v>
      </x:c>
      <x:c r="AM144" s="1" t="n">
        <x:f>MAX(1,ROUNDUP('損益分岐設定'!C37*AJ144/('損益分岐設定'!$B$23*'損益分岐設定'!$B$24*3600*'損益分岐設定'!$B$25),0))</x:f>
        <x:v>1</x:v>
      </x:c>
      <x:c r="AN144" s="1" t="n">
        <x:f>MAX(2,ROUNDUP('損益分岐設定'!C38*AJ144/('損益分岐設定'!$B$23*'損益分岐設定'!$B$24*3600*'損益分岐設定'!$B$25),0))</x:f>
        <x:v>2</x:v>
      </x:c>
      <x:c r="AO144" s="1" t="n">
        <x:f>MAX(2,ROUNDUP('損益分岐設定'!C39*AJ144/('損益分岐設定'!$B$23*'損益分岐設定'!$B$24*3600*'損益分岐設定'!$B$25),0))</x:f>
        <x:v>2</x:v>
      </x:c>
      <x:c r="AP144" s="1" t="n">
        <x:f>MAX(2,ROUNDUP('損益分岐設定'!C40*AJ144/('損益分岐設定'!$B$23*'損益分岐設定'!$B$24*3600*'損益分岐設定'!$B$25),0))</x:f>
        <x:v>2</x:v>
      </x:c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 ht="23" customHeight="1">
      <x:c r="A145" s="1" t="str">
        <x:v>Run</x:v>
      </x:c>
      <x:c r="B145" s="1" t="str">
        <x:v>混在</x:v>
      </x:c>
      <x:c r="C145" s="1" t="str">
        <x:v>高位</x:v>
      </x:c>
      <x:c r="D145" s="21" t="n">
        <x:v>0</x:v>
      </x:c>
      <x:c r="E145" s="1" t="n">
        <x:v>0</x:v>
      </x:c>
      <x:c r="F145" s="7" t="n">
        <x:f>AD145*'損益分岐設定'!$B$5+AE145*'損益分岐設定'!$B$6+AF145*'損益分岐設定'!$B$7</x:f>
        <x:v>4600</x:v>
      </x:c>
      <x:c r="G145" s="7" t="n">
        <x:f>AG145+(AH145+AI145)*('損益分岐設定'!$B$29+0.5*'損益分岐設定'!$B$30)+AK145*'損益分岐設定'!$B$32+(AJ145+AK145/'損益分岐設定'!$B$28*'損益分岐設定'!$B$26)*('損益分岐設定'!$B$29+'損益分岐設定'!$B$31*'損益分岐設定'!$B$30)</x:f>
        <x:v>9216.78075206142</x:v>
      </x:c>
      <x:c r="H145" s="7" t="n">
        <x:f>AL145*E145</x:f>
        <x:v>0</x:v>
      </x:c>
      <x:c r="I145" s="7" t="n">
        <x:f>F145*(1-D145-'損益分岐設定'!$B$10)-G145-H145</x:f>
        <x:v>-4782.380752061421</x:v>
      </x:c>
      <x:c r="J145" s="1" t="str">
        <x:f>IF(MIN(V145:Y145)&gt;1000,"範囲内なし",MIN(V145:Y145))</x:f>
        <x:v>範囲内なし</x:v>
      </x:c>
      <x:c r="K145" s="1" t="str">
        <x:f>IF(MAX(Z145:AC145)&gt;=1000,"範囲内なし",MAX(1,MAX(Z145:AC145)+1))</x:f>
        <x:v>範囲内なし</x:v>
      </x:c>
      <x:c r="L145" s="7" t="n">
        <x:f>10*I145-R145</x:f>
        <x:v>-69834.74214692201</x:v>
      </x:c>
      <x:c r="M145" s="7" t="n">
        <x:f>30*I145-S145</x:f>
        <x:v>-169982.35718815043</x:v>
      </x:c>
      <x:c r="N145" s="7" t="n">
        <x:f>50*I145-S145</x:f>
        <x:v>-265629.9722293788</x:v>
      </x:c>
      <x:c r="O145" s="7" t="n">
        <x:f>100*I145-S145</x:f>
        <x:v>-504749.0098324499</x:v>
      </x:c>
      <x:c r="P145" s="7" t="n">
        <x:f>300*I145-T145</x:f>
        <x:v>-1483225.160244734</x:v>
      </x:c>
      <x:c r="Q145" s="7" t="n">
        <x:f>1000*I145-U145</x:f>
        <x:v>-4860891.686687728</x:v>
      </x:c>
      <x:c r="R14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145*'損益分岐設定'!$B$12*'損益分岐設定'!$B$11</x:f>
        <x:v>22010.934626307797</x:v>
      </x:c>
      <x:c r="S14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145*'損益分岐設定'!$B$12*'損益分岐設定'!$B$11</x:f>
        <x:v>26510.934626307797</x:v>
      </x:c>
      <x:c r="T14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145*'損益分岐設定'!$B$12*'損益分岐設定'!$B$11</x:f>
        <x:v>48510.9346263078</x:v>
      </x:c>
      <x:c r="U14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145*'損益分岐設定'!$B$12*'損益分岐設定'!$B$11</x:f>
        <x:v>78510.9346263078</x:v>
      </x:c>
      <x:c r="V145" s="1" t="n">
        <x:f>IF(I145&lt;=0,1001,IF(MAX('損益分岐設定'!B37,ROUNDUP(R145/I145,0))&lt;='損益分岐設定'!C37,MAX('損益分岐設定'!B37,ROUNDUP(R145/I145,0)),1001))</x:f>
        <x:v>1001</x:v>
      </x:c>
      <x:c r="W145" s="1" t="n">
        <x:f>IF(I145&lt;=0,1001,IF(MAX('損益分岐設定'!B38,ROUNDUP(S145/I145,0))&lt;='損益分岐設定'!C38,MAX('損益分岐設定'!B38,ROUNDUP(S145/I145,0)),1001))</x:f>
        <x:v>1001</x:v>
      </x:c>
      <x:c r="X145" s="1" t="n">
        <x:f>IF(I145&lt;=0,1001,IF(MAX('損益分岐設定'!B39,ROUNDUP(T145/I145,0))&lt;='損益分岐設定'!C39,MAX('損益分岐設定'!B39,ROUNDUP(T145/I145,0)),1001))</x:f>
        <x:v>1001</x:v>
      </x:c>
      <x:c r="Y145" s="1" t="n">
        <x:f>IF(I145&lt;=0,1001,IF(MAX('損益分岐設定'!B40,ROUNDUP(U145/I145,0))&lt;='損益分岐設定'!C40,MAX('損益分岐設定'!B40,ROUNDUP(U145/I145,0)),1001))</x:f>
        <x:v>1001</x:v>
      </x:c>
      <x:c r="Z145" s="1" t="n">
        <x:f>IF(I145&lt;=0,'損益分岐設定'!C37,IF('損益分岐設定'!C37*I145-R145&lt;0,'損益分岐設定'!C37,IF('損益分岐設定'!B37*I145-R145&gt;=0,0,ROUNDUP(R145/I145,0)-1)))</x:f>
        <x:v>10</x:v>
      </x:c>
      <x:c r="AA145" s="1" t="n">
        <x:f>IF(I145&lt;=0,'損益分岐設定'!C38,IF('損益分岐設定'!C38*I145-S145&lt;0,'損益分岐設定'!C38,IF('損益分岐設定'!B38*I145-S145&gt;=0,0,ROUNDUP(S145/I145,0)-1)))</x:f>
        <x:v>100</x:v>
      </x:c>
      <x:c r="AB145" s="1" t="n">
        <x:f>IF(I145&lt;=0,'損益分岐設定'!C39,IF('損益分岐設定'!C39*I145-T145&lt;0,'損益分岐設定'!C39,IF('損益分岐設定'!B39*I145-T145&gt;=0,0,ROUNDUP(T145/I145,0)-1)))</x:f>
        <x:v>500</x:v>
      </x:c>
      <x:c r="AC145" s="1" t="n">
        <x:f>IF(I145&lt;=0,'損益分岐設定'!C40,IF('損益分岐設定'!C40*I145-U145&lt;0,'損益分岐設定'!C40,IF('損益分岐設定'!B40*I145-U145&gt;=0,0,ROUNDUP(U145/I145,0)-1)))</x:f>
        <x:v>1000</x:v>
      </x:c>
      <x:c r="AD145" s="1" t="n">
        <x:f>'損益分岐設定'!$D$5/SUM('損益分岐設定'!$D$5:$D$7)</x:f>
        <x:v>0.5</x:v>
      </x:c>
      <x:c r="AE145" s="1" t="n">
        <x:f>'損益分岐設定'!$D$6/SUM('損益分岐設定'!$D$5:$D$7)</x:f>
        <x:v>0.3</x:v>
      </x:c>
      <x:c r="AF145" s="1" t="n">
        <x:f>'損益分岐設定'!$D$7/SUM('損益分岐設定'!$D$5:$D$7)</x:f>
        <x:v>0.2</x:v>
      </x:c>
      <x:c r="AG145" s="1" t="n">
        <x:f>AD145*'損益分岐設定'!$C$58+AE145*'損益分岐設定'!$C$61+AF145*'損益分岐設定'!$C$64</x:f>
        <x:v>9174.852856689453</x:v>
      </x:c>
      <x:c r="AH145" s="1" t="n">
        <x:f>AD145*'損益分岐設定'!$D$58+AE145*'損益分岐設定'!$D$61+AF145*'損益分岐設定'!$D$64</x:f>
        <x:v>444</x:v>
      </x:c>
      <x:c r="AI145" s="1" t="n">
        <x:f>AD145*'損益分岐設定'!$E$58+AE145*'損益分岐設定'!$E$61+AF145*'損益分岐設定'!$E$64</x:f>
        <x:v>592</x:v>
      </x:c>
      <x:c r="AJ145" s="1" t="n">
        <x:f>(AD145*'損益分岐設定'!$F$58+AE145*'損益分岐設定'!$F$61+AF145*'損益分岐設定'!$F$64*1)*'損益分岐設定'!$B$22</x:f>
        <x:v>6660</x:v>
      </x:c>
      <x:c r="AK145" s="1" t="n">
        <x:f>AD145*'損益分岐設定'!$G$58+AE145*'損益分岐設定'!$G$61+AF145*'損益分岐設定'!$G$64</x:f>
        <x:v>4440</x:v>
      </x:c>
      <x:c r="AL145" s="1" t="n">
        <x:f>AD145*'損益分岐設定'!$H$58+AE145*'損益分岐設定'!$H$61+AF145*'損益分岐設定'!$H$64</x:f>
        <x:v>1456.6666666666665</x:v>
      </x:c>
      <x:c r="AM145" s="1" t="n">
        <x:f>MAX(1,ROUNDUP('損益分岐設定'!C37*AJ145/('損益分岐設定'!$B$23*'損益分岐設定'!$B$24*3600*'損益分岐設定'!$B$25),0))</x:f>
        <x:v>1</x:v>
      </x:c>
      <x:c r="AN145" s="1" t="n">
        <x:f>MAX(2,ROUNDUP('損益分岐設定'!C38*AJ145/('損益分岐設定'!$B$23*'損益分岐設定'!$B$24*3600*'損益分岐設定'!$B$25),0))</x:f>
        <x:v>2</x:v>
      </x:c>
      <x:c r="AO145" s="1" t="n">
        <x:f>MAX(2,ROUNDUP('損益分岐設定'!C39*AJ145/('損益分岐設定'!$B$23*'損益分岐設定'!$B$24*3600*'損益分岐設定'!$B$25),0))</x:f>
        <x:v>7</x:v>
      </x:c>
      <x:c r="AP145" s="1" t="n">
        <x:f>MAX(2,ROUNDUP('損益分岐設定'!C40*AJ145/('損益分岐設定'!$B$23*'損益分岐設定'!$B$24*3600*'損益分岐設定'!$B$25),0))</x:f>
        <x:v>14</x:v>
      </x:c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 ht="23" customHeight="1">
      <x:c r="A146" s="1" t="str">
        <x:v>Run</x:v>
      </x:c>
      <x:c r="B146" s="1" t="str">
        <x:v>混在</x:v>
      </x:c>
      <x:c r="C146" s="1" t="str">
        <x:v>高位</x:v>
      </x:c>
      <x:c r="D146" s="21" t="n">
        <x:v>0</x:v>
      </x:c>
      <x:c r="E146" s="1" t="n">
        <x:v>1</x:v>
      </x:c>
      <x:c r="F146" s="7" t="n">
        <x:f>AD146*'損益分岐設定'!$B$5+AE146*'損益分岐設定'!$B$6+AF146*'損益分岐設定'!$B$7</x:f>
        <x:v>4600</x:v>
      </x:c>
      <x:c r="G146" s="7" t="n">
        <x:f>AG146+(AH146+AI146)*('損益分岐設定'!$B$29+0.5*'損益分岐設定'!$B$30)+AK146*'損益分岐設定'!$B$32+(AJ146+AK146/'損益分岐設定'!$B$28*'損益分岐設定'!$B$26)*('損益分岐設定'!$B$29+'損益分岐設定'!$B$31*'損益分岐設定'!$B$30)</x:f>
        <x:v>9216.78075206142</x:v>
      </x:c>
      <x:c r="H146" s="7" t="n">
        <x:f>AL146*E146</x:f>
        <x:v>1456.6666666666665</x:v>
      </x:c>
      <x:c r="I146" s="7" t="n">
        <x:f>F146*(1-D146-'損益分岐設定'!$B$10)-G146-H146</x:f>
        <x:v>-6239.047418728087</x:v>
      </x:c>
      <x:c r="J146" s="1" t="str">
        <x:f>IF(MIN(V146:Y146)&gt;1000,"範囲内なし",MIN(V146:Y146))</x:f>
        <x:v>範囲内なし</x:v>
      </x:c>
      <x:c r="K146" s="1" t="str">
        <x:f>IF(MAX(Z146:AC146)&gt;=1000,"範囲内なし",MAX(1,MAX(Z146:AC146)+1))</x:f>
        <x:v>範囲内なし</x:v>
      </x:c>
      <x:c r="L146" s="7" t="n">
        <x:f>10*I146-R146</x:f>
        <x:v>-92401.40881358867</x:v>
      </x:c>
      <x:c r="M146" s="7" t="n">
        <x:f>30*I146-S146</x:f>
        <x:v>-221682.3571881504</x:v>
      </x:c>
      <x:c r="N146" s="7" t="n">
        <x:f>50*I146-S146</x:f>
        <x:v>-346463.30556271214</x:v>
      </x:c>
      <x:c r="O146" s="7" t="n">
        <x:f>100*I146-S146</x:f>
        <x:v>-658415.6764991165</x:v>
      </x:c>
      <x:c r="P146" s="7" t="n">
        <x:f>300*I146-T146</x:f>
        <x:v>-1928225.1602447338</x:v>
      </x:c>
      <x:c r="Q146" s="7" t="n">
        <x:f>1000*I146-U146</x:f>
        <x:v>-6325558.353354394</x:v>
      </x:c>
      <x:c r="R14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146*'損益分岐設定'!$B$12*'損益分岐設定'!$B$11</x:f>
        <x:v>30010.934626307797</x:v>
      </x:c>
      <x:c r="S14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146*'損益分岐設定'!$B$12*'損益分岐設定'!$B$11</x:f>
        <x:v>34510.9346263078</x:v>
      </x:c>
      <x:c r="T14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146*'損益分岐設定'!$B$12*'損益分岐設定'!$B$11</x:f>
        <x:v>56510.9346263078</x:v>
      </x:c>
      <x:c r="U14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146*'損益分岐設定'!$B$12*'損益分岐設定'!$B$11</x:f>
        <x:v>86510.9346263078</x:v>
      </x:c>
      <x:c r="V146" s="1" t="n">
        <x:f>IF(I146&lt;=0,1001,IF(MAX('損益分岐設定'!B37,ROUNDUP(R146/I146,0))&lt;='損益分岐設定'!C37,MAX('損益分岐設定'!B37,ROUNDUP(R146/I146,0)),1001))</x:f>
        <x:v>1001</x:v>
      </x:c>
      <x:c r="W146" s="1" t="n">
        <x:f>IF(I146&lt;=0,1001,IF(MAX('損益分岐設定'!B38,ROUNDUP(S146/I146,0))&lt;='損益分岐設定'!C38,MAX('損益分岐設定'!B38,ROUNDUP(S146/I146,0)),1001))</x:f>
        <x:v>1001</x:v>
      </x:c>
      <x:c r="X146" s="1" t="n">
        <x:f>IF(I146&lt;=0,1001,IF(MAX('損益分岐設定'!B39,ROUNDUP(T146/I146,0))&lt;='損益分岐設定'!C39,MAX('損益分岐設定'!B39,ROUNDUP(T146/I146,0)),1001))</x:f>
        <x:v>1001</x:v>
      </x:c>
      <x:c r="Y146" s="1" t="n">
        <x:f>IF(I146&lt;=0,1001,IF(MAX('損益分岐設定'!B40,ROUNDUP(U146/I146,0))&lt;='損益分岐設定'!C40,MAX('損益分岐設定'!B40,ROUNDUP(U146/I146,0)),1001))</x:f>
        <x:v>1001</x:v>
      </x:c>
      <x:c r="Z146" s="1" t="n">
        <x:f>IF(I146&lt;=0,'損益分岐設定'!C37,IF('損益分岐設定'!C37*I146-R146&lt;0,'損益分岐設定'!C37,IF('損益分岐設定'!B37*I146-R146&gt;=0,0,ROUNDUP(R146/I146,0)-1)))</x:f>
        <x:v>10</x:v>
      </x:c>
      <x:c r="AA146" s="1" t="n">
        <x:f>IF(I146&lt;=0,'損益分岐設定'!C38,IF('損益分岐設定'!C38*I146-S146&lt;0,'損益分岐設定'!C38,IF('損益分岐設定'!B38*I146-S146&gt;=0,0,ROUNDUP(S146/I146,0)-1)))</x:f>
        <x:v>100</x:v>
      </x:c>
      <x:c r="AB146" s="1" t="n">
        <x:f>IF(I146&lt;=0,'損益分岐設定'!C39,IF('損益分岐設定'!C39*I146-T146&lt;0,'損益分岐設定'!C39,IF('損益分岐設定'!B39*I146-T146&gt;=0,0,ROUNDUP(T146/I146,0)-1)))</x:f>
        <x:v>500</x:v>
      </x:c>
      <x:c r="AC146" s="1" t="n">
        <x:f>IF(I146&lt;=0,'損益分岐設定'!C40,IF('損益分岐設定'!C40*I146-U146&lt;0,'損益分岐設定'!C40,IF('損益分岐設定'!B40*I146-U146&gt;=0,0,ROUNDUP(U146/I146,0)-1)))</x:f>
        <x:v>1000</x:v>
      </x:c>
      <x:c r="AD146" s="1" t="n">
        <x:f>'損益分岐設定'!$D$5/SUM('損益分岐設定'!$D$5:$D$7)</x:f>
        <x:v>0.5</x:v>
      </x:c>
      <x:c r="AE146" s="1" t="n">
        <x:f>'損益分岐設定'!$D$6/SUM('損益分岐設定'!$D$5:$D$7)</x:f>
        <x:v>0.3</x:v>
      </x:c>
      <x:c r="AF146" s="1" t="n">
        <x:f>'損益分岐設定'!$D$7/SUM('損益分岐設定'!$D$5:$D$7)</x:f>
        <x:v>0.2</x:v>
      </x:c>
      <x:c r="AG146" s="1" t="n">
        <x:f>AD146*'損益分岐設定'!$C$58+AE146*'損益分岐設定'!$C$61+AF146*'損益分岐設定'!$C$64</x:f>
        <x:v>9174.852856689453</x:v>
      </x:c>
      <x:c r="AH146" s="1" t="n">
        <x:f>AD146*'損益分岐設定'!$D$58+AE146*'損益分岐設定'!$D$61+AF146*'損益分岐設定'!$D$64</x:f>
        <x:v>444</x:v>
      </x:c>
      <x:c r="AI146" s="1" t="n">
        <x:f>AD146*'損益分岐設定'!$E$58+AE146*'損益分岐設定'!$E$61+AF146*'損益分岐設定'!$E$64</x:f>
        <x:v>592</x:v>
      </x:c>
      <x:c r="AJ146" s="1" t="n">
        <x:f>(AD146*'損益分岐設定'!$F$58+AE146*'損益分岐設定'!$F$61+AF146*'損益分岐設定'!$F$64*1)*'損益分岐設定'!$B$22</x:f>
        <x:v>6660</x:v>
      </x:c>
      <x:c r="AK146" s="1" t="n">
        <x:f>AD146*'損益分岐設定'!$G$58+AE146*'損益分岐設定'!$G$61+AF146*'損益分岐設定'!$G$64</x:f>
        <x:v>4440</x:v>
      </x:c>
      <x:c r="AL146" s="1" t="n">
        <x:f>AD146*'損益分岐設定'!$H$58+AE146*'損益分岐設定'!$H$61+AF146*'損益分岐設定'!$H$64</x:f>
        <x:v>1456.6666666666665</x:v>
      </x:c>
      <x:c r="AM146" s="1" t="n">
        <x:f>MAX(1,ROUNDUP('損益分岐設定'!C37*AJ146/('損益分岐設定'!$B$23*'損益分岐設定'!$B$24*3600*'損益分岐設定'!$B$25),0))</x:f>
        <x:v>1</x:v>
      </x:c>
      <x:c r="AN146" s="1" t="n">
        <x:f>MAX(2,ROUNDUP('損益分岐設定'!C38*AJ146/('損益分岐設定'!$B$23*'損益分岐設定'!$B$24*3600*'損益分岐設定'!$B$25),0))</x:f>
        <x:v>2</x:v>
      </x:c>
      <x:c r="AO146" s="1" t="n">
        <x:f>MAX(2,ROUNDUP('損益分岐設定'!C39*AJ146/('損益分岐設定'!$B$23*'損益分岐設定'!$B$24*3600*'損益分岐設定'!$B$25),0))</x:f>
        <x:v>7</x:v>
      </x:c>
      <x:c r="AP146" s="1" t="n">
        <x:f>MAX(2,ROUNDUP('損益分岐設定'!C40*AJ146/('損益分岐設定'!$B$23*'損益分岐設定'!$B$24*3600*'損益分岐設定'!$B$25),0))</x:f>
        <x:v>14</x:v>
      </x:c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 ht="23" customHeight="1">
      <x:c r="A147" s="1" t="str">
        <x:v>Run</x:v>
      </x:c>
      <x:c r="B147" s="1" t="str">
        <x:v>混在</x:v>
      </x:c>
      <x:c r="C147" s="1" t="str">
        <x:v>高位</x:v>
      </x:c>
      <x:c r="D147" s="21" t="n">
        <x:v>0.2</x:v>
      </x:c>
      <x:c r="E147" s="1" t="n">
        <x:v>0</x:v>
      </x:c>
      <x:c r="F147" s="7" t="n">
        <x:f>AD147*'損益分岐設定'!$B$5+AE147*'損益分岐設定'!$B$6+AF147*'損益分岐設定'!$B$7</x:f>
        <x:v>4600</x:v>
      </x:c>
      <x:c r="G147" s="7" t="n">
        <x:f>AG147+(AH147+AI147)*('損益分岐設定'!$B$29+0.5*'損益分岐設定'!$B$30)+AK147*'損益分岐設定'!$B$32+(AJ147+AK147/'損益分岐設定'!$B$28*'損益分岐設定'!$B$26)*('損益分岐設定'!$B$29+'損益分岐設定'!$B$31*'損益分岐設定'!$B$30)</x:f>
        <x:v>9216.78075206142</x:v>
      </x:c>
      <x:c r="H147" s="7" t="n">
        <x:f>AL147*E147</x:f>
        <x:v>0</x:v>
      </x:c>
      <x:c r="I147" s="7" t="n">
        <x:f>F147*(1-D147-'損益分岐設定'!$B$10)-G147-H147</x:f>
        <x:v>-5702.380752061421</x:v>
      </x:c>
      <x:c r="J147" s="1" t="str">
        <x:f>IF(MIN(V147:Y147)&gt;1000,"範囲内なし",MIN(V147:Y147))</x:f>
        <x:v>範囲内なし</x:v>
      </x:c>
      <x:c r="K147" s="1" t="str">
        <x:f>IF(MAX(Z147:AC147)&gt;=1000,"範囲内なし",MAX(1,MAX(Z147:AC147)+1))</x:f>
        <x:v>範囲内なし</x:v>
      </x:c>
      <x:c r="L147" s="7" t="n">
        <x:f>10*I147-R147</x:f>
        <x:v>-79034.74214692201</x:v>
      </x:c>
      <x:c r="M147" s="7" t="n">
        <x:f>30*I147-S147</x:f>
        <x:v>-197582.35718815043</x:v>
      </x:c>
      <x:c r="N147" s="7" t="n">
        <x:f>50*I147-S147</x:f>
        <x:v>-311629.9722293789</x:v>
      </x:c>
      <x:c r="O147" s="7" t="n">
        <x:f>100*I147-S147</x:f>
        <x:v>-596749.00983245</x:v>
      </x:c>
      <x:c r="P147" s="7" t="n">
        <x:f>300*I147-T147</x:f>
        <x:v>-1759225.160244734</x:v>
      </x:c>
      <x:c r="Q147" s="7" t="n">
        <x:f>1000*I147-U147</x:f>
        <x:v>-5780891.686687728</x:v>
      </x:c>
      <x:c r="R14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147*'損益分岐設定'!$B$12*'損益分岐設定'!$B$11</x:f>
        <x:v>22010.934626307797</x:v>
      </x:c>
      <x:c r="S14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147*'損益分岐設定'!$B$12*'損益分岐設定'!$B$11</x:f>
        <x:v>26510.934626307797</x:v>
      </x:c>
      <x:c r="T14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147*'損益分岐設定'!$B$12*'損益分岐設定'!$B$11</x:f>
        <x:v>48510.9346263078</x:v>
      </x:c>
      <x:c r="U14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147*'損益分岐設定'!$B$12*'損益分岐設定'!$B$11</x:f>
        <x:v>78510.9346263078</x:v>
      </x:c>
      <x:c r="V147" s="1" t="n">
        <x:f>IF(I147&lt;=0,1001,IF(MAX('損益分岐設定'!B37,ROUNDUP(R147/I147,0))&lt;='損益分岐設定'!C37,MAX('損益分岐設定'!B37,ROUNDUP(R147/I147,0)),1001))</x:f>
        <x:v>1001</x:v>
      </x:c>
      <x:c r="W147" s="1" t="n">
        <x:f>IF(I147&lt;=0,1001,IF(MAX('損益分岐設定'!B38,ROUNDUP(S147/I147,0))&lt;='損益分岐設定'!C38,MAX('損益分岐設定'!B38,ROUNDUP(S147/I147,0)),1001))</x:f>
        <x:v>1001</x:v>
      </x:c>
      <x:c r="X147" s="1" t="n">
        <x:f>IF(I147&lt;=0,1001,IF(MAX('損益分岐設定'!B39,ROUNDUP(T147/I147,0))&lt;='損益分岐設定'!C39,MAX('損益分岐設定'!B39,ROUNDUP(T147/I147,0)),1001))</x:f>
        <x:v>1001</x:v>
      </x:c>
      <x:c r="Y147" s="1" t="n">
        <x:f>IF(I147&lt;=0,1001,IF(MAX('損益分岐設定'!B40,ROUNDUP(U147/I147,0))&lt;='損益分岐設定'!C40,MAX('損益分岐設定'!B40,ROUNDUP(U147/I147,0)),1001))</x:f>
        <x:v>1001</x:v>
      </x:c>
      <x:c r="Z147" s="1" t="n">
        <x:f>IF(I147&lt;=0,'損益分岐設定'!C37,IF('損益分岐設定'!C37*I147-R147&lt;0,'損益分岐設定'!C37,IF('損益分岐設定'!B37*I147-R147&gt;=0,0,ROUNDUP(R147/I147,0)-1)))</x:f>
        <x:v>10</x:v>
      </x:c>
      <x:c r="AA147" s="1" t="n">
        <x:f>IF(I147&lt;=0,'損益分岐設定'!C38,IF('損益分岐設定'!C38*I147-S147&lt;0,'損益分岐設定'!C38,IF('損益分岐設定'!B38*I147-S147&gt;=0,0,ROUNDUP(S147/I147,0)-1)))</x:f>
        <x:v>100</x:v>
      </x:c>
      <x:c r="AB147" s="1" t="n">
        <x:f>IF(I147&lt;=0,'損益分岐設定'!C39,IF('損益分岐設定'!C39*I147-T147&lt;0,'損益分岐設定'!C39,IF('損益分岐設定'!B39*I147-T147&gt;=0,0,ROUNDUP(T147/I147,0)-1)))</x:f>
        <x:v>500</x:v>
      </x:c>
      <x:c r="AC147" s="1" t="n">
        <x:f>IF(I147&lt;=0,'損益分岐設定'!C40,IF('損益分岐設定'!C40*I147-U147&lt;0,'損益分岐設定'!C40,IF('損益分岐設定'!B40*I147-U147&gt;=0,0,ROUNDUP(U147/I147,0)-1)))</x:f>
        <x:v>1000</x:v>
      </x:c>
      <x:c r="AD147" s="1" t="n">
        <x:f>'損益分岐設定'!$D$5/SUM('損益分岐設定'!$D$5:$D$7)</x:f>
        <x:v>0.5</x:v>
      </x:c>
      <x:c r="AE147" s="1" t="n">
        <x:f>'損益分岐設定'!$D$6/SUM('損益分岐設定'!$D$5:$D$7)</x:f>
        <x:v>0.3</x:v>
      </x:c>
      <x:c r="AF147" s="1" t="n">
        <x:f>'損益分岐設定'!$D$7/SUM('損益分岐設定'!$D$5:$D$7)</x:f>
        <x:v>0.2</x:v>
      </x:c>
      <x:c r="AG147" s="1" t="n">
        <x:f>AD147*'損益分岐設定'!$C$58+AE147*'損益分岐設定'!$C$61+AF147*'損益分岐設定'!$C$64</x:f>
        <x:v>9174.852856689453</x:v>
      </x:c>
      <x:c r="AH147" s="1" t="n">
        <x:f>AD147*'損益分岐設定'!$D$58+AE147*'損益分岐設定'!$D$61+AF147*'損益分岐設定'!$D$64</x:f>
        <x:v>444</x:v>
      </x:c>
      <x:c r="AI147" s="1" t="n">
        <x:f>AD147*'損益分岐設定'!$E$58+AE147*'損益分岐設定'!$E$61+AF147*'損益分岐設定'!$E$64</x:f>
        <x:v>592</x:v>
      </x:c>
      <x:c r="AJ147" s="1" t="n">
        <x:f>(AD147*'損益分岐設定'!$F$58+AE147*'損益分岐設定'!$F$61+AF147*'損益分岐設定'!$F$64*1)*'損益分岐設定'!$B$22</x:f>
        <x:v>6660</x:v>
      </x:c>
      <x:c r="AK147" s="1" t="n">
        <x:f>AD147*'損益分岐設定'!$G$58+AE147*'損益分岐設定'!$G$61+AF147*'損益分岐設定'!$G$64</x:f>
        <x:v>4440</x:v>
      </x:c>
      <x:c r="AL147" s="1" t="n">
        <x:f>AD147*'損益分岐設定'!$H$58+AE147*'損益分岐設定'!$H$61+AF147*'損益分岐設定'!$H$64</x:f>
        <x:v>1456.6666666666665</x:v>
      </x:c>
      <x:c r="AM147" s="1" t="n">
        <x:f>MAX(1,ROUNDUP('損益分岐設定'!C37*AJ147/('損益分岐設定'!$B$23*'損益分岐設定'!$B$24*3600*'損益分岐設定'!$B$25),0))</x:f>
        <x:v>1</x:v>
      </x:c>
      <x:c r="AN147" s="1" t="n">
        <x:f>MAX(2,ROUNDUP('損益分岐設定'!C38*AJ147/('損益分岐設定'!$B$23*'損益分岐設定'!$B$24*3600*'損益分岐設定'!$B$25),0))</x:f>
        <x:v>2</x:v>
      </x:c>
      <x:c r="AO147" s="1" t="n">
        <x:f>MAX(2,ROUNDUP('損益分岐設定'!C39*AJ147/('損益分岐設定'!$B$23*'損益分岐設定'!$B$24*3600*'損益分岐設定'!$B$25),0))</x:f>
        <x:v>7</x:v>
      </x:c>
      <x:c r="AP147" s="1" t="n">
        <x:f>MAX(2,ROUNDUP('損益分岐設定'!C40*AJ147/('損益分岐設定'!$B$23*'損益分岐設定'!$B$24*3600*'損益分岐設定'!$B$25),0))</x:f>
        <x:v>14</x:v>
      </x:c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 ht="23" customHeight="1">
      <x:c r="A148" s="1" t="str">
        <x:v>Run</x:v>
      </x:c>
      <x:c r="B148" s="1" t="str">
        <x:v>混在</x:v>
      </x:c>
      <x:c r="C148" s="1" t="str">
        <x:v>高位</x:v>
      </x:c>
      <x:c r="D148" s="21" t="n">
        <x:v>0.2</x:v>
      </x:c>
      <x:c r="E148" s="1" t="n">
        <x:v>1</x:v>
      </x:c>
      <x:c r="F148" s="7" t="n">
        <x:f>AD148*'損益分岐設定'!$B$5+AE148*'損益分岐設定'!$B$6+AF148*'損益分岐設定'!$B$7</x:f>
        <x:v>4600</x:v>
      </x:c>
      <x:c r="G148" s="7" t="n">
        <x:f>AG148+(AH148+AI148)*('損益分岐設定'!$B$29+0.5*'損益分岐設定'!$B$30)+AK148*'損益分岐設定'!$B$32+(AJ148+AK148/'損益分岐設定'!$B$28*'損益分岐設定'!$B$26)*('損益分岐設定'!$B$29+'損益分岐設定'!$B$31*'損益分岐設定'!$B$30)</x:f>
        <x:v>9216.78075206142</x:v>
      </x:c>
      <x:c r="H148" s="7" t="n">
        <x:f>AL148*E148</x:f>
        <x:v>1456.6666666666665</x:v>
      </x:c>
      <x:c r="I148" s="7" t="n">
        <x:f>F148*(1-D148-'損益分岐設定'!$B$10)-G148-H148</x:f>
        <x:v>-7159.047418728087</x:v>
      </x:c>
      <x:c r="J148" s="1" t="str">
        <x:f>IF(MIN(V148:Y148)&gt;1000,"範囲内なし",MIN(V148:Y148))</x:f>
        <x:v>範囲内なし</x:v>
      </x:c>
      <x:c r="K148" s="1" t="str">
        <x:f>IF(MAX(Z148:AC148)&gt;=1000,"範囲内なし",MAX(1,MAX(Z148:AC148)+1))</x:f>
        <x:v>範囲内なし</x:v>
      </x:c>
      <x:c r="L148" s="7" t="n">
        <x:f>10*I148-R148</x:f>
        <x:v>-101601.40881358867</x:v>
      </x:c>
      <x:c r="M148" s="7" t="n">
        <x:f>30*I148-S148</x:f>
        <x:v>-249282.3571881504</x:v>
      </x:c>
      <x:c r="N148" s="7" t="n">
        <x:f>50*I148-S148</x:f>
        <x:v>-392463.30556271214</x:v>
      </x:c>
      <x:c r="O148" s="7" t="n">
        <x:f>100*I148-S148</x:f>
        <x:v>-750415.6764991165</x:v>
      </x:c>
      <x:c r="P148" s="7" t="n">
        <x:f>300*I148-T148</x:f>
        <x:v>-2204225.160244734</x:v>
      </x:c>
      <x:c r="Q148" s="7" t="n">
        <x:f>1000*I148-U148</x:f>
        <x:v>-7245558.353354394</x:v>
      </x:c>
      <x:c r="R14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148*'損益分岐設定'!$B$12*'損益分岐設定'!$B$11</x:f>
        <x:v>30010.934626307797</x:v>
      </x:c>
      <x:c r="S14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148*'損益分岐設定'!$B$12*'損益分岐設定'!$B$11</x:f>
        <x:v>34510.9346263078</x:v>
      </x:c>
      <x:c r="T14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148*'損益分岐設定'!$B$12*'損益分岐設定'!$B$11</x:f>
        <x:v>56510.9346263078</x:v>
      </x:c>
      <x:c r="U14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148*'損益分岐設定'!$B$12*'損益分岐設定'!$B$11</x:f>
        <x:v>86510.9346263078</x:v>
      </x:c>
      <x:c r="V148" s="1" t="n">
        <x:f>IF(I148&lt;=0,1001,IF(MAX('損益分岐設定'!B37,ROUNDUP(R148/I148,0))&lt;='損益分岐設定'!C37,MAX('損益分岐設定'!B37,ROUNDUP(R148/I148,0)),1001))</x:f>
        <x:v>1001</x:v>
      </x:c>
      <x:c r="W148" s="1" t="n">
        <x:f>IF(I148&lt;=0,1001,IF(MAX('損益分岐設定'!B38,ROUNDUP(S148/I148,0))&lt;='損益分岐設定'!C38,MAX('損益分岐設定'!B38,ROUNDUP(S148/I148,0)),1001))</x:f>
        <x:v>1001</x:v>
      </x:c>
      <x:c r="X148" s="1" t="n">
        <x:f>IF(I148&lt;=0,1001,IF(MAX('損益分岐設定'!B39,ROUNDUP(T148/I148,0))&lt;='損益分岐設定'!C39,MAX('損益分岐設定'!B39,ROUNDUP(T148/I148,0)),1001))</x:f>
        <x:v>1001</x:v>
      </x:c>
      <x:c r="Y148" s="1" t="n">
        <x:f>IF(I148&lt;=0,1001,IF(MAX('損益分岐設定'!B40,ROUNDUP(U148/I148,0))&lt;='損益分岐設定'!C40,MAX('損益分岐設定'!B40,ROUNDUP(U148/I148,0)),1001))</x:f>
        <x:v>1001</x:v>
      </x:c>
      <x:c r="Z148" s="1" t="n">
        <x:f>IF(I148&lt;=0,'損益分岐設定'!C37,IF('損益分岐設定'!C37*I148-R148&lt;0,'損益分岐設定'!C37,IF('損益分岐設定'!B37*I148-R148&gt;=0,0,ROUNDUP(R148/I148,0)-1)))</x:f>
        <x:v>10</x:v>
      </x:c>
      <x:c r="AA148" s="1" t="n">
        <x:f>IF(I148&lt;=0,'損益分岐設定'!C38,IF('損益分岐設定'!C38*I148-S148&lt;0,'損益分岐設定'!C38,IF('損益分岐設定'!B38*I148-S148&gt;=0,0,ROUNDUP(S148/I148,0)-1)))</x:f>
        <x:v>100</x:v>
      </x:c>
      <x:c r="AB148" s="1" t="n">
        <x:f>IF(I148&lt;=0,'損益分岐設定'!C39,IF('損益分岐設定'!C39*I148-T148&lt;0,'損益分岐設定'!C39,IF('損益分岐設定'!B39*I148-T148&gt;=0,0,ROUNDUP(T148/I148,0)-1)))</x:f>
        <x:v>500</x:v>
      </x:c>
      <x:c r="AC148" s="1" t="n">
        <x:f>IF(I148&lt;=0,'損益分岐設定'!C40,IF('損益分岐設定'!C40*I148-U148&lt;0,'損益分岐設定'!C40,IF('損益分岐設定'!B40*I148-U148&gt;=0,0,ROUNDUP(U148/I148,0)-1)))</x:f>
        <x:v>1000</x:v>
      </x:c>
      <x:c r="AD148" s="1" t="n">
        <x:f>'損益分岐設定'!$D$5/SUM('損益分岐設定'!$D$5:$D$7)</x:f>
        <x:v>0.5</x:v>
      </x:c>
      <x:c r="AE148" s="1" t="n">
        <x:f>'損益分岐設定'!$D$6/SUM('損益分岐設定'!$D$5:$D$7)</x:f>
        <x:v>0.3</x:v>
      </x:c>
      <x:c r="AF148" s="1" t="n">
        <x:f>'損益分岐設定'!$D$7/SUM('損益分岐設定'!$D$5:$D$7)</x:f>
        <x:v>0.2</x:v>
      </x:c>
      <x:c r="AG148" s="1" t="n">
        <x:f>AD148*'損益分岐設定'!$C$58+AE148*'損益分岐設定'!$C$61+AF148*'損益分岐設定'!$C$64</x:f>
        <x:v>9174.852856689453</x:v>
      </x:c>
      <x:c r="AH148" s="1" t="n">
        <x:f>AD148*'損益分岐設定'!$D$58+AE148*'損益分岐設定'!$D$61+AF148*'損益分岐設定'!$D$64</x:f>
        <x:v>444</x:v>
      </x:c>
      <x:c r="AI148" s="1" t="n">
        <x:f>AD148*'損益分岐設定'!$E$58+AE148*'損益分岐設定'!$E$61+AF148*'損益分岐設定'!$E$64</x:f>
        <x:v>592</x:v>
      </x:c>
      <x:c r="AJ148" s="1" t="n">
        <x:f>(AD148*'損益分岐設定'!$F$58+AE148*'損益分岐設定'!$F$61+AF148*'損益分岐設定'!$F$64*1)*'損益分岐設定'!$B$22</x:f>
        <x:v>6660</x:v>
      </x:c>
      <x:c r="AK148" s="1" t="n">
        <x:f>AD148*'損益分岐設定'!$G$58+AE148*'損益分岐設定'!$G$61+AF148*'損益分岐設定'!$G$64</x:f>
        <x:v>4440</x:v>
      </x:c>
      <x:c r="AL148" s="1" t="n">
        <x:f>AD148*'損益分岐設定'!$H$58+AE148*'損益分岐設定'!$H$61+AF148*'損益分岐設定'!$H$64</x:f>
        <x:v>1456.6666666666665</x:v>
      </x:c>
      <x:c r="AM148" s="1" t="n">
        <x:f>MAX(1,ROUNDUP('損益分岐設定'!C37*AJ148/('損益分岐設定'!$B$23*'損益分岐設定'!$B$24*3600*'損益分岐設定'!$B$25),0))</x:f>
        <x:v>1</x:v>
      </x:c>
      <x:c r="AN148" s="1" t="n">
        <x:f>MAX(2,ROUNDUP('損益分岐設定'!C38*AJ148/('損益分岐設定'!$B$23*'損益分岐設定'!$B$24*3600*'損益分岐設定'!$B$25),0))</x:f>
        <x:v>2</x:v>
      </x:c>
      <x:c r="AO148" s="1" t="n">
        <x:f>MAX(2,ROUNDUP('損益分岐設定'!C39*AJ148/('損益分岐設定'!$B$23*'損益分岐設定'!$B$24*3600*'損益分岐設定'!$B$25),0))</x:f>
        <x:v>7</x:v>
      </x:c>
      <x:c r="AP148" s="1" t="n">
        <x:f>MAX(2,ROUNDUP('損益分岐設定'!C40*AJ148/('損益分岐設定'!$B$23*'損益分岐設定'!$B$24*3600*'損益分岐設定'!$B$25),0))</x:f>
        <x:v>14</x:v>
      </x:c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 ht="23" customHeight="1">
      <x:c r="A149" s="1" t="str">
        <x:v>Run</x:v>
      </x:c>
      <x:c r="B149" s="1" t="str">
        <x:v>混在</x:v>
      </x:c>
      <x:c r="C149" s="1" t="str">
        <x:v>高位</x:v>
      </x:c>
      <x:c r="D149" s="21" t="n">
        <x:v>0.3</x:v>
      </x:c>
      <x:c r="E149" s="1" t="n">
        <x:v>0</x:v>
      </x:c>
      <x:c r="F149" s="7" t="n">
        <x:f>AD149*'損益分岐設定'!$B$5+AE149*'損益分岐設定'!$B$6+AF149*'損益分岐設定'!$B$7</x:f>
        <x:v>4600</x:v>
      </x:c>
      <x:c r="G149" s="7" t="n">
        <x:f>AG149+(AH149+AI149)*('損益分岐設定'!$B$29+0.5*'損益分岐設定'!$B$30)+AK149*'損益分岐設定'!$B$32+(AJ149+AK149/'損益分岐設定'!$B$28*'損益分岐設定'!$B$26)*('損益分岐設定'!$B$29+'損益分岐設定'!$B$31*'損益分岐設定'!$B$30)</x:f>
        <x:v>9216.78075206142</x:v>
      </x:c>
      <x:c r="H149" s="7" t="n">
        <x:f>AL149*E149</x:f>
        <x:v>0</x:v>
      </x:c>
      <x:c r="I149" s="7" t="n">
        <x:f>F149*(1-D149-'損益分岐設定'!$B$10)-G149-H149</x:f>
        <x:v>-6162.380752061421</x:v>
      </x:c>
      <x:c r="J149" s="1" t="str">
        <x:f>IF(MIN(V149:Y149)&gt;1000,"範囲内なし",MIN(V149:Y149))</x:f>
        <x:v>範囲内なし</x:v>
      </x:c>
      <x:c r="K149" s="1" t="str">
        <x:f>IF(MAX(Z149:AC149)&gt;=1000,"範囲内なし",MAX(1,MAX(Z149:AC149)+1))</x:f>
        <x:v>範囲内なし</x:v>
      </x:c>
      <x:c r="L149" s="7" t="n">
        <x:f>10*I149-R149</x:f>
        <x:v>-83634.74214692201</x:v>
      </x:c>
      <x:c r="M149" s="7" t="n">
        <x:f>30*I149-S149</x:f>
        <x:v>-211382.35718815043</x:v>
      </x:c>
      <x:c r="N149" s="7" t="n">
        <x:f>50*I149-S149</x:f>
        <x:v>-334629.9722293789</x:v>
      </x:c>
      <x:c r="O149" s="7" t="n">
        <x:f>100*I149-S149</x:f>
        <x:v>-642749.00983245</x:v>
      </x:c>
      <x:c r="P149" s="7" t="n">
        <x:f>300*I149-T149</x:f>
        <x:v>-1897225.160244734</x:v>
      </x:c>
      <x:c r="Q149" s="7" t="n">
        <x:f>1000*I149-U149</x:f>
        <x:v>-6240891.686687728</x:v>
      </x:c>
      <x:c r="R14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149*'損益分岐設定'!$B$12*'損益分岐設定'!$B$11</x:f>
        <x:v>22010.934626307797</x:v>
      </x:c>
      <x:c r="S14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149*'損益分岐設定'!$B$12*'損益分岐設定'!$B$11</x:f>
        <x:v>26510.934626307797</x:v>
      </x:c>
      <x:c r="T14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149*'損益分岐設定'!$B$12*'損益分岐設定'!$B$11</x:f>
        <x:v>48510.9346263078</x:v>
      </x:c>
      <x:c r="U14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149*'損益分岐設定'!$B$12*'損益分岐設定'!$B$11</x:f>
        <x:v>78510.9346263078</x:v>
      </x:c>
      <x:c r="V149" s="1" t="n">
        <x:f>IF(I149&lt;=0,1001,IF(MAX('損益分岐設定'!B37,ROUNDUP(R149/I149,0))&lt;='損益分岐設定'!C37,MAX('損益分岐設定'!B37,ROUNDUP(R149/I149,0)),1001))</x:f>
        <x:v>1001</x:v>
      </x:c>
      <x:c r="W149" s="1" t="n">
        <x:f>IF(I149&lt;=0,1001,IF(MAX('損益分岐設定'!B38,ROUNDUP(S149/I149,0))&lt;='損益分岐設定'!C38,MAX('損益分岐設定'!B38,ROUNDUP(S149/I149,0)),1001))</x:f>
        <x:v>1001</x:v>
      </x:c>
      <x:c r="X149" s="1" t="n">
        <x:f>IF(I149&lt;=0,1001,IF(MAX('損益分岐設定'!B39,ROUNDUP(T149/I149,0))&lt;='損益分岐設定'!C39,MAX('損益分岐設定'!B39,ROUNDUP(T149/I149,0)),1001))</x:f>
        <x:v>1001</x:v>
      </x:c>
      <x:c r="Y149" s="1" t="n">
        <x:f>IF(I149&lt;=0,1001,IF(MAX('損益分岐設定'!B40,ROUNDUP(U149/I149,0))&lt;='損益分岐設定'!C40,MAX('損益分岐設定'!B40,ROUNDUP(U149/I149,0)),1001))</x:f>
        <x:v>1001</x:v>
      </x:c>
      <x:c r="Z149" s="1" t="n">
        <x:f>IF(I149&lt;=0,'損益分岐設定'!C37,IF('損益分岐設定'!C37*I149-R149&lt;0,'損益分岐設定'!C37,IF('損益分岐設定'!B37*I149-R149&gt;=0,0,ROUNDUP(R149/I149,0)-1)))</x:f>
        <x:v>10</x:v>
      </x:c>
      <x:c r="AA149" s="1" t="n">
        <x:f>IF(I149&lt;=0,'損益分岐設定'!C38,IF('損益分岐設定'!C38*I149-S149&lt;0,'損益分岐設定'!C38,IF('損益分岐設定'!B38*I149-S149&gt;=0,0,ROUNDUP(S149/I149,0)-1)))</x:f>
        <x:v>100</x:v>
      </x:c>
      <x:c r="AB149" s="1" t="n">
        <x:f>IF(I149&lt;=0,'損益分岐設定'!C39,IF('損益分岐設定'!C39*I149-T149&lt;0,'損益分岐設定'!C39,IF('損益分岐設定'!B39*I149-T149&gt;=0,0,ROUNDUP(T149/I149,0)-1)))</x:f>
        <x:v>500</x:v>
      </x:c>
      <x:c r="AC149" s="1" t="n">
        <x:f>IF(I149&lt;=0,'損益分岐設定'!C40,IF('損益分岐設定'!C40*I149-U149&lt;0,'損益分岐設定'!C40,IF('損益分岐設定'!B40*I149-U149&gt;=0,0,ROUNDUP(U149/I149,0)-1)))</x:f>
        <x:v>1000</x:v>
      </x:c>
      <x:c r="AD149" s="1" t="n">
        <x:f>'損益分岐設定'!$D$5/SUM('損益分岐設定'!$D$5:$D$7)</x:f>
        <x:v>0.5</x:v>
      </x:c>
      <x:c r="AE149" s="1" t="n">
        <x:f>'損益分岐設定'!$D$6/SUM('損益分岐設定'!$D$5:$D$7)</x:f>
        <x:v>0.3</x:v>
      </x:c>
      <x:c r="AF149" s="1" t="n">
        <x:f>'損益分岐設定'!$D$7/SUM('損益分岐設定'!$D$5:$D$7)</x:f>
        <x:v>0.2</x:v>
      </x:c>
      <x:c r="AG149" s="1" t="n">
        <x:f>AD149*'損益分岐設定'!$C$58+AE149*'損益分岐設定'!$C$61+AF149*'損益分岐設定'!$C$64</x:f>
        <x:v>9174.852856689453</x:v>
      </x:c>
      <x:c r="AH149" s="1" t="n">
        <x:f>AD149*'損益分岐設定'!$D$58+AE149*'損益分岐設定'!$D$61+AF149*'損益分岐設定'!$D$64</x:f>
        <x:v>444</x:v>
      </x:c>
      <x:c r="AI149" s="1" t="n">
        <x:f>AD149*'損益分岐設定'!$E$58+AE149*'損益分岐設定'!$E$61+AF149*'損益分岐設定'!$E$64</x:f>
        <x:v>592</x:v>
      </x:c>
      <x:c r="AJ149" s="1" t="n">
        <x:f>(AD149*'損益分岐設定'!$F$58+AE149*'損益分岐設定'!$F$61+AF149*'損益分岐設定'!$F$64*1)*'損益分岐設定'!$B$22</x:f>
        <x:v>6660</x:v>
      </x:c>
      <x:c r="AK149" s="1" t="n">
        <x:f>AD149*'損益分岐設定'!$G$58+AE149*'損益分岐設定'!$G$61+AF149*'損益分岐設定'!$G$64</x:f>
        <x:v>4440</x:v>
      </x:c>
      <x:c r="AL149" s="1" t="n">
        <x:f>AD149*'損益分岐設定'!$H$58+AE149*'損益分岐設定'!$H$61+AF149*'損益分岐設定'!$H$64</x:f>
        <x:v>1456.6666666666665</x:v>
      </x:c>
      <x:c r="AM149" s="1" t="n">
        <x:f>MAX(1,ROUNDUP('損益分岐設定'!C37*AJ149/('損益分岐設定'!$B$23*'損益分岐設定'!$B$24*3600*'損益分岐設定'!$B$25),0))</x:f>
        <x:v>1</x:v>
      </x:c>
      <x:c r="AN149" s="1" t="n">
        <x:f>MAX(2,ROUNDUP('損益分岐設定'!C38*AJ149/('損益分岐設定'!$B$23*'損益分岐設定'!$B$24*3600*'損益分岐設定'!$B$25),0))</x:f>
        <x:v>2</x:v>
      </x:c>
      <x:c r="AO149" s="1" t="n">
        <x:f>MAX(2,ROUNDUP('損益分岐設定'!C39*AJ149/('損益分岐設定'!$B$23*'損益分岐設定'!$B$24*3600*'損益分岐設定'!$B$25),0))</x:f>
        <x:v>7</x:v>
      </x:c>
      <x:c r="AP149" s="1" t="n">
        <x:f>MAX(2,ROUNDUP('損益分岐設定'!C40*AJ149/('損益分岐設定'!$B$23*'損益分岐設定'!$B$24*3600*'損益分岐設定'!$B$25),0))</x:f>
        <x:v>14</x:v>
      </x:c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 ht="23" customHeight="1">
      <x:c r="A150" s="1" t="str">
        <x:v>Run</x:v>
      </x:c>
      <x:c r="B150" s="1" t="str">
        <x:v>混在</x:v>
      </x:c>
      <x:c r="C150" s="1" t="str">
        <x:v>高位</x:v>
      </x:c>
      <x:c r="D150" s="21" t="n">
        <x:v>0.3</x:v>
      </x:c>
      <x:c r="E150" s="1" t="n">
        <x:v>1</x:v>
      </x:c>
      <x:c r="F150" s="7" t="n">
        <x:f>AD150*'損益分岐設定'!$B$5+AE150*'損益分岐設定'!$B$6+AF150*'損益分岐設定'!$B$7</x:f>
        <x:v>4600</x:v>
      </x:c>
      <x:c r="G150" s="7" t="n">
        <x:f>AG150+(AH150+AI150)*('損益分岐設定'!$B$29+0.5*'損益分岐設定'!$B$30)+AK150*'損益分岐設定'!$B$32+(AJ150+AK150/'損益分岐設定'!$B$28*'損益分岐設定'!$B$26)*('損益分岐設定'!$B$29+'損益分岐設定'!$B$31*'損益分岐設定'!$B$30)</x:f>
        <x:v>9216.78075206142</x:v>
      </x:c>
      <x:c r="H150" s="7" t="n">
        <x:f>AL150*E150</x:f>
        <x:v>1456.6666666666665</x:v>
      </x:c>
      <x:c r="I150" s="7" t="n">
        <x:f>F150*(1-D150-'損益分岐設定'!$B$10)-G150-H150</x:f>
        <x:v>-7619.047418728087</x:v>
      </x:c>
      <x:c r="J150" s="1" t="str">
        <x:f>IF(MIN(V150:Y150)&gt;1000,"範囲内なし",MIN(V150:Y150))</x:f>
        <x:v>範囲内なし</x:v>
      </x:c>
      <x:c r="K150" s="1" t="str">
        <x:f>IF(MAX(Z150:AC150)&gt;=1000,"範囲内なし",MAX(1,MAX(Z150:AC150)+1))</x:f>
        <x:v>範囲内なし</x:v>
      </x:c>
      <x:c r="L150" s="7" t="n">
        <x:f>10*I150-R150</x:f>
        <x:v>-106201.40881358867</x:v>
      </x:c>
      <x:c r="M150" s="7" t="n">
        <x:f>30*I150-S150</x:f>
        <x:v>-263082.3571881504</x:v>
      </x:c>
      <x:c r="N150" s="7" t="n">
        <x:f>50*I150-S150</x:f>
        <x:v>-415463.30556271214</x:v>
      </x:c>
      <x:c r="O150" s="7" t="n">
        <x:f>100*I150-S150</x:f>
        <x:v>-796415.6764991165</x:v>
      </x:c>
      <x:c r="P150" s="7" t="n">
        <x:f>300*I150-T150</x:f>
        <x:v>-2342225.160244734</x:v>
      </x:c>
      <x:c r="Q150" s="7" t="n">
        <x:f>1000*I150-U150</x:f>
        <x:v>-7705558.353354394</x:v>
      </x:c>
      <x:c r="R15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150*'損益分岐設定'!$B$12*'損益分岐設定'!$B$11</x:f>
        <x:v>30010.934626307797</x:v>
      </x:c>
      <x:c r="S15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150*'損益分岐設定'!$B$12*'損益分岐設定'!$B$11</x:f>
        <x:v>34510.9346263078</x:v>
      </x:c>
      <x:c r="T15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150*'損益分岐設定'!$B$12*'損益分岐設定'!$B$11</x:f>
        <x:v>56510.9346263078</x:v>
      </x:c>
      <x:c r="U15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150*'損益分岐設定'!$B$12*'損益分岐設定'!$B$11</x:f>
        <x:v>86510.9346263078</x:v>
      </x:c>
      <x:c r="V150" s="1" t="n">
        <x:f>IF(I150&lt;=0,1001,IF(MAX('損益分岐設定'!B37,ROUNDUP(R150/I150,0))&lt;='損益分岐設定'!C37,MAX('損益分岐設定'!B37,ROUNDUP(R150/I150,0)),1001))</x:f>
        <x:v>1001</x:v>
      </x:c>
      <x:c r="W150" s="1" t="n">
        <x:f>IF(I150&lt;=0,1001,IF(MAX('損益分岐設定'!B38,ROUNDUP(S150/I150,0))&lt;='損益分岐設定'!C38,MAX('損益分岐設定'!B38,ROUNDUP(S150/I150,0)),1001))</x:f>
        <x:v>1001</x:v>
      </x:c>
      <x:c r="X150" s="1" t="n">
        <x:f>IF(I150&lt;=0,1001,IF(MAX('損益分岐設定'!B39,ROUNDUP(T150/I150,0))&lt;='損益分岐設定'!C39,MAX('損益分岐設定'!B39,ROUNDUP(T150/I150,0)),1001))</x:f>
        <x:v>1001</x:v>
      </x:c>
      <x:c r="Y150" s="1" t="n">
        <x:f>IF(I150&lt;=0,1001,IF(MAX('損益分岐設定'!B40,ROUNDUP(U150/I150,0))&lt;='損益分岐設定'!C40,MAX('損益分岐設定'!B40,ROUNDUP(U150/I150,0)),1001))</x:f>
        <x:v>1001</x:v>
      </x:c>
      <x:c r="Z150" s="1" t="n">
        <x:f>IF(I150&lt;=0,'損益分岐設定'!C37,IF('損益分岐設定'!C37*I150-R150&lt;0,'損益分岐設定'!C37,IF('損益分岐設定'!B37*I150-R150&gt;=0,0,ROUNDUP(R150/I150,0)-1)))</x:f>
        <x:v>10</x:v>
      </x:c>
      <x:c r="AA150" s="1" t="n">
        <x:f>IF(I150&lt;=0,'損益分岐設定'!C38,IF('損益分岐設定'!C38*I150-S150&lt;0,'損益分岐設定'!C38,IF('損益分岐設定'!B38*I150-S150&gt;=0,0,ROUNDUP(S150/I150,0)-1)))</x:f>
        <x:v>100</x:v>
      </x:c>
      <x:c r="AB150" s="1" t="n">
        <x:f>IF(I150&lt;=0,'損益分岐設定'!C39,IF('損益分岐設定'!C39*I150-T150&lt;0,'損益分岐設定'!C39,IF('損益分岐設定'!B39*I150-T150&gt;=0,0,ROUNDUP(T150/I150,0)-1)))</x:f>
        <x:v>500</x:v>
      </x:c>
      <x:c r="AC150" s="1" t="n">
        <x:f>IF(I150&lt;=0,'損益分岐設定'!C40,IF('損益分岐設定'!C40*I150-U150&lt;0,'損益分岐設定'!C40,IF('損益分岐設定'!B40*I150-U150&gt;=0,0,ROUNDUP(U150/I150,0)-1)))</x:f>
        <x:v>1000</x:v>
      </x:c>
      <x:c r="AD150" s="1" t="n">
        <x:f>'損益分岐設定'!$D$5/SUM('損益分岐設定'!$D$5:$D$7)</x:f>
        <x:v>0.5</x:v>
      </x:c>
      <x:c r="AE150" s="1" t="n">
        <x:f>'損益分岐設定'!$D$6/SUM('損益分岐設定'!$D$5:$D$7)</x:f>
        <x:v>0.3</x:v>
      </x:c>
      <x:c r="AF150" s="1" t="n">
        <x:f>'損益分岐設定'!$D$7/SUM('損益分岐設定'!$D$5:$D$7)</x:f>
        <x:v>0.2</x:v>
      </x:c>
      <x:c r="AG150" s="1" t="n">
        <x:f>AD150*'損益分岐設定'!$C$58+AE150*'損益分岐設定'!$C$61+AF150*'損益分岐設定'!$C$64</x:f>
        <x:v>9174.852856689453</x:v>
      </x:c>
      <x:c r="AH150" s="1" t="n">
        <x:f>AD150*'損益分岐設定'!$D$58+AE150*'損益分岐設定'!$D$61+AF150*'損益分岐設定'!$D$64</x:f>
        <x:v>444</x:v>
      </x:c>
      <x:c r="AI150" s="1" t="n">
        <x:f>AD150*'損益分岐設定'!$E$58+AE150*'損益分岐設定'!$E$61+AF150*'損益分岐設定'!$E$64</x:f>
        <x:v>592</x:v>
      </x:c>
      <x:c r="AJ150" s="1" t="n">
        <x:f>(AD150*'損益分岐設定'!$F$58+AE150*'損益分岐設定'!$F$61+AF150*'損益分岐設定'!$F$64*1)*'損益分岐設定'!$B$22</x:f>
        <x:v>6660</x:v>
      </x:c>
      <x:c r="AK150" s="1" t="n">
        <x:f>AD150*'損益分岐設定'!$G$58+AE150*'損益分岐設定'!$G$61+AF150*'損益分岐設定'!$G$64</x:f>
        <x:v>4440</x:v>
      </x:c>
      <x:c r="AL150" s="1" t="n">
        <x:f>AD150*'損益分岐設定'!$H$58+AE150*'損益分岐設定'!$H$61+AF150*'損益分岐設定'!$H$64</x:f>
        <x:v>1456.6666666666665</x:v>
      </x:c>
      <x:c r="AM150" s="1" t="n">
        <x:f>MAX(1,ROUNDUP('損益分岐設定'!C37*AJ150/('損益分岐設定'!$B$23*'損益分岐設定'!$B$24*3600*'損益分岐設定'!$B$25),0))</x:f>
        <x:v>1</x:v>
      </x:c>
      <x:c r="AN150" s="1" t="n">
        <x:f>MAX(2,ROUNDUP('損益分岐設定'!C38*AJ150/('損益分岐設定'!$B$23*'損益分岐設定'!$B$24*3600*'損益分岐設定'!$B$25),0))</x:f>
        <x:v>2</x:v>
      </x:c>
      <x:c r="AO150" s="1" t="n">
        <x:f>MAX(2,ROUNDUP('損益分岐設定'!C39*AJ150/('損益分岐設定'!$B$23*'損益分岐設定'!$B$24*3600*'損益分岐設定'!$B$25),0))</x:f>
        <x:v>7</x:v>
      </x:c>
      <x:c r="AP150" s="1" t="n">
        <x:f>MAX(2,ROUNDUP('損益分岐設定'!C40*AJ150/('損益分岐設定'!$B$23*'損益分岐設定'!$B$24*3600*'損益分岐設定'!$B$25),0))</x:f>
        <x:v>14</x:v>
      </x:c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 ht="23" customHeight="1">
      <x:c r="A151" s="1" t="str">
        <x:v>Run</x:v>
      </x:c>
      <x:c r="B151" s="1" t="str">
        <x:v>混在</x:v>
      </x:c>
      <x:c r="C151" s="1" t="str">
        <x:v>高位</x:v>
      </x:c>
      <x:c r="D151" s="21" t="n">
        <x:v>0.4</x:v>
      </x:c>
      <x:c r="E151" s="1" t="n">
        <x:v>0</x:v>
      </x:c>
      <x:c r="F151" s="7" t="n">
        <x:f>AD151*'損益分岐設定'!$B$5+AE151*'損益分岐設定'!$B$6+AF151*'損益分岐設定'!$B$7</x:f>
        <x:v>4600</x:v>
      </x:c>
      <x:c r="G151" s="7" t="n">
        <x:f>AG151+(AH151+AI151)*('損益分岐設定'!$B$29+0.5*'損益分岐設定'!$B$30)+AK151*'損益分岐設定'!$B$32+(AJ151+AK151/'損益分岐設定'!$B$28*'損益分岐設定'!$B$26)*('損益分岐設定'!$B$29+'損益分岐設定'!$B$31*'損益分岐設定'!$B$30)</x:f>
        <x:v>9216.78075206142</x:v>
      </x:c>
      <x:c r="H151" s="7" t="n">
        <x:f>AL151*E151</x:f>
        <x:v>0</x:v>
      </x:c>
      <x:c r="I151" s="7" t="n">
        <x:f>F151*(1-D151-'損益分岐設定'!$B$10)-G151-H151</x:f>
        <x:v>-6622.380752061421</x:v>
      </x:c>
      <x:c r="J151" s="1" t="str">
        <x:f>IF(MIN(V151:Y151)&gt;1000,"範囲内なし",MIN(V151:Y151))</x:f>
        <x:v>範囲内なし</x:v>
      </x:c>
      <x:c r="K151" s="1" t="str">
        <x:f>IF(MAX(Z151:AC151)&gt;=1000,"範囲内なし",MAX(1,MAX(Z151:AC151)+1))</x:f>
        <x:v>範囲内なし</x:v>
      </x:c>
      <x:c r="L151" s="7" t="n">
        <x:f>10*I151-R151</x:f>
        <x:v>-88234.74214692201</x:v>
      </x:c>
      <x:c r="M151" s="7" t="n">
        <x:f>30*I151-S151</x:f>
        <x:v>-225182.35718815043</x:v>
      </x:c>
      <x:c r="N151" s="7" t="n">
        <x:f>50*I151-S151</x:f>
        <x:v>-357629.9722293789</x:v>
      </x:c>
      <x:c r="O151" s="7" t="n">
        <x:f>100*I151-S151</x:f>
        <x:v>-688749.00983245</x:v>
      </x:c>
      <x:c r="P151" s="7" t="n">
        <x:f>300*I151-T151</x:f>
        <x:v>-2035225.160244734</x:v>
      </x:c>
      <x:c r="Q151" s="7" t="n">
        <x:f>1000*I151-U151</x:f>
        <x:v>-6700891.686687728</x:v>
      </x:c>
      <x:c r="R15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151*'損益分岐設定'!$B$12*'損益分岐設定'!$B$11</x:f>
        <x:v>22010.934626307797</x:v>
      </x:c>
      <x:c r="S15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151*'損益分岐設定'!$B$12*'損益分岐設定'!$B$11</x:f>
        <x:v>26510.934626307797</x:v>
      </x:c>
      <x:c r="T15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151*'損益分岐設定'!$B$12*'損益分岐設定'!$B$11</x:f>
        <x:v>48510.9346263078</x:v>
      </x:c>
      <x:c r="U15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151*'損益分岐設定'!$B$12*'損益分岐設定'!$B$11</x:f>
        <x:v>78510.9346263078</x:v>
      </x:c>
      <x:c r="V151" s="1" t="n">
        <x:f>IF(I151&lt;=0,1001,IF(MAX('損益分岐設定'!B37,ROUNDUP(R151/I151,0))&lt;='損益分岐設定'!C37,MAX('損益分岐設定'!B37,ROUNDUP(R151/I151,0)),1001))</x:f>
        <x:v>1001</x:v>
      </x:c>
      <x:c r="W151" s="1" t="n">
        <x:f>IF(I151&lt;=0,1001,IF(MAX('損益分岐設定'!B38,ROUNDUP(S151/I151,0))&lt;='損益分岐設定'!C38,MAX('損益分岐設定'!B38,ROUNDUP(S151/I151,0)),1001))</x:f>
        <x:v>1001</x:v>
      </x:c>
      <x:c r="X151" s="1" t="n">
        <x:f>IF(I151&lt;=0,1001,IF(MAX('損益分岐設定'!B39,ROUNDUP(T151/I151,0))&lt;='損益分岐設定'!C39,MAX('損益分岐設定'!B39,ROUNDUP(T151/I151,0)),1001))</x:f>
        <x:v>1001</x:v>
      </x:c>
      <x:c r="Y151" s="1" t="n">
        <x:f>IF(I151&lt;=0,1001,IF(MAX('損益分岐設定'!B40,ROUNDUP(U151/I151,0))&lt;='損益分岐設定'!C40,MAX('損益分岐設定'!B40,ROUNDUP(U151/I151,0)),1001))</x:f>
        <x:v>1001</x:v>
      </x:c>
      <x:c r="Z151" s="1" t="n">
        <x:f>IF(I151&lt;=0,'損益分岐設定'!C37,IF('損益分岐設定'!C37*I151-R151&lt;0,'損益分岐設定'!C37,IF('損益分岐設定'!B37*I151-R151&gt;=0,0,ROUNDUP(R151/I151,0)-1)))</x:f>
        <x:v>10</x:v>
      </x:c>
      <x:c r="AA151" s="1" t="n">
        <x:f>IF(I151&lt;=0,'損益分岐設定'!C38,IF('損益分岐設定'!C38*I151-S151&lt;0,'損益分岐設定'!C38,IF('損益分岐設定'!B38*I151-S151&gt;=0,0,ROUNDUP(S151/I151,0)-1)))</x:f>
        <x:v>100</x:v>
      </x:c>
      <x:c r="AB151" s="1" t="n">
        <x:f>IF(I151&lt;=0,'損益分岐設定'!C39,IF('損益分岐設定'!C39*I151-T151&lt;0,'損益分岐設定'!C39,IF('損益分岐設定'!B39*I151-T151&gt;=0,0,ROUNDUP(T151/I151,0)-1)))</x:f>
        <x:v>500</x:v>
      </x:c>
      <x:c r="AC151" s="1" t="n">
        <x:f>IF(I151&lt;=0,'損益分岐設定'!C40,IF('損益分岐設定'!C40*I151-U151&lt;0,'損益分岐設定'!C40,IF('損益分岐設定'!B40*I151-U151&gt;=0,0,ROUNDUP(U151/I151,0)-1)))</x:f>
        <x:v>1000</x:v>
      </x:c>
      <x:c r="AD151" s="1" t="n">
        <x:f>'損益分岐設定'!$D$5/SUM('損益分岐設定'!$D$5:$D$7)</x:f>
        <x:v>0.5</x:v>
      </x:c>
      <x:c r="AE151" s="1" t="n">
        <x:f>'損益分岐設定'!$D$6/SUM('損益分岐設定'!$D$5:$D$7)</x:f>
        <x:v>0.3</x:v>
      </x:c>
      <x:c r="AF151" s="1" t="n">
        <x:f>'損益分岐設定'!$D$7/SUM('損益分岐設定'!$D$5:$D$7)</x:f>
        <x:v>0.2</x:v>
      </x:c>
      <x:c r="AG151" s="1" t="n">
        <x:f>AD151*'損益分岐設定'!$C$58+AE151*'損益分岐設定'!$C$61+AF151*'損益分岐設定'!$C$64</x:f>
        <x:v>9174.852856689453</x:v>
      </x:c>
      <x:c r="AH151" s="1" t="n">
        <x:f>AD151*'損益分岐設定'!$D$58+AE151*'損益分岐設定'!$D$61+AF151*'損益分岐設定'!$D$64</x:f>
        <x:v>444</x:v>
      </x:c>
      <x:c r="AI151" s="1" t="n">
        <x:f>AD151*'損益分岐設定'!$E$58+AE151*'損益分岐設定'!$E$61+AF151*'損益分岐設定'!$E$64</x:f>
        <x:v>592</x:v>
      </x:c>
      <x:c r="AJ151" s="1" t="n">
        <x:f>(AD151*'損益分岐設定'!$F$58+AE151*'損益分岐設定'!$F$61+AF151*'損益分岐設定'!$F$64*1)*'損益分岐設定'!$B$22</x:f>
        <x:v>6660</x:v>
      </x:c>
      <x:c r="AK151" s="1" t="n">
        <x:f>AD151*'損益分岐設定'!$G$58+AE151*'損益分岐設定'!$G$61+AF151*'損益分岐設定'!$G$64</x:f>
        <x:v>4440</x:v>
      </x:c>
      <x:c r="AL151" s="1" t="n">
        <x:f>AD151*'損益分岐設定'!$H$58+AE151*'損益分岐設定'!$H$61+AF151*'損益分岐設定'!$H$64</x:f>
        <x:v>1456.6666666666665</x:v>
      </x:c>
      <x:c r="AM151" s="1" t="n">
        <x:f>MAX(1,ROUNDUP('損益分岐設定'!C37*AJ151/('損益分岐設定'!$B$23*'損益分岐設定'!$B$24*3600*'損益分岐設定'!$B$25),0))</x:f>
        <x:v>1</x:v>
      </x:c>
      <x:c r="AN151" s="1" t="n">
        <x:f>MAX(2,ROUNDUP('損益分岐設定'!C38*AJ151/('損益分岐設定'!$B$23*'損益分岐設定'!$B$24*3600*'損益分岐設定'!$B$25),0))</x:f>
        <x:v>2</x:v>
      </x:c>
      <x:c r="AO151" s="1" t="n">
        <x:f>MAX(2,ROUNDUP('損益分岐設定'!C39*AJ151/('損益分岐設定'!$B$23*'損益分岐設定'!$B$24*3600*'損益分岐設定'!$B$25),0))</x:f>
        <x:v>7</x:v>
      </x:c>
      <x:c r="AP151" s="1" t="n">
        <x:f>MAX(2,ROUNDUP('損益分岐設定'!C40*AJ151/('損益分岐設定'!$B$23*'損益分岐設定'!$B$24*3600*'損益分岐設定'!$B$25),0))</x:f>
        <x:v>14</x:v>
      </x:c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 ht="23" customHeight="1">
      <x:c r="A152" s="1" t="str">
        <x:v>Run</x:v>
      </x:c>
      <x:c r="B152" s="1" t="str">
        <x:v>混在</x:v>
      </x:c>
      <x:c r="C152" s="1" t="str">
        <x:v>高位</x:v>
      </x:c>
      <x:c r="D152" s="21" t="n">
        <x:v>0.4</x:v>
      </x:c>
      <x:c r="E152" s="1" t="n">
        <x:v>1</x:v>
      </x:c>
      <x:c r="F152" s="7" t="n">
        <x:f>AD152*'損益分岐設定'!$B$5+AE152*'損益分岐設定'!$B$6+AF152*'損益分岐設定'!$B$7</x:f>
        <x:v>4600</x:v>
      </x:c>
      <x:c r="G152" s="7" t="n">
        <x:f>AG152+(AH152+AI152)*('損益分岐設定'!$B$29+0.5*'損益分岐設定'!$B$30)+AK152*'損益分岐設定'!$B$32+(AJ152+AK152/'損益分岐設定'!$B$28*'損益分岐設定'!$B$26)*('損益分岐設定'!$B$29+'損益分岐設定'!$B$31*'損益分岐設定'!$B$30)</x:f>
        <x:v>9216.78075206142</x:v>
      </x:c>
      <x:c r="H152" s="7" t="n">
        <x:f>AL152*E152</x:f>
        <x:v>1456.6666666666665</x:v>
      </x:c>
      <x:c r="I152" s="7" t="n">
        <x:f>F152*(1-D152-'損益分岐設定'!$B$10)-G152-H152</x:f>
        <x:v>-8079.047418728087</x:v>
      </x:c>
      <x:c r="J152" s="1" t="str">
        <x:f>IF(MIN(V152:Y152)&gt;1000,"範囲内なし",MIN(V152:Y152))</x:f>
        <x:v>範囲内なし</x:v>
      </x:c>
      <x:c r="K152" s="1" t="str">
        <x:f>IF(MAX(Z152:AC152)&gt;=1000,"範囲内なし",MAX(1,MAX(Z152:AC152)+1))</x:f>
        <x:v>範囲内なし</x:v>
      </x:c>
      <x:c r="L152" s="7" t="n">
        <x:f>10*I152-R152</x:f>
        <x:v>-110801.40881358867</x:v>
      </x:c>
      <x:c r="M152" s="7" t="n">
        <x:f>30*I152-S152</x:f>
        <x:v>-276882.3571881504</x:v>
      </x:c>
      <x:c r="N152" s="7" t="n">
        <x:f>50*I152-S152</x:f>
        <x:v>-438463.30556271214</x:v>
      </x:c>
      <x:c r="O152" s="7" t="n">
        <x:f>100*I152-S152</x:f>
        <x:v>-842415.6764991165</x:v>
      </x:c>
      <x:c r="P152" s="7" t="n">
        <x:f>300*I152-T152</x:f>
        <x:v>-2480225.160244734</x:v>
      </x:c>
      <x:c r="Q152" s="7" t="n">
        <x:f>1000*I152-U152</x:f>
        <x:v>-8165558.353354394</x:v>
      </x:c>
      <x:c r="R15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152*'損益分岐設定'!$B$12*'損益分岐設定'!$B$11</x:f>
        <x:v>30010.934626307797</x:v>
      </x:c>
      <x:c r="S15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152*'損益分岐設定'!$B$12*'損益分岐設定'!$B$11</x:f>
        <x:v>34510.9346263078</x:v>
      </x:c>
      <x:c r="T15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152*'損益分岐設定'!$B$12*'損益分岐設定'!$B$11</x:f>
        <x:v>56510.9346263078</x:v>
      </x:c>
      <x:c r="U15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152*'損益分岐設定'!$B$12*'損益分岐設定'!$B$11</x:f>
        <x:v>86510.9346263078</x:v>
      </x:c>
      <x:c r="V152" s="1" t="n">
        <x:f>IF(I152&lt;=0,1001,IF(MAX('損益分岐設定'!B37,ROUNDUP(R152/I152,0))&lt;='損益分岐設定'!C37,MAX('損益分岐設定'!B37,ROUNDUP(R152/I152,0)),1001))</x:f>
        <x:v>1001</x:v>
      </x:c>
      <x:c r="W152" s="1" t="n">
        <x:f>IF(I152&lt;=0,1001,IF(MAX('損益分岐設定'!B38,ROUNDUP(S152/I152,0))&lt;='損益分岐設定'!C38,MAX('損益分岐設定'!B38,ROUNDUP(S152/I152,0)),1001))</x:f>
        <x:v>1001</x:v>
      </x:c>
      <x:c r="X152" s="1" t="n">
        <x:f>IF(I152&lt;=0,1001,IF(MAX('損益分岐設定'!B39,ROUNDUP(T152/I152,0))&lt;='損益分岐設定'!C39,MAX('損益分岐設定'!B39,ROUNDUP(T152/I152,0)),1001))</x:f>
        <x:v>1001</x:v>
      </x:c>
      <x:c r="Y152" s="1" t="n">
        <x:f>IF(I152&lt;=0,1001,IF(MAX('損益分岐設定'!B40,ROUNDUP(U152/I152,0))&lt;='損益分岐設定'!C40,MAX('損益分岐設定'!B40,ROUNDUP(U152/I152,0)),1001))</x:f>
        <x:v>1001</x:v>
      </x:c>
      <x:c r="Z152" s="1" t="n">
        <x:f>IF(I152&lt;=0,'損益分岐設定'!C37,IF('損益分岐設定'!C37*I152-R152&lt;0,'損益分岐設定'!C37,IF('損益分岐設定'!B37*I152-R152&gt;=0,0,ROUNDUP(R152/I152,0)-1)))</x:f>
        <x:v>10</x:v>
      </x:c>
      <x:c r="AA152" s="1" t="n">
        <x:f>IF(I152&lt;=0,'損益分岐設定'!C38,IF('損益分岐設定'!C38*I152-S152&lt;0,'損益分岐設定'!C38,IF('損益分岐設定'!B38*I152-S152&gt;=0,0,ROUNDUP(S152/I152,0)-1)))</x:f>
        <x:v>100</x:v>
      </x:c>
      <x:c r="AB152" s="1" t="n">
        <x:f>IF(I152&lt;=0,'損益分岐設定'!C39,IF('損益分岐設定'!C39*I152-T152&lt;0,'損益分岐設定'!C39,IF('損益分岐設定'!B39*I152-T152&gt;=0,0,ROUNDUP(T152/I152,0)-1)))</x:f>
        <x:v>500</x:v>
      </x:c>
      <x:c r="AC152" s="1" t="n">
        <x:f>IF(I152&lt;=0,'損益分岐設定'!C40,IF('損益分岐設定'!C40*I152-U152&lt;0,'損益分岐設定'!C40,IF('損益分岐設定'!B40*I152-U152&gt;=0,0,ROUNDUP(U152/I152,0)-1)))</x:f>
        <x:v>1000</x:v>
      </x:c>
      <x:c r="AD152" s="1" t="n">
        <x:f>'損益分岐設定'!$D$5/SUM('損益分岐設定'!$D$5:$D$7)</x:f>
        <x:v>0.5</x:v>
      </x:c>
      <x:c r="AE152" s="1" t="n">
        <x:f>'損益分岐設定'!$D$6/SUM('損益分岐設定'!$D$5:$D$7)</x:f>
        <x:v>0.3</x:v>
      </x:c>
      <x:c r="AF152" s="1" t="n">
        <x:f>'損益分岐設定'!$D$7/SUM('損益分岐設定'!$D$5:$D$7)</x:f>
        <x:v>0.2</x:v>
      </x:c>
      <x:c r="AG152" s="1" t="n">
        <x:f>AD152*'損益分岐設定'!$C$58+AE152*'損益分岐設定'!$C$61+AF152*'損益分岐設定'!$C$64</x:f>
        <x:v>9174.852856689453</x:v>
      </x:c>
      <x:c r="AH152" s="1" t="n">
        <x:f>AD152*'損益分岐設定'!$D$58+AE152*'損益分岐設定'!$D$61+AF152*'損益分岐設定'!$D$64</x:f>
        <x:v>444</x:v>
      </x:c>
      <x:c r="AI152" s="1" t="n">
        <x:f>AD152*'損益分岐設定'!$E$58+AE152*'損益分岐設定'!$E$61+AF152*'損益分岐設定'!$E$64</x:f>
        <x:v>592</x:v>
      </x:c>
      <x:c r="AJ152" s="1" t="n">
        <x:f>(AD152*'損益分岐設定'!$F$58+AE152*'損益分岐設定'!$F$61+AF152*'損益分岐設定'!$F$64*1)*'損益分岐設定'!$B$22</x:f>
        <x:v>6660</x:v>
      </x:c>
      <x:c r="AK152" s="1" t="n">
        <x:f>AD152*'損益分岐設定'!$G$58+AE152*'損益分岐設定'!$G$61+AF152*'損益分岐設定'!$G$64</x:f>
        <x:v>4440</x:v>
      </x:c>
      <x:c r="AL152" s="1" t="n">
        <x:f>AD152*'損益分岐設定'!$H$58+AE152*'損益分岐設定'!$H$61+AF152*'損益分岐設定'!$H$64</x:f>
        <x:v>1456.6666666666665</x:v>
      </x:c>
      <x:c r="AM152" s="1" t="n">
        <x:f>MAX(1,ROUNDUP('損益分岐設定'!C37*AJ152/('損益分岐設定'!$B$23*'損益分岐設定'!$B$24*3600*'損益分岐設定'!$B$25),0))</x:f>
        <x:v>1</x:v>
      </x:c>
      <x:c r="AN152" s="1" t="n">
        <x:f>MAX(2,ROUNDUP('損益分岐設定'!C38*AJ152/('損益分岐設定'!$B$23*'損益分岐設定'!$B$24*3600*'損益分岐設定'!$B$25),0))</x:f>
        <x:v>2</x:v>
      </x:c>
      <x:c r="AO152" s="1" t="n">
        <x:f>MAX(2,ROUNDUP('損益分岐設定'!C39*AJ152/('損益分岐設定'!$B$23*'損益分岐設定'!$B$24*3600*'損益分岐設定'!$B$25),0))</x:f>
        <x:v>7</x:v>
      </x:c>
      <x:c r="AP152" s="1" t="n">
        <x:f>MAX(2,ROUNDUP('損益分岐設定'!C40*AJ152/('損益分岐設定'!$B$23*'損益分岐設定'!$B$24*3600*'損益分岐設定'!$B$25),0))</x:f>
        <x:v>14</x:v>
      </x:c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 ht="23" customHeight="1">
      <x:c r="A153" s="1" t="str">
        <x:v>Run</x:v>
      </x:c>
      <x:c r="B153" s="1" t="str">
        <x:v>混在</x:v>
      </x:c>
      <x:c r="C153" s="1" t="str">
        <x:v>高位</x:v>
      </x:c>
      <x:c r="D153" s="21" t="n">
        <x:v>0.5</x:v>
      </x:c>
      <x:c r="E153" s="1" t="n">
        <x:v>0</x:v>
      </x:c>
      <x:c r="F153" s="7" t="n">
        <x:f>AD153*'損益分岐設定'!$B$5+AE153*'損益分岐設定'!$B$6+AF153*'損益分岐設定'!$B$7</x:f>
        <x:v>4600</x:v>
      </x:c>
      <x:c r="G153" s="7" t="n">
        <x:f>AG153+(AH153+AI153)*('損益分岐設定'!$B$29+0.5*'損益分岐設定'!$B$30)+AK153*'損益分岐設定'!$B$32+(AJ153+AK153/'損益分岐設定'!$B$28*'損益分岐設定'!$B$26)*('損益分岐設定'!$B$29+'損益分岐設定'!$B$31*'損益分岐設定'!$B$30)</x:f>
        <x:v>9216.78075206142</x:v>
      </x:c>
      <x:c r="H153" s="7" t="n">
        <x:f>AL153*E153</x:f>
        <x:v>0</x:v>
      </x:c>
      <x:c r="I153" s="7" t="n">
        <x:f>F153*(1-D153-'損益分岐設定'!$B$10)-G153-H153</x:f>
        <x:v>-7082.380752061421</x:v>
      </x:c>
      <x:c r="J153" s="1" t="str">
        <x:f>IF(MIN(V153:Y153)&gt;1000,"範囲内なし",MIN(V153:Y153))</x:f>
        <x:v>範囲内なし</x:v>
      </x:c>
      <x:c r="K153" s="1" t="str">
        <x:f>IF(MAX(Z153:AC153)&gt;=1000,"範囲内なし",MAX(1,MAX(Z153:AC153)+1))</x:f>
        <x:v>範囲内なし</x:v>
      </x:c>
      <x:c r="L153" s="7" t="n">
        <x:f>10*I153-R153</x:f>
        <x:v>-92834.74214692201</x:v>
      </x:c>
      <x:c r="M153" s="7" t="n">
        <x:f>30*I153-S153</x:f>
        <x:v>-238982.35718815043</x:v>
      </x:c>
      <x:c r="N153" s="7" t="n">
        <x:f>50*I153-S153</x:f>
        <x:v>-380629.9722293789</x:v>
      </x:c>
      <x:c r="O153" s="7" t="n">
        <x:f>100*I153-S153</x:f>
        <x:v>-734749.00983245</x:v>
      </x:c>
      <x:c r="P153" s="7" t="n">
        <x:f>300*I153-T153</x:f>
        <x:v>-2173225.160244734</x:v>
      </x:c>
      <x:c r="Q153" s="7" t="n">
        <x:f>1000*I153-U153</x:f>
        <x:v>-7160891.686687728</x:v>
      </x:c>
      <x:c r="R15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153*'損益分岐設定'!$B$12*'損益分岐設定'!$B$11</x:f>
        <x:v>22010.934626307797</x:v>
      </x:c>
      <x:c r="S15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153*'損益分岐設定'!$B$12*'損益分岐設定'!$B$11</x:f>
        <x:v>26510.934626307797</x:v>
      </x:c>
      <x:c r="T15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153*'損益分岐設定'!$B$12*'損益分岐設定'!$B$11</x:f>
        <x:v>48510.9346263078</x:v>
      </x:c>
      <x:c r="U15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153*'損益分岐設定'!$B$12*'損益分岐設定'!$B$11</x:f>
        <x:v>78510.9346263078</x:v>
      </x:c>
      <x:c r="V153" s="1" t="n">
        <x:f>IF(I153&lt;=0,1001,IF(MAX('損益分岐設定'!B37,ROUNDUP(R153/I153,0))&lt;='損益分岐設定'!C37,MAX('損益分岐設定'!B37,ROUNDUP(R153/I153,0)),1001))</x:f>
        <x:v>1001</x:v>
      </x:c>
      <x:c r="W153" s="1" t="n">
        <x:f>IF(I153&lt;=0,1001,IF(MAX('損益分岐設定'!B38,ROUNDUP(S153/I153,0))&lt;='損益分岐設定'!C38,MAX('損益分岐設定'!B38,ROUNDUP(S153/I153,0)),1001))</x:f>
        <x:v>1001</x:v>
      </x:c>
      <x:c r="X153" s="1" t="n">
        <x:f>IF(I153&lt;=0,1001,IF(MAX('損益分岐設定'!B39,ROUNDUP(T153/I153,0))&lt;='損益分岐設定'!C39,MAX('損益分岐設定'!B39,ROUNDUP(T153/I153,0)),1001))</x:f>
        <x:v>1001</x:v>
      </x:c>
      <x:c r="Y153" s="1" t="n">
        <x:f>IF(I153&lt;=0,1001,IF(MAX('損益分岐設定'!B40,ROUNDUP(U153/I153,0))&lt;='損益分岐設定'!C40,MAX('損益分岐設定'!B40,ROUNDUP(U153/I153,0)),1001))</x:f>
        <x:v>1001</x:v>
      </x:c>
      <x:c r="Z153" s="1" t="n">
        <x:f>IF(I153&lt;=0,'損益分岐設定'!C37,IF('損益分岐設定'!C37*I153-R153&lt;0,'損益分岐設定'!C37,IF('損益分岐設定'!B37*I153-R153&gt;=0,0,ROUNDUP(R153/I153,0)-1)))</x:f>
        <x:v>10</x:v>
      </x:c>
      <x:c r="AA153" s="1" t="n">
        <x:f>IF(I153&lt;=0,'損益分岐設定'!C38,IF('損益分岐設定'!C38*I153-S153&lt;0,'損益分岐設定'!C38,IF('損益分岐設定'!B38*I153-S153&gt;=0,0,ROUNDUP(S153/I153,0)-1)))</x:f>
        <x:v>100</x:v>
      </x:c>
      <x:c r="AB153" s="1" t="n">
        <x:f>IF(I153&lt;=0,'損益分岐設定'!C39,IF('損益分岐設定'!C39*I153-T153&lt;0,'損益分岐設定'!C39,IF('損益分岐設定'!B39*I153-T153&gt;=0,0,ROUNDUP(T153/I153,0)-1)))</x:f>
        <x:v>500</x:v>
      </x:c>
      <x:c r="AC153" s="1" t="n">
        <x:f>IF(I153&lt;=0,'損益分岐設定'!C40,IF('損益分岐設定'!C40*I153-U153&lt;0,'損益分岐設定'!C40,IF('損益分岐設定'!B40*I153-U153&gt;=0,0,ROUNDUP(U153/I153,0)-1)))</x:f>
        <x:v>1000</x:v>
      </x:c>
      <x:c r="AD153" s="1" t="n">
        <x:f>'損益分岐設定'!$D$5/SUM('損益分岐設定'!$D$5:$D$7)</x:f>
        <x:v>0.5</x:v>
      </x:c>
      <x:c r="AE153" s="1" t="n">
        <x:f>'損益分岐設定'!$D$6/SUM('損益分岐設定'!$D$5:$D$7)</x:f>
        <x:v>0.3</x:v>
      </x:c>
      <x:c r="AF153" s="1" t="n">
        <x:f>'損益分岐設定'!$D$7/SUM('損益分岐設定'!$D$5:$D$7)</x:f>
        <x:v>0.2</x:v>
      </x:c>
      <x:c r="AG153" s="1" t="n">
        <x:f>AD153*'損益分岐設定'!$C$58+AE153*'損益分岐設定'!$C$61+AF153*'損益分岐設定'!$C$64</x:f>
        <x:v>9174.852856689453</x:v>
      </x:c>
      <x:c r="AH153" s="1" t="n">
        <x:f>AD153*'損益分岐設定'!$D$58+AE153*'損益分岐設定'!$D$61+AF153*'損益分岐設定'!$D$64</x:f>
        <x:v>444</x:v>
      </x:c>
      <x:c r="AI153" s="1" t="n">
        <x:f>AD153*'損益分岐設定'!$E$58+AE153*'損益分岐設定'!$E$61+AF153*'損益分岐設定'!$E$64</x:f>
        <x:v>592</x:v>
      </x:c>
      <x:c r="AJ153" s="1" t="n">
        <x:f>(AD153*'損益分岐設定'!$F$58+AE153*'損益分岐設定'!$F$61+AF153*'損益分岐設定'!$F$64*1)*'損益分岐設定'!$B$22</x:f>
        <x:v>6660</x:v>
      </x:c>
      <x:c r="AK153" s="1" t="n">
        <x:f>AD153*'損益分岐設定'!$G$58+AE153*'損益分岐設定'!$G$61+AF153*'損益分岐設定'!$G$64</x:f>
        <x:v>4440</x:v>
      </x:c>
      <x:c r="AL153" s="1" t="n">
        <x:f>AD153*'損益分岐設定'!$H$58+AE153*'損益分岐設定'!$H$61+AF153*'損益分岐設定'!$H$64</x:f>
        <x:v>1456.6666666666665</x:v>
      </x:c>
      <x:c r="AM153" s="1" t="n">
        <x:f>MAX(1,ROUNDUP('損益分岐設定'!C37*AJ153/('損益分岐設定'!$B$23*'損益分岐設定'!$B$24*3600*'損益分岐設定'!$B$25),0))</x:f>
        <x:v>1</x:v>
      </x:c>
      <x:c r="AN153" s="1" t="n">
        <x:f>MAX(2,ROUNDUP('損益分岐設定'!C38*AJ153/('損益分岐設定'!$B$23*'損益分岐設定'!$B$24*3600*'損益分岐設定'!$B$25),0))</x:f>
        <x:v>2</x:v>
      </x:c>
      <x:c r="AO153" s="1" t="n">
        <x:f>MAX(2,ROUNDUP('損益分岐設定'!C39*AJ153/('損益分岐設定'!$B$23*'損益分岐設定'!$B$24*3600*'損益分岐設定'!$B$25),0))</x:f>
        <x:v>7</x:v>
      </x:c>
      <x:c r="AP153" s="1" t="n">
        <x:f>MAX(2,ROUNDUP('損益分岐設定'!C40*AJ153/('損益分岐設定'!$B$23*'損益分岐設定'!$B$24*3600*'損益分岐設定'!$B$25),0))</x:f>
        <x:v>14</x:v>
      </x:c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 ht="23" customHeight="1">
      <x:c r="A154" s="1" t="str">
        <x:v>Run</x:v>
      </x:c>
      <x:c r="B154" s="1" t="str">
        <x:v>混在</x:v>
      </x:c>
      <x:c r="C154" s="1" t="str">
        <x:v>高位</x:v>
      </x:c>
      <x:c r="D154" s="21" t="n">
        <x:v>0.5</x:v>
      </x:c>
      <x:c r="E154" s="1" t="n">
        <x:v>1</x:v>
      </x:c>
      <x:c r="F154" s="7" t="n">
        <x:f>AD154*'損益分岐設定'!$B$5+AE154*'損益分岐設定'!$B$6+AF154*'損益分岐設定'!$B$7</x:f>
        <x:v>4600</x:v>
      </x:c>
      <x:c r="G154" s="7" t="n">
        <x:f>AG154+(AH154+AI154)*('損益分岐設定'!$B$29+0.5*'損益分岐設定'!$B$30)+AK154*'損益分岐設定'!$B$32+(AJ154+AK154/'損益分岐設定'!$B$28*'損益分岐設定'!$B$26)*('損益分岐設定'!$B$29+'損益分岐設定'!$B$31*'損益分岐設定'!$B$30)</x:f>
        <x:v>9216.78075206142</x:v>
      </x:c>
      <x:c r="H154" s="7" t="n">
        <x:f>AL154*E154</x:f>
        <x:v>1456.6666666666665</x:v>
      </x:c>
      <x:c r="I154" s="7" t="n">
        <x:f>F154*(1-D154-'損益分岐設定'!$B$10)-G154-H154</x:f>
        <x:v>-8539.047418728087</x:v>
      </x:c>
      <x:c r="J154" s="1" t="str">
        <x:f>IF(MIN(V154:Y154)&gt;1000,"範囲内なし",MIN(V154:Y154))</x:f>
        <x:v>範囲内なし</x:v>
      </x:c>
      <x:c r="K154" s="1" t="str">
        <x:f>IF(MAX(Z154:AC154)&gt;=1000,"範囲内なし",MAX(1,MAX(Z154:AC154)+1))</x:f>
        <x:v>範囲内なし</x:v>
      </x:c>
      <x:c r="L154" s="7" t="n">
        <x:f>10*I154-R154</x:f>
        <x:v>-115401.40881358867</x:v>
      </x:c>
      <x:c r="M154" s="7" t="n">
        <x:f>30*I154-S154</x:f>
        <x:v>-290682.3571881504</x:v>
      </x:c>
      <x:c r="N154" s="7" t="n">
        <x:f>50*I154-S154</x:f>
        <x:v>-461463.30556271214</x:v>
      </x:c>
      <x:c r="O154" s="7" t="n">
        <x:f>100*I154-S154</x:f>
        <x:v>-888415.6764991165</x:v>
      </x:c>
      <x:c r="P154" s="7" t="n">
        <x:f>300*I154-T154</x:f>
        <x:v>-2618225.160244734</x:v>
      </x:c>
      <x:c r="Q154" s="7" t="n">
        <x:f>1000*I154-U154</x:f>
        <x:v>-8625558.353354394</x:v>
      </x:c>
      <x:c r="R15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154*'損益分岐設定'!$B$12*'損益分岐設定'!$B$11</x:f>
        <x:v>30010.934626307797</x:v>
      </x:c>
      <x:c r="S15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154*'損益分岐設定'!$B$12*'損益分岐設定'!$B$11</x:f>
        <x:v>34510.9346263078</x:v>
      </x:c>
      <x:c r="T15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154*'損益分岐設定'!$B$12*'損益分岐設定'!$B$11</x:f>
        <x:v>56510.9346263078</x:v>
      </x:c>
      <x:c r="U15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154*'損益分岐設定'!$B$12*'損益分岐設定'!$B$11</x:f>
        <x:v>86510.9346263078</x:v>
      </x:c>
      <x:c r="V154" s="1" t="n">
        <x:f>IF(I154&lt;=0,1001,IF(MAX('損益分岐設定'!B37,ROUNDUP(R154/I154,0))&lt;='損益分岐設定'!C37,MAX('損益分岐設定'!B37,ROUNDUP(R154/I154,0)),1001))</x:f>
        <x:v>1001</x:v>
      </x:c>
      <x:c r="W154" s="1" t="n">
        <x:f>IF(I154&lt;=0,1001,IF(MAX('損益分岐設定'!B38,ROUNDUP(S154/I154,0))&lt;='損益分岐設定'!C38,MAX('損益分岐設定'!B38,ROUNDUP(S154/I154,0)),1001))</x:f>
        <x:v>1001</x:v>
      </x:c>
      <x:c r="X154" s="1" t="n">
        <x:f>IF(I154&lt;=0,1001,IF(MAX('損益分岐設定'!B39,ROUNDUP(T154/I154,0))&lt;='損益分岐設定'!C39,MAX('損益分岐設定'!B39,ROUNDUP(T154/I154,0)),1001))</x:f>
        <x:v>1001</x:v>
      </x:c>
      <x:c r="Y154" s="1" t="n">
        <x:f>IF(I154&lt;=0,1001,IF(MAX('損益分岐設定'!B40,ROUNDUP(U154/I154,0))&lt;='損益分岐設定'!C40,MAX('損益分岐設定'!B40,ROUNDUP(U154/I154,0)),1001))</x:f>
        <x:v>1001</x:v>
      </x:c>
      <x:c r="Z154" s="1" t="n">
        <x:f>IF(I154&lt;=0,'損益分岐設定'!C37,IF('損益分岐設定'!C37*I154-R154&lt;0,'損益分岐設定'!C37,IF('損益分岐設定'!B37*I154-R154&gt;=0,0,ROUNDUP(R154/I154,0)-1)))</x:f>
        <x:v>10</x:v>
      </x:c>
      <x:c r="AA154" s="1" t="n">
        <x:f>IF(I154&lt;=0,'損益分岐設定'!C38,IF('損益分岐設定'!C38*I154-S154&lt;0,'損益分岐設定'!C38,IF('損益分岐設定'!B38*I154-S154&gt;=0,0,ROUNDUP(S154/I154,0)-1)))</x:f>
        <x:v>100</x:v>
      </x:c>
      <x:c r="AB154" s="1" t="n">
        <x:f>IF(I154&lt;=0,'損益分岐設定'!C39,IF('損益分岐設定'!C39*I154-T154&lt;0,'損益分岐設定'!C39,IF('損益分岐設定'!B39*I154-T154&gt;=0,0,ROUNDUP(T154/I154,0)-1)))</x:f>
        <x:v>500</x:v>
      </x:c>
      <x:c r="AC154" s="1" t="n">
        <x:f>IF(I154&lt;=0,'損益分岐設定'!C40,IF('損益分岐設定'!C40*I154-U154&lt;0,'損益分岐設定'!C40,IF('損益分岐設定'!B40*I154-U154&gt;=0,0,ROUNDUP(U154/I154,0)-1)))</x:f>
        <x:v>1000</x:v>
      </x:c>
      <x:c r="AD154" s="1" t="n">
        <x:f>'損益分岐設定'!$D$5/SUM('損益分岐設定'!$D$5:$D$7)</x:f>
        <x:v>0.5</x:v>
      </x:c>
      <x:c r="AE154" s="1" t="n">
        <x:f>'損益分岐設定'!$D$6/SUM('損益分岐設定'!$D$5:$D$7)</x:f>
        <x:v>0.3</x:v>
      </x:c>
      <x:c r="AF154" s="1" t="n">
        <x:f>'損益分岐設定'!$D$7/SUM('損益分岐設定'!$D$5:$D$7)</x:f>
        <x:v>0.2</x:v>
      </x:c>
      <x:c r="AG154" s="1" t="n">
        <x:f>AD154*'損益分岐設定'!$C$58+AE154*'損益分岐設定'!$C$61+AF154*'損益分岐設定'!$C$64</x:f>
        <x:v>9174.852856689453</x:v>
      </x:c>
      <x:c r="AH154" s="1" t="n">
        <x:f>AD154*'損益分岐設定'!$D$58+AE154*'損益分岐設定'!$D$61+AF154*'損益分岐設定'!$D$64</x:f>
        <x:v>444</x:v>
      </x:c>
      <x:c r="AI154" s="1" t="n">
        <x:f>AD154*'損益分岐設定'!$E$58+AE154*'損益分岐設定'!$E$61+AF154*'損益分岐設定'!$E$64</x:f>
        <x:v>592</x:v>
      </x:c>
      <x:c r="AJ154" s="1" t="n">
        <x:f>(AD154*'損益分岐設定'!$F$58+AE154*'損益分岐設定'!$F$61+AF154*'損益分岐設定'!$F$64*1)*'損益分岐設定'!$B$22</x:f>
        <x:v>6660</x:v>
      </x:c>
      <x:c r="AK154" s="1" t="n">
        <x:f>AD154*'損益分岐設定'!$G$58+AE154*'損益分岐設定'!$G$61+AF154*'損益分岐設定'!$G$64</x:f>
        <x:v>4440</x:v>
      </x:c>
      <x:c r="AL154" s="1" t="n">
        <x:f>AD154*'損益分岐設定'!$H$58+AE154*'損益分岐設定'!$H$61+AF154*'損益分岐設定'!$H$64</x:f>
        <x:v>1456.6666666666665</x:v>
      </x:c>
      <x:c r="AM154" s="1" t="n">
        <x:f>MAX(1,ROUNDUP('損益分岐設定'!C37*AJ154/('損益分岐設定'!$B$23*'損益分岐設定'!$B$24*3600*'損益分岐設定'!$B$25),0))</x:f>
        <x:v>1</x:v>
      </x:c>
      <x:c r="AN154" s="1" t="n">
        <x:f>MAX(2,ROUNDUP('損益分岐設定'!C38*AJ154/('損益分岐設定'!$B$23*'損益分岐設定'!$B$24*3600*'損益分岐設定'!$B$25),0))</x:f>
        <x:v>2</x:v>
      </x:c>
      <x:c r="AO154" s="1" t="n">
        <x:f>MAX(2,ROUNDUP('損益分岐設定'!C39*AJ154/('損益分岐設定'!$B$23*'損益分岐設定'!$B$24*3600*'損益分岐設定'!$B$25),0))</x:f>
        <x:v>7</x:v>
      </x:c>
      <x:c r="AP154" s="1" t="n">
        <x:f>MAX(2,ROUNDUP('損益分岐設定'!C40*AJ154/('損益分岐設定'!$B$23*'損益分岐設定'!$B$24*3600*'損益分岐設定'!$B$25),0))</x:f>
        <x:v>14</x:v>
      </x:c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 ht="23" customHeight="1">
      <x:c r="A155" s="1" t="str">
        <x:v>Run</x:v>
      </x:c>
      <x:c r="B155" s="1" t="str">
        <x:v>混在</x:v>
      </x:c>
      <x:c r="C155" s="1" t="str">
        <x:v>標準+高位混在</x:v>
      </x:c>
      <x:c r="D155" s="21" t="n">
        <x:v>0</x:v>
      </x:c>
      <x:c r="E155" s="1" t="n">
        <x:v>0</x:v>
      </x:c>
      <x:c r="F155" s="7" t="n">
        <x:f>AD155*'損益分岐設定'!$B$5+AE155*'損益分岐設定'!$B$6+AF155*'損益分岐設定'!$B$7</x:f>
        <x:v>4600</x:v>
      </x:c>
      <x:c r="G155" s="7" t="n">
        <x:f>AG155+(AH155+AI155)*('損益分岐設定'!$B$29+0.5*'損益分岐設定'!$B$30)+AK155*'損益分岐設定'!$B$32+(AJ155+AK155/'損益分岐設定'!$B$28*'損益分岐設定'!$B$26)*('損益分岐設定'!$B$29+'損益分岐設定'!$B$31*'損益分岐設定'!$B$30)</x:f>
        <x:v>2175.967312703143</x:v>
      </x:c>
      <x:c r="H155" s="7" t="n">
        <x:f>AL155*E155</x:f>
        <x:v>0</x:v>
      </x:c>
      <x:c r="I155" s="7" t="n">
        <x:f>F155*(1-D155-'損益分岐設定'!$B$10)-G155-H155</x:f>
        <x:v>2258.432687296857</x:v>
      </x:c>
      <x:c r="J155" s="1" t="n">
        <x:f>IF(MIN(V155:Y155)&gt;1000,"範囲内なし",MIN(V155:Y155))</x:f>
        <x:v>10</x:v>
      </x:c>
      <x:c r="K155" s="1" t="n">
        <x:f>IF(MAX(Z155:AC155)&gt;=1000,"範囲内なし",MAX(1,MAX(Z155:AC155)+1))</x:f>
        <x:v>12</x:v>
      </x:c>
      <x:c r="L155" s="7" t="n">
        <x:f>10*I155-R155</x:f>
        <x:v>573.3922466607692</x:v>
      </x:c>
      <x:c r="M155" s="7" t="n">
        <x:f>30*I155-S155</x:f>
        <x:v>41242.0459925979</x:v>
      </x:c>
      <x:c r="N155" s="7" t="n">
        <x:f>50*I155-S155</x:f>
        <x:v>86410.69973853504</x:v>
      </x:c>
      <x:c r="O155" s="7" t="n">
        <x:f>100*I155-S155</x:f>
        <x:v>199332.33410337789</x:v>
      </x:c>
      <x:c r="P155" s="7" t="n">
        <x:f>300*I155-T155</x:f>
        <x:v>629018.8715627493</x:v>
      </x:c>
      <x:c r="Q155" s="7" t="n">
        <x:f>1000*I155-U155</x:f>
        <x:v>2179921.752670549</x:v>
      </x:c>
      <x:c r="R155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155*'損益分岐設定'!$B$12*'損益分岐設定'!$B$11</x:f>
        <x:v>22010.934626307797</x:v>
      </x:c>
      <x:c r="S155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155*'損益分岐設定'!$B$12*'損益分岐設定'!$B$11</x:f>
        <x:v>26510.934626307797</x:v>
      </x:c>
      <x:c r="T155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155*'損益分岐設定'!$B$12*'損益分岐設定'!$B$11</x:f>
        <x:v>48510.9346263078</x:v>
      </x:c>
      <x:c r="U155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155*'損益分岐設定'!$B$12*'損益分岐設定'!$B$11</x:f>
        <x:v>78510.9346263078</x:v>
      </x:c>
      <x:c r="V155" s="1" t="n">
        <x:f>IF(I155&lt;=0,1001,IF(MAX('損益分岐設定'!B37,ROUNDUP(R155/I155,0))&lt;='損益分岐設定'!C37,MAX('損益分岐設定'!B37,ROUNDUP(R155/I155,0)),1001))</x:f>
        <x:v>10</x:v>
      </x:c>
      <x:c r="W155" s="1" t="n">
        <x:f>IF(I155&lt;=0,1001,IF(MAX('損益分岐設定'!B38,ROUNDUP(S155/I155,0))&lt;='損益分岐設定'!C38,MAX('損益分岐設定'!B38,ROUNDUP(S155/I155,0)),1001))</x:f>
        <x:v>12</x:v>
      </x:c>
      <x:c r="X155" s="1" t="n">
        <x:f>IF(I155&lt;=0,1001,IF(MAX('損益分岐設定'!B39,ROUNDUP(T155/I155,0))&lt;='損益分岐設定'!C39,MAX('損益分岐設定'!B39,ROUNDUP(T155/I155,0)),1001))</x:f>
        <x:v>101</x:v>
      </x:c>
      <x:c r="Y155" s="1" t="n">
        <x:f>IF(I155&lt;=0,1001,IF(MAX('損益分岐設定'!B40,ROUNDUP(U155/I155,0))&lt;='損益分岐設定'!C40,MAX('損益分岐設定'!B40,ROUNDUP(U155/I155,0)),1001))</x:f>
        <x:v>501</x:v>
      </x:c>
      <x:c r="Z155" s="1" t="n">
        <x:f>IF(I155&lt;=0,'損益分岐設定'!C37,IF('損益分岐設定'!C37*I155-R155&lt;0,'損益分岐設定'!C37,IF('損益分岐設定'!B37*I155-R155&gt;=0,0,ROUNDUP(R155/I155,0)-1)))</x:f>
        <x:v>9</x:v>
      </x:c>
      <x:c r="AA155" s="1" t="n">
        <x:f>IF(I155&lt;=0,'損益分岐設定'!C38,IF('損益分岐設定'!C38*I155-S155&lt;0,'損益分岐設定'!C38,IF('損益分岐設定'!B38*I155-S155&gt;=0,0,ROUNDUP(S155/I155,0)-1)))</x:f>
        <x:v>11</x:v>
      </x:c>
      <x:c r="AB155" s="1" t="n">
        <x:f>IF(I155&lt;=0,'損益分岐設定'!C39,IF('損益分岐設定'!C39*I155-T155&lt;0,'損益分岐設定'!C39,IF('損益分岐設定'!B39*I155-T155&gt;=0,0,ROUNDUP(T155/I155,0)-1)))</x:f>
        <x:v>0</x:v>
      </x:c>
      <x:c r="AC155" s="1" t="n">
        <x:f>IF(I155&lt;=0,'損益分岐設定'!C40,IF('損益分岐設定'!C40*I155-U155&lt;0,'損益分岐設定'!C40,IF('損益分岐設定'!B40*I155-U155&gt;=0,0,ROUNDUP(U155/I155,0)-1)))</x:f>
        <x:v>0</x:v>
      </x:c>
      <x:c r="AD155" s="1" t="n">
        <x:f>'損益分岐設定'!$D$5/SUM('損益分岐設定'!$D$5:$D$7)</x:f>
        <x:v>0.5</x:v>
      </x:c>
      <x:c r="AE155" s="1" t="n">
        <x:f>'損益分岐設定'!$D$6/SUM('損益分岐設定'!$D$5:$D$7)</x:f>
        <x:v>0.3</x:v>
      </x:c>
      <x:c r="AF155" s="1" t="n">
        <x:f>'損益分岐設定'!$D$7/SUM('損益分岐設定'!$D$5:$D$7)</x:f>
        <x:v>0.2</x:v>
      </x:c>
      <x:c r="AG155" s="1" t="n">
        <x:f>AD155*('損益分岐設定'!$C$57*(1-'損益分岐設定'!$B$51)+'損益分岐設定'!$C$58*'損益分岐設定'!$B$51)+AE155*('損益分岐設定'!$C$60*(1-'損益分岐設定'!$B$51)+'損益分岐設定'!$C$61*'損益分岐設定'!$B$51)+AF155*('損益分岐設定'!$C$63*(1-'損益分岐設定'!$B$51)+'損益分岐設定'!$C$64*'損益分岐設定'!$B$51)</x:f>
        <x:v>2164.7431551757813</x:v>
      </x:c>
      <x:c r="AH155" s="1" t="n">
        <x:f>AD155*('損益分岐設定'!$D$57*(1-'損益分岐設定'!$B$51)+'損益分岐設定'!$D$58*'損益分岐設定'!$B$51)+AE155*('損益分岐設定'!$D$60*(1-'損益分岐設定'!$B$51)+'損益分岐設定'!$D$61*'損益分岐設定'!$B$51)+AF155*('損益分岐設定'!$D$63*(1-'損益分岐設定'!$B$51)+'損益分岐設定'!$D$64*'損益分岐設定'!$B$51)</x:f>
        <x:v>177.6</x:v>
      </x:c>
      <x:c r="AI155" s="1" t="n">
        <x:f>AD155*('損益分岐設定'!$E$57*(1-'損益分岐設定'!$B$51)+'損益分岐設定'!$E$58*'損益分岐設定'!$B$51)+AE155*('損益分岐設定'!$E$60*(1-'損益分岐設定'!$B$51)+'損益分岐設定'!$E$61*'損益分岐設定'!$B$51)+AF155*('損益分岐設定'!$E$63*(1-'損益分岐設定'!$B$51)+'損益分岐設定'!$E$64*'損益分岐設定'!$B$51)</x:f>
        <x:v>207.2</x:v>
      </x:c>
      <x:c r="AJ155" s="1" t="n">
        <x:f>(AD155*('損益分岐設定'!$F$57*(1-'損益分岐設定'!$B$51)+'損益分岐設定'!$F$58*'損益分岐設定'!$B$51)+AE155*('損益分岐設定'!$F$60*(1-'損益分岐設定'!$B$51)+'損益分岐設定'!$F$61*'損益分岐設定'!$B$51)+AF155*('損益分岐設定'!$F$63*(1-'損益分岐設定'!$B$51)+'損益分岐設定'!$F$64*'損益分岐設定'!$B$51)*1)*'損益分岐設定'!$B$22</x:f>
        <x:v>1687.2</x:v>
      </x:c>
      <x:c r="AK155" s="1" t="n">
        <x:f>AD155*('損益分岐設定'!$G$57*(1-'損益分岐設定'!$B$51)+'損益分岐設定'!$G$58*'損益分岐設定'!$B$51)+AE155*('損益分岐設定'!$G$60*(1-'損益分岐設定'!$B$51)+'損益分岐設定'!$G$61*'損益分岐設定'!$B$51)+AF155*('損益分岐設定'!$G$63*(1-'損益分岐設定'!$B$51)+'損益分岐設定'!$G$64*'損益分岐設定'!$B$51)</x:f>
        <x:v>1480</x:v>
      </x:c>
      <x:c r="AL155" s="1" t="n">
        <x:f>AD155*('損益分岐設定'!$H$57*(1-'損益分岐設定'!$B$51)+'損益分岐設定'!$H$58*'損益分岐設定'!$B$51)+AE155*('損益分岐設定'!$H$60*(1-'損益分岐設定'!$B$51)+'損益分岐設定'!$H$61*'損益分岐設定'!$B$51)+AF155*('損益分岐設定'!$H$63*(1-'損益分岐設定'!$B$51)+'損益分岐設定'!$H$64*'損益分岐設定'!$B$51)</x:f>
        <x:v>816.6666666666667</x:v>
      </x:c>
      <x:c r="AM155" s="1" t="n">
        <x:f>MAX(1,ROUNDUP('損益分岐設定'!C37*AJ155/('損益分岐設定'!$B$23*'損益分岐設定'!$B$24*3600*'損益分岐設定'!$B$25),0))</x:f>
        <x:v>1</x:v>
      </x:c>
      <x:c r="AN155" s="1" t="n">
        <x:f>MAX(2,ROUNDUP('損益分岐設定'!C38*AJ155/('損益分岐設定'!$B$23*'損益分岐設定'!$B$24*3600*'損益分岐設定'!$B$25),0))</x:f>
        <x:v>2</x:v>
      </x:c>
      <x:c r="AO155" s="1" t="n">
        <x:f>MAX(2,ROUNDUP('損益分岐設定'!C39*AJ155/('損益分岐設定'!$B$23*'損益分岐設定'!$B$24*3600*'損益分岐設定'!$B$25),0))</x:f>
        <x:v>2</x:v>
      </x:c>
      <x:c r="AP155" s="1" t="n">
        <x:f>MAX(2,ROUNDUP('損益分岐設定'!C40*AJ155/('損益分岐設定'!$B$23*'損益分岐設定'!$B$24*3600*'損益分岐設定'!$B$25),0))</x:f>
        <x:v>4</x:v>
      </x:c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 ht="23" customHeight="1">
      <x:c r="A156" s="1" t="str">
        <x:v>Run</x:v>
      </x:c>
      <x:c r="B156" s="1" t="str">
        <x:v>混在</x:v>
      </x:c>
      <x:c r="C156" s="1" t="str">
        <x:v>標準+高位混在</x:v>
      </x:c>
      <x:c r="D156" s="21" t="n">
        <x:v>0</x:v>
      </x:c>
      <x:c r="E156" s="1" t="n">
        <x:v>1</x:v>
      </x:c>
      <x:c r="F156" s="7" t="n">
        <x:f>AD156*'損益分岐設定'!$B$5+AE156*'損益分岐設定'!$B$6+AF156*'損益分岐設定'!$B$7</x:f>
        <x:v>4600</x:v>
      </x:c>
      <x:c r="G156" s="7" t="n">
        <x:f>AG156+(AH156+AI156)*('損益分岐設定'!$B$29+0.5*'損益分岐設定'!$B$30)+AK156*'損益分岐設定'!$B$32+(AJ156+AK156/'損益分岐設定'!$B$28*'損益分岐設定'!$B$26)*('損益分岐設定'!$B$29+'損益分岐設定'!$B$31*'損益分岐設定'!$B$30)</x:f>
        <x:v>2175.967312703143</x:v>
      </x:c>
      <x:c r="H156" s="7" t="n">
        <x:f>AL156*E156</x:f>
        <x:v>816.6666666666667</x:v>
      </x:c>
      <x:c r="I156" s="7" t="n">
        <x:f>F156*(1-D156-'損益分岐設定'!$B$10)-G156-H156</x:f>
        <x:v>1441.76602063019</x:v>
      </x:c>
      <x:c r="J156" s="1" t="n">
        <x:f>IF(MIN(V156:Y156)&gt;1000,"範囲内なし",MIN(V156:Y156))</x:f>
        <x:v>24</x:v>
      </x:c>
      <x:c r="K156" s="1" t="n">
        <x:f>IF(MAX(Z156:AC156)&gt;=1000,"範囲内なし",MAX(1,MAX(Z156:AC156)+1))</x:f>
        <x:v>24</x:v>
      </x:c>
      <x:c r="L156" s="7" t="n">
        <x:f>10*I156-R156</x:f>
        <x:v>-15593.274420005897</x:v>
      </x:c>
      <x:c r="M156" s="7" t="n">
        <x:f>30*I156-S156</x:f>
        <x:v>8742.045992597901</x:v>
      </x:c>
      <x:c r="N156" s="7" t="n">
        <x:f>50*I156-S156</x:f>
        <x:v>37577.366405201705</x:v>
      </x:c>
      <x:c r="O156" s="7" t="n">
        <x:f>100*I156-S156</x:f>
        <x:v>109665.6674367112</x:v>
      </x:c>
      <x:c r="P156" s="7" t="n">
        <x:f>300*I156-T156</x:f>
        <x:v>376018.8715627492</x:v>
      </x:c>
      <x:c r="Q156" s="7" t="n">
        <x:f>1000*I156-U156</x:f>
        <x:v>1355255.0860038823</x:v>
      </x:c>
      <x:c r="R156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156*'損益分岐設定'!$B$12*'損益分岐設定'!$B$11</x:f>
        <x:v>30010.934626307797</x:v>
      </x:c>
      <x:c r="S156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156*'損益分岐設定'!$B$12*'損益分岐設定'!$B$11</x:f>
        <x:v>34510.9346263078</x:v>
      </x:c>
      <x:c r="T156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156*'損益分岐設定'!$B$12*'損益分岐設定'!$B$11</x:f>
        <x:v>56510.9346263078</x:v>
      </x:c>
      <x:c r="U156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156*'損益分岐設定'!$B$12*'損益分岐設定'!$B$11</x:f>
        <x:v>86510.9346263078</x:v>
      </x:c>
      <x:c r="V156" s="1" t="n">
        <x:f>IF(I156&lt;=0,1001,IF(MAX('損益分岐設定'!B37,ROUNDUP(R156/I156,0))&lt;='損益分岐設定'!C37,MAX('損益分岐設定'!B37,ROUNDUP(R156/I156,0)),1001))</x:f>
        <x:v>1001</x:v>
      </x:c>
      <x:c r="W156" s="1" t="n">
        <x:f>IF(I156&lt;=0,1001,IF(MAX('損益分岐設定'!B38,ROUNDUP(S156/I156,0))&lt;='損益分岐設定'!C38,MAX('損益分岐設定'!B38,ROUNDUP(S156/I156,0)),1001))</x:f>
        <x:v>24</x:v>
      </x:c>
      <x:c r="X156" s="1" t="n">
        <x:f>IF(I156&lt;=0,1001,IF(MAX('損益分岐設定'!B39,ROUNDUP(T156/I156,0))&lt;='損益分岐設定'!C39,MAX('損益分岐設定'!B39,ROUNDUP(T156/I156,0)),1001))</x:f>
        <x:v>101</x:v>
      </x:c>
      <x:c r="Y156" s="1" t="n">
        <x:f>IF(I156&lt;=0,1001,IF(MAX('損益分岐設定'!B40,ROUNDUP(U156/I156,0))&lt;='損益分岐設定'!C40,MAX('損益分岐設定'!B40,ROUNDUP(U156/I156,0)),1001))</x:f>
        <x:v>501</x:v>
      </x:c>
      <x:c r="Z156" s="1" t="n">
        <x:f>IF(I156&lt;=0,'損益分岐設定'!C37,IF('損益分岐設定'!C37*I156-R156&lt;0,'損益分岐設定'!C37,IF('損益分岐設定'!B37*I156-R156&gt;=0,0,ROUNDUP(R156/I156,0)-1)))</x:f>
        <x:v>10</x:v>
      </x:c>
      <x:c r="AA156" s="1" t="n">
        <x:f>IF(I156&lt;=0,'損益分岐設定'!C38,IF('損益分岐設定'!C38*I156-S156&lt;0,'損益分岐設定'!C38,IF('損益分岐設定'!B38*I156-S156&gt;=0,0,ROUNDUP(S156/I156,0)-1)))</x:f>
        <x:v>23</x:v>
      </x:c>
      <x:c r="AB156" s="1" t="n">
        <x:f>IF(I156&lt;=0,'損益分岐設定'!C39,IF('損益分岐設定'!C39*I156-T156&lt;0,'損益分岐設定'!C39,IF('損益分岐設定'!B39*I156-T156&gt;=0,0,ROUNDUP(T156/I156,0)-1)))</x:f>
        <x:v>0</x:v>
      </x:c>
      <x:c r="AC156" s="1" t="n">
        <x:f>IF(I156&lt;=0,'損益分岐設定'!C40,IF('損益分岐設定'!C40*I156-U156&lt;0,'損益分岐設定'!C40,IF('損益分岐設定'!B40*I156-U156&gt;=0,0,ROUNDUP(U156/I156,0)-1)))</x:f>
        <x:v>0</x:v>
      </x:c>
      <x:c r="AD156" s="1" t="n">
        <x:f>'損益分岐設定'!$D$5/SUM('損益分岐設定'!$D$5:$D$7)</x:f>
        <x:v>0.5</x:v>
      </x:c>
      <x:c r="AE156" s="1" t="n">
        <x:f>'損益分岐設定'!$D$6/SUM('損益分岐設定'!$D$5:$D$7)</x:f>
        <x:v>0.3</x:v>
      </x:c>
      <x:c r="AF156" s="1" t="n">
        <x:f>'損益分岐設定'!$D$7/SUM('損益分岐設定'!$D$5:$D$7)</x:f>
        <x:v>0.2</x:v>
      </x:c>
      <x:c r="AG156" s="1" t="n">
        <x:f>AD156*('損益分岐設定'!$C$57*(1-'損益分岐設定'!$B$51)+'損益分岐設定'!$C$58*'損益分岐設定'!$B$51)+AE156*('損益分岐設定'!$C$60*(1-'損益分岐設定'!$B$51)+'損益分岐設定'!$C$61*'損益分岐設定'!$B$51)+AF156*('損益分岐設定'!$C$63*(1-'損益分岐設定'!$B$51)+'損益分岐設定'!$C$64*'損益分岐設定'!$B$51)</x:f>
        <x:v>2164.7431551757813</x:v>
      </x:c>
      <x:c r="AH156" s="1" t="n">
        <x:f>AD156*('損益分岐設定'!$D$57*(1-'損益分岐設定'!$B$51)+'損益分岐設定'!$D$58*'損益分岐設定'!$B$51)+AE156*('損益分岐設定'!$D$60*(1-'損益分岐設定'!$B$51)+'損益分岐設定'!$D$61*'損益分岐設定'!$B$51)+AF156*('損益分岐設定'!$D$63*(1-'損益分岐設定'!$B$51)+'損益分岐設定'!$D$64*'損益分岐設定'!$B$51)</x:f>
        <x:v>177.6</x:v>
      </x:c>
      <x:c r="AI156" s="1" t="n">
        <x:f>AD156*('損益分岐設定'!$E$57*(1-'損益分岐設定'!$B$51)+'損益分岐設定'!$E$58*'損益分岐設定'!$B$51)+AE156*('損益分岐設定'!$E$60*(1-'損益分岐設定'!$B$51)+'損益分岐設定'!$E$61*'損益分岐設定'!$B$51)+AF156*('損益分岐設定'!$E$63*(1-'損益分岐設定'!$B$51)+'損益分岐設定'!$E$64*'損益分岐設定'!$B$51)</x:f>
        <x:v>207.2</x:v>
      </x:c>
      <x:c r="AJ156" s="1" t="n">
        <x:f>(AD156*('損益分岐設定'!$F$57*(1-'損益分岐設定'!$B$51)+'損益分岐設定'!$F$58*'損益分岐設定'!$B$51)+AE156*('損益分岐設定'!$F$60*(1-'損益分岐設定'!$B$51)+'損益分岐設定'!$F$61*'損益分岐設定'!$B$51)+AF156*('損益分岐設定'!$F$63*(1-'損益分岐設定'!$B$51)+'損益分岐設定'!$F$64*'損益分岐設定'!$B$51)*1)*'損益分岐設定'!$B$22</x:f>
        <x:v>1687.2</x:v>
      </x:c>
      <x:c r="AK156" s="1" t="n">
        <x:f>AD156*('損益分岐設定'!$G$57*(1-'損益分岐設定'!$B$51)+'損益分岐設定'!$G$58*'損益分岐設定'!$B$51)+AE156*('損益分岐設定'!$G$60*(1-'損益分岐設定'!$B$51)+'損益分岐設定'!$G$61*'損益分岐設定'!$B$51)+AF156*('損益分岐設定'!$G$63*(1-'損益分岐設定'!$B$51)+'損益分岐設定'!$G$64*'損益分岐設定'!$B$51)</x:f>
        <x:v>1480</x:v>
      </x:c>
      <x:c r="AL156" s="1" t="n">
        <x:f>AD156*('損益分岐設定'!$H$57*(1-'損益分岐設定'!$B$51)+'損益分岐設定'!$H$58*'損益分岐設定'!$B$51)+AE156*('損益分岐設定'!$H$60*(1-'損益分岐設定'!$B$51)+'損益分岐設定'!$H$61*'損益分岐設定'!$B$51)+AF156*('損益分岐設定'!$H$63*(1-'損益分岐設定'!$B$51)+'損益分岐設定'!$H$64*'損益分岐設定'!$B$51)</x:f>
        <x:v>816.6666666666667</x:v>
      </x:c>
      <x:c r="AM156" s="1" t="n">
        <x:f>MAX(1,ROUNDUP('損益分岐設定'!C37*AJ156/('損益分岐設定'!$B$23*'損益分岐設定'!$B$24*3600*'損益分岐設定'!$B$25),0))</x:f>
        <x:v>1</x:v>
      </x:c>
      <x:c r="AN156" s="1" t="n">
        <x:f>MAX(2,ROUNDUP('損益分岐設定'!C38*AJ156/('損益分岐設定'!$B$23*'損益分岐設定'!$B$24*3600*'損益分岐設定'!$B$25),0))</x:f>
        <x:v>2</x:v>
      </x:c>
      <x:c r="AO156" s="1" t="n">
        <x:f>MAX(2,ROUNDUP('損益分岐設定'!C39*AJ156/('損益分岐設定'!$B$23*'損益分岐設定'!$B$24*3600*'損益分岐設定'!$B$25),0))</x:f>
        <x:v>2</x:v>
      </x:c>
      <x:c r="AP156" s="1" t="n">
        <x:f>MAX(2,ROUNDUP('損益分岐設定'!C40*AJ156/('損益分岐設定'!$B$23*'損益分岐設定'!$B$24*3600*'損益分岐設定'!$B$25),0))</x:f>
        <x:v>4</x:v>
      </x:c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 ht="23" customHeight="1">
      <x:c r="A157" s="1" t="str">
        <x:v>Run</x:v>
      </x:c>
      <x:c r="B157" s="1" t="str">
        <x:v>混在</x:v>
      </x:c>
      <x:c r="C157" s="1" t="str">
        <x:v>標準+高位混在</x:v>
      </x:c>
      <x:c r="D157" s="21" t="n">
        <x:v>0.2</x:v>
      </x:c>
      <x:c r="E157" s="1" t="n">
        <x:v>0</x:v>
      </x:c>
      <x:c r="F157" s="7" t="n">
        <x:f>AD157*'損益分岐設定'!$B$5+AE157*'損益分岐設定'!$B$6+AF157*'損益分岐設定'!$B$7</x:f>
        <x:v>4600</x:v>
      </x:c>
      <x:c r="G157" s="7" t="n">
        <x:f>AG157+(AH157+AI157)*('損益分岐設定'!$B$29+0.5*'損益分岐設定'!$B$30)+AK157*'損益分岐設定'!$B$32+(AJ157+AK157/'損益分岐設定'!$B$28*'損益分岐設定'!$B$26)*('損益分岐設定'!$B$29+'損益分岐設定'!$B$31*'損益分岐設定'!$B$30)</x:f>
        <x:v>2175.967312703143</x:v>
      </x:c>
      <x:c r="H157" s="7" t="n">
        <x:f>AL157*E157</x:f>
        <x:v>0</x:v>
      </x:c>
      <x:c r="I157" s="7" t="n">
        <x:f>F157*(1-D157-'損益分岐設定'!$B$10)-G157-H157</x:f>
        <x:v>1338.4326872968572</x:v>
      </x:c>
      <x:c r="J157" s="1" t="n">
        <x:f>IF(MIN(V157:Y157)&gt;1000,"範囲内なし",MIN(V157:Y157))</x:f>
        <x:v>20</x:v>
      </x:c>
      <x:c r="K157" s="1" t="n">
        <x:f>IF(MAX(Z157:AC157)&gt;=1000,"範囲内なし",MAX(1,MAX(Z157:AC157)+1))</x:f>
        <x:v>20</x:v>
      </x:c>
      <x:c r="L157" s="7" t="n">
        <x:f>10*I157-R157</x:f>
        <x:v>-8626.607753339224</x:v>
      </x:c>
      <x:c r="M157" s="7" t="n">
        <x:f>30*I157-S157</x:f>
        <x:v>13642.045992597923</x:v>
      </x:c>
      <x:c r="N157" s="7" t="n">
        <x:f>50*I157-S157</x:f>
        <x:v>40410.69973853506</x:v>
      </x:c>
      <x:c r="O157" s="7" t="n">
        <x:f>100*I157-S157</x:f>
        <x:v>107332.33410337791</x:v>
      </x:c>
      <x:c r="P157" s="7" t="n">
        <x:f>300*I157-T157</x:f>
        <x:v>353018.8715627494</x:v>
      </x:c>
      <x:c r="Q157" s="7" t="n">
        <x:f>1000*I157-U157</x:f>
        <x:v>1259921.7526705493</x:v>
      </x:c>
      <x:c r="R157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157*'損益分岐設定'!$B$12*'損益分岐設定'!$B$11</x:f>
        <x:v>22010.934626307797</x:v>
      </x:c>
      <x:c r="S157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157*'損益分岐設定'!$B$12*'損益分岐設定'!$B$11</x:f>
        <x:v>26510.934626307797</x:v>
      </x:c>
      <x:c r="T157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157*'損益分岐設定'!$B$12*'損益分岐設定'!$B$11</x:f>
        <x:v>48510.9346263078</x:v>
      </x:c>
      <x:c r="U157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157*'損益分岐設定'!$B$12*'損益分岐設定'!$B$11</x:f>
        <x:v>78510.9346263078</x:v>
      </x:c>
      <x:c r="V157" s="1" t="n">
        <x:f>IF(I157&lt;=0,1001,IF(MAX('損益分岐設定'!B37,ROUNDUP(R157/I157,0))&lt;='損益分岐設定'!C37,MAX('損益分岐設定'!B37,ROUNDUP(R157/I157,0)),1001))</x:f>
        <x:v>1001</x:v>
      </x:c>
      <x:c r="W157" s="1" t="n">
        <x:f>IF(I157&lt;=0,1001,IF(MAX('損益分岐設定'!B38,ROUNDUP(S157/I157,0))&lt;='損益分岐設定'!C38,MAX('損益分岐設定'!B38,ROUNDUP(S157/I157,0)),1001))</x:f>
        <x:v>20</x:v>
      </x:c>
      <x:c r="X157" s="1" t="n">
        <x:f>IF(I157&lt;=0,1001,IF(MAX('損益分岐設定'!B39,ROUNDUP(T157/I157,0))&lt;='損益分岐設定'!C39,MAX('損益分岐設定'!B39,ROUNDUP(T157/I157,0)),1001))</x:f>
        <x:v>101</x:v>
      </x:c>
      <x:c r="Y157" s="1" t="n">
        <x:f>IF(I157&lt;=0,1001,IF(MAX('損益分岐設定'!B40,ROUNDUP(U157/I157,0))&lt;='損益分岐設定'!C40,MAX('損益分岐設定'!B40,ROUNDUP(U157/I157,0)),1001))</x:f>
        <x:v>501</x:v>
      </x:c>
      <x:c r="Z157" s="1" t="n">
        <x:f>IF(I157&lt;=0,'損益分岐設定'!C37,IF('損益分岐設定'!C37*I157-R157&lt;0,'損益分岐設定'!C37,IF('損益分岐設定'!B37*I157-R157&gt;=0,0,ROUNDUP(R157/I157,0)-1)))</x:f>
        <x:v>10</x:v>
      </x:c>
      <x:c r="AA157" s="1" t="n">
        <x:f>IF(I157&lt;=0,'損益分岐設定'!C38,IF('損益分岐設定'!C38*I157-S157&lt;0,'損益分岐設定'!C38,IF('損益分岐設定'!B38*I157-S157&gt;=0,0,ROUNDUP(S157/I157,0)-1)))</x:f>
        <x:v>19</x:v>
      </x:c>
      <x:c r="AB157" s="1" t="n">
        <x:f>IF(I157&lt;=0,'損益分岐設定'!C39,IF('損益分岐設定'!C39*I157-T157&lt;0,'損益分岐設定'!C39,IF('損益分岐設定'!B39*I157-T157&gt;=0,0,ROUNDUP(T157/I157,0)-1)))</x:f>
        <x:v>0</x:v>
      </x:c>
      <x:c r="AC157" s="1" t="n">
        <x:f>IF(I157&lt;=0,'損益分岐設定'!C40,IF('損益分岐設定'!C40*I157-U157&lt;0,'損益分岐設定'!C40,IF('損益分岐設定'!B40*I157-U157&gt;=0,0,ROUNDUP(U157/I157,0)-1)))</x:f>
        <x:v>0</x:v>
      </x:c>
      <x:c r="AD157" s="1" t="n">
        <x:f>'損益分岐設定'!$D$5/SUM('損益分岐設定'!$D$5:$D$7)</x:f>
        <x:v>0.5</x:v>
      </x:c>
      <x:c r="AE157" s="1" t="n">
        <x:f>'損益分岐設定'!$D$6/SUM('損益分岐設定'!$D$5:$D$7)</x:f>
        <x:v>0.3</x:v>
      </x:c>
      <x:c r="AF157" s="1" t="n">
        <x:f>'損益分岐設定'!$D$7/SUM('損益分岐設定'!$D$5:$D$7)</x:f>
        <x:v>0.2</x:v>
      </x:c>
      <x:c r="AG157" s="1" t="n">
        <x:f>AD157*('損益分岐設定'!$C$57*(1-'損益分岐設定'!$B$51)+'損益分岐設定'!$C$58*'損益分岐設定'!$B$51)+AE157*('損益分岐設定'!$C$60*(1-'損益分岐設定'!$B$51)+'損益分岐設定'!$C$61*'損益分岐設定'!$B$51)+AF157*('損益分岐設定'!$C$63*(1-'損益分岐設定'!$B$51)+'損益分岐設定'!$C$64*'損益分岐設定'!$B$51)</x:f>
        <x:v>2164.7431551757813</x:v>
      </x:c>
      <x:c r="AH157" s="1" t="n">
        <x:f>AD157*('損益分岐設定'!$D$57*(1-'損益分岐設定'!$B$51)+'損益分岐設定'!$D$58*'損益分岐設定'!$B$51)+AE157*('損益分岐設定'!$D$60*(1-'損益分岐設定'!$B$51)+'損益分岐設定'!$D$61*'損益分岐設定'!$B$51)+AF157*('損益分岐設定'!$D$63*(1-'損益分岐設定'!$B$51)+'損益分岐設定'!$D$64*'損益分岐設定'!$B$51)</x:f>
        <x:v>177.6</x:v>
      </x:c>
      <x:c r="AI157" s="1" t="n">
        <x:f>AD157*('損益分岐設定'!$E$57*(1-'損益分岐設定'!$B$51)+'損益分岐設定'!$E$58*'損益分岐設定'!$B$51)+AE157*('損益分岐設定'!$E$60*(1-'損益分岐設定'!$B$51)+'損益分岐設定'!$E$61*'損益分岐設定'!$B$51)+AF157*('損益分岐設定'!$E$63*(1-'損益分岐設定'!$B$51)+'損益分岐設定'!$E$64*'損益分岐設定'!$B$51)</x:f>
        <x:v>207.2</x:v>
      </x:c>
      <x:c r="AJ157" s="1" t="n">
        <x:f>(AD157*('損益分岐設定'!$F$57*(1-'損益分岐設定'!$B$51)+'損益分岐設定'!$F$58*'損益分岐設定'!$B$51)+AE157*('損益分岐設定'!$F$60*(1-'損益分岐設定'!$B$51)+'損益分岐設定'!$F$61*'損益分岐設定'!$B$51)+AF157*('損益分岐設定'!$F$63*(1-'損益分岐設定'!$B$51)+'損益分岐設定'!$F$64*'損益分岐設定'!$B$51)*1)*'損益分岐設定'!$B$22</x:f>
        <x:v>1687.2</x:v>
      </x:c>
      <x:c r="AK157" s="1" t="n">
        <x:f>AD157*('損益分岐設定'!$G$57*(1-'損益分岐設定'!$B$51)+'損益分岐設定'!$G$58*'損益分岐設定'!$B$51)+AE157*('損益分岐設定'!$G$60*(1-'損益分岐設定'!$B$51)+'損益分岐設定'!$G$61*'損益分岐設定'!$B$51)+AF157*('損益分岐設定'!$G$63*(1-'損益分岐設定'!$B$51)+'損益分岐設定'!$G$64*'損益分岐設定'!$B$51)</x:f>
        <x:v>1480</x:v>
      </x:c>
      <x:c r="AL157" s="1" t="n">
        <x:f>AD157*('損益分岐設定'!$H$57*(1-'損益分岐設定'!$B$51)+'損益分岐設定'!$H$58*'損益分岐設定'!$B$51)+AE157*('損益分岐設定'!$H$60*(1-'損益分岐設定'!$B$51)+'損益分岐設定'!$H$61*'損益分岐設定'!$B$51)+AF157*('損益分岐設定'!$H$63*(1-'損益分岐設定'!$B$51)+'損益分岐設定'!$H$64*'損益分岐設定'!$B$51)</x:f>
        <x:v>816.6666666666667</x:v>
      </x:c>
      <x:c r="AM157" s="1" t="n">
        <x:f>MAX(1,ROUNDUP('損益分岐設定'!C37*AJ157/('損益分岐設定'!$B$23*'損益分岐設定'!$B$24*3600*'損益分岐設定'!$B$25),0))</x:f>
        <x:v>1</x:v>
      </x:c>
      <x:c r="AN157" s="1" t="n">
        <x:f>MAX(2,ROUNDUP('損益分岐設定'!C38*AJ157/('損益分岐設定'!$B$23*'損益分岐設定'!$B$24*3600*'損益分岐設定'!$B$25),0))</x:f>
        <x:v>2</x:v>
      </x:c>
      <x:c r="AO157" s="1" t="n">
        <x:f>MAX(2,ROUNDUP('損益分岐設定'!C39*AJ157/('損益分岐設定'!$B$23*'損益分岐設定'!$B$24*3600*'損益分岐設定'!$B$25),0))</x:f>
        <x:v>2</x:v>
      </x:c>
      <x:c r="AP157" s="1" t="n">
        <x:f>MAX(2,ROUNDUP('損益分岐設定'!C40*AJ157/('損益分岐設定'!$B$23*'損益分岐設定'!$B$24*3600*'損益分岐設定'!$B$25),0))</x:f>
        <x:v>4</x:v>
      </x:c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 ht="23" customHeight="1">
      <x:c r="A158" s="1" t="str">
        <x:v>Run</x:v>
      </x:c>
      <x:c r="B158" s="1" t="str">
        <x:v>混在</x:v>
      </x:c>
      <x:c r="C158" s="1" t="str">
        <x:v>標準+高位混在</x:v>
      </x:c>
      <x:c r="D158" s="21" t="n">
        <x:v>0.2</x:v>
      </x:c>
      <x:c r="E158" s="1" t="n">
        <x:v>1</x:v>
      </x:c>
      <x:c r="F158" s="7" t="n">
        <x:f>AD158*'損益分岐設定'!$B$5+AE158*'損益分岐設定'!$B$6+AF158*'損益分岐設定'!$B$7</x:f>
        <x:v>4600</x:v>
      </x:c>
      <x:c r="G158" s="7" t="n">
        <x:f>AG158+(AH158+AI158)*('損益分岐設定'!$B$29+0.5*'損益分岐設定'!$B$30)+AK158*'損益分岐設定'!$B$32+(AJ158+AK158/'損益分岐設定'!$B$28*'損益分岐設定'!$B$26)*('損益分岐設定'!$B$29+'損益分岐設定'!$B$31*'損益分岐設定'!$B$30)</x:f>
        <x:v>2175.967312703143</x:v>
      </x:c>
      <x:c r="H158" s="7" t="n">
        <x:f>AL158*E158</x:f>
        <x:v>816.6666666666667</x:v>
      </x:c>
      <x:c r="I158" s="7" t="n">
        <x:f>F158*(1-D158-'損益分岐設定'!$B$10)-G158-H158</x:f>
        <x:v>521.7660206301905</x:v>
      </x:c>
      <x:c r="J158" s="1" t="n">
        <x:f>IF(MIN(V158:Y158)&gt;1000,"範囲内なし",MIN(V158:Y158))</x:f>
        <x:v>67</x:v>
      </x:c>
      <x:c r="K158" s="1" t="n">
        <x:f>IF(MAX(Z158:AC158)&gt;=1000,"範囲内なし",MAX(1,MAX(Z158:AC158)+1))</x:f>
        <x:v>109</x:v>
      </x:c>
      <x:c r="L158" s="7" t="n">
        <x:f>10*I158-R158</x:f>
        <x:v>-24793.27442000589</x:v>
      </x:c>
      <x:c r="M158" s="7" t="n">
        <x:f>30*I158-S158</x:f>
        <x:v>-18857.954007402084</x:v>
      </x:c>
      <x:c r="N158" s="7" t="n">
        <x:f>50*I158-S158</x:f>
        <x:v>-8422.633594798273</x:v>
      </x:c>
      <x:c r="O158" s="7" t="n">
        <x:f>100*I158-S158</x:f>
        <x:v>17665.66743671125</x:v>
      </x:c>
      <x:c r="P158" s="7" t="n">
        <x:f>300*I158-T158</x:f>
        <x:v>100018.87156274935</x:v>
      </x:c>
      <x:c r="Q158" s="7" t="n">
        <x:f>1000*I158-U158</x:f>
        <x:v>435255.0860038827</x:v>
      </x:c>
      <x:c r="R158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158*'損益分岐設定'!$B$12*'損益分岐設定'!$B$11</x:f>
        <x:v>30010.934626307797</x:v>
      </x:c>
      <x:c r="S158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158*'損益分岐設定'!$B$12*'損益分岐設定'!$B$11</x:f>
        <x:v>34510.9346263078</x:v>
      </x:c>
      <x:c r="T158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158*'損益分岐設定'!$B$12*'損益分岐設定'!$B$11</x:f>
        <x:v>56510.9346263078</x:v>
      </x:c>
      <x:c r="U158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158*'損益分岐設定'!$B$12*'損益分岐設定'!$B$11</x:f>
        <x:v>86510.9346263078</x:v>
      </x:c>
      <x:c r="V158" s="1" t="n">
        <x:f>IF(I158&lt;=0,1001,IF(MAX('損益分岐設定'!B37,ROUNDUP(R158/I158,0))&lt;='損益分岐設定'!C37,MAX('損益分岐設定'!B37,ROUNDUP(R158/I158,0)),1001))</x:f>
        <x:v>1001</x:v>
      </x:c>
      <x:c r="W158" s="1" t="n">
        <x:f>IF(I158&lt;=0,1001,IF(MAX('損益分岐設定'!B38,ROUNDUP(S158/I158,0))&lt;='損益分岐設定'!C38,MAX('損益分岐設定'!B38,ROUNDUP(S158/I158,0)),1001))</x:f>
        <x:v>67</x:v>
      </x:c>
      <x:c r="X158" s="1" t="n">
        <x:f>IF(I158&lt;=0,1001,IF(MAX('損益分岐設定'!B39,ROUNDUP(T158/I158,0))&lt;='損益分岐設定'!C39,MAX('損益分岐設定'!B39,ROUNDUP(T158/I158,0)),1001))</x:f>
        <x:v>109</x:v>
      </x:c>
      <x:c r="Y158" s="1" t="n">
        <x:f>IF(I158&lt;=0,1001,IF(MAX('損益分岐設定'!B40,ROUNDUP(U158/I158,0))&lt;='損益分岐設定'!C40,MAX('損益分岐設定'!B40,ROUNDUP(U158/I158,0)),1001))</x:f>
        <x:v>501</x:v>
      </x:c>
      <x:c r="Z158" s="1" t="n">
        <x:f>IF(I158&lt;=0,'損益分岐設定'!C37,IF('損益分岐設定'!C37*I158-R158&lt;0,'損益分岐設定'!C37,IF('損益分岐設定'!B37*I158-R158&gt;=0,0,ROUNDUP(R158/I158,0)-1)))</x:f>
        <x:v>10</x:v>
      </x:c>
      <x:c r="AA158" s="1" t="n">
        <x:f>IF(I158&lt;=0,'損益分岐設定'!C38,IF('損益分岐設定'!C38*I158-S158&lt;0,'損益分岐設定'!C38,IF('損益分岐設定'!B38*I158-S158&gt;=0,0,ROUNDUP(S158/I158,0)-1)))</x:f>
        <x:v>66</x:v>
      </x:c>
      <x:c r="AB158" s="1" t="n">
        <x:f>IF(I158&lt;=0,'損益分岐設定'!C39,IF('損益分岐設定'!C39*I158-T158&lt;0,'損益分岐設定'!C39,IF('損益分岐設定'!B39*I158-T158&gt;=0,0,ROUNDUP(T158/I158,0)-1)))</x:f>
        <x:v>108</x:v>
      </x:c>
      <x:c r="AC158" s="1" t="n">
        <x:f>IF(I158&lt;=0,'損益分岐設定'!C40,IF('損益分岐設定'!C40*I158-U158&lt;0,'損益分岐設定'!C40,IF('損益分岐設定'!B40*I158-U158&gt;=0,0,ROUNDUP(U158/I158,0)-1)))</x:f>
        <x:v>0</x:v>
      </x:c>
      <x:c r="AD158" s="1" t="n">
        <x:f>'損益分岐設定'!$D$5/SUM('損益分岐設定'!$D$5:$D$7)</x:f>
        <x:v>0.5</x:v>
      </x:c>
      <x:c r="AE158" s="1" t="n">
        <x:f>'損益分岐設定'!$D$6/SUM('損益分岐設定'!$D$5:$D$7)</x:f>
        <x:v>0.3</x:v>
      </x:c>
      <x:c r="AF158" s="1" t="n">
        <x:f>'損益分岐設定'!$D$7/SUM('損益分岐設定'!$D$5:$D$7)</x:f>
        <x:v>0.2</x:v>
      </x:c>
      <x:c r="AG158" s="1" t="n">
        <x:f>AD158*('損益分岐設定'!$C$57*(1-'損益分岐設定'!$B$51)+'損益分岐設定'!$C$58*'損益分岐設定'!$B$51)+AE158*('損益分岐設定'!$C$60*(1-'損益分岐設定'!$B$51)+'損益分岐設定'!$C$61*'損益分岐設定'!$B$51)+AF158*('損益分岐設定'!$C$63*(1-'損益分岐設定'!$B$51)+'損益分岐設定'!$C$64*'損益分岐設定'!$B$51)</x:f>
        <x:v>2164.7431551757813</x:v>
      </x:c>
      <x:c r="AH158" s="1" t="n">
        <x:f>AD158*('損益分岐設定'!$D$57*(1-'損益分岐設定'!$B$51)+'損益分岐設定'!$D$58*'損益分岐設定'!$B$51)+AE158*('損益分岐設定'!$D$60*(1-'損益分岐設定'!$B$51)+'損益分岐設定'!$D$61*'損益分岐設定'!$B$51)+AF158*('損益分岐設定'!$D$63*(1-'損益分岐設定'!$B$51)+'損益分岐設定'!$D$64*'損益分岐設定'!$B$51)</x:f>
        <x:v>177.6</x:v>
      </x:c>
      <x:c r="AI158" s="1" t="n">
        <x:f>AD158*('損益分岐設定'!$E$57*(1-'損益分岐設定'!$B$51)+'損益分岐設定'!$E$58*'損益分岐設定'!$B$51)+AE158*('損益分岐設定'!$E$60*(1-'損益分岐設定'!$B$51)+'損益分岐設定'!$E$61*'損益分岐設定'!$B$51)+AF158*('損益分岐設定'!$E$63*(1-'損益分岐設定'!$B$51)+'損益分岐設定'!$E$64*'損益分岐設定'!$B$51)</x:f>
        <x:v>207.2</x:v>
      </x:c>
      <x:c r="AJ158" s="1" t="n">
        <x:f>(AD158*('損益分岐設定'!$F$57*(1-'損益分岐設定'!$B$51)+'損益分岐設定'!$F$58*'損益分岐設定'!$B$51)+AE158*('損益分岐設定'!$F$60*(1-'損益分岐設定'!$B$51)+'損益分岐設定'!$F$61*'損益分岐設定'!$B$51)+AF158*('損益分岐設定'!$F$63*(1-'損益分岐設定'!$B$51)+'損益分岐設定'!$F$64*'損益分岐設定'!$B$51)*1)*'損益分岐設定'!$B$22</x:f>
        <x:v>1687.2</x:v>
      </x:c>
      <x:c r="AK158" s="1" t="n">
        <x:f>AD158*('損益分岐設定'!$G$57*(1-'損益分岐設定'!$B$51)+'損益分岐設定'!$G$58*'損益分岐設定'!$B$51)+AE158*('損益分岐設定'!$G$60*(1-'損益分岐設定'!$B$51)+'損益分岐設定'!$G$61*'損益分岐設定'!$B$51)+AF158*('損益分岐設定'!$G$63*(1-'損益分岐設定'!$B$51)+'損益分岐設定'!$G$64*'損益分岐設定'!$B$51)</x:f>
        <x:v>1480</x:v>
      </x:c>
      <x:c r="AL158" s="1" t="n">
        <x:f>AD158*('損益分岐設定'!$H$57*(1-'損益分岐設定'!$B$51)+'損益分岐設定'!$H$58*'損益分岐設定'!$B$51)+AE158*('損益分岐設定'!$H$60*(1-'損益分岐設定'!$B$51)+'損益分岐設定'!$H$61*'損益分岐設定'!$B$51)+AF158*('損益分岐設定'!$H$63*(1-'損益分岐設定'!$B$51)+'損益分岐設定'!$H$64*'損益分岐設定'!$B$51)</x:f>
        <x:v>816.6666666666667</x:v>
      </x:c>
      <x:c r="AM158" s="1" t="n">
        <x:f>MAX(1,ROUNDUP('損益分岐設定'!C37*AJ158/('損益分岐設定'!$B$23*'損益分岐設定'!$B$24*3600*'損益分岐設定'!$B$25),0))</x:f>
        <x:v>1</x:v>
      </x:c>
      <x:c r="AN158" s="1" t="n">
        <x:f>MAX(2,ROUNDUP('損益分岐設定'!C38*AJ158/('損益分岐設定'!$B$23*'損益分岐設定'!$B$24*3600*'損益分岐設定'!$B$25),0))</x:f>
        <x:v>2</x:v>
      </x:c>
      <x:c r="AO158" s="1" t="n">
        <x:f>MAX(2,ROUNDUP('損益分岐設定'!C39*AJ158/('損益分岐設定'!$B$23*'損益分岐設定'!$B$24*3600*'損益分岐設定'!$B$25),0))</x:f>
        <x:v>2</x:v>
      </x:c>
      <x:c r="AP158" s="1" t="n">
        <x:f>MAX(2,ROUNDUP('損益分岐設定'!C40*AJ158/('損益分岐設定'!$B$23*'損益分岐設定'!$B$24*3600*'損益分岐設定'!$B$25),0))</x:f>
        <x:v>4</x:v>
      </x:c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 ht="23" customHeight="1">
      <x:c r="A159" s="1" t="str">
        <x:v>Run</x:v>
      </x:c>
      <x:c r="B159" s="1" t="str">
        <x:v>混在</x:v>
      </x:c>
      <x:c r="C159" s="1" t="str">
        <x:v>標準+高位混在</x:v>
      </x:c>
      <x:c r="D159" s="21" t="n">
        <x:v>0.3</x:v>
      </x:c>
      <x:c r="E159" s="1" t="n">
        <x:v>0</x:v>
      </x:c>
      <x:c r="F159" s="7" t="n">
        <x:f>AD159*'損益分岐設定'!$B$5+AE159*'損益分岐設定'!$B$6+AF159*'損益分岐設定'!$B$7</x:f>
        <x:v>4600</x:v>
      </x:c>
      <x:c r="G159" s="7" t="n">
        <x:f>AG159+(AH159+AI159)*('損益分岐設定'!$B$29+0.5*'損益分岐設定'!$B$30)+AK159*'損益分岐設定'!$B$32+(AJ159+AK159/'損益分岐設定'!$B$28*'損益分岐設定'!$B$26)*('損益分岐設定'!$B$29+'損益分岐設定'!$B$31*'損益分岐設定'!$B$30)</x:f>
        <x:v>2175.967312703143</x:v>
      </x:c>
      <x:c r="H159" s="7" t="n">
        <x:f>AL159*E159</x:f>
        <x:v>0</x:v>
      </x:c>
      <x:c r="I159" s="7" t="n">
        <x:f>F159*(1-D159-'損益分岐設定'!$B$10)-G159-H159</x:f>
        <x:v>878.4326872968568</x:v>
      </x:c>
      <x:c r="J159" s="1" t="n">
        <x:f>IF(MIN(V159:Y159)&gt;1000,"範囲内なし",MIN(V159:Y159))</x:f>
        <x:v>31</x:v>
      </x:c>
      <x:c r="K159" s="1" t="n">
        <x:f>IF(MAX(Z159:AC159)&gt;=1000,"範囲内なし",MAX(1,MAX(Z159:AC159)+1))</x:f>
        <x:v>31</x:v>
      </x:c>
      <x:c r="L159" s="7" t="n">
        <x:f>10*I159-R159</x:f>
        <x:v>-13226.607753339229</x:v>
      </x:c>
      <x:c r="M159" s="7" t="n">
        <x:f>30*I159-S159</x:f>
        <x:v>-157.95400740209152</x:v>
      </x:c>
      <x:c r="N159" s="7" t="n">
        <x:f>50*I159-S159</x:f>
        <x:v>17410.69973853504</x:v>
      </x:c>
      <x:c r="O159" s="7" t="n">
        <x:f>100*I159-S159</x:f>
        <x:v>61332.33410337788</x:v>
      </x:c>
      <x:c r="P159" s="7" t="n">
        <x:f>300*I159-T159</x:f>
        <x:v>215018.8715627492</x:v>
      </x:c>
      <x:c r="Q159" s="7" t="n">
        <x:f>1000*I159-U159</x:f>
        <x:v>799921.752670549</x:v>
      </x:c>
      <x:c r="R159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159*'損益分岐設定'!$B$12*'損益分岐設定'!$B$11</x:f>
        <x:v>22010.934626307797</x:v>
      </x:c>
      <x:c r="S159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159*'損益分岐設定'!$B$12*'損益分岐設定'!$B$11</x:f>
        <x:v>26510.934626307797</x:v>
      </x:c>
      <x:c r="T159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159*'損益分岐設定'!$B$12*'損益分岐設定'!$B$11</x:f>
        <x:v>48510.9346263078</x:v>
      </x:c>
      <x:c r="U159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159*'損益分岐設定'!$B$12*'損益分岐設定'!$B$11</x:f>
        <x:v>78510.9346263078</x:v>
      </x:c>
      <x:c r="V159" s="1" t="n">
        <x:f>IF(I159&lt;=0,1001,IF(MAX('損益分岐設定'!B37,ROUNDUP(R159/I159,0))&lt;='損益分岐設定'!C37,MAX('損益分岐設定'!B37,ROUNDUP(R159/I159,0)),1001))</x:f>
        <x:v>1001</x:v>
      </x:c>
      <x:c r="W159" s="1" t="n">
        <x:f>IF(I159&lt;=0,1001,IF(MAX('損益分岐設定'!B38,ROUNDUP(S159/I159,0))&lt;='損益分岐設定'!C38,MAX('損益分岐設定'!B38,ROUNDUP(S159/I159,0)),1001))</x:f>
        <x:v>31</x:v>
      </x:c>
      <x:c r="X159" s="1" t="n">
        <x:f>IF(I159&lt;=0,1001,IF(MAX('損益分岐設定'!B39,ROUNDUP(T159/I159,0))&lt;='損益分岐設定'!C39,MAX('損益分岐設定'!B39,ROUNDUP(T159/I159,0)),1001))</x:f>
        <x:v>101</x:v>
      </x:c>
      <x:c r="Y159" s="1" t="n">
        <x:f>IF(I159&lt;=0,1001,IF(MAX('損益分岐設定'!B40,ROUNDUP(U159/I159,0))&lt;='損益分岐設定'!C40,MAX('損益分岐設定'!B40,ROUNDUP(U159/I159,0)),1001))</x:f>
        <x:v>501</x:v>
      </x:c>
      <x:c r="Z159" s="1" t="n">
        <x:f>IF(I159&lt;=0,'損益分岐設定'!C37,IF('損益分岐設定'!C37*I159-R159&lt;0,'損益分岐設定'!C37,IF('損益分岐設定'!B37*I159-R159&gt;=0,0,ROUNDUP(R159/I159,0)-1)))</x:f>
        <x:v>10</x:v>
      </x:c>
      <x:c r="AA159" s="1" t="n">
        <x:f>IF(I159&lt;=0,'損益分岐設定'!C38,IF('損益分岐設定'!C38*I159-S159&lt;0,'損益分岐設定'!C38,IF('損益分岐設定'!B38*I159-S159&gt;=0,0,ROUNDUP(S159/I159,0)-1)))</x:f>
        <x:v>30</x:v>
      </x:c>
      <x:c r="AB159" s="1" t="n">
        <x:f>IF(I159&lt;=0,'損益分岐設定'!C39,IF('損益分岐設定'!C39*I159-T159&lt;0,'損益分岐設定'!C39,IF('損益分岐設定'!B39*I159-T159&gt;=0,0,ROUNDUP(T159/I159,0)-1)))</x:f>
        <x:v>0</x:v>
      </x:c>
      <x:c r="AC159" s="1" t="n">
        <x:f>IF(I159&lt;=0,'損益分岐設定'!C40,IF('損益分岐設定'!C40*I159-U159&lt;0,'損益分岐設定'!C40,IF('損益分岐設定'!B40*I159-U159&gt;=0,0,ROUNDUP(U159/I159,0)-1)))</x:f>
        <x:v>0</x:v>
      </x:c>
      <x:c r="AD159" s="1" t="n">
        <x:f>'損益分岐設定'!$D$5/SUM('損益分岐設定'!$D$5:$D$7)</x:f>
        <x:v>0.5</x:v>
      </x:c>
      <x:c r="AE159" s="1" t="n">
        <x:f>'損益分岐設定'!$D$6/SUM('損益分岐設定'!$D$5:$D$7)</x:f>
        <x:v>0.3</x:v>
      </x:c>
      <x:c r="AF159" s="1" t="n">
        <x:f>'損益分岐設定'!$D$7/SUM('損益分岐設定'!$D$5:$D$7)</x:f>
        <x:v>0.2</x:v>
      </x:c>
      <x:c r="AG159" s="1" t="n">
        <x:f>AD159*('損益分岐設定'!$C$57*(1-'損益分岐設定'!$B$51)+'損益分岐設定'!$C$58*'損益分岐設定'!$B$51)+AE159*('損益分岐設定'!$C$60*(1-'損益分岐設定'!$B$51)+'損益分岐設定'!$C$61*'損益分岐設定'!$B$51)+AF159*('損益分岐設定'!$C$63*(1-'損益分岐設定'!$B$51)+'損益分岐設定'!$C$64*'損益分岐設定'!$B$51)</x:f>
        <x:v>2164.7431551757813</x:v>
      </x:c>
      <x:c r="AH159" s="1" t="n">
        <x:f>AD159*('損益分岐設定'!$D$57*(1-'損益分岐設定'!$B$51)+'損益分岐設定'!$D$58*'損益分岐設定'!$B$51)+AE159*('損益分岐設定'!$D$60*(1-'損益分岐設定'!$B$51)+'損益分岐設定'!$D$61*'損益分岐設定'!$B$51)+AF159*('損益分岐設定'!$D$63*(1-'損益分岐設定'!$B$51)+'損益分岐設定'!$D$64*'損益分岐設定'!$B$51)</x:f>
        <x:v>177.6</x:v>
      </x:c>
      <x:c r="AI159" s="1" t="n">
        <x:f>AD159*('損益分岐設定'!$E$57*(1-'損益分岐設定'!$B$51)+'損益分岐設定'!$E$58*'損益分岐設定'!$B$51)+AE159*('損益分岐設定'!$E$60*(1-'損益分岐設定'!$B$51)+'損益分岐設定'!$E$61*'損益分岐設定'!$B$51)+AF159*('損益分岐設定'!$E$63*(1-'損益分岐設定'!$B$51)+'損益分岐設定'!$E$64*'損益分岐設定'!$B$51)</x:f>
        <x:v>207.2</x:v>
      </x:c>
      <x:c r="AJ159" s="1" t="n">
        <x:f>(AD159*('損益分岐設定'!$F$57*(1-'損益分岐設定'!$B$51)+'損益分岐設定'!$F$58*'損益分岐設定'!$B$51)+AE159*('損益分岐設定'!$F$60*(1-'損益分岐設定'!$B$51)+'損益分岐設定'!$F$61*'損益分岐設定'!$B$51)+AF159*('損益分岐設定'!$F$63*(1-'損益分岐設定'!$B$51)+'損益分岐設定'!$F$64*'損益分岐設定'!$B$51)*1)*'損益分岐設定'!$B$22</x:f>
        <x:v>1687.2</x:v>
      </x:c>
      <x:c r="AK159" s="1" t="n">
        <x:f>AD159*('損益分岐設定'!$G$57*(1-'損益分岐設定'!$B$51)+'損益分岐設定'!$G$58*'損益分岐設定'!$B$51)+AE159*('損益分岐設定'!$G$60*(1-'損益分岐設定'!$B$51)+'損益分岐設定'!$G$61*'損益分岐設定'!$B$51)+AF159*('損益分岐設定'!$G$63*(1-'損益分岐設定'!$B$51)+'損益分岐設定'!$G$64*'損益分岐設定'!$B$51)</x:f>
        <x:v>1480</x:v>
      </x:c>
      <x:c r="AL159" s="1" t="n">
        <x:f>AD159*('損益分岐設定'!$H$57*(1-'損益分岐設定'!$B$51)+'損益分岐設定'!$H$58*'損益分岐設定'!$B$51)+AE159*('損益分岐設定'!$H$60*(1-'損益分岐設定'!$B$51)+'損益分岐設定'!$H$61*'損益分岐設定'!$B$51)+AF159*('損益分岐設定'!$H$63*(1-'損益分岐設定'!$B$51)+'損益分岐設定'!$H$64*'損益分岐設定'!$B$51)</x:f>
        <x:v>816.6666666666667</x:v>
      </x:c>
      <x:c r="AM159" s="1" t="n">
        <x:f>MAX(1,ROUNDUP('損益分岐設定'!C37*AJ159/('損益分岐設定'!$B$23*'損益分岐設定'!$B$24*3600*'損益分岐設定'!$B$25),0))</x:f>
        <x:v>1</x:v>
      </x:c>
      <x:c r="AN159" s="1" t="n">
        <x:f>MAX(2,ROUNDUP('損益分岐設定'!C38*AJ159/('損益分岐設定'!$B$23*'損益分岐設定'!$B$24*3600*'損益分岐設定'!$B$25),0))</x:f>
        <x:v>2</x:v>
      </x:c>
      <x:c r="AO159" s="1" t="n">
        <x:f>MAX(2,ROUNDUP('損益分岐設定'!C39*AJ159/('損益分岐設定'!$B$23*'損益分岐設定'!$B$24*3600*'損益分岐設定'!$B$25),0))</x:f>
        <x:v>2</x:v>
      </x:c>
      <x:c r="AP159" s="1" t="n">
        <x:f>MAX(2,ROUNDUP('損益分岐設定'!C40*AJ159/('損益分岐設定'!$B$23*'損益分岐設定'!$B$24*3600*'損益分岐設定'!$B$25),0))</x:f>
        <x:v>4</x:v>
      </x:c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 ht="23" customHeight="1">
      <x:c r="A160" s="1" t="str">
        <x:v>Run</x:v>
      </x:c>
      <x:c r="B160" s="1" t="str">
        <x:v>混在</x:v>
      </x:c>
      <x:c r="C160" s="1" t="str">
        <x:v>標準+高位混在</x:v>
      </x:c>
      <x:c r="D160" s="21" t="n">
        <x:v>0.3</x:v>
      </x:c>
      <x:c r="E160" s="1" t="n">
        <x:v>1</x:v>
      </x:c>
      <x:c r="F160" s="7" t="n">
        <x:f>AD160*'損益分岐設定'!$B$5+AE160*'損益分岐設定'!$B$6+AF160*'損益分岐設定'!$B$7</x:f>
        <x:v>4600</x:v>
      </x:c>
      <x:c r="G160" s="7" t="n">
        <x:f>AG160+(AH160+AI160)*('損益分岐設定'!$B$29+0.5*'損益分岐設定'!$B$30)+AK160*'損益分岐設定'!$B$32+(AJ160+AK160/'損益分岐設定'!$B$28*'損益分岐設定'!$B$26)*('損益分岐設定'!$B$29+'損益分岐設定'!$B$31*'損益分岐設定'!$B$30)</x:f>
        <x:v>2175.967312703143</x:v>
      </x:c>
      <x:c r="H160" s="7" t="n">
        <x:f>AL160*E160</x:f>
        <x:v>816.6666666666667</x:v>
      </x:c>
      <x:c r="I160" s="7" t="n">
        <x:f>F160*(1-D160-'損益分岐設定'!$B$10)-G160-H160</x:f>
        <x:v>61.76602063019004</x:v>
      </x:c>
      <x:c r="J160" s="1" t="str">
        <x:f>IF(MIN(V160:Y160)&gt;1000,"範囲内なし",MIN(V160:Y160))</x:f>
        <x:v>範囲内なし</x:v>
      </x:c>
      <x:c r="K160" s="1" t="str">
        <x:f>IF(MAX(Z160:AC160)&gt;=1000,"範囲内なし",MAX(1,MAX(Z160:AC160)+1))</x:f>
        <x:v>範囲内なし</x:v>
      </x:c>
      <x:c r="L160" s="7" t="n">
        <x:f>10*I160-R160</x:f>
        <x:v>-29393.274420005895</x:v>
      </x:c>
      <x:c r="M160" s="7" t="n">
        <x:f>30*I160-S160</x:f>
        <x:v>-32657.954007402095</x:v>
      </x:c>
      <x:c r="N160" s="7" t="n">
        <x:f>50*I160-S160</x:f>
        <x:v>-31422.633594798295</x:v>
      </x:c>
      <x:c r="O160" s="7" t="n">
        <x:f>100*I160-S160</x:f>
        <x:v>-28334.332563288794</x:v>
      </x:c>
      <x:c r="P160" s="7" t="n">
        <x:f>300*I160-T160</x:f>
        <x:v>-37981.12843725078</x:v>
      </x:c>
      <x:c r="Q160" s="7" t="n">
        <x:f>1000*I160-U160</x:f>
        <x:v>-24744.913996117764</x:v>
      </x:c>
      <x:c r="R160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160*'損益分岐設定'!$B$12*'損益分岐設定'!$B$11</x:f>
        <x:v>30010.934626307797</x:v>
      </x:c>
      <x:c r="S160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160*'損益分岐設定'!$B$12*'損益分岐設定'!$B$11</x:f>
        <x:v>34510.9346263078</x:v>
      </x:c>
      <x:c r="T160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160*'損益分岐設定'!$B$12*'損益分岐設定'!$B$11</x:f>
        <x:v>56510.9346263078</x:v>
      </x:c>
      <x:c r="U160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160*'損益分岐設定'!$B$12*'損益分岐設定'!$B$11</x:f>
        <x:v>86510.9346263078</x:v>
      </x:c>
      <x:c r="V160" s="1" t="n">
        <x:f>IF(I160&lt;=0,1001,IF(MAX('損益分岐設定'!B37,ROUNDUP(R160/I160,0))&lt;='損益分岐設定'!C37,MAX('損益分岐設定'!B37,ROUNDUP(R160/I160,0)),1001))</x:f>
        <x:v>1001</x:v>
      </x:c>
      <x:c r="W160" s="1" t="n">
        <x:f>IF(I160&lt;=0,1001,IF(MAX('損益分岐設定'!B38,ROUNDUP(S160/I160,0))&lt;='損益分岐設定'!C38,MAX('損益分岐設定'!B38,ROUNDUP(S160/I160,0)),1001))</x:f>
        <x:v>1001</x:v>
      </x:c>
      <x:c r="X160" s="1" t="n">
        <x:f>IF(I160&lt;=0,1001,IF(MAX('損益分岐設定'!B39,ROUNDUP(T160/I160,0))&lt;='損益分岐設定'!C39,MAX('損益分岐設定'!B39,ROUNDUP(T160/I160,0)),1001))</x:f>
        <x:v>1001</x:v>
      </x:c>
      <x:c r="Y160" s="1" t="n">
        <x:f>IF(I160&lt;=0,1001,IF(MAX('損益分岐設定'!B40,ROUNDUP(U160/I160,0))&lt;='損益分岐設定'!C40,MAX('損益分岐設定'!B40,ROUNDUP(U160/I160,0)),1001))</x:f>
        <x:v>1001</x:v>
      </x:c>
      <x:c r="Z160" s="1" t="n">
        <x:f>IF(I160&lt;=0,'損益分岐設定'!C37,IF('損益分岐設定'!C37*I160-R160&lt;0,'損益分岐設定'!C37,IF('損益分岐設定'!B37*I160-R160&gt;=0,0,ROUNDUP(R160/I160,0)-1)))</x:f>
        <x:v>10</x:v>
      </x:c>
      <x:c r="AA160" s="1" t="n">
        <x:f>IF(I160&lt;=0,'損益分岐設定'!C38,IF('損益分岐設定'!C38*I160-S160&lt;0,'損益分岐設定'!C38,IF('損益分岐設定'!B38*I160-S160&gt;=0,0,ROUNDUP(S160/I160,0)-1)))</x:f>
        <x:v>100</x:v>
      </x:c>
      <x:c r="AB160" s="1" t="n">
        <x:f>IF(I160&lt;=0,'損益分岐設定'!C39,IF('損益分岐設定'!C39*I160-T160&lt;0,'損益分岐設定'!C39,IF('損益分岐設定'!B39*I160-T160&gt;=0,0,ROUNDUP(T160/I160,0)-1)))</x:f>
        <x:v>500</x:v>
      </x:c>
      <x:c r="AC160" s="1" t="n">
        <x:f>IF(I160&lt;=0,'損益分岐設定'!C40,IF('損益分岐設定'!C40*I160-U160&lt;0,'損益分岐設定'!C40,IF('損益分岐設定'!B40*I160-U160&gt;=0,0,ROUNDUP(U160/I160,0)-1)))</x:f>
        <x:v>1000</x:v>
      </x:c>
      <x:c r="AD160" s="1" t="n">
        <x:f>'損益分岐設定'!$D$5/SUM('損益分岐設定'!$D$5:$D$7)</x:f>
        <x:v>0.5</x:v>
      </x:c>
      <x:c r="AE160" s="1" t="n">
        <x:f>'損益分岐設定'!$D$6/SUM('損益分岐設定'!$D$5:$D$7)</x:f>
        <x:v>0.3</x:v>
      </x:c>
      <x:c r="AF160" s="1" t="n">
        <x:f>'損益分岐設定'!$D$7/SUM('損益分岐設定'!$D$5:$D$7)</x:f>
        <x:v>0.2</x:v>
      </x:c>
      <x:c r="AG160" s="1" t="n">
        <x:f>AD160*('損益分岐設定'!$C$57*(1-'損益分岐設定'!$B$51)+'損益分岐設定'!$C$58*'損益分岐設定'!$B$51)+AE160*('損益分岐設定'!$C$60*(1-'損益分岐設定'!$B$51)+'損益分岐設定'!$C$61*'損益分岐設定'!$B$51)+AF160*('損益分岐設定'!$C$63*(1-'損益分岐設定'!$B$51)+'損益分岐設定'!$C$64*'損益分岐設定'!$B$51)</x:f>
        <x:v>2164.7431551757813</x:v>
      </x:c>
      <x:c r="AH160" s="1" t="n">
        <x:f>AD160*('損益分岐設定'!$D$57*(1-'損益分岐設定'!$B$51)+'損益分岐設定'!$D$58*'損益分岐設定'!$B$51)+AE160*('損益分岐設定'!$D$60*(1-'損益分岐設定'!$B$51)+'損益分岐設定'!$D$61*'損益分岐設定'!$B$51)+AF160*('損益分岐設定'!$D$63*(1-'損益分岐設定'!$B$51)+'損益分岐設定'!$D$64*'損益分岐設定'!$B$51)</x:f>
        <x:v>177.6</x:v>
      </x:c>
      <x:c r="AI160" s="1" t="n">
        <x:f>AD160*('損益分岐設定'!$E$57*(1-'損益分岐設定'!$B$51)+'損益分岐設定'!$E$58*'損益分岐設定'!$B$51)+AE160*('損益分岐設定'!$E$60*(1-'損益分岐設定'!$B$51)+'損益分岐設定'!$E$61*'損益分岐設定'!$B$51)+AF160*('損益分岐設定'!$E$63*(1-'損益分岐設定'!$B$51)+'損益分岐設定'!$E$64*'損益分岐設定'!$B$51)</x:f>
        <x:v>207.2</x:v>
      </x:c>
      <x:c r="AJ160" s="1" t="n">
        <x:f>(AD160*('損益分岐設定'!$F$57*(1-'損益分岐設定'!$B$51)+'損益分岐設定'!$F$58*'損益分岐設定'!$B$51)+AE160*('損益分岐設定'!$F$60*(1-'損益分岐設定'!$B$51)+'損益分岐設定'!$F$61*'損益分岐設定'!$B$51)+AF160*('損益分岐設定'!$F$63*(1-'損益分岐設定'!$B$51)+'損益分岐設定'!$F$64*'損益分岐設定'!$B$51)*1)*'損益分岐設定'!$B$22</x:f>
        <x:v>1687.2</x:v>
      </x:c>
      <x:c r="AK160" s="1" t="n">
        <x:f>AD160*('損益分岐設定'!$G$57*(1-'損益分岐設定'!$B$51)+'損益分岐設定'!$G$58*'損益分岐設定'!$B$51)+AE160*('損益分岐設定'!$G$60*(1-'損益分岐設定'!$B$51)+'損益分岐設定'!$G$61*'損益分岐設定'!$B$51)+AF160*('損益分岐設定'!$G$63*(1-'損益分岐設定'!$B$51)+'損益分岐設定'!$G$64*'損益分岐設定'!$B$51)</x:f>
        <x:v>1480</x:v>
      </x:c>
      <x:c r="AL160" s="1" t="n">
        <x:f>AD160*('損益分岐設定'!$H$57*(1-'損益分岐設定'!$B$51)+'損益分岐設定'!$H$58*'損益分岐設定'!$B$51)+AE160*('損益分岐設定'!$H$60*(1-'損益分岐設定'!$B$51)+'損益分岐設定'!$H$61*'損益分岐設定'!$B$51)+AF160*('損益分岐設定'!$H$63*(1-'損益分岐設定'!$B$51)+'損益分岐設定'!$H$64*'損益分岐設定'!$B$51)</x:f>
        <x:v>816.6666666666667</x:v>
      </x:c>
      <x:c r="AM160" s="1" t="n">
        <x:f>MAX(1,ROUNDUP('損益分岐設定'!C37*AJ160/('損益分岐設定'!$B$23*'損益分岐設定'!$B$24*3600*'損益分岐設定'!$B$25),0))</x:f>
        <x:v>1</x:v>
      </x:c>
      <x:c r="AN160" s="1" t="n">
        <x:f>MAX(2,ROUNDUP('損益分岐設定'!C38*AJ160/('損益分岐設定'!$B$23*'損益分岐設定'!$B$24*3600*'損益分岐設定'!$B$25),0))</x:f>
        <x:v>2</x:v>
      </x:c>
      <x:c r="AO160" s="1" t="n">
        <x:f>MAX(2,ROUNDUP('損益分岐設定'!C39*AJ160/('損益分岐設定'!$B$23*'損益分岐設定'!$B$24*3600*'損益分岐設定'!$B$25),0))</x:f>
        <x:v>2</x:v>
      </x:c>
      <x:c r="AP160" s="1" t="n">
        <x:f>MAX(2,ROUNDUP('損益分岐設定'!C40*AJ160/('損益分岐設定'!$B$23*'損益分岐設定'!$B$24*3600*'損益分岐設定'!$B$25),0))</x:f>
        <x:v>4</x:v>
      </x:c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 ht="23" customHeight="1">
      <x:c r="A161" s="1" t="str">
        <x:v>Run</x:v>
      </x:c>
      <x:c r="B161" s="1" t="str">
        <x:v>混在</x:v>
      </x:c>
      <x:c r="C161" s="1" t="str">
        <x:v>標準+高位混在</x:v>
      </x:c>
      <x:c r="D161" s="21" t="n">
        <x:v>0.4</x:v>
      </x:c>
      <x:c r="E161" s="1" t="n">
        <x:v>0</x:v>
      </x:c>
      <x:c r="F161" s="7" t="n">
        <x:f>AD161*'損益分岐設定'!$B$5+AE161*'損益分岐設定'!$B$6+AF161*'損益分岐設定'!$B$7</x:f>
        <x:v>4600</x:v>
      </x:c>
      <x:c r="G161" s="7" t="n">
        <x:f>AG161+(AH161+AI161)*('損益分岐設定'!$B$29+0.5*'損益分岐設定'!$B$30)+AK161*'損益分岐設定'!$B$32+(AJ161+AK161/'損益分岐設定'!$B$28*'損益分岐設定'!$B$26)*('損益分岐設定'!$B$29+'損益分岐設定'!$B$31*'損益分岐設定'!$B$30)</x:f>
        <x:v>2175.967312703143</x:v>
      </x:c>
      <x:c r="H161" s="7" t="n">
        <x:f>AL161*E161</x:f>
        <x:v>0</x:v>
      </x:c>
      <x:c r="I161" s="7" t="n">
        <x:f>F161*(1-D161-'損益分岐設定'!$B$10)-G161-H161</x:f>
        <x:v>418.4326872968568</x:v>
      </x:c>
      <x:c r="J161" s="1" t="n">
        <x:f>IF(MIN(V161:Y161)&gt;1000,"範囲内なし",MIN(V161:Y161))</x:f>
        <x:v>64</x:v>
      </x:c>
      <x:c r="K161" s="1" t="n">
        <x:f>IF(MAX(Z161:AC161)&gt;=1000,"範囲内なし",MAX(1,MAX(Z161:AC161)+1))</x:f>
        <x:v>116</x:v>
      </x:c>
      <x:c r="L161" s="7" t="n">
        <x:f>10*I161-R161</x:f>
        <x:v>-17826.60775333923</x:v>
      </x:c>
      <x:c r="M161" s="7" t="n">
        <x:f>30*I161-S161</x:f>
        <x:v>-13957.954007402093</x:v>
      </x:c>
      <x:c r="N161" s="7" t="n">
        <x:f>50*I161-S161</x:f>
        <x:v>-5589.3002614649595</x:v>
      </x:c>
      <x:c r="O161" s="7" t="n">
        <x:f>100*I161-S161</x:f>
        <x:v>15332.334103377878</x:v>
      </x:c>
      <x:c r="P161" s="7" t="n">
        <x:f>300*I161-T161</x:f>
        <x:v>77018.87156274923</x:v>
      </x:c>
      <x:c r="Q161" s="7" t="n">
        <x:f>1000*I161-U161</x:f>
        <x:v>339921.752670549</x:v>
      </x:c>
      <x:c r="R161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161*'損益分岐設定'!$B$12*'損益分岐設定'!$B$11</x:f>
        <x:v>22010.934626307797</x:v>
      </x:c>
      <x:c r="S161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161*'損益分岐設定'!$B$12*'損益分岐設定'!$B$11</x:f>
        <x:v>26510.934626307797</x:v>
      </x:c>
      <x:c r="T161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161*'損益分岐設定'!$B$12*'損益分岐設定'!$B$11</x:f>
        <x:v>48510.9346263078</x:v>
      </x:c>
      <x:c r="U161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161*'損益分岐設定'!$B$12*'損益分岐設定'!$B$11</x:f>
        <x:v>78510.9346263078</x:v>
      </x:c>
      <x:c r="V161" s="1" t="n">
        <x:f>IF(I161&lt;=0,1001,IF(MAX('損益分岐設定'!B37,ROUNDUP(R161/I161,0))&lt;='損益分岐設定'!C37,MAX('損益分岐設定'!B37,ROUNDUP(R161/I161,0)),1001))</x:f>
        <x:v>1001</x:v>
      </x:c>
      <x:c r="W161" s="1" t="n">
        <x:f>IF(I161&lt;=0,1001,IF(MAX('損益分岐設定'!B38,ROUNDUP(S161/I161,0))&lt;='損益分岐設定'!C38,MAX('損益分岐設定'!B38,ROUNDUP(S161/I161,0)),1001))</x:f>
        <x:v>64</x:v>
      </x:c>
      <x:c r="X161" s="1" t="n">
        <x:f>IF(I161&lt;=0,1001,IF(MAX('損益分岐設定'!B39,ROUNDUP(T161/I161,0))&lt;='損益分岐設定'!C39,MAX('損益分岐設定'!B39,ROUNDUP(T161/I161,0)),1001))</x:f>
        <x:v>116</x:v>
      </x:c>
      <x:c r="Y161" s="1" t="n">
        <x:f>IF(I161&lt;=0,1001,IF(MAX('損益分岐設定'!B40,ROUNDUP(U161/I161,0))&lt;='損益分岐設定'!C40,MAX('損益分岐設定'!B40,ROUNDUP(U161/I161,0)),1001))</x:f>
        <x:v>501</x:v>
      </x:c>
      <x:c r="Z161" s="1" t="n">
        <x:f>IF(I161&lt;=0,'損益分岐設定'!C37,IF('損益分岐設定'!C37*I161-R161&lt;0,'損益分岐設定'!C37,IF('損益分岐設定'!B37*I161-R161&gt;=0,0,ROUNDUP(R161/I161,0)-1)))</x:f>
        <x:v>10</x:v>
      </x:c>
      <x:c r="AA161" s="1" t="n">
        <x:f>IF(I161&lt;=0,'損益分岐設定'!C38,IF('損益分岐設定'!C38*I161-S161&lt;0,'損益分岐設定'!C38,IF('損益分岐設定'!B38*I161-S161&gt;=0,0,ROUNDUP(S161/I161,0)-1)))</x:f>
        <x:v>63</x:v>
      </x:c>
      <x:c r="AB161" s="1" t="n">
        <x:f>IF(I161&lt;=0,'損益分岐設定'!C39,IF('損益分岐設定'!C39*I161-T161&lt;0,'損益分岐設定'!C39,IF('損益分岐設定'!B39*I161-T161&gt;=0,0,ROUNDUP(T161/I161,0)-1)))</x:f>
        <x:v>115</x:v>
      </x:c>
      <x:c r="AC161" s="1" t="n">
        <x:f>IF(I161&lt;=0,'損益分岐設定'!C40,IF('損益分岐設定'!C40*I161-U161&lt;0,'損益分岐設定'!C40,IF('損益分岐設定'!B40*I161-U161&gt;=0,0,ROUNDUP(U161/I161,0)-1)))</x:f>
        <x:v>0</x:v>
      </x:c>
      <x:c r="AD161" s="1" t="n">
        <x:f>'損益分岐設定'!$D$5/SUM('損益分岐設定'!$D$5:$D$7)</x:f>
        <x:v>0.5</x:v>
      </x:c>
      <x:c r="AE161" s="1" t="n">
        <x:f>'損益分岐設定'!$D$6/SUM('損益分岐設定'!$D$5:$D$7)</x:f>
        <x:v>0.3</x:v>
      </x:c>
      <x:c r="AF161" s="1" t="n">
        <x:f>'損益分岐設定'!$D$7/SUM('損益分岐設定'!$D$5:$D$7)</x:f>
        <x:v>0.2</x:v>
      </x:c>
      <x:c r="AG161" s="1" t="n">
        <x:f>AD161*('損益分岐設定'!$C$57*(1-'損益分岐設定'!$B$51)+'損益分岐設定'!$C$58*'損益分岐設定'!$B$51)+AE161*('損益分岐設定'!$C$60*(1-'損益分岐設定'!$B$51)+'損益分岐設定'!$C$61*'損益分岐設定'!$B$51)+AF161*('損益分岐設定'!$C$63*(1-'損益分岐設定'!$B$51)+'損益分岐設定'!$C$64*'損益分岐設定'!$B$51)</x:f>
        <x:v>2164.7431551757813</x:v>
      </x:c>
      <x:c r="AH161" s="1" t="n">
        <x:f>AD161*('損益分岐設定'!$D$57*(1-'損益分岐設定'!$B$51)+'損益分岐設定'!$D$58*'損益分岐設定'!$B$51)+AE161*('損益分岐設定'!$D$60*(1-'損益分岐設定'!$B$51)+'損益分岐設定'!$D$61*'損益分岐設定'!$B$51)+AF161*('損益分岐設定'!$D$63*(1-'損益分岐設定'!$B$51)+'損益分岐設定'!$D$64*'損益分岐設定'!$B$51)</x:f>
        <x:v>177.6</x:v>
      </x:c>
      <x:c r="AI161" s="1" t="n">
        <x:f>AD161*('損益分岐設定'!$E$57*(1-'損益分岐設定'!$B$51)+'損益分岐設定'!$E$58*'損益分岐設定'!$B$51)+AE161*('損益分岐設定'!$E$60*(1-'損益分岐設定'!$B$51)+'損益分岐設定'!$E$61*'損益分岐設定'!$B$51)+AF161*('損益分岐設定'!$E$63*(1-'損益分岐設定'!$B$51)+'損益分岐設定'!$E$64*'損益分岐設定'!$B$51)</x:f>
        <x:v>207.2</x:v>
      </x:c>
      <x:c r="AJ161" s="1" t="n">
        <x:f>(AD161*('損益分岐設定'!$F$57*(1-'損益分岐設定'!$B$51)+'損益分岐設定'!$F$58*'損益分岐設定'!$B$51)+AE161*('損益分岐設定'!$F$60*(1-'損益分岐設定'!$B$51)+'損益分岐設定'!$F$61*'損益分岐設定'!$B$51)+AF161*('損益分岐設定'!$F$63*(1-'損益分岐設定'!$B$51)+'損益分岐設定'!$F$64*'損益分岐設定'!$B$51)*1)*'損益分岐設定'!$B$22</x:f>
        <x:v>1687.2</x:v>
      </x:c>
      <x:c r="AK161" s="1" t="n">
        <x:f>AD161*('損益分岐設定'!$G$57*(1-'損益分岐設定'!$B$51)+'損益分岐設定'!$G$58*'損益分岐設定'!$B$51)+AE161*('損益分岐設定'!$G$60*(1-'損益分岐設定'!$B$51)+'損益分岐設定'!$G$61*'損益分岐設定'!$B$51)+AF161*('損益分岐設定'!$G$63*(1-'損益分岐設定'!$B$51)+'損益分岐設定'!$G$64*'損益分岐設定'!$B$51)</x:f>
        <x:v>1480</x:v>
      </x:c>
      <x:c r="AL161" s="1" t="n">
        <x:f>AD161*('損益分岐設定'!$H$57*(1-'損益分岐設定'!$B$51)+'損益分岐設定'!$H$58*'損益分岐設定'!$B$51)+AE161*('損益分岐設定'!$H$60*(1-'損益分岐設定'!$B$51)+'損益分岐設定'!$H$61*'損益分岐設定'!$B$51)+AF161*('損益分岐設定'!$H$63*(1-'損益分岐設定'!$B$51)+'損益分岐設定'!$H$64*'損益分岐設定'!$B$51)</x:f>
        <x:v>816.6666666666667</x:v>
      </x:c>
      <x:c r="AM161" s="1" t="n">
        <x:f>MAX(1,ROUNDUP('損益分岐設定'!C37*AJ161/('損益分岐設定'!$B$23*'損益分岐設定'!$B$24*3600*'損益分岐設定'!$B$25),0))</x:f>
        <x:v>1</x:v>
      </x:c>
      <x:c r="AN161" s="1" t="n">
        <x:f>MAX(2,ROUNDUP('損益分岐設定'!C38*AJ161/('損益分岐設定'!$B$23*'損益分岐設定'!$B$24*3600*'損益分岐設定'!$B$25),0))</x:f>
        <x:v>2</x:v>
      </x:c>
      <x:c r="AO161" s="1" t="n">
        <x:f>MAX(2,ROUNDUP('損益分岐設定'!C39*AJ161/('損益分岐設定'!$B$23*'損益分岐設定'!$B$24*3600*'損益分岐設定'!$B$25),0))</x:f>
        <x:v>2</x:v>
      </x:c>
      <x:c r="AP161" s="1" t="n">
        <x:f>MAX(2,ROUNDUP('損益分岐設定'!C40*AJ161/('損益分岐設定'!$B$23*'損益分岐設定'!$B$24*3600*'損益分岐設定'!$B$25),0))</x:f>
        <x:v>4</x:v>
      </x:c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 ht="23" customHeight="1">
      <x:c r="A162" s="1" t="str">
        <x:v>Run</x:v>
      </x:c>
      <x:c r="B162" s="1" t="str">
        <x:v>混在</x:v>
      </x:c>
      <x:c r="C162" s="1" t="str">
        <x:v>標準+高位混在</x:v>
      </x:c>
      <x:c r="D162" s="21" t="n">
        <x:v>0.4</x:v>
      </x:c>
      <x:c r="E162" s="1" t="n">
        <x:v>1</x:v>
      </x:c>
      <x:c r="F162" s="7" t="n">
        <x:f>AD162*'損益分岐設定'!$B$5+AE162*'損益分岐設定'!$B$6+AF162*'損益分岐設定'!$B$7</x:f>
        <x:v>4600</x:v>
      </x:c>
      <x:c r="G162" s="7" t="n">
        <x:f>AG162+(AH162+AI162)*('損益分岐設定'!$B$29+0.5*'損益分岐設定'!$B$30)+AK162*'損益分岐設定'!$B$32+(AJ162+AK162/'損益分岐設定'!$B$28*'損益分岐設定'!$B$26)*('損益分岐設定'!$B$29+'損益分岐設定'!$B$31*'損益分岐設定'!$B$30)</x:f>
        <x:v>2175.967312703143</x:v>
      </x:c>
      <x:c r="H162" s="7" t="n">
        <x:f>AL162*E162</x:f>
        <x:v>816.6666666666667</x:v>
      </x:c>
      <x:c r="I162" s="7" t="n">
        <x:f>F162*(1-D162-'損益分岐設定'!$B$10)-G162-H162</x:f>
        <x:v>-398.23397936980996</x:v>
      </x:c>
      <x:c r="J162" s="1" t="str">
        <x:f>IF(MIN(V162:Y162)&gt;1000,"範囲内なし",MIN(V162:Y162))</x:f>
        <x:v>範囲内なし</x:v>
      </x:c>
      <x:c r="K162" s="1" t="str">
        <x:f>IF(MAX(Z162:AC162)&gt;=1000,"範囲内なし",MAX(1,MAX(Z162:AC162)+1))</x:f>
        <x:v>範囲内なし</x:v>
      </x:c>
      <x:c r="L162" s="7" t="n">
        <x:f>10*I162-R162</x:f>
        <x:v>-33993.274420005895</x:v>
      </x:c>
      <x:c r="M162" s="7" t="n">
        <x:f>30*I162-S162</x:f>
        <x:v>-46457.95400740209</x:v>
      </x:c>
      <x:c r="N162" s="7" t="n">
        <x:f>50*I162-S162</x:f>
        <x:v>-54422.633594798295</x:v>
      </x:c>
      <x:c r="O162" s="7" t="n">
        <x:f>100*I162-S162</x:f>
        <x:v>-74334.3325632888</x:v>
      </x:c>
      <x:c r="P162" s="7" t="n">
        <x:f>300*I162-T162</x:f>
        <x:v>-175981.1284372508</x:v>
      </x:c>
      <x:c r="Q162" s="7" t="n">
        <x:f>1000*I162-U162</x:f>
        <x:v>-484744.9139961178</x:v>
      </x:c>
      <x:c r="R162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162*'損益分岐設定'!$B$12*'損益分岐設定'!$B$11</x:f>
        <x:v>30010.934626307797</x:v>
      </x:c>
      <x:c r="S162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162*'損益分岐設定'!$B$12*'損益分岐設定'!$B$11</x:f>
        <x:v>34510.9346263078</x:v>
      </x:c>
      <x:c r="T162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162*'損益分岐設定'!$B$12*'損益分岐設定'!$B$11</x:f>
        <x:v>56510.9346263078</x:v>
      </x:c>
      <x:c r="U162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162*'損益分岐設定'!$B$12*'損益分岐設定'!$B$11</x:f>
        <x:v>86510.9346263078</x:v>
      </x:c>
      <x:c r="V162" s="1" t="n">
        <x:f>IF(I162&lt;=0,1001,IF(MAX('損益分岐設定'!B37,ROUNDUP(R162/I162,0))&lt;='損益分岐設定'!C37,MAX('損益分岐設定'!B37,ROUNDUP(R162/I162,0)),1001))</x:f>
        <x:v>1001</x:v>
      </x:c>
      <x:c r="W162" s="1" t="n">
        <x:f>IF(I162&lt;=0,1001,IF(MAX('損益分岐設定'!B38,ROUNDUP(S162/I162,0))&lt;='損益分岐設定'!C38,MAX('損益分岐設定'!B38,ROUNDUP(S162/I162,0)),1001))</x:f>
        <x:v>1001</x:v>
      </x:c>
      <x:c r="X162" s="1" t="n">
        <x:f>IF(I162&lt;=0,1001,IF(MAX('損益分岐設定'!B39,ROUNDUP(T162/I162,0))&lt;='損益分岐設定'!C39,MAX('損益分岐設定'!B39,ROUNDUP(T162/I162,0)),1001))</x:f>
        <x:v>1001</x:v>
      </x:c>
      <x:c r="Y162" s="1" t="n">
        <x:f>IF(I162&lt;=0,1001,IF(MAX('損益分岐設定'!B40,ROUNDUP(U162/I162,0))&lt;='損益分岐設定'!C40,MAX('損益分岐設定'!B40,ROUNDUP(U162/I162,0)),1001))</x:f>
        <x:v>1001</x:v>
      </x:c>
      <x:c r="Z162" s="1" t="n">
        <x:f>IF(I162&lt;=0,'損益分岐設定'!C37,IF('損益分岐設定'!C37*I162-R162&lt;0,'損益分岐設定'!C37,IF('損益分岐設定'!B37*I162-R162&gt;=0,0,ROUNDUP(R162/I162,0)-1)))</x:f>
        <x:v>10</x:v>
      </x:c>
      <x:c r="AA162" s="1" t="n">
        <x:f>IF(I162&lt;=0,'損益分岐設定'!C38,IF('損益分岐設定'!C38*I162-S162&lt;0,'損益分岐設定'!C38,IF('損益分岐設定'!B38*I162-S162&gt;=0,0,ROUNDUP(S162/I162,0)-1)))</x:f>
        <x:v>100</x:v>
      </x:c>
      <x:c r="AB162" s="1" t="n">
        <x:f>IF(I162&lt;=0,'損益分岐設定'!C39,IF('損益分岐設定'!C39*I162-T162&lt;0,'損益分岐設定'!C39,IF('損益分岐設定'!B39*I162-T162&gt;=0,0,ROUNDUP(T162/I162,0)-1)))</x:f>
        <x:v>500</x:v>
      </x:c>
      <x:c r="AC162" s="1" t="n">
        <x:f>IF(I162&lt;=0,'損益分岐設定'!C40,IF('損益分岐設定'!C40*I162-U162&lt;0,'損益分岐設定'!C40,IF('損益分岐設定'!B40*I162-U162&gt;=0,0,ROUNDUP(U162/I162,0)-1)))</x:f>
        <x:v>1000</x:v>
      </x:c>
      <x:c r="AD162" s="1" t="n">
        <x:f>'損益分岐設定'!$D$5/SUM('損益分岐設定'!$D$5:$D$7)</x:f>
        <x:v>0.5</x:v>
      </x:c>
      <x:c r="AE162" s="1" t="n">
        <x:f>'損益分岐設定'!$D$6/SUM('損益分岐設定'!$D$5:$D$7)</x:f>
        <x:v>0.3</x:v>
      </x:c>
      <x:c r="AF162" s="1" t="n">
        <x:f>'損益分岐設定'!$D$7/SUM('損益分岐設定'!$D$5:$D$7)</x:f>
        <x:v>0.2</x:v>
      </x:c>
      <x:c r="AG162" s="1" t="n">
        <x:f>AD162*('損益分岐設定'!$C$57*(1-'損益分岐設定'!$B$51)+'損益分岐設定'!$C$58*'損益分岐設定'!$B$51)+AE162*('損益分岐設定'!$C$60*(1-'損益分岐設定'!$B$51)+'損益分岐設定'!$C$61*'損益分岐設定'!$B$51)+AF162*('損益分岐設定'!$C$63*(1-'損益分岐設定'!$B$51)+'損益分岐設定'!$C$64*'損益分岐設定'!$B$51)</x:f>
        <x:v>2164.7431551757813</x:v>
      </x:c>
      <x:c r="AH162" s="1" t="n">
        <x:f>AD162*('損益分岐設定'!$D$57*(1-'損益分岐設定'!$B$51)+'損益分岐設定'!$D$58*'損益分岐設定'!$B$51)+AE162*('損益分岐設定'!$D$60*(1-'損益分岐設定'!$B$51)+'損益分岐設定'!$D$61*'損益分岐設定'!$B$51)+AF162*('損益分岐設定'!$D$63*(1-'損益分岐設定'!$B$51)+'損益分岐設定'!$D$64*'損益分岐設定'!$B$51)</x:f>
        <x:v>177.6</x:v>
      </x:c>
      <x:c r="AI162" s="1" t="n">
        <x:f>AD162*('損益分岐設定'!$E$57*(1-'損益分岐設定'!$B$51)+'損益分岐設定'!$E$58*'損益分岐設定'!$B$51)+AE162*('損益分岐設定'!$E$60*(1-'損益分岐設定'!$B$51)+'損益分岐設定'!$E$61*'損益分岐設定'!$B$51)+AF162*('損益分岐設定'!$E$63*(1-'損益分岐設定'!$B$51)+'損益分岐設定'!$E$64*'損益分岐設定'!$B$51)</x:f>
        <x:v>207.2</x:v>
      </x:c>
      <x:c r="AJ162" s="1" t="n">
        <x:f>(AD162*('損益分岐設定'!$F$57*(1-'損益分岐設定'!$B$51)+'損益分岐設定'!$F$58*'損益分岐設定'!$B$51)+AE162*('損益分岐設定'!$F$60*(1-'損益分岐設定'!$B$51)+'損益分岐設定'!$F$61*'損益分岐設定'!$B$51)+AF162*('損益分岐設定'!$F$63*(1-'損益分岐設定'!$B$51)+'損益分岐設定'!$F$64*'損益分岐設定'!$B$51)*1)*'損益分岐設定'!$B$22</x:f>
        <x:v>1687.2</x:v>
      </x:c>
      <x:c r="AK162" s="1" t="n">
        <x:f>AD162*('損益分岐設定'!$G$57*(1-'損益分岐設定'!$B$51)+'損益分岐設定'!$G$58*'損益分岐設定'!$B$51)+AE162*('損益分岐設定'!$G$60*(1-'損益分岐設定'!$B$51)+'損益分岐設定'!$G$61*'損益分岐設定'!$B$51)+AF162*('損益分岐設定'!$G$63*(1-'損益分岐設定'!$B$51)+'損益分岐設定'!$G$64*'損益分岐設定'!$B$51)</x:f>
        <x:v>1480</x:v>
      </x:c>
      <x:c r="AL162" s="1" t="n">
        <x:f>AD162*('損益分岐設定'!$H$57*(1-'損益分岐設定'!$B$51)+'損益分岐設定'!$H$58*'損益分岐設定'!$B$51)+AE162*('損益分岐設定'!$H$60*(1-'損益分岐設定'!$B$51)+'損益分岐設定'!$H$61*'損益分岐設定'!$B$51)+AF162*('損益分岐設定'!$H$63*(1-'損益分岐設定'!$B$51)+'損益分岐設定'!$H$64*'損益分岐設定'!$B$51)</x:f>
        <x:v>816.6666666666667</x:v>
      </x:c>
      <x:c r="AM162" s="1" t="n">
        <x:f>MAX(1,ROUNDUP('損益分岐設定'!C37*AJ162/('損益分岐設定'!$B$23*'損益分岐設定'!$B$24*3600*'損益分岐設定'!$B$25),0))</x:f>
        <x:v>1</x:v>
      </x:c>
      <x:c r="AN162" s="1" t="n">
        <x:f>MAX(2,ROUNDUP('損益分岐設定'!C38*AJ162/('損益分岐設定'!$B$23*'損益分岐設定'!$B$24*3600*'損益分岐設定'!$B$25),0))</x:f>
        <x:v>2</x:v>
      </x:c>
      <x:c r="AO162" s="1" t="n">
        <x:f>MAX(2,ROUNDUP('損益分岐設定'!C39*AJ162/('損益分岐設定'!$B$23*'損益分岐設定'!$B$24*3600*'損益分岐設定'!$B$25),0))</x:f>
        <x:v>2</x:v>
      </x:c>
      <x:c r="AP162" s="1" t="n">
        <x:f>MAX(2,ROUNDUP('損益分岐設定'!C40*AJ162/('損益分岐設定'!$B$23*'損益分岐設定'!$B$24*3600*'損益分岐設定'!$B$25),0))</x:f>
        <x:v>4</x:v>
      </x:c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 ht="23" customHeight="1">
      <x:c r="A163" s="1" t="str">
        <x:v>Run</x:v>
      </x:c>
      <x:c r="B163" s="1" t="str">
        <x:v>混在</x:v>
      </x:c>
      <x:c r="C163" s="1" t="str">
        <x:v>標準+高位混在</x:v>
      </x:c>
      <x:c r="D163" s="21" t="n">
        <x:v>0.5</x:v>
      </x:c>
      <x:c r="E163" s="1" t="n">
        <x:v>0</x:v>
      </x:c>
      <x:c r="F163" s="7" t="n">
        <x:f>AD163*'損益分岐設定'!$B$5+AE163*'損益分岐設定'!$B$6+AF163*'損益分岐設定'!$B$7</x:f>
        <x:v>4600</x:v>
      </x:c>
      <x:c r="G163" s="7" t="n">
        <x:f>AG163+(AH163+AI163)*('損益分岐設定'!$B$29+0.5*'損益分岐設定'!$B$30)+AK163*'損益分岐設定'!$B$32+(AJ163+AK163/'損益分岐設定'!$B$28*'損益分岐設定'!$B$26)*('損益分岐設定'!$B$29+'損益分岐設定'!$B$31*'損益分岐設定'!$B$30)</x:f>
        <x:v>2175.967312703143</x:v>
      </x:c>
      <x:c r="H163" s="7" t="n">
        <x:f>AL163*E163</x:f>
        <x:v>0</x:v>
      </x:c>
      <x:c r="I163" s="7" t="n">
        <x:f>F163*(1-D163-'損益分岐設定'!$B$10)-G163-H163</x:f>
        <x:v>-41.56731270314276</x:v>
      </x:c>
      <x:c r="J163" s="1" t="str">
        <x:f>IF(MIN(V163:Y163)&gt;1000,"範囲内なし",MIN(V163:Y163))</x:f>
        <x:v>範囲内なし</x:v>
      </x:c>
      <x:c r="K163" s="1" t="str">
        <x:f>IF(MAX(Z163:AC163)&gt;=1000,"範囲内なし",MAX(1,MAX(Z163:AC163)+1))</x:f>
        <x:v>範囲内なし</x:v>
      </x:c>
      <x:c r="L163" s="7" t="n">
        <x:f>10*I163-R163</x:f>
        <x:v>-22426.607753339224</x:v>
      </x:c>
      <x:c r="M163" s="7" t="n">
        <x:f>30*I163-S163</x:f>
        <x:v>-27757.95400740208</x:v>
      </x:c>
      <x:c r="N163" s="7" t="n">
        <x:f>50*I163-S163</x:f>
        <x:v>-28589.300261464934</x:v>
      </x:c>
      <x:c r="O163" s="7" t="n">
        <x:f>100*I163-S163</x:f>
        <x:v>-30667.66589662207</x:v>
      </x:c>
      <x:c r="P163" s="7" t="n">
        <x:f>300*I163-T163</x:f>
        <x:v>-60981.12843725063</x:v>
      </x:c>
      <x:c r="Q163" s="7" t="n">
        <x:f>1000*I163-U163</x:f>
        <x:v>-120078.24732945056</x:v>
      </x:c>
      <x:c r="R163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163*'損益分岐設定'!$B$12*'損益分岐設定'!$B$11</x:f>
        <x:v>22010.934626307797</x:v>
      </x:c>
      <x:c r="S163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163*'損益分岐設定'!$B$12*'損益分岐設定'!$B$11</x:f>
        <x:v>26510.934626307797</x:v>
      </x:c>
      <x:c r="T163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163*'損益分岐設定'!$B$12*'損益分岐設定'!$B$11</x:f>
        <x:v>48510.9346263078</x:v>
      </x:c>
      <x:c r="U163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163*'損益分岐設定'!$B$12*'損益分岐設定'!$B$11</x:f>
        <x:v>78510.9346263078</x:v>
      </x:c>
      <x:c r="V163" s="1" t="n">
        <x:f>IF(I163&lt;=0,1001,IF(MAX('損益分岐設定'!B37,ROUNDUP(R163/I163,0))&lt;='損益分岐設定'!C37,MAX('損益分岐設定'!B37,ROUNDUP(R163/I163,0)),1001))</x:f>
        <x:v>1001</x:v>
      </x:c>
      <x:c r="W163" s="1" t="n">
        <x:f>IF(I163&lt;=0,1001,IF(MAX('損益分岐設定'!B38,ROUNDUP(S163/I163,0))&lt;='損益分岐設定'!C38,MAX('損益分岐設定'!B38,ROUNDUP(S163/I163,0)),1001))</x:f>
        <x:v>1001</x:v>
      </x:c>
      <x:c r="X163" s="1" t="n">
        <x:f>IF(I163&lt;=0,1001,IF(MAX('損益分岐設定'!B39,ROUNDUP(T163/I163,0))&lt;='損益分岐設定'!C39,MAX('損益分岐設定'!B39,ROUNDUP(T163/I163,0)),1001))</x:f>
        <x:v>1001</x:v>
      </x:c>
      <x:c r="Y163" s="1" t="n">
        <x:f>IF(I163&lt;=0,1001,IF(MAX('損益分岐設定'!B40,ROUNDUP(U163/I163,0))&lt;='損益分岐設定'!C40,MAX('損益分岐設定'!B40,ROUNDUP(U163/I163,0)),1001))</x:f>
        <x:v>1001</x:v>
      </x:c>
      <x:c r="Z163" s="1" t="n">
        <x:f>IF(I163&lt;=0,'損益分岐設定'!C37,IF('損益分岐設定'!C37*I163-R163&lt;0,'損益分岐設定'!C37,IF('損益分岐設定'!B37*I163-R163&gt;=0,0,ROUNDUP(R163/I163,0)-1)))</x:f>
        <x:v>10</x:v>
      </x:c>
      <x:c r="AA163" s="1" t="n">
        <x:f>IF(I163&lt;=0,'損益分岐設定'!C38,IF('損益分岐設定'!C38*I163-S163&lt;0,'損益分岐設定'!C38,IF('損益分岐設定'!B38*I163-S163&gt;=0,0,ROUNDUP(S163/I163,0)-1)))</x:f>
        <x:v>100</x:v>
      </x:c>
      <x:c r="AB163" s="1" t="n">
        <x:f>IF(I163&lt;=0,'損益分岐設定'!C39,IF('損益分岐設定'!C39*I163-T163&lt;0,'損益分岐設定'!C39,IF('損益分岐設定'!B39*I163-T163&gt;=0,0,ROUNDUP(T163/I163,0)-1)))</x:f>
        <x:v>500</x:v>
      </x:c>
      <x:c r="AC163" s="1" t="n">
        <x:f>IF(I163&lt;=0,'損益分岐設定'!C40,IF('損益分岐設定'!C40*I163-U163&lt;0,'損益分岐設定'!C40,IF('損益分岐設定'!B40*I163-U163&gt;=0,0,ROUNDUP(U163/I163,0)-1)))</x:f>
        <x:v>1000</x:v>
      </x:c>
      <x:c r="AD163" s="1" t="n">
        <x:f>'損益分岐設定'!$D$5/SUM('損益分岐設定'!$D$5:$D$7)</x:f>
        <x:v>0.5</x:v>
      </x:c>
      <x:c r="AE163" s="1" t="n">
        <x:f>'損益分岐設定'!$D$6/SUM('損益分岐設定'!$D$5:$D$7)</x:f>
        <x:v>0.3</x:v>
      </x:c>
      <x:c r="AF163" s="1" t="n">
        <x:f>'損益分岐設定'!$D$7/SUM('損益分岐設定'!$D$5:$D$7)</x:f>
        <x:v>0.2</x:v>
      </x:c>
      <x:c r="AG163" s="1" t="n">
        <x:f>AD163*('損益分岐設定'!$C$57*(1-'損益分岐設定'!$B$51)+'損益分岐設定'!$C$58*'損益分岐設定'!$B$51)+AE163*('損益分岐設定'!$C$60*(1-'損益分岐設定'!$B$51)+'損益分岐設定'!$C$61*'損益分岐設定'!$B$51)+AF163*('損益分岐設定'!$C$63*(1-'損益分岐設定'!$B$51)+'損益分岐設定'!$C$64*'損益分岐設定'!$B$51)</x:f>
        <x:v>2164.7431551757813</x:v>
      </x:c>
      <x:c r="AH163" s="1" t="n">
        <x:f>AD163*('損益分岐設定'!$D$57*(1-'損益分岐設定'!$B$51)+'損益分岐設定'!$D$58*'損益分岐設定'!$B$51)+AE163*('損益分岐設定'!$D$60*(1-'損益分岐設定'!$B$51)+'損益分岐設定'!$D$61*'損益分岐設定'!$B$51)+AF163*('損益分岐設定'!$D$63*(1-'損益分岐設定'!$B$51)+'損益分岐設定'!$D$64*'損益分岐設定'!$B$51)</x:f>
        <x:v>177.6</x:v>
      </x:c>
      <x:c r="AI163" s="1" t="n">
        <x:f>AD163*('損益分岐設定'!$E$57*(1-'損益分岐設定'!$B$51)+'損益分岐設定'!$E$58*'損益分岐設定'!$B$51)+AE163*('損益分岐設定'!$E$60*(1-'損益分岐設定'!$B$51)+'損益分岐設定'!$E$61*'損益分岐設定'!$B$51)+AF163*('損益分岐設定'!$E$63*(1-'損益分岐設定'!$B$51)+'損益分岐設定'!$E$64*'損益分岐設定'!$B$51)</x:f>
        <x:v>207.2</x:v>
      </x:c>
      <x:c r="AJ163" s="1" t="n">
        <x:f>(AD163*('損益分岐設定'!$F$57*(1-'損益分岐設定'!$B$51)+'損益分岐設定'!$F$58*'損益分岐設定'!$B$51)+AE163*('損益分岐設定'!$F$60*(1-'損益分岐設定'!$B$51)+'損益分岐設定'!$F$61*'損益分岐設定'!$B$51)+AF163*('損益分岐設定'!$F$63*(1-'損益分岐設定'!$B$51)+'損益分岐設定'!$F$64*'損益分岐設定'!$B$51)*1)*'損益分岐設定'!$B$22</x:f>
        <x:v>1687.2</x:v>
      </x:c>
      <x:c r="AK163" s="1" t="n">
        <x:f>AD163*('損益分岐設定'!$G$57*(1-'損益分岐設定'!$B$51)+'損益分岐設定'!$G$58*'損益分岐設定'!$B$51)+AE163*('損益分岐設定'!$G$60*(1-'損益分岐設定'!$B$51)+'損益分岐設定'!$G$61*'損益分岐設定'!$B$51)+AF163*('損益分岐設定'!$G$63*(1-'損益分岐設定'!$B$51)+'損益分岐設定'!$G$64*'損益分岐設定'!$B$51)</x:f>
        <x:v>1480</x:v>
      </x:c>
      <x:c r="AL163" s="1" t="n">
        <x:f>AD163*('損益分岐設定'!$H$57*(1-'損益分岐設定'!$B$51)+'損益分岐設定'!$H$58*'損益分岐設定'!$B$51)+AE163*('損益分岐設定'!$H$60*(1-'損益分岐設定'!$B$51)+'損益分岐設定'!$H$61*'損益分岐設定'!$B$51)+AF163*('損益分岐設定'!$H$63*(1-'損益分岐設定'!$B$51)+'損益分岐設定'!$H$64*'損益分岐設定'!$B$51)</x:f>
        <x:v>816.6666666666667</x:v>
      </x:c>
      <x:c r="AM163" s="1" t="n">
        <x:f>MAX(1,ROUNDUP('損益分岐設定'!C37*AJ163/('損益分岐設定'!$B$23*'損益分岐設定'!$B$24*3600*'損益分岐設定'!$B$25),0))</x:f>
        <x:v>1</x:v>
      </x:c>
      <x:c r="AN163" s="1" t="n">
        <x:f>MAX(2,ROUNDUP('損益分岐設定'!C38*AJ163/('損益分岐設定'!$B$23*'損益分岐設定'!$B$24*3600*'損益分岐設定'!$B$25),0))</x:f>
        <x:v>2</x:v>
      </x:c>
      <x:c r="AO163" s="1" t="n">
        <x:f>MAX(2,ROUNDUP('損益分岐設定'!C39*AJ163/('損益分岐設定'!$B$23*'損益分岐設定'!$B$24*3600*'損益分岐設定'!$B$25),0))</x:f>
        <x:v>2</x:v>
      </x:c>
      <x:c r="AP163" s="1" t="n">
        <x:f>MAX(2,ROUNDUP('損益分岐設定'!C40*AJ163/('損益分岐設定'!$B$23*'損益分岐設定'!$B$24*3600*'損益分岐設定'!$B$25),0))</x:f>
        <x:v>4</x:v>
      </x:c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 ht="23" customHeight="1">
      <x:c r="A164" s="1" t="str">
        <x:v>Run</x:v>
      </x:c>
      <x:c r="B164" s="1" t="str">
        <x:v>混在</x:v>
      </x:c>
      <x:c r="C164" s="1" t="str">
        <x:v>標準+高位混在</x:v>
      </x:c>
      <x:c r="D164" s="21" t="n">
        <x:v>0.5</x:v>
      </x:c>
      <x:c r="E164" s="1" t="n">
        <x:v>1</x:v>
      </x:c>
      <x:c r="F164" s="7" t="n">
        <x:f>AD164*'損益分岐設定'!$B$5+AE164*'損益分岐設定'!$B$6+AF164*'損益分岐設定'!$B$7</x:f>
        <x:v>4600</x:v>
      </x:c>
      <x:c r="G164" s="7" t="n">
        <x:f>AG164+(AH164+AI164)*('損益分岐設定'!$B$29+0.5*'損益分岐設定'!$B$30)+AK164*'損益分岐設定'!$B$32+(AJ164+AK164/'損益分岐設定'!$B$28*'損益分岐設定'!$B$26)*('損益分岐設定'!$B$29+'損益分岐設定'!$B$31*'損益分岐設定'!$B$30)</x:f>
        <x:v>2175.967312703143</x:v>
      </x:c>
      <x:c r="H164" s="7" t="n">
        <x:f>AL164*E164</x:f>
        <x:v>816.6666666666667</x:v>
      </x:c>
      <x:c r="I164" s="7" t="n">
        <x:f>F164*(1-D164-'損益分岐設定'!$B$10)-G164-H164</x:f>
        <x:v>-858.2339793698095</x:v>
      </x:c>
      <x:c r="J164" s="1" t="str">
        <x:f>IF(MIN(V164:Y164)&gt;1000,"範囲内なし",MIN(V164:Y164))</x:f>
        <x:v>範囲内なし</x:v>
      </x:c>
      <x:c r="K164" s="1" t="str">
        <x:f>IF(MAX(Z164:AC164)&gt;=1000,"範囲内なし",MAX(1,MAX(Z164:AC164)+1))</x:f>
        <x:v>範囲内なし</x:v>
      </x:c>
      <x:c r="L164" s="7" t="n">
        <x:f>10*I164-R164</x:f>
        <x:v>-38593.274420005895</x:v>
      </x:c>
      <x:c r="M164" s="7" t="n">
        <x:f>30*I164-S164</x:f>
        <x:v>-60257.95400740208</x:v>
      </x:c>
      <x:c r="N164" s="7" t="n">
        <x:f>50*I164-S164</x:f>
        <x:v>-77422.63359479827</x:v>
      </x:c>
      <x:c r="O164" s="7" t="n">
        <x:f>100*I164-S164</x:f>
        <x:v>-120334.33256328874</x:v>
      </x:c>
      <x:c r="P164" s="7" t="n">
        <x:f>300*I164-T164</x:f>
        <x:v>-313981.1284372506</x:v>
      </x:c>
      <x:c r="Q164" s="7" t="n">
        <x:f>1000*I164-U164</x:f>
        <x:v>-944744.9139961173</x:v>
      </x:c>
      <x:c r="R164" s="7" t="n">
        <x:f>'損益分岐設定'!$B$18+'損益分岐設定'!$B$19+'損益分岐設定'!$B$20+'損益分岐設定'!E37+'損益分岐設定'!D37+'損益分岐設定'!$B$26*'損益分岐設定'!$B$27*('損益分岐設定'!$B$29+'損益分岐設定'!$B$31*'損益分岐設定'!$B$30)+E164*'損益分岐設定'!$B$12*'損益分岐設定'!$B$11</x:f>
        <x:v>30010.934626307797</x:v>
      </x:c>
      <x:c r="S164" s="7" t="n">
        <x:f>'損益分岐設定'!$B$18+'損益分岐設定'!$B$19+'損益分岐設定'!$B$20+'損益分岐設定'!E38+'損益分岐設定'!D38+'損益分岐設定'!$B$26*'損益分岐設定'!$B$27*('損益分岐設定'!$B$29+'損益分岐設定'!$B$31*'損益分岐設定'!$B$30)+E164*'損益分岐設定'!$B$12*'損益分岐設定'!$B$11</x:f>
        <x:v>34510.9346263078</x:v>
      </x:c>
      <x:c r="T164" s="7" t="n">
        <x:f>'損益分岐設定'!$B$18+'損益分岐設定'!$B$19+'損益分岐設定'!$B$20+'損益分岐設定'!E39+'損益分岐設定'!D39+'損益分岐設定'!$B$26*'損益分岐設定'!$B$27*('損益分岐設定'!$B$29+'損益分岐設定'!$B$31*'損益分岐設定'!$B$30)+E164*'損益分岐設定'!$B$12*'損益分岐設定'!$B$11</x:f>
        <x:v>56510.9346263078</x:v>
      </x:c>
      <x:c r="U164" s="7" t="n">
        <x:f>'損益分岐設定'!$B$18+'損益分岐設定'!$B$19+'損益分岐設定'!$B$20+'損益分岐設定'!E40+'損益分岐設定'!D40+'損益分岐設定'!$B$26*'損益分岐設定'!$B$27*('損益分岐設定'!$B$29+'損益分岐設定'!$B$31*'損益分岐設定'!$B$30)+E164*'損益分岐設定'!$B$12*'損益分岐設定'!$B$11</x:f>
        <x:v>86510.9346263078</x:v>
      </x:c>
      <x:c r="V164" s="1" t="n">
        <x:f>IF(I164&lt;=0,1001,IF(MAX('損益分岐設定'!B37,ROUNDUP(R164/I164,0))&lt;='損益分岐設定'!C37,MAX('損益分岐設定'!B37,ROUNDUP(R164/I164,0)),1001))</x:f>
        <x:v>1001</x:v>
      </x:c>
      <x:c r="W164" s="1" t="n">
        <x:f>IF(I164&lt;=0,1001,IF(MAX('損益分岐設定'!B38,ROUNDUP(S164/I164,0))&lt;='損益分岐設定'!C38,MAX('損益分岐設定'!B38,ROUNDUP(S164/I164,0)),1001))</x:f>
        <x:v>1001</x:v>
      </x:c>
      <x:c r="X164" s="1" t="n">
        <x:f>IF(I164&lt;=0,1001,IF(MAX('損益分岐設定'!B39,ROUNDUP(T164/I164,0))&lt;='損益分岐設定'!C39,MAX('損益分岐設定'!B39,ROUNDUP(T164/I164,0)),1001))</x:f>
        <x:v>1001</x:v>
      </x:c>
      <x:c r="Y164" s="1" t="n">
        <x:f>IF(I164&lt;=0,1001,IF(MAX('損益分岐設定'!B40,ROUNDUP(U164/I164,0))&lt;='損益分岐設定'!C40,MAX('損益分岐設定'!B40,ROUNDUP(U164/I164,0)),1001))</x:f>
        <x:v>1001</x:v>
      </x:c>
      <x:c r="Z164" s="1" t="n">
        <x:f>IF(I164&lt;=0,'損益分岐設定'!C37,IF('損益分岐設定'!C37*I164-R164&lt;0,'損益分岐設定'!C37,IF('損益分岐設定'!B37*I164-R164&gt;=0,0,ROUNDUP(R164/I164,0)-1)))</x:f>
        <x:v>10</x:v>
      </x:c>
      <x:c r="AA164" s="1" t="n">
        <x:f>IF(I164&lt;=0,'損益分岐設定'!C38,IF('損益分岐設定'!C38*I164-S164&lt;0,'損益分岐設定'!C38,IF('損益分岐設定'!B38*I164-S164&gt;=0,0,ROUNDUP(S164/I164,0)-1)))</x:f>
        <x:v>100</x:v>
      </x:c>
      <x:c r="AB164" s="1" t="n">
        <x:f>IF(I164&lt;=0,'損益分岐設定'!C39,IF('損益分岐設定'!C39*I164-T164&lt;0,'損益分岐設定'!C39,IF('損益分岐設定'!B39*I164-T164&gt;=0,0,ROUNDUP(T164/I164,0)-1)))</x:f>
        <x:v>500</x:v>
      </x:c>
      <x:c r="AC164" s="1" t="n">
        <x:f>IF(I164&lt;=0,'損益分岐設定'!C40,IF('損益分岐設定'!C40*I164-U164&lt;0,'損益分岐設定'!C40,IF('損益分岐設定'!B40*I164-U164&gt;=0,0,ROUNDUP(U164/I164,0)-1)))</x:f>
        <x:v>1000</x:v>
      </x:c>
      <x:c r="AD164" s="1" t="n">
        <x:f>'損益分岐設定'!$D$5/SUM('損益分岐設定'!$D$5:$D$7)</x:f>
        <x:v>0.5</x:v>
      </x:c>
      <x:c r="AE164" s="1" t="n">
        <x:f>'損益分岐設定'!$D$6/SUM('損益分岐設定'!$D$5:$D$7)</x:f>
        <x:v>0.3</x:v>
      </x:c>
      <x:c r="AF164" s="1" t="n">
        <x:f>'損益分岐設定'!$D$7/SUM('損益分岐設定'!$D$5:$D$7)</x:f>
        <x:v>0.2</x:v>
      </x:c>
      <x:c r="AG164" s="1" t="n">
        <x:f>AD164*('損益分岐設定'!$C$57*(1-'損益分岐設定'!$B$51)+'損益分岐設定'!$C$58*'損益分岐設定'!$B$51)+AE164*('損益分岐設定'!$C$60*(1-'損益分岐設定'!$B$51)+'損益分岐設定'!$C$61*'損益分岐設定'!$B$51)+AF164*('損益分岐設定'!$C$63*(1-'損益分岐設定'!$B$51)+'損益分岐設定'!$C$64*'損益分岐設定'!$B$51)</x:f>
        <x:v>2164.7431551757813</x:v>
      </x:c>
      <x:c r="AH164" s="1" t="n">
        <x:f>AD164*('損益分岐設定'!$D$57*(1-'損益分岐設定'!$B$51)+'損益分岐設定'!$D$58*'損益分岐設定'!$B$51)+AE164*('損益分岐設定'!$D$60*(1-'損益分岐設定'!$B$51)+'損益分岐設定'!$D$61*'損益分岐設定'!$B$51)+AF164*('損益分岐設定'!$D$63*(1-'損益分岐設定'!$B$51)+'損益分岐設定'!$D$64*'損益分岐設定'!$B$51)</x:f>
        <x:v>177.6</x:v>
      </x:c>
      <x:c r="AI164" s="1" t="n">
        <x:f>AD164*('損益分岐設定'!$E$57*(1-'損益分岐設定'!$B$51)+'損益分岐設定'!$E$58*'損益分岐設定'!$B$51)+AE164*('損益分岐設定'!$E$60*(1-'損益分岐設定'!$B$51)+'損益分岐設定'!$E$61*'損益分岐設定'!$B$51)+AF164*('損益分岐設定'!$E$63*(1-'損益分岐設定'!$B$51)+'損益分岐設定'!$E$64*'損益分岐設定'!$B$51)</x:f>
        <x:v>207.2</x:v>
      </x:c>
      <x:c r="AJ164" s="1" t="n">
        <x:f>(AD164*('損益分岐設定'!$F$57*(1-'損益分岐設定'!$B$51)+'損益分岐設定'!$F$58*'損益分岐設定'!$B$51)+AE164*('損益分岐設定'!$F$60*(1-'損益分岐設定'!$B$51)+'損益分岐設定'!$F$61*'損益分岐設定'!$B$51)+AF164*('損益分岐設定'!$F$63*(1-'損益分岐設定'!$B$51)+'損益分岐設定'!$F$64*'損益分岐設定'!$B$51)*1)*'損益分岐設定'!$B$22</x:f>
        <x:v>1687.2</x:v>
      </x:c>
      <x:c r="AK164" s="1" t="n">
        <x:f>AD164*('損益分岐設定'!$G$57*(1-'損益分岐設定'!$B$51)+'損益分岐設定'!$G$58*'損益分岐設定'!$B$51)+AE164*('損益分岐設定'!$G$60*(1-'損益分岐設定'!$B$51)+'損益分岐設定'!$G$61*'損益分岐設定'!$B$51)+AF164*('損益分岐設定'!$G$63*(1-'損益分岐設定'!$B$51)+'損益分岐設定'!$G$64*'損益分岐設定'!$B$51)</x:f>
        <x:v>1480</x:v>
      </x:c>
      <x:c r="AL164" s="1" t="n">
        <x:f>AD164*('損益分岐設定'!$H$57*(1-'損益分岐設定'!$B$51)+'損益分岐設定'!$H$58*'損益分岐設定'!$B$51)+AE164*('損益分岐設定'!$H$60*(1-'損益分岐設定'!$B$51)+'損益分岐設定'!$H$61*'損益分岐設定'!$B$51)+AF164*('損益分岐設定'!$H$63*(1-'損益分岐設定'!$B$51)+'損益分岐設定'!$H$64*'損益分岐設定'!$B$51)</x:f>
        <x:v>816.6666666666667</x:v>
      </x:c>
      <x:c r="AM164" s="1" t="n">
        <x:f>MAX(1,ROUNDUP('損益分岐設定'!C37*AJ164/('損益分岐設定'!$B$23*'損益分岐設定'!$B$24*3600*'損益分岐設定'!$B$25),0))</x:f>
        <x:v>1</x:v>
      </x:c>
      <x:c r="AN164" s="1" t="n">
        <x:f>MAX(2,ROUNDUP('損益分岐設定'!C38*AJ164/('損益分岐設定'!$B$23*'損益分岐設定'!$B$24*3600*'損益分岐設定'!$B$25),0))</x:f>
        <x:v>2</x:v>
      </x:c>
      <x:c r="AO164" s="1" t="n">
        <x:f>MAX(2,ROUNDUP('損益分岐設定'!C39*AJ164/('損益分岐設定'!$B$23*'損益分岐設定'!$B$24*3600*'損益分岐設定'!$B$25),0))</x:f>
        <x:v>2</x:v>
      </x:c>
      <x:c r="AP164" s="1" t="n">
        <x:f>MAX(2,ROUNDUP('損益分岐設定'!C40*AJ164/('損益分岐設定'!$B$23*'損益分岐設定'!$B$24*3600*'損益分岐設定'!$B$25),0))</x:f>
        <x:v>4</x:v>
      </x:c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 ht="23" customHeight="1">
      <x:c r="A165" s="1" t="str">
        <x:v>Hybrid</x:v>
      </x:c>
      <x:c r="B165" s="1" t="str">
        <x:v>Starter</x:v>
      </x:c>
      <x:c r="C165" s="1" t="str">
        <x:v>低位</x:v>
      </x:c>
      <x:c r="D165" s="21" t="n">
        <x:v>0</x:v>
      </x:c>
      <x:c r="E165" s="1" t="n">
        <x:v>0</x:v>
      </x:c>
      <x:c r="F165" s="7" t="n">
        <x:f>AD165*'損益分岐設定'!$B$5+AE165*'損益分岐設定'!$B$6+AF165*'損益分岐設定'!$B$7</x:f>
        <x:v>3000</x:v>
      </x:c>
      <x:c r="G165" s="7" t="n">
        <x:f>AG165+(AH165+AI165)*('損益分岐設定'!$B$29+0.5*'損益分岐設定'!$B$30)+AK165*'損益分岐設定'!$B$33</x:f>
        <x:v>66.40784016805826</x:v>
      </x:c>
      <x:c r="H165" s="7" t="n">
        <x:f>AL165*E165</x:f>
        <x:v>0</x:v>
      </x:c>
      <x:c r="I165" s="7" t="n">
        <x:f>F165*(1-D165-'損益分岐設定'!$B$10)-G165-H165</x:f>
        <x:v>2825.592159831942</x:v>
      </x:c>
      <x:c r="J165" s="1" t="n">
        <x:f>IF(MIN(V165:Y165)&gt;1000,"範囲内なし",MIN(V165:Y165))</x:f>
        <x:v>18</x:v>
      </x:c>
      <x:c r="K165" s="1" t="n">
        <x:f>IF(MAX(Z165:AC165)&gt;=1000,"範囲内なし",MAX(1,MAX(Z165:AC165)+1))</x:f>
        <x:v>18</x:v>
      </x:c>
      <x:c r="L165" s="7" t="n">
        <x:f>10*I165-R165</x:f>
        <x:v>-7183.875091985898</x:v>
      </x:c>
      <x:c r="M165" s="7" t="n">
        <x:f>30*I165-S165</x:f>
        <x:v>34388.17141434763</x:v>
      </x:c>
      <x:c r="N165" s="7" t="n">
        <x:f>50*I165-S165</x:f>
        <x:v>90900.01461098646</x:v>
      </x:c>
      <x:c r="O165" s="7" t="n">
        <x:f>100*I165-S165</x:f>
        <x:v>232179.62260258355</x:v>
      </x:c>
      <x:c r="P165" s="7" t="n">
        <x:f>300*I165-T165</x:f>
        <x:v>775298.054568972</x:v>
      </x:c>
      <x:c r="Q165" s="7" t="n">
        <x:f>1000*I165-U165</x:f>
        <x:v>2723212.5664513316</x:v>
      </x:c>
      <x:c r="R165" s="7" t="n">
        <x:f>'損益分岐設定'!$B$18+'損益分岐設定'!$B$19+'損益分岐設定'!$B$20+'損益分岐設定'!E37+'損益分岐設定'!D37+AM165*('損益分岐設定'!$B$15+'損益分岐設定'!$B$16)+'損益分岐設定'!$B$17+E165*('損益分岐設定'!$B$13+(AM165-1)*'損益分岐設定'!$B$14)*'損益分岐設定'!$B$11</x:f>
        <x:v>35439.79669030532</x:v>
      </x:c>
      <x:c r="S165" s="7" t="n">
        <x:f>'損益分岐設定'!$B$18+'損益分岐設定'!$B$19+'損益分岐設定'!$B$20+'損益分岐設定'!E38+'損益分岐設定'!D38+AN165*('損益分岐設定'!$B$15+'損益分岐設定'!$B$16)+'損益分岐設定'!$B$17+E165*('損益分岐設定'!$B$13+(AN165-1)*'損益分岐設定'!$B$14)*'損益分岐設定'!$B$11</x:f>
        <x:v>50379.59338061063</x:v>
      </x:c>
      <x:c r="T165" s="7" t="n">
        <x:f>'損益分岐設定'!$B$18+'損益分岐設定'!$B$19+'損益分岐設定'!$B$20+'損益分岐設定'!E39+'損益分岐設定'!D39+AO165*('損益分岐設定'!$B$15+'損益分岐設定'!$B$16)+'損益分岐設定'!$B$17+E165*('損益分岐設定'!$B$13+(AO165-1)*'損益分岐設定'!$B$14)*'損益分岐設定'!$B$11</x:f>
        <x:v>72379.59338061063</x:v>
      </x:c>
      <x:c r="U165" s="7" t="n">
        <x:f>'損益分岐設定'!$B$18+'損益分岐設定'!$B$19+'損益分岐設定'!$B$20+'損益分岐設定'!E40+'損益分岐設定'!D40+AP165*('損益分岐設定'!$B$15+'損益分岐設定'!$B$16)+'損益分岐設定'!$B$17+E165*('損益分岐設定'!$B$13+(AP165-1)*'損益分岐設定'!$B$14)*'損益分岐設定'!$B$11</x:f>
        <x:v>102379.59338061063</x:v>
      </x:c>
      <x:c r="V165" s="1" t="n">
        <x:f>IF(I165&lt;=0,1001,IF(MAX('損益分岐設定'!B37,ROUNDUP(R165/I165,0))&lt;='損益分岐設定'!C37,MAX('損益分岐設定'!B37,ROUNDUP(R165/I165,0)),1001))</x:f>
        <x:v>1001</x:v>
      </x:c>
      <x:c r="W165" s="1" t="n">
        <x:f>IF(I165&lt;=0,1001,IF(MAX('損益分岐設定'!B38,ROUNDUP(S165/I165,0))&lt;='損益分岐設定'!C38,MAX('損益分岐設定'!B38,ROUNDUP(S165/I165,0)),1001))</x:f>
        <x:v>18</x:v>
      </x:c>
      <x:c r="X165" s="1" t="n">
        <x:f>IF(I165&lt;=0,1001,IF(MAX('損益分岐設定'!B39,ROUNDUP(T165/I165,0))&lt;='損益分岐設定'!C39,MAX('損益分岐設定'!B39,ROUNDUP(T165/I165,0)),1001))</x:f>
        <x:v>101</x:v>
      </x:c>
      <x:c r="Y165" s="1" t="n">
        <x:f>IF(I165&lt;=0,1001,IF(MAX('損益分岐設定'!B40,ROUNDUP(U165/I165,0))&lt;='損益分岐設定'!C40,MAX('損益分岐設定'!B40,ROUNDUP(U165/I165,0)),1001))</x:f>
        <x:v>501</x:v>
      </x:c>
      <x:c r="Z165" s="1" t="n">
        <x:f>IF(I165&lt;=0,'損益分岐設定'!C37,IF('損益分岐設定'!C37*I165-R165&lt;0,'損益分岐設定'!C37,IF('損益分岐設定'!B37*I165-R165&gt;=0,0,ROUNDUP(R165/I165,0)-1)))</x:f>
        <x:v>10</x:v>
      </x:c>
      <x:c r="AA165" s="1" t="n">
        <x:f>IF(I165&lt;=0,'損益分岐設定'!C38,IF('損益分岐設定'!C38*I165-S165&lt;0,'損益分岐設定'!C38,IF('損益分岐設定'!B38*I165-S165&gt;=0,0,ROUNDUP(S165/I165,0)-1)))</x:f>
        <x:v>17</x:v>
      </x:c>
      <x:c r="AB165" s="1" t="n">
        <x:f>IF(I165&lt;=0,'損益分岐設定'!C39,IF('損益分岐設定'!C39*I165-T165&lt;0,'損益分岐設定'!C39,IF('損益分岐設定'!B39*I165-T165&gt;=0,0,ROUNDUP(T165/I165,0)-1)))</x:f>
        <x:v>0</x:v>
      </x:c>
      <x:c r="AC165" s="1" t="n">
        <x:f>IF(I165&lt;=0,'損益分岐設定'!C40,IF('損益分岐設定'!C40*I165-U165&lt;0,'損益分岐設定'!C40,IF('損益分岐設定'!B40*I165-U165&gt;=0,0,ROUNDUP(U165/I165,0)-1)))</x:f>
        <x:v>0</x:v>
      </x:c>
      <x:c r="AD165" s="1" t="n">
        <x:v>1</x:v>
      </x:c>
      <x:c r="AE165" s="1" t="n">
        <x:v>0</x:v>
      </x:c>
      <x:c r="AF165" s="1" t="n">
        <x:v>0</x:v>
      </x:c>
      <x:c r="AG165" s="1" t="n">
        <x:f>AD165*'損益分岐設定'!$C$56+AE165*'損益分岐設定'!$C$59+AF165*'損益分岐設定'!$C$62</x:f>
        <x:v>66.35651235961915</x:v>
      </x:c>
      <x:c r="AH165" s="1" t="n">
        <x:f>AD165*'損益分岐設定'!$D$56+AE165*'損益分岐設定'!$D$59+AF165*'損益分岐設定'!$D$62</x:f>
        <x:v>7.5</x:v>
      </x:c>
      <x:c r="AI165" s="1" t="n">
        <x:f>AD165*'損益分岐設定'!$E$56+AE165*'損益分岐設定'!$E$59+AF165*'損益分岐設定'!$E$62</x:f>
        <x:v>5</x:v>
      </x:c>
      <x:c r="AJ165" s="1" t="n">
        <x:f>(AD165*'損益分岐設定'!$F$56+AE165*'損益分岐設定'!$F$59+AF165*'損益分岐設定'!$F$62*1)*'損益分岐設定'!$B$22</x:f>
        <x:v>7.5</x:v>
      </x:c>
      <x:c r="AK165" s="1" t="n">
        <x:f>AD165*'損益分岐設定'!$G$56+AE165*'損益分岐設定'!$G$59+AF165*'損益分岐設定'!$G$62</x:f>
        <x:v>25</x:v>
      </x:c>
      <x:c r="AL165" s="1" t="n">
        <x:f>AD165*'損益分岐設定'!$H$56+AE165*'損益分岐設定'!$H$59+AF165*'損益分岐設定'!$H$62</x:f>
        <x:v>233.33333333333334</x:v>
      </x:c>
      <x:c r="AM165" s="1" t="n">
        <x:f>MAX(1,ROUNDUP('損益分岐設定'!C37*AJ165/('損益分岐設定'!$B$23*'損益分岐設定'!$B$24*3600*'損益分岐設定'!$B$25),0))</x:f>
        <x:v>1</x:v>
      </x:c>
      <x:c r="AN165" s="1" t="n">
        <x:f>MAX(2,ROUNDUP('損益分岐設定'!C38*AJ165/('損益分岐設定'!$B$23*'損益分岐設定'!$B$24*3600*'損益分岐設定'!$B$25),0))</x:f>
        <x:v>2</x:v>
      </x:c>
      <x:c r="AO165" s="1" t="n">
        <x:f>MAX(2,ROUNDUP('損益分岐設定'!C39*AJ165/('損益分岐設定'!$B$23*'損益分岐設定'!$B$24*3600*'損益分岐設定'!$B$25),0))</x:f>
        <x:v>2</x:v>
      </x:c>
      <x:c r="AP165" s="1" t="n">
        <x:f>MAX(2,ROUNDUP('損益分岐設定'!C40*AJ165/('損益分岐設定'!$B$23*'損益分岐設定'!$B$24*3600*'損益分岐設定'!$B$25),0))</x:f>
        <x:v>2</x:v>
      </x:c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 ht="23" customHeight="1">
      <x:c r="A166" s="1" t="str">
        <x:v>Hybrid</x:v>
      </x:c>
      <x:c r="B166" s="1" t="str">
        <x:v>Starter</x:v>
      </x:c>
      <x:c r="C166" s="1" t="str">
        <x:v>低位</x:v>
      </x:c>
      <x:c r="D166" s="21" t="n">
        <x:v>0</x:v>
      </x:c>
      <x:c r="E166" s="1" t="n">
        <x:v>1</x:v>
      </x:c>
      <x:c r="F166" s="7" t="n">
        <x:f>AD166*'損益分岐設定'!$B$5+AE166*'損益分岐設定'!$B$6+AF166*'損益分岐設定'!$B$7</x:f>
        <x:v>3000</x:v>
      </x:c>
      <x:c r="G166" s="7" t="n">
        <x:f>AG166+(AH166+AI166)*('損益分岐設定'!$B$29+0.5*'損益分岐設定'!$B$30)+AK166*'損益分岐設定'!$B$33</x:f>
        <x:v>66.40784016805826</x:v>
      </x:c>
      <x:c r="H166" s="7" t="n">
        <x:f>AL166*E166</x:f>
        <x:v>233.33333333333334</x:v>
      </x:c>
      <x:c r="I166" s="7" t="n">
        <x:f>F166*(1-D166-'損益分岐設定'!$B$10)-G166-H166</x:f>
        <x:v>2592.2588264986084</x:v>
      </x:c>
      <x:c r="J166" s="1" t="n">
        <x:f>IF(MIN(V166:Y166)&gt;1000,"範囲内なし",MIN(V166:Y166))</x:f>
        <x:v>27</x:v>
      </x:c>
      <x:c r="K166" s="1" t="n">
        <x:f>IF(MAX(Z166:AC166)&gt;=1000,"範囲内なし",MAX(1,MAX(Z166:AC166)+1))</x:f>
        <x:v>27</x:v>
      </x:c>
      <x:c r="L166" s="7" t="n">
        <x:f>10*I166-R166</x:f>
        <x:v>-25517.208425319233</x:v>
      </x:c>
      <x:c r="M166" s="7" t="n">
        <x:f>30*I166-S166</x:f>
        <x:v>9388.171414347613</x:v>
      </x:c>
      <x:c r="N166" s="7" t="n">
        <x:f>50*I166-S166</x:f>
        <x:v>61233.34794431979</x:v>
      </x:c>
      <x:c r="O166" s="7" t="n">
        <x:f>100*I166-S166</x:f>
        <x:v>190846.2892692502</x:v>
      </x:c>
      <x:c r="P166" s="7" t="n">
        <x:f>300*I166-T166</x:f>
        <x:v>687298.054568972</x:v>
      </x:c>
      <x:c r="Q166" s="7" t="n">
        <x:f>1000*I166-U166</x:f>
        <x:v>2471879.233117998</x:v>
      </x:c>
      <x:c r="R166" s="7" t="n">
        <x:f>'損益分岐設定'!$B$18+'損益分岐設定'!$B$19+'損益分岐設定'!$B$20+'損益分岐設定'!E37+'損益分岐設定'!D37+AM166*('損益分岐設定'!$B$15+'損益分岐設定'!$B$16)+'損益分岐設定'!$B$17+E166*('損益分岐設定'!$B$13+(AM166-1)*'損益分岐設定'!$B$14)*'損益分岐設定'!$B$11</x:f>
        <x:v>51439.79669030532</x:v>
      </x:c>
      <x:c r="S166" s="7" t="n">
        <x:f>'損益分岐設定'!$B$18+'損益分岐設定'!$B$19+'損益分岐設定'!$B$20+'損益分岐設定'!E38+'損益分岐設定'!D38+AN166*('損益分岐設定'!$B$15+'損益分岐設定'!$B$16)+'損益分岐設定'!$B$17+E166*('損益分岐設定'!$B$13+(AN166-1)*'損益分岐設定'!$B$14)*'損益分岐設定'!$B$11</x:f>
        <x:v>68379.59338061063</x:v>
      </x:c>
      <x:c r="T166" s="7" t="n">
        <x:f>'損益分岐設定'!$B$18+'損益分岐設定'!$B$19+'損益分岐設定'!$B$20+'損益分岐設定'!E39+'損益分岐設定'!D39+AO166*('損益分岐設定'!$B$15+'損益分岐設定'!$B$16)+'損益分岐設定'!$B$17+E166*('損益分岐設定'!$B$13+(AO166-1)*'損益分岐設定'!$B$14)*'損益分岐設定'!$B$11</x:f>
        <x:v>90379.59338061063</x:v>
      </x:c>
      <x:c r="U166" s="7" t="n">
        <x:f>'損益分岐設定'!$B$18+'損益分岐設定'!$B$19+'損益分岐設定'!$B$20+'損益分岐設定'!E40+'損益分岐設定'!D40+AP166*('損益分岐設定'!$B$15+'損益分岐設定'!$B$16)+'損益分岐設定'!$B$17+E166*('損益分岐設定'!$B$13+(AP166-1)*'損益分岐設定'!$B$14)*'損益分岐設定'!$B$11</x:f>
        <x:v>120379.59338061063</x:v>
      </x:c>
      <x:c r="V166" s="1" t="n">
        <x:f>IF(I166&lt;=0,1001,IF(MAX('損益分岐設定'!B37,ROUNDUP(R166/I166,0))&lt;='損益分岐設定'!C37,MAX('損益分岐設定'!B37,ROUNDUP(R166/I166,0)),1001))</x:f>
        <x:v>1001</x:v>
      </x:c>
      <x:c r="W166" s="1" t="n">
        <x:f>IF(I166&lt;=0,1001,IF(MAX('損益分岐設定'!B38,ROUNDUP(S166/I166,0))&lt;='損益分岐設定'!C38,MAX('損益分岐設定'!B38,ROUNDUP(S166/I166,0)),1001))</x:f>
        <x:v>27</x:v>
      </x:c>
      <x:c r="X166" s="1" t="n">
        <x:f>IF(I166&lt;=0,1001,IF(MAX('損益分岐設定'!B39,ROUNDUP(T166/I166,0))&lt;='損益分岐設定'!C39,MAX('損益分岐設定'!B39,ROUNDUP(T166/I166,0)),1001))</x:f>
        <x:v>101</x:v>
      </x:c>
      <x:c r="Y166" s="1" t="n">
        <x:f>IF(I166&lt;=0,1001,IF(MAX('損益分岐設定'!B40,ROUNDUP(U166/I166,0))&lt;='損益分岐設定'!C40,MAX('損益分岐設定'!B40,ROUNDUP(U166/I166,0)),1001))</x:f>
        <x:v>501</x:v>
      </x:c>
      <x:c r="Z166" s="1" t="n">
        <x:f>IF(I166&lt;=0,'損益分岐設定'!C37,IF('損益分岐設定'!C37*I166-R166&lt;0,'損益分岐設定'!C37,IF('損益分岐設定'!B37*I166-R166&gt;=0,0,ROUNDUP(R166/I166,0)-1)))</x:f>
        <x:v>10</x:v>
      </x:c>
      <x:c r="AA166" s="1" t="n">
        <x:f>IF(I166&lt;=0,'損益分岐設定'!C38,IF('損益分岐設定'!C38*I166-S166&lt;0,'損益分岐設定'!C38,IF('損益分岐設定'!B38*I166-S166&gt;=0,0,ROUNDUP(S166/I166,0)-1)))</x:f>
        <x:v>26</x:v>
      </x:c>
      <x:c r="AB166" s="1" t="n">
        <x:f>IF(I166&lt;=0,'損益分岐設定'!C39,IF('損益分岐設定'!C39*I166-T166&lt;0,'損益分岐設定'!C39,IF('損益分岐設定'!B39*I166-T166&gt;=0,0,ROUNDUP(T166/I166,0)-1)))</x:f>
        <x:v>0</x:v>
      </x:c>
      <x:c r="AC166" s="1" t="n">
        <x:f>IF(I166&lt;=0,'損益分岐設定'!C40,IF('損益分岐設定'!C40*I166-U166&lt;0,'損益分岐設定'!C40,IF('損益分岐設定'!B40*I166-U166&gt;=0,0,ROUNDUP(U166/I166,0)-1)))</x:f>
        <x:v>0</x:v>
      </x:c>
      <x:c r="AD166" s="1" t="n">
        <x:v>1</x:v>
      </x:c>
      <x:c r="AE166" s="1" t="n">
        <x:v>0</x:v>
      </x:c>
      <x:c r="AF166" s="1" t="n">
        <x:v>0</x:v>
      </x:c>
      <x:c r="AG166" s="1" t="n">
        <x:f>AD166*'損益分岐設定'!$C$56+AE166*'損益分岐設定'!$C$59+AF166*'損益分岐設定'!$C$62</x:f>
        <x:v>66.35651235961915</x:v>
      </x:c>
      <x:c r="AH166" s="1" t="n">
        <x:f>AD166*'損益分岐設定'!$D$56+AE166*'損益分岐設定'!$D$59+AF166*'損益分岐設定'!$D$62</x:f>
        <x:v>7.5</x:v>
      </x:c>
      <x:c r="AI166" s="1" t="n">
        <x:f>AD166*'損益分岐設定'!$E$56+AE166*'損益分岐設定'!$E$59+AF166*'損益分岐設定'!$E$62</x:f>
        <x:v>5</x:v>
      </x:c>
      <x:c r="AJ166" s="1" t="n">
        <x:f>(AD166*'損益分岐設定'!$F$56+AE166*'損益分岐設定'!$F$59+AF166*'損益分岐設定'!$F$62*1)*'損益分岐設定'!$B$22</x:f>
        <x:v>7.5</x:v>
      </x:c>
      <x:c r="AK166" s="1" t="n">
        <x:f>AD166*'損益分岐設定'!$G$56+AE166*'損益分岐設定'!$G$59+AF166*'損益分岐設定'!$G$62</x:f>
        <x:v>25</x:v>
      </x:c>
      <x:c r="AL166" s="1" t="n">
        <x:f>AD166*'損益分岐設定'!$H$56+AE166*'損益分岐設定'!$H$59+AF166*'損益分岐設定'!$H$62</x:f>
        <x:v>233.33333333333334</x:v>
      </x:c>
      <x:c r="AM166" s="1" t="n">
        <x:f>MAX(1,ROUNDUP('損益分岐設定'!C37*AJ166/('損益分岐設定'!$B$23*'損益分岐設定'!$B$24*3600*'損益分岐設定'!$B$25),0))</x:f>
        <x:v>1</x:v>
      </x:c>
      <x:c r="AN166" s="1" t="n">
        <x:f>MAX(2,ROUNDUP('損益分岐設定'!C38*AJ166/('損益分岐設定'!$B$23*'損益分岐設定'!$B$24*3600*'損益分岐設定'!$B$25),0))</x:f>
        <x:v>2</x:v>
      </x:c>
      <x:c r="AO166" s="1" t="n">
        <x:f>MAX(2,ROUNDUP('損益分岐設定'!C39*AJ166/('損益分岐設定'!$B$23*'損益分岐設定'!$B$24*3600*'損益分岐設定'!$B$25),0))</x:f>
        <x:v>2</x:v>
      </x:c>
      <x:c r="AP166" s="1" t="n">
        <x:f>MAX(2,ROUNDUP('損益分岐設定'!C40*AJ166/('損益分岐設定'!$B$23*'損益分岐設定'!$B$24*3600*'損益分岐設定'!$B$25),0))</x:f>
        <x:v>2</x:v>
      </x:c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 ht="23" customHeight="1">
      <x:c r="A167" s="1" t="str">
        <x:v>Hybrid</x:v>
      </x:c>
      <x:c r="B167" s="1" t="str">
        <x:v>Starter</x:v>
      </x:c>
      <x:c r="C167" s="1" t="str">
        <x:v>低位</x:v>
      </x:c>
      <x:c r="D167" s="21" t="n">
        <x:v>0.2</x:v>
      </x:c>
      <x:c r="E167" s="1" t="n">
        <x:v>0</x:v>
      </x:c>
      <x:c r="F167" s="7" t="n">
        <x:f>AD167*'損益分岐設定'!$B$5+AE167*'損益分岐設定'!$B$6+AF167*'損益分岐設定'!$B$7</x:f>
        <x:v>3000</x:v>
      </x:c>
      <x:c r="G167" s="7" t="n">
        <x:f>AG167+(AH167+AI167)*('損益分岐設定'!$B$29+0.5*'損益分岐設定'!$B$30)+AK167*'損益分岐設定'!$B$33</x:f>
        <x:v>66.40784016805826</x:v>
      </x:c>
      <x:c r="H167" s="7" t="n">
        <x:f>AL167*E167</x:f>
        <x:v>0</x:v>
      </x:c>
      <x:c r="I167" s="7" t="n">
        <x:f>F167*(1-D167-'損益分岐設定'!$B$10)-G167-H167</x:f>
        <x:v>2225.592159831942</x:v>
      </x:c>
      <x:c r="J167" s="1" t="n">
        <x:f>IF(MIN(V167:Y167)&gt;1000,"範囲内なし",MIN(V167:Y167))</x:f>
        <x:v>23</x:v>
      </x:c>
      <x:c r="K167" s="1" t="n">
        <x:f>IF(MAX(Z167:AC167)&gt;=1000,"範囲内なし",MAX(1,MAX(Z167:AC167)+1))</x:f>
        <x:v>23</x:v>
      </x:c>
      <x:c r="L167" s="7" t="n">
        <x:f>10*I167-R167</x:f>
        <x:v>-13183.875091985898</x:v>
      </x:c>
      <x:c r="M167" s="7" t="n">
        <x:f>30*I167-S167</x:f>
        <x:v>16388.171414347627</x:v>
      </x:c>
      <x:c r="N167" s="7" t="n">
        <x:f>50*I167-S167</x:f>
        <x:v>60900.01461098646</x:v>
      </x:c>
      <x:c r="O167" s="7" t="n">
        <x:f>100*I167-S167</x:f>
        <x:v>172179.62260258355</x:v>
      </x:c>
      <x:c r="P167" s="7" t="n">
        <x:f>300*I167-T167</x:f>
        <x:v>595298.054568972</x:v>
      </x:c>
      <x:c r="Q167" s="7" t="n">
        <x:f>1000*I167-U167</x:f>
        <x:v>2123212.5664513316</x:v>
      </x:c>
      <x:c r="R167" s="7" t="n">
        <x:f>'損益分岐設定'!$B$18+'損益分岐設定'!$B$19+'損益分岐設定'!$B$20+'損益分岐設定'!E37+'損益分岐設定'!D37+AM167*('損益分岐設定'!$B$15+'損益分岐設定'!$B$16)+'損益分岐設定'!$B$17+E167*('損益分岐設定'!$B$13+(AM167-1)*'損益分岐設定'!$B$14)*'損益分岐設定'!$B$11</x:f>
        <x:v>35439.79669030532</x:v>
      </x:c>
      <x:c r="S167" s="7" t="n">
        <x:f>'損益分岐設定'!$B$18+'損益分岐設定'!$B$19+'損益分岐設定'!$B$20+'損益分岐設定'!E38+'損益分岐設定'!D38+AN167*('損益分岐設定'!$B$15+'損益分岐設定'!$B$16)+'損益分岐設定'!$B$17+E167*('損益分岐設定'!$B$13+(AN167-1)*'損益分岐設定'!$B$14)*'損益分岐設定'!$B$11</x:f>
        <x:v>50379.59338061063</x:v>
      </x:c>
      <x:c r="T167" s="7" t="n">
        <x:f>'損益分岐設定'!$B$18+'損益分岐設定'!$B$19+'損益分岐設定'!$B$20+'損益分岐設定'!E39+'損益分岐設定'!D39+AO167*('損益分岐設定'!$B$15+'損益分岐設定'!$B$16)+'損益分岐設定'!$B$17+E167*('損益分岐設定'!$B$13+(AO167-1)*'損益分岐設定'!$B$14)*'損益分岐設定'!$B$11</x:f>
        <x:v>72379.59338061063</x:v>
      </x:c>
      <x:c r="U167" s="7" t="n">
        <x:f>'損益分岐設定'!$B$18+'損益分岐設定'!$B$19+'損益分岐設定'!$B$20+'損益分岐設定'!E40+'損益分岐設定'!D40+AP167*('損益分岐設定'!$B$15+'損益分岐設定'!$B$16)+'損益分岐設定'!$B$17+E167*('損益分岐設定'!$B$13+(AP167-1)*'損益分岐設定'!$B$14)*'損益分岐設定'!$B$11</x:f>
        <x:v>102379.59338061063</x:v>
      </x:c>
      <x:c r="V167" s="1" t="n">
        <x:f>IF(I167&lt;=0,1001,IF(MAX('損益分岐設定'!B37,ROUNDUP(R167/I167,0))&lt;='損益分岐設定'!C37,MAX('損益分岐設定'!B37,ROUNDUP(R167/I167,0)),1001))</x:f>
        <x:v>1001</x:v>
      </x:c>
      <x:c r="W167" s="1" t="n">
        <x:f>IF(I167&lt;=0,1001,IF(MAX('損益分岐設定'!B38,ROUNDUP(S167/I167,0))&lt;='損益分岐設定'!C38,MAX('損益分岐設定'!B38,ROUNDUP(S167/I167,0)),1001))</x:f>
        <x:v>23</x:v>
      </x:c>
      <x:c r="X167" s="1" t="n">
        <x:f>IF(I167&lt;=0,1001,IF(MAX('損益分岐設定'!B39,ROUNDUP(T167/I167,0))&lt;='損益分岐設定'!C39,MAX('損益分岐設定'!B39,ROUNDUP(T167/I167,0)),1001))</x:f>
        <x:v>101</x:v>
      </x:c>
      <x:c r="Y167" s="1" t="n">
        <x:f>IF(I167&lt;=0,1001,IF(MAX('損益分岐設定'!B40,ROUNDUP(U167/I167,0))&lt;='損益分岐設定'!C40,MAX('損益分岐設定'!B40,ROUNDUP(U167/I167,0)),1001))</x:f>
        <x:v>501</x:v>
      </x:c>
      <x:c r="Z167" s="1" t="n">
        <x:f>IF(I167&lt;=0,'損益分岐設定'!C37,IF('損益分岐設定'!C37*I167-R167&lt;0,'損益分岐設定'!C37,IF('損益分岐設定'!B37*I167-R167&gt;=0,0,ROUNDUP(R167/I167,0)-1)))</x:f>
        <x:v>10</x:v>
      </x:c>
      <x:c r="AA167" s="1" t="n">
        <x:f>IF(I167&lt;=0,'損益分岐設定'!C38,IF('損益分岐設定'!C38*I167-S167&lt;0,'損益分岐設定'!C38,IF('損益分岐設定'!B38*I167-S167&gt;=0,0,ROUNDUP(S167/I167,0)-1)))</x:f>
        <x:v>22</x:v>
      </x:c>
      <x:c r="AB167" s="1" t="n">
        <x:f>IF(I167&lt;=0,'損益分岐設定'!C39,IF('損益分岐設定'!C39*I167-T167&lt;0,'損益分岐設定'!C39,IF('損益分岐設定'!B39*I167-T167&gt;=0,0,ROUNDUP(T167/I167,0)-1)))</x:f>
        <x:v>0</x:v>
      </x:c>
      <x:c r="AC167" s="1" t="n">
        <x:f>IF(I167&lt;=0,'損益分岐設定'!C40,IF('損益分岐設定'!C40*I167-U167&lt;0,'損益分岐設定'!C40,IF('損益分岐設定'!B40*I167-U167&gt;=0,0,ROUNDUP(U167/I167,0)-1)))</x:f>
        <x:v>0</x:v>
      </x:c>
      <x:c r="AD167" s="1" t="n">
        <x:v>1</x:v>
      </x:c>
      <x:c r="AE167" s="1" t="n">
        <x:v>0</x:v>
      </x:c>
      <x:c r="AF167" s="1" t="n">
        <x:v>0</x:v>
      </x:c>
      <x:c r="AG167" s="1" t="n">
        <x:f>AD167*'損益分岐設定'!$C$56+AE167*'損益分岐設定'!$C$59+AF167*'損益分岐設定'!$C$62</x:f>
        <x:v>66.35651235961915</x:v>
      </x:c>
      <x:c r="AH167" s="1" t="n">
        <x:f>AD167*'損益分岐設定'!$D$56+AE167*'損益分岐設定'!$D$59+AF167*'損益分岐設定'!$D$62</x:f>
        <x:v>7.5</x:v>
      </x:c>
      <x:c r="AI167" s="1" t="n">
        <x:f>AD167*'損益分岐設定'!$E$56+AE167*'損益分岐設定'!$E$59+AF167*'損益分岐設定'!$E$62</x:f>
        <x:v>5</x:v>
      </x:c>
      <x:c r="AJ167" s="1" t="n">
        <x:f>(AD167*'損益分岐設定'!$F$56+AE167*'損益分岐設定'!$F$59+AF167*'損益分岐設定'!$F$62*1)*'損益分岐設定'!$B$22</x:f>
        <x:v>7.5</x:v>
      </x:c>
      <x:c r="AK167" s="1" t="n">
        <x:f>AD167*'損益分岐設定'!$G$56+AE167*'損益分岐設定'!$G$59+AF167*'損益分岐設定'!$G$62</x:f>
        <x:v>25</x:v>
      </x:c>
      <x:c r="AL167" s="1" t="n">
        <x:f>AD167*'損益分岐設定'!$H$56+AE167*'損益分岐設定'!$H$59+AF167*'損益分岐設定'!$H$62</x:f>
        <x:v>233.33333333333334</x:v>
      </x:c>
      <x:c r="AM167" s="1" t="n">
        <x:f>MAX(1,ROUNDUP('損益分岐設定'!C37*AJ167/('損益分岐設定'!$B$23*'損益分岐設定'!$B$24*3600*'損益分岐設定'!$B$25),0))</x:f>
        <x:v>1</x:v>
      </x:c>
      <x:c r="AN167" s="1" t="n">
        <x:f>MAX(2,ROUNDUP('損益分岐設定'!C38*AJ167/('損益分岐設定'!$B$23*'損益分岐設定'!$B$24*3600*'損益分岐設定'!$B$25),0))</x:f>
        <x:v>2</x:v>
      </x:c>
      <x:c r="AO167" s="1" t="n">
        <x:f>MAX(2,ROUNDUP('損益分岐設定'!C39*AJ167/('損益分岐設定'!$B$23*'損益分岐設定'!$B$24*3600*'損益分岐設定'!$B$25),0))</x:f>
        <x:v>2</x:v>
      </x:c>
      <x:c r="AP167" s="1" t="n">
        <x:f>MAX(2,ROUNDUP('損益分岐設定'!C40*AJ167/('損益分岐設定'!$B$23*'損益分岐設定'!$B$24*3600*'損益分岐設定'!$B$25),0))</x:f>
        <x:v>2</x:v>
      </x:c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 ht="23" customHeight="1">
      <x:c r="A168" s="1" t="str">
        <x:v>Hybrid</x:v>
      </x:c>
      <x:c r="B168" s="1" t="str">
        <x:v>Starter</x:v>
      </x:c>
      <x:c r="C168" s="1" t="str">
        <x:v>低位</x:v>
      </x:c>
      <x:c r="D168" s="21" t="n">
        <x:v>0.2</x:v>
      </x:c>
      <x:c r="E168" s="1" t="n">
        <x:v>1</x:v>
      </x:c>
      <x:c r="F168" s="7" t="n">
        <x:f>AD168*'損益分岐設定'!$B$5+AE168*'損益分岐設定'!$B$6+AF168*'損益分岐設定'!$B$7</x:f>
        <x:v>3000</x:v>
      </x:c>
      <x:c r="G168" s="7" t="n">
        <x:f>AG168+(AH168+AI168)*('損益分岐設定'!$B$29+0.5*'損益分岐設定'!$B$30)+AK168*'損益分岐設定'!$B$33</x:f>
        <x:v>66.40784016805826</x:v>
      </x:c>
      <x:c r="H168" s="7" t="n">
        <x:f>AL168*E168</x:f>
        <x:v>233.33333333333334</x:v>
      </x:c>
      <x:c r="I168" s="7" t="n">
        <x:f>F168*(1-D168-'損益分岐設定'!$B$10)-G168-H168</x:f>
        <x:v>1992.2588264986086</x:v>
      </x:c>
      <x:c r="J168" s="1" t="n">
        <x:f>IF(MIN(V168:Y168)&gt;1000,"範囲内なし",MIN(V168:Y168))</x:f>
        <x:v>35</x:v>
      </x:c>
      <x:c r="K168" s="1" t="n">
        <x:f>IF(MAX(Z168:AC168)&gt;=1000,"範囲内なし",MAX(1,MAX(Z168:AC168)+1))</x:f>
        <x:v>35</x:v>
      </x:c>
      <x:c r="L168" s="7" t="n">
        <x:f>10*I168-R168</x:f>
        <x:v>-31517.20842531923</x:v>
      </x:c>
      <x:c r="M168" s="7" t="n">
        <x:f>30*I168-S168</x:f>
        <x:v>-8611.828585652373</x:v>
      </x:c>
      <x:c r="N168" s="7" t="n">
        <x:f>50*I168-S168</x:f>
        <x:v>31233.3479443198</x:v>
      </x:c>
      <x:c r="O168" s="7" t="n">
        <x:f>100*I168-S168</x:f>
        <x:v>130846.28926925024</x:v>
      </x:c>
      <x:c r="P168" s="7" t="n">
        <x:f>300*I168-T168</x:f>
        <x:v>507298.0545689719</x:v>
      </x:c>
      <x:c r="Q168" s="7" t="n">
        <x:f>1000*I168-U168</x:f>
        <x:v>1871879.2331179979</x:v>
      </x:c>
      <x:c r="R168" s="7" t="n">
        <x:f>'損益分岐設定'!$B$18+'損益分岐設定'!$B$19+'損益分岐設定'!$B$20+'損益分岐設定'!E37+'損益分岐設定'!D37+AM168*('損益分岐設定'!$B$15+'損益分岐設定'!$B$16)+'損益分岐設定'!$B$17+E168*('損益分岐設定'!$B$13+(AM168-1)*'損益分岐設定'!$B$14)*'損益分岐設定'!$B$11</x:f>
        <x:v>51439.79669030532</x:v>
      </x:c>
      <x:c r="S168" s="7" t="n">
        <x:f>'損益分岐設定'!$B$18+'損益分岐設定'!$B$19+'損益分岐設定'!$B$20+'損益分岐設定'!E38+'損益分岐設定'!D38+AN168*('損益分岐設定'!$B$15+'損益分岐設定'!$B$16)+'損益分岐設定'!$B$17+E168*('損益分岐設定'!$B$13+(AN168-1)*'損益分岐設定'!$B$14)*'損益分岐設定'!$B$11</x:f>
        <x:v>68379.59338061063</x:v>
      </x:c>
      <x:c r="T168" s="7" t="n">
        <x:f>'損益分岐設定'!$B$18+'損益分岐設定'!$B$19+'損益分岐設定'!$B$20+'損益分岐設定'!E39+'損益分岐設定'!D39+AO168*('損益分岐設定'!$B$15+'損益分岐設定'!$B$16)+'損益分岐設定'!$B$17+E168*('損益分岐設定'!$B$13+(AO168-1)*'損益分岐設定'!$B$14)*'損益分岐設定'!$B$11</x:f>
        <x:v>90379.59338061063</x:v>
      </x:c>
      <x:c r="U168" s="7" t="n">
        <x:f>'損益分岐設定'!$B$18+'損益分岐設定'!$B$19+'損益分岐設定'!$B$20+'損益分岐設定'!E40+'損益分岐設定'!D40+AP168*('損益分岐設定'!$B$15+'損益分岐設定'!$B$16)+'損益分岐設定'!$B$17+E168*('損益分岐設定'!$B$13+(AP168-1)*'損益分岐設定'!$B$14)*'損益分岐設定'!$B$11</x:f>
        <x:v>120379.59338061063</x:v>
      </x:c>
      <x:c r="V168" s="1" t="n">
        <x:f>IF(I168&lt;=0,1001,IF(MAX('損益分岐設定'!B37,ROUNDUP(R168/I168,0))&lt;='損益分岐設定'!C37,MAX('損益分岐設定'!B37,ROUNDUP(R168/I168,0)),1001))</x:f>
        <x:v>1001</x:v>
      </x:c>
      <x:c r="W168" s="1" t="n">
        <x:f>IF(I168&lt;=0,1001,IF(MAX('損益分岐設定'!B38,ROUNDUP(S168/I168,0))&lt;='損益分岐設定'!C38,MAX('損益分岐設定'!B38,ROUNDUP(S168/I168,0)),1001))</x:f>
        <x:v>35</x:v>
      </x:c>
      <x:c r="X168" s="1" t="n">
        <x:f>IF(I168&lt;=0,1001,IF(MAX('損益分岐設定'!B39,ROUNDUP(T168/I168,0))&lt;='損益分岐設定'!C39,MAX('損益分岐設定'!B39,ROUNDUP(T168/I168,0)),1001))</x:f>
        <x:v>101</x:v>
      </x:c>
      <x:c r="Y168" s="1" t="n">
        <x:f>IF(I168&lt;=0,1001,IF(MAX('損益分岐設定'!B40,ROUNDUP(U168/I168,0))&lt;='損益分岐設定'!C40,MAX('損益分岐設定'!B40,ROUNDUP(U168/I168,0)),1001))</x:f>
        <x:v>501</x:v>
      </x:c>
      <x:c r="Z168" s="1" t="n">
        <x:f>IF(I168&lt;=0,'損益分岐設定'!C37,IF('損益分岐設定'!C37*I168-R168&lt;0,'損益分岐設定'!C37,IF('損益分岐設定'!B37*I168-R168&gt;=0,0,ROUNDUP(R168/I168,0)-1)))</x:f>
        <x:v>10</x:v>
      </x:c>
      <x:c r="AA168" s="1" t="n">
        <x:f>IF(I168&lt;=0,'損益分岐設定'!C38,IF('損益分岐設定'!C38*I168-S168&lt;0,'損益分岐設定'!C38,IF('損益分岐設定'!B38*I168-S168&gt;=0,0,ROUNDUP(S168/I168,0)-1)))</x:f>
        <x:v>34</x:v>
      </x:c>
      <x:c r="AB168" s="1" t="n">
        <x:f>IF(I168&lt;=0,'損益分岐設定'!C39,IF('損益分岐設定'!C39*I168-T168&lt;0,'損益分岐設定'!C39,IF('損益分岐設定'!B39*I168-T168&gt;=0,0,ROUNDUP(T168/I168,0)-1)))</x:f>
        <x:v>0</x:v>
      </x:c>
      <x:c r="AC168" s="1" t="n">
        <x:f>IF(I168&lt;=0,'損益分岐設定'!C40,IF('損益分岐設定'!C40*I168-U168&lt;0,'損益分岐設定'!C40,IF('損益分岐設定'!B40*I168-U168&gt;=0,0,ROUNDUP(U168/I168,0)-1)))</x:f>
        <x:v>0</x:v>
      </x:c>
      <x:c r="AD168" s="1" t="n">
        <x:v>1</x:v>
      </x:c>
      <x:c r="AE168" s="1" t="n">
        <x:v>0</x:v>
      </x:c>
      <x:c r="AF168" s="1" t="n">
        <x:v>0</x:v>
      </x:c>
      <x:c r="AG168" s="1" t="n">
        <x:f>AD168*'損益分岐設定'!$C$56+AE168*'損益分岐設定'!$C$59+AF168*'損益分岐設定'!$C$62</x:f>
        <x:v>66.35651235961915</x:v>
      </x:c>
      <x:c r="AH168" s="1" t="n">
        <x:f>AD168*'損益分岐設定'!$D$56+AE168*'損益分岐設定'!$D$59+AF168*'損益分岐設定'!$D$62</x:f>
        <x:v>7.5</x:v>
      </x:c>
      <x:c r="AI168" s="1" t="n">
        <x:f>AD168*'損益分岐設定'!$E$56+AE168*'損益分岐設定'!$E$59+AF168*'損益分岐設定'!$E$62</x:f>
        <x:v>5</x:v>
      </x:c>
      <x:c r="AJ168" s="1" t="n">
        <x:f>(AD168*'損益分岐設定'!$F$56+AE168*'損益分岐設定'!$F$59+AF168*'損益分岐設定'!$F$62*1)*'損益分岐設定'!$B$22</x:f>
        <x:v>7.5</x:v>
      </x:c>
      <x:c r="AK168" s="1" t="n">
        <x:f>AD168*'損益分岐設定'!$G$56+AE168*'損益分岐設定'!$G$59+AF168*'損益分岐設定'!$G$62</x:f>
        <x:v>25</x:v>
      </x:c>
      <x:c r="AL168" s="1" t="n">
        <x:f>AD168*'損益分岐設定'!$H$56+AE168*'損益分岐設定'!$H$59+AF168*'損益分岐設定'!$H$62</x:f>
        <x:v>233.33333333333334</x:v>
      </x:c>
      <x:c r="AM168" s="1" t="n">
        <x:f>MAX(1,ROUNDUP('損益分岐設定'!C37*AJ168/('損益分岐設定'!$B$23*'損益分岐設定'!$B$24*3600*'損益分岐設定'!$B$25),0))</x:f>
        <x:v>1</x:v>
      </x:c>
      <x:c r="AN168" s="1" t="n">
        <x:f>MAX(2,ROUNDUP('損益分岐設定'!C38*AJ168/('損益分岐設定'!$B$23*'損益分岐設定'!$B$24*3600*'損益分岐設定'!$B$25),0))</x:f>
        <x:v>2</x:v>
      </x:c>
      <x:c r="AO168" s="1" t="n">
        <x:f>MAX(2,ROUNDUP('損益分岐設定'!C39*AJ168/('損益分岐設定'!$B$23*'損益分岐設定'!$B$24*3600*'損益分岐設定'!$B$25),0))</x:f>
        <x:v>2</x:v>
      </x:c>
      <x:c r="AP168" s="1" t="n">
        <x:f>MAX(2,ROUNDUP('損益分岐設定'!C40*AJ168/('損益分岐設定'!$B$23*'損益分岐設定'!$B$24*3600*'損益分岐設定'!$B$25),0))</x:f>
        <x:v>2</x:v>
      </x:c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 ht="23" customHeight="1">
      <x:c r="A169" s="1" t="str">
        <x:v>Hybrid</x:v>
      </x:c>
      <x:c r="B169" s="1" t="str">
        <x:v>Starter</x:v>
      </x:c>
      <x:c r="C169" s="1" t="str">
        <x:v>低位</x:v>
      </x:c>
      <x:c r="D169" s="21" t="n">
        <x:v>0.3</x:v>
      </x:c>
      <x:c r="E169" s="1" t="n">
        <x:v>0</x:v>
      </x:c>
      <x:c r="F169" s="7" t="n">
        <x:f>AD169*'損益分岐設定'!$B$5+AE169*'損益分岐設定'!$B$6+AF169*'損益分岐設定'!$B$7</x:f>
        <x:v>3000</x:v>
      </x:c>
      <x:c r="G169" s="7" t="n">
        <x:f>AG169+(AH169+AI169)*('損益分岐設定'!$B$29+0.5*'損益分岐設定'!$B$30)+AK169*'損益分岐設定'!$B$33</x:f>
        <x:v>66.40784016805826</x:v>
      </x:c>
      <x:c r="H169" s="7" t="n">
        <x:f>AL169*E169</x:f>
        <x:v>0</x:v>
      </x:c>
      <x:c r="I169" s="7" t="n">
        <x:f>F169*(1-D169-'損益分岐設定'!$B$10)-G169-H169</x:f>
        <x:v>1925.5921598319414</x:v>
      </x:c>
      <x:c r="J169" s="1" t="n">
        <x:f>IF(MIN(V169:Y169)&gt;1000,"範囲内なし",MIN(V169:Y169))</x:f>
        <x:v>27</x:v>
      </x:c>
      <x:c r="K169" s="1" t="n">
        <x:f>IF(MAX(Z169:AC169)&gt;=1000,"範囲内なし",MAX(1,MAX(Z169:AC169)+1))</x:f>
        <x:v>27</x:v>
      </x:c>
      <x:c r="L169" s="7" t="n">
        <x:f>10*I169-R169</x:f>
        <x:v>-16183.875091985901</x:v>
      </x:c>
      <x:c r="M169" s="7" t="n">
        <x:f>30*I169-S169</x:f>
        <x:v>7388.171414347613</x:v>
      </x:c>
      <x:c r="N169" s="7" t="n">
        <x:f>50*I169-S169</x:f>
        <x:v>45900.01461098644</x:v>
      </x:c>
      <x:c r="O169" s="7" t="n">
        <x:f>100*I169-S169</x:f>
        <x:v>142179.62260258352</x:v>
      </x:c>
      <x:c r="P169" s="7" t="n">
        <x:f>300*I169-T169</x:f>
        <x:v>505298.0545689718</x:v>
      </x:c>
      <x:c r="Q169" s="7" t="n">
        <x:f>1000*I169-U169</x:f>
        <x:v>1823212.5664513307</x:v>
      </x:c>
      <x:c r="R169" s="7" t="n">
        <x:f>'損益分岐設定'!$B$18+'損益分岐設定'!$B$19+'損益分岐設定'!$B$20+'損益分岐設定'!E37+'損益分岐設定'!D37+AM169*('損益分岐設定'!$B$15+'損益分岐設定'!$B$16)+'損益分岐設定'!$B$17+E169*('損益分岐設定'!$B$13+(AM169-1)*'損益分岐設定'!$B$14)*'損益分岐設定'!$B$11</x:f>
        <x:v>35439.79669030532</x:v>
      </x:c>
      <x:c r="S169" s="7" t="n">
        <x:f>'損益分岐設定'!$B$18+'損益分岐設定'!$B$19+'損益分岐設定'!$B$20+'損益分岐設定'!E38+'損益分岐設定'!D38+AN169*('損益分岐設定'!$B$15+'損益分岐設定'!$B$16)+'損益分岐設定'!$B$17+E169*('損益分岐設定'!$B$13+(AN169-1)*'損益分岐設定'!$B$14)*'損益分岐設定'!$B$11</x:f>
        <x:v>50379.59338061063</x:v>
      </x:c>
      <x:c r="T169" s="7" t="n">
        <x:f>'損益分岐設定'!$B$18+'損益分岐設定'!$B$19+'損益分岐設定'!$B$20+'損益分岐設定'!E39+'損益分岐設定'!D39+AO169*('損益分岐設定'!$B$15+'損益分岐設定'!$B$16)+'損益分岐設定'!$B$17+E169*('損益分岐設定'!$B$13+(AO169-1)*'損益分岐設定'!$B$14)*'損益分岐設定'!$B$11</x:f>
        <x:v>72379.59338061063</x:v>
      </x:c>
      <x:c r="U169" s="7" t="n">
        <x:f>'損益分岐設定'!$B$18+'損益分岐設定'!$B$19+'損益分岐設定'!$B$20+'損益分岐設定'!E40+'損益分岐設定'!D40+AP169*('損益分岐設定'!$B$15+'損益分岐設定'!$B$16)+'損益分岐設定'!$B$17+E169*('損益分岐設定'!$B$13+(AP169-1)*'損益分岐設定'!$B$14)*'損益分岐設定'!$B$11</x:f>
        <x:v>102379.59338061063</x:v>
      </x:c>
      <x:c r="V169" s="1" t="n">
        <x:f>IF(I169&lt;=0,1001,IF(MAX('損益分岐設定'!B37,ROUNDUP(R169/I169,0))&lt;='損益分岐設定'!C37,MAX('損益分岐設定'!B37,ROUNDUP(R169/I169,0)),1001))</x:f>
        <x:v>1001</x:v>
      </x:c>
      <x:c r="W169" s="1" t="n">
        <x:f>IF(I169&lt;=0,1001,IF(MAX('損益分岐設定'!B38,ROUNDUP(S169/I169,0))&lt;='損益分岐設定'!C38,MAX('損益分岐設定'!B38,ROUNDUP(S169/I169,0)),1001))</x:f>
        <x:v>27</x:v>
      </x:c>
      <x:c r="X169" s="1" t="n">
        <x:f>IF(I169&lt;=0,1001,IF(MAX('損益分岐設定'!B39,ROUNDUP(T169/I169,0))&lt;='損益分岐設定'!C39,MAX('損益分岐設定'!B39,ROUNDUP(T169/I169,0)),1001))</x:f>
        <x:v>101</x:v>
      </x:c>
      <x:c r="Y169" s="1" t="n">
        <x:f>IF(I169&lt;=0,1001,IF(MAX('損益分岐設定'!B40,ROUNDUP(U169/I169,0))&lt;='損益分岐設定'!C40,MAX('損益分岐設定'!B40,ROUNDUP(U169/I169,0)),1001))</x:f>
        <x:v>501</x:v>
      </x:c>
      <x:c r="Z169" s="1" t="n">
        <x:f>IF(I169&lt;=0,'損益分岐設定'!C37,IF('損益分岐設定'!C37*I169-R169&lt;0,'損益分岐設定'!C37,IF('損益分岐設定'!B37*I169-R169&gt;=0,0,ROUNDUP(R169/I169,0)-1)))</x:f>
        <x:v>10</x:v>
      </x:c>
      <x:c r="AA169" s="1" t="n">
        <x:f>IF(I169&lt;=0,'損益分岐設定'!C38,IF('損益分岐設定'!C38*I169-S169&lt;0,'損益分岐設定'!C38,IF('損益分岐設定'!B38*I169-S169&gt;=0,0,ROUNDUP(S169/I169,0)-1)))</x:f>
        <x:v>26</x:v>
      </x:c>
      <x:c r="AB169" s="1" t="n">
        <x:f>IF(I169&lt;=0,'損益分岐設定'!C39,IF('損益分岐設定'!C39*I169-T169&lt;0,'損益分岐設定'!C39,IF('損益分岐設定'!B39*I169-T169&gt;=0,0,ROUNDUP(T169/I169,0)-1)))</x:f>
        <x:v>0</x:v>
      </x:c>
      <x:c r="AC169" s="1" t="n">
        <x:f>IF(I169&lt;=0,'損益分岐設定'!C40,IF('損益分岐設定'!C40*I169-U169&lt;0,'損益分岐設定'!C40,IF('損益分岐設定'!B40*I169-U169&gt;=0,0,ROUNDUP(U169/I169,0)-1)))</x:f>
        <x:v>0</x:v>
      </x:c>
      <x:c r="AD169" s="1" t="n">
        <x:v>1</x:v>
      </x:c>
      <x:c r="AE169" s="1" t="n">
        <x:v>0</x:v>
      </x:c>
      <x:c r="AF169" s="1" t="n">
        <x:v>0</x:v>
      </x:c>
      <x:c r="AG169" s="1" t="n">
        <x:f>AD169*'損益分岐設定'!$C$56+AE169*'損益分岐設定'!$C$59+AF169*'損益分岐設定'!$C$62</x:f>
        <x:v>66.35651235961915</x:v>
      </x:c>
      <x:c r="AH169" s="1" t="n">
        <x:f>AD169*'損益分岐設定'!$D$56+AE169*'損益分岐設定'!$D$59+AF169*'損益分岐設定'!$D$62</x:f>
        <x:v>7.5</x:v>
      </x:c>
      <x:c r="AI169" s="1" t="n">
        <x:f>AD169*'損益分岐設定'!$E$56+AE169*'損益分岐設定'!$E$59+AF169*'損益分岐設定'!$E$62</x:f>
        <x:v>5</x:v>
      </x:c>
      <x:c r="AJ169" s="1" t="n">
        <x:f>(AD169*'損益分岐設定'!$F$56+AE169*'損益分岐設定'!$F$59+AF169*'損益分岐設定'!$F$62*1)*'損益分岐設定'!$B$22</x:f>
        <x:v>7.5</x:v>
      </x:c>
      <x:c r="AK169" s="1" t="n">
        <x:f>AD169*'損益分岐設定'!$G$56+AE169*'損益分岐設定'!$G$59+AF169*'損益分岐設定'!$G$62</x:f>
        <x:v>25</x:v>
      </x:c>
      <x:c r="AL169" s="1" t="n">
        <x:f>AD169*'損益分岐設定'!$H$56+AE169*'損益分岐設定'!$H$59+AF169*'損益分岐設定'!$H$62</x:f>
        <x:v>233.33333333333334</x:v>
      </x:c>
      <x:c r="AM169" s="1" t="n">
        <x:f>MAX(1,ROUNDUP('損益分岐設定'!C37*AJ169/('損益分岐設定'!$B$23*'損益分岐設定'!$B$24*3600*'損益分岐設定'!$B$25),0))</x:f>
        <x:v>1</x:v>
      </x:c>
      <x:c r="AN169" s="1" t="n">
        <x:f>MAX(2,ROUNDUP('損益分岐設定'!C38*AJ169/('損益分岐設定'!$B$23*'損益分岐設定'!$B$24*3600*'損益分岐設定'!$B$25),0))</x:f>
        <x:v>2</x:v>
      </x:c>
      <x:c r="AO169" s="1" t="n">
        <x:f>MAX(2,ROUNDUP('損益分岐設定'!C39*AJ169/('損益分岐設定'!$B$23*'損益分岐設定'!$B$24*3600*'損益分岐設定'!$B$25),0))</x:f>
        <x:v>2</x:v>
      </x:c>
      <x:c r="AP169" s="1" t="n">
        <x:f>MAX(2,ROUNDUP('損益分岐設定'!C40*AJ169/('損益分岐設定'!$B$23*'損益分岐設定'!$B$24*3600*'損益分岐設定'!$B$25),0))</x:f>
        <x:v>2</x:v>
      </x:c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 ht="23" customHeight="1">
      <x:c r="A170" s="1" t="str">
        <x:v>Hybrid</x:v>
      </x:c>
      <x:c r="B170" s="1" t="str">
        <x:v>Starter</x:v>
      </x:c>
      <x:c r="C170" s="1" t="str">
        <x:v>低位</x:v>
      </x:c>
      <x:c r="D170" s="21" t="n">
        <x:v>0.3</x:v>
      </x:c>
      <x:c r="E170" s="1" t="n">
        <x:v>1</x:v>
      </x:c>
      <x:c r="F170" s="7" t="n">
        <x:f>AD170*'損益分岐設定'!$B$5+AE170*'損益分岐設定'!$B$6+AF170*'損益分岐設定'!$B$7</x:f>
        <x:v>3000</x:v>
      </x:c>
      <x:c r="G170" s="7" t="n">
        <x:f>AG170+(AH170+AI170)*('損益分岐設定'!$B$29+0.5*'損益分岐設定'!$B$30)+AK170*'損益分岐設定'!$B$33</x:f>
        <x:v>66.40784016805826</x:v>
      </x:c>
      <x:c r="H170" s="7" t="n">
        <x:f>AL170*E170</x:f>
        <x:v>233.33333333333334</x:v>
      </x:c>
      <x:c r="I170" s="7" t="n">
        <x:f>F170*(1-D170-'損益分岐設定'!$B$10)-G170-H170</x:f>
        <x:v>1692.2588264986082</x:v>
      </x:c>
      <x:c r="J170" s="1" t="n">
        <x:f>IF(MIN(V170:Y170)&gt;1000,"範囲内なし",MIN(V170:Y170))</x:f>
        <x:v>41</x:v>
      </x:c>
      <x:c r="K170" s="1" t="n">
        <x:f>IF(MAX(Z170:AC170)&gt;=1000,"範囲内なし",MAX(1,MAX(Z170:AC170)+1))</x:f>
        <x:v>41</x:v>
      </x:c>
      <x:c r="L170" s="7" t="n">
        <x:f>10*I170-R170</x:f>
        <x:v>-34517.20842531923</x:v>
      </x:c>
      <x:c r="M170" s="7" t="n">
        <x:f>30*I170-S170</x:f>
        <x:v>-17611.828585652387</x:v>
      </x:c>
      <x:c r="N170" s="7" t="n">
        <x:f>50*I170-S170</x:f>
        <x:v>16233.347944319772</x:v>
      </x:c>
      <x:c r="O170" s="7" t="n">
        <x:f>100*I170-S170</x:f>
        <x:v>100846.28926925018</x:v>
      </x:c>
      <x:c r="P170" s="7" t="n">
        <x:f>300*I170-T170</x:f>
        <x:v>417298.0545689718</x:v>
      </x:c>
      <x:c r="Q170" s="7" t="n">
        <x:f>1000*I170-U170</x:f>
        <x:v>1571879.2331179974</x:v>
      </x:c>
      <x:c r="R170" s="7" t="n">
        <x:f>'損益分岐設定'!$B$18+'損益分岐設定'!$B$19+'損益分岐設定'!$B$20+'損益分岐設定'!E37+'損益分岐設定'!D37+AM170*('損益分岐設定'!$B$15+'損益分岐設定'!$B$16)+'損益分岐設定'!$B$17+E170*('損益分岐設定'!$B$13+(AM170-1)*'損益分岐設定'!$B$14)*'損益分岐設定'!$B$11</x:f>
        <x:v>51439.79669030532</x:v>
      </x:c>
      <x:c r="S170" s="7" t="n">
        <x:f>'損益分岐設定'!$B$18+'損益分岐設定'!$B$19+'損益分岐設定'!$B$20+'損益分岐設定'!E38+'損益分岐設定'!D38+AN170*('損益分岐設定'!$B$15+'損益分岐設定'!$B$16)+'損益分岐設定'!$B$17+E170*('損益分岐設定'!$B$13+(AN170-1)*'損益分岐設定'!$B$14)*'損益分岐設定'!$B$11</x:f>
        <x:v>68379.59338061063</x:v>
      </x:c>
      <x:c r="T170" s="7" t="n">
        <x:f>'損益分岐設定'!$B$18+'損益分岐設定'!$B$19+'損益分岐設定'!$B$20+'損益分岐設定'!E39+'損益分岐設定'!D39+AO170*('損益分岐設定'!$B$15+'損益分岐設定'!$B$16)+'損益分岐設定'!$B$17+E170*('損益分岐設定'!$B$13+(AO170-1)*'損益分岐設定'!$B$14)*'損益分岐設定'!$B$11</x:f>
        <x:v>90379.59338061063</x:v>
      </x:c>
      <x:c r="U170" s="7" t="n">
        <x:f>'損益分岐設定'!$B$18+'損益分岐設定'!$B$19+'損益分岐設定'!$B$20+'損益分岐設定'!E40+'損益分岐設定'!D40+AP170*('損益分岐設定'!$B$15+'損益分岐設定'!$B$16)+'損益分岐設定'!$B$17+E170*('損益分岐設定'!$B$13+(AP170-1)*'損益分岐設定'!$B$14)*'損益分岐設定'!$B$11</x:f>
        <x:v>120379.59338061063</x:v>
      </x:c>
      <x:c r="V170" s="1" t="n">
        <x:f>IF(I170&lt;=0,1001,IF(MAX('損益分岐設定'!B37,ROUNDUP(R170/I170,0))&lt;='損益分岐設定'!C37,MAX('損益分岐設定'!B37,ROUNDUP(R170/I170,0)),1001))</x:f>
        <x:v>1001</x:v>
      </x:c>
      <x:c r="W170" s="1" t="n">
        <x:f>IF(I170&lt;=0,1001,IF(MAX('損益分岐設定'!B38,ROUNDUP(S170/I170,0))&lt;='損益分岐設定'!C38,MAX('損益分岐設定'!B38,ROUNDUP(S170/I170,0)),1001))</x:f>
        <x:v>41</x:v>
      </x:c>
      <x:c r="X170" s="1" t="n">
        <x:f>IF(I170&lt;=0,1001,IF(MAX('損益分岐設定'!B39,ROUNDUP(T170/I170,0))&lt;='損益分岐設定'!C39,MAX('損益分岐設定'!B39,ROUNDUP(T170/I170,0)),1001))</x:f>
        <x:v>101</x:v>
      </x:c>
      <x:c r="Y170" s="1" t="n">
        <x:f>IF(I170&lt;=0,1001,IF(MAX('損益分岐設定'!B40,ROUNDUP(U170/I170,0))&lt;='損益分岐設定'!C40,MAX('損益分岐設定'!B40,ROUNDUP(U170/I170,0)),1001))</x:f>
        <x:v>501</x:v>
      </x:c>
      <x:c r="Z170" s="1" t="n">
        <x:f>IF(I170&lt;=0,'損益分岐設定'!C37,IF('損益分岐設定'!C37*I170-R170&lt;0,'損益分岐設定'!C37,IF('損益分岐設定'!B37*I170-R170&gt;=0,0,ROUNDUP(R170/I170,0)-1)))</x:f>
        <x:v>10</x:v>
      </x:c>
      <x:c r="AA170" s="1" t="n">
        <x:f>IF(I170&lt;=0,'損益分岐設定'!C38,IF('損益分岐設定'!C38*I170-S170&lt;0,'損益分岐設定'!C38,IF('損益分岐設定'!B38*I170-S170&gt;=0,0,ROUNDUP(S170/I170,0)-1)))</x:f>
        <x:v>40</x:v>
      </x:c>
      <x:c r="AB170" s="1" t="n">
        <x:f>IF(I170&lt;=0,'損益分岐設定'!C39,IF('損益分岐設定'!C39*I170-T170&lt;0,'損益分岐設定'!C39,IF('損益分岐設定'!B39*I170-T170&gt;=0,0,ROUNDUP(T170/I170,0)-1)))</x:f>
        <x:v>0</x:v>
      </x:c>
      <x:c r="AC170" s="1" t="n">
        <x:f>IF(I170&lt;=0,'損益分岐設定'!C40,IF('損益分岐設定'!C40*I170-U170&lt;0,'損益分岐設定'!C40,IF('損益分岐設定'!B40*I170-U170&gt;=0,0,ROUNDUP(U170/I170,0)-1)))</x:f>
        <x:v>0</x:v>
      </x:c>
      <x:c r="AD170" s="1" t="n">
        <x:v>1</x:v>
      </x:c>
      <x:c r="AE170" s="1" t="n">
        <x:v>0</x:v>
      </x:c>
      <x:c r="AF170" s="1" t="n">
        <x:v>0</x:v>
      </x:c>
      <x:c r="AG170" s="1" t="n">
        <x:f>AD170*'損益分岐設定'!$C$56+AE170*'損益分岐設定'!$C$59+AF170*'損益分岐設定'!$C$62</x:f>
        <x:v>66.35651235961915</x:v>
      </x:c>
      <x:c r="AH170" s="1" t="n">
        <x:f>AD170*'損益分岐設定'!$D$56+AE170*'損益分岐設定'!$D$59+AF170*'損益分岐設定'!$D$62</x:f>
        <x:v>7.5</x:v>
      </x:c>
      <x:c r="AI170" s="1" t="n">
        <x:f>AD170*'損益分岐設定'!$E$56+AE170*'損益分岐設定'!$E$59+AF170*'損益分岐設定'!$E$62</x:f>
        <x:v>5</x:v>
      </x:c>
      <x:c r="AJ170" s="1" t="n">
        <x:f>(AD170*'損益分岐設定'!$F$56+AE170*'損益分岐設定'!$F$59+AF170*'損益分岐設定'!$F$62*1)*'損益分岐設定'!$B$22</x:f>
        <x:v>7.5</x:v>
      </x:c>
      <x:c r="AK170" s="1" t="n">
        <x:f>AD170*'損益分岐設定'!$G$56+AE170*'損益分岐設定'!$G$59+AF170*'損益分岐設定'!$G$62</x:f>
        <x:v>25</x:v>
      </x:c>
      <x:c r="AL170" s="1" t="n">
        <x:f>AD170*'損益分岐設定'!$H$56+AE170*'損益分岐設定'!$H$59+AF170*'損益分岐設定'!$H$62</x:f>
        <x:v>233.33333333333334</x:v>
      </x:c>
      <x:c r="AM170" s="1" t="n">
        <x:f>MAX(1,ROUNDUP('損益分岐設定'!C37*AJ170/('損益分岐設定'!$B$23*'損益分岐設定'!$B$24*3600*'損益分岐設定'!$B$25),0))</x:f>
        <x:v>1</x:v>
      </x:c>
      <x:c r="AN170" s="1" t="n">
        <x:f>MAX(2,ROUNDUP('損益分岐設定'!C38*AJ170/('損益分岐設定'!$B$23*'損益分岐設定'!$B$24*3600*'損益分岐設定'!$B$25),0))</x:f>
        <x:v>2</x:v>
      </x:c>
      <x:c r="AO170" s="1" t="n">
        <x:f>MAX(2,ROUNDUP('損益分岐設定'!C39*AJ170/('損益分岐設定'!$B$23*'損益分岐設定'!$B$24*3600*'損益分岐設定'!$B$25),0))</x:f>
        <x:v>2</x:v>
      </x:c>
      <x:c r="AP170" s="1" t="n">
        <x:f>MAX(2,ROUNDUP('損益分岐設定'!C40*AJ170/('損益分岐設定'!$B$23*'損益分岐設定'!$B$24*3600*'損益分岐設定'!$B$25),0))</x:f>
        <x:v>2</x:v>
      </x:c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 ht="23" customHeight="1">
      <x:c r="A171" s="1" t="str">
        <x:v>Hybrid</x:v>
      </x:c>
      <x:c r="B171" s="1" t="str">
        <x:v>Starter</x:v>
      </x:c>
      <x:c r="C171" s="1" t="str">
        <x:v>低位</x:v>
      </x:c>
      <x:c r="D171" s="21" t="n">
        <x:v>0.4</x:v>
      </x:c>
      <x:c r="E171" s="1" t="n">
        <x:v>0</x:v>
      </x:c>
      <x:c r="F171" s="7" t="n">
        <x:f>AD171*'損益分岐設定'!$B$5+AE171*'損益分岐設定'!$B$6+AF171*'損益分岐設定'!$B$7</x:f>
        <x:v>3000</x:v>
      </x:c>
      <x:c r="G171" s="7" t="n">
        <x:f>AG171+(AH171+AI171)*('損益分岐設定'!$B$29+0.5*'損益分岐設定'!$B$30)+AK171*'損益分岐設定'!$B$33</x:f>
        <x:v>66.40784016805826</x:v>
      </x:c>
      <x:c r="H171" s="7" t="n">
        <x:f>AL171*E171</x:f>
        <x:v>0</x:v>
      </x:c>
      <x:c r="I171" s="7" t="n">
        <x:f>F171*(1-D171-'損益分岐設定'!$B$10)-G171-H171</x:f>
        <x:v>1625.5921598319414</x:v>
      </x:c>
      <x:c r="J171" s="1" t="n">
        <x:f>IF(MIN(V171:Y171)&gt;1000,"範囲内なし",MIN(V171:Y171))</x:f>
        <x:v>31</x:v>
      </x:c>
      <x:c r="K171" s="1" t="n">
        <x:f>IF(MAX(Z171:AC171)&gt;=1000,"範囲内なし",MAX(1,MAX(Z171:AC171)+1))</x:f>
        <x:v>31</x:v>
      </x:c>
      <x:c r="L171" s="7" t="n">
        <x:f>10*I171-R171</x:f>
        <x:v>-19183.8750919859</x:v>
      </x:c>
      <x:c r="M171" s="7" t="n">
        <x:f>30*I171-S171</x:f>
        <x:v>-1611.8285856523871</x:v>
      </x:c>
      <x:c r="N171" s="7" t="n">
        <x:f>50*I171-S171</x:f>
        <x:v>30900.014610986444</x:v>
      </x:c>
      <x:c r="O171" s="7" t="n">
        <x:f>100*I171-S171</x:f>
        <x:v>112179.62260258352</x:v>
      </x:c>
      <x:c r="P171" s="7" t="n">
        <x:f>300*I171-T171</x:f>
        <x:v>415298.0545689718</x:v>
      </x:c>
      <x:c r="Q171" s="7" t="n">
        <x:f>1000*I171-U171</x:f>
        <x:v>1523212.5664513307</x:v>
      </x:c>
      <x:c r="R171" s="7" t="n">
        <x:f>'損益分岐設定'!$B$18+'損益分岐設定'!$B$19+'損益分岐設定'!$B$20+'損益分岐設定'!E37+'損益分岐設定'!D37+AM171*('損益分岐設定'!$B$15+'損益分岐設定'!$B$16)+'損益分岐設定'!$B$17+E171*('損益分岐設定'!$B$13+(AM171-1)*'損益分岐設定'!$B$14)*'損益分岐設定'!$B$11</x:f>
        <x:v>35439.79669030532</x:v>
      </x:c>
      <x:c r="S171" s="7" t="n">
        <x:f>'損益分岐設定'!$B$18+'損益分岐設定'!$B$19+'損益分岐設定'!$B$20+'損益分岐設定'!E38+'損益分岐設定'!D38+AN171*('損益分岐設定'!$B$15+'損益分岐設定'!$B$16)+'損益分岐設定'!$B$17+E171*('損益分岐設定'!$B$13+(AN171-1)*'損益分岐設定'!$B$14)*'損益分岐設定'!$B$11</x:f>
        <x:v>50379.59338061063</x:v>
      </x:c>
      <x:c r="T171" s="7" t="n">
        <x:f>'損益分岐設定'!$B$18+'損益分岐設定'!$B$19+'損益分岐設定'!$B$20+'損益分岐設定'!E39+'損益分岐設定'!D39+AO171*('損益分岐設定'!$B$15+'損益分岐設定'!$B$16)+'損益分岐設定'!$B$17+E171*('損益分岐設定'!$B$13+(AO171-1)*'損益分岐設定'!$B$14)*'損益分岐設定'!$B$11</x:f>
        <x:v>72379.59338061063</x:v>
      </x:c>
      <x:c r="U171" s="7" t="n">
        <x:f>'損益分岐設定'!$B$18+'損益分岐設定'!$B$19+'損益分岐設定'!$B$20+'損益分岐設定'!E40+'損益分岐設定'!D40+AP171*('損益分岐設定'!$B$15+'損益分岐設定'!$B$16)+'損益分岐設定'!$B$17+E171*('損益分岐設定'!$B$13+(AP171-1)*'損益分岐設定'!$B$14)*'損益分岐設定'!$B$11</x:f>
        <x:v>102379.59338061063</x:v>
      </x:c>
      <x:c r="V171" s="1" t="n">
        <x:f>IF(I171&lt;=0,1001,IF(MAX('損益分岐設定'!B37,ROUNDUP(R171/I171,0))&lt;='損益分岐設定'!C37,MAX('損益分岐設定'!B37,ROUNDUP(R171/I171,0)),1001))</x:f>
        <x:v>1001</x:v>
      </x:c>
      <x:c r="W171" s="1" t="n">
        <x:f>IF(I171&lt;=0,1001,IF(MAX('損益分岐設定'!B38,ROUNDUP(S171/I171,0))&lt;='損益分岐設定'!C38,MAX('損益分岐設定'!B38,ROUNDUP(S171/I171,0)),1001))</x:f>
        <x:v>31</x:v>
      </x:c>
      <x:c r="X171" s="1" t="n">
        <x:f>IF(I171&lt;=0,1001,IF(MAX('損益分岐設定'!B39,ROUNDUP(T171/I171,0))&lt;='損益分岐設定'!C39,MAX('損益分岐設定'!B39,ROUNDUP(T171/I171,0)),1001))</x:f>
        <x:v>101</x:v>
      </x:c>
      <x:c r="Y171" s="1" t="n">
        <x:f>IF(I171&lt;=0,1001,IF(MAX('損益分岐設定'!B40,ROUNDUP(U171/I171,0))&lt;='損益分岐設定'!C40,MAX('損益分岐設定'!B40,ROUNDUP(U171/I171,0)),1001))</x:f>
        <x:v>501</x:v>
      </x:c>
      <x:c r="Z171" s="1" t="n">
        <x:f>IF(I171&lt;=0,'損益分岐設定'!C37,IF('損益分岐設定'!C37*I171-R171&lt;0,'損益分岐設定'!C37,IF('損益分岐設定'!B37*I171-R171&gt;=0,0,ROUNDUP(R171/I171,0)-1)))</x:f>
        <x:v>10</x:v>
      </x:c>
      <x:c r="AA171" s="1" t="n">
        <x:f>IF(I171&lt;=0,'損益分岐設定'!C38,IF('損益分岐設定'!C38*I171-S171&lt;0,'損益分岐設定'!C38,IF('損益分岐設定'!B38*I171-S171&gt;=0,0,ROUNDUP(S171/I171,0)-1)))</x:f>
        <x:v>30</x:v>
      </x:c>
      <x:c r="AB171" s="1" t="n">
        <x:f>IF(I171&lt;=0,'損益分岐設定'!C39,IF('損益分岐設定'!C39*I171-T171&lt;0,'損益分岐設定'!C39,IF('損益分岐設定'!B39*I171-T171&gt;=0,0,ROUNDUP(T171/I171,0)-1)))</x:f>
        <x:v>0</x:v>
      </x:c>
      <x:c r="AC171" s="1" t="n">
        <x:f>IF(I171&lt;=0,'損益分岐設定'!C40,IF('損益分岐設定'!C40*I171-U171&lt;0,'損益分岐設定'!C40,IF('損益分岐設定'!B40*I171-U171&gt;=0,0,ROUNDUP(U171/I171,0)-1)))</x:f>
        <x:v>0</x:v>
      </x:c>
      <x:c r="AD171" s="1" t="n">
        <x:v>1</x:v>
      </x:c>
      <x:c r="AE171" s="1" t="n">
        <x:v>0</x:v>
      </x:c>
      <x:c r="AF171" s="1" t="n">
        <x:v>0</x:v>
      </x:c>
      <x:c r="AG171" s="1" t="n">
        <x:f>AD171*'損益分岐設定'!$C$56+AE171*'損益分岐設定'!$C$59+AF171*'損益分岐設定'!$C$62</x:f>
        <x:v>66.35651235961915</x:v>
      </x:c>
      <x:c r="AH171" s="1" t="n">
        <x:f>AD171*'損益分岐設定'!$D$56+AE171*'損益分岐設定'!$D$59+AF171*'損益分岐設定'!$D$62</x:f>
        <x:v>7.5</x:v>
      </x:c>
      <x:c r="AI171" s="1" t="n">
        <x:f>AD171*'損益分岐設定'!$E$56+AE171*'損益分岐設定'!$E$59+AF171*'損益分岐設定'!$E$62</x:f>
        <x:v>5</x:v>
      </x:c>
      <x:c r="AJ171" s="1" t="n">
        <x:f>(AD171*'損益分岐設定'!$F$56+AE171*'損益分岐設定'!$F$59+AF171*'損益分岐設定'!$F$62*1)*'損益分岐設定'!$B$22</x:f>
        <x:v>7.5</x:v>
      </x:c>
      <x:c r="AK171" s="1" t="n">
        <x:f>AD171*'損益分岐設定'!$G$56+AE171*'損益分岐設定'!$G$59+AF171*'損益分岐設定'!$G$62</x:f>
        <x:v>25</x:v>
      </x:c>
      <x:c r="AL171" s="1" t="n">
        <x:f>AD171*'損益分岐設定'!$H$56+AE171*'損益分岐設定'!$H$59+AF171*'損益分岐設定'!$H$62</x:f>
        <x:v>233.33333333333334</x:v>
      </x:c>
      <x:c r="AM171" s="1" t="n">
        <x:f>MAX(1,ROUNDUP('損益分岐設定'!C37*AJ171/('損益分岐設定'!$B$23*'損益分岐設定'!$B$24*3600*'損益分岐設定'!$B$25),0))</x:f>
        <x:v>1</x:v>
      </x:c>
      <x:c r="AN171" s="1" t="n">
        <x:f>MAX(2,ROUNDUP('損益分岐設定'!C38*AJ171/('損益分岐設定'!$B$23*'損益分岐設定'!$B$24*3600*'損益分岐設定'!$B$25),0))</x:f>
        <x:v>2</x:v>
      </x:c>
      <x:c r="AO171" s="1" t="n">
        <x:f>MAX(2,ROUNDUP('損益分岐設定'!C39*AJ171/('損益分岐設定'!$B$23*'損益分岐設定'!$B$24*3600*'損益分岐設定'!$B$25),0))</x:f>
        <x:v>2</x:v>
      </x:c>
      <x:c r="AP171" s="1" t="n">
        <x:f>MAX(2,ROUNDUP('損益分岐設定'!C40*AJ171/('損益分岐設定'!$B$23*'損益分岐設定'!$B$24*3600*'損益分岐設定'!$B$25),0))</x:f>
        <x:v>2</x:v>
      </x:c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 ht="23" customHeight="1">
      <x:c r="A172" s="1" t="str">
        <x:v>Hybrid</x:v>
      </x:c>
      <x:c r="B172" s="1" t="str">
        <x:v>Starter</x:v>
      </x:c>
      <x:c r="C172" s="1" t="str">
        <x:v>低位</x:v>
      </x:c>
      <x:c r="D172" s="21" t="n">
        <x:v>0.4</x:v>
      </x:c>
      <x:c r="E172" s="1" t="n">
        <x:v>1</x:v>
      </x:c>
      <x:c r="F172" s="7" t="n">
        <x:f>AD172*'損益分岐設定'!$B$5+AE172*'損益分岐設定'!$B$6+AF172*'損益分岐設定'!$B$7</x:f>
        <x:v>3000</x:v>
      </x:c>
      <x:c r="G172" s="7" t="n">
        <x:f>AG172+(AH172+AI172)*('損益分岐設定'!$B$29+0.5*'損益分岐設定'!$B$30)+AK172*'損益分岐設定'!$B$33</x:f>
        <x:v>66.40784016805826</x:v>
      </x:c>
      <x:c r="H172" s="7" t="n">
        <x:f>AL172*E172</x:f>
        <x:v>233.33333333333334</x:v>
      </x:c>
      <x:c r="I172" s="7" t="n">
        <x:f>F172*(1-D172-'損益分岐設定'!$B$10)-G172-H172</x:f>
        <x:v>1392.2588264986082</x:v>
      </x:c>
      <x:c r="J172" s="1" t="n">
        <x:f>IF(MIN(V172:Y172)&gt;1000,"範囲内なし",MIN(V172:Y172))</x:f>
        <x:v>50</x:v>
      </x:c>
      <x:c r="K172" s="1" t="n">
        <x:f>IF(MAX(Z172:AC172)&gt;=1000,"範囲内なし",MAX(1,MAX(Z172:AC172)+1))</x:f>
        <x:v>50</x:v>
      </x:c>
      <x:c r="L172" s="7" t="n">
        <x:f>10*I172-R172</x:f>
        <x:v>-37517.20842531924</x:v>
      </x:c>
      <x:c r="M172" s="7" t="n">
        <x:f>30*I172-S172</x:f>
        <x:v>-26611.828585652387</x:v>
      </x:c>
      <x:c r="N172" s="7" t="n">
        <x:f>50*I172-S172</x:f>
        <x:v>1233.347944319772</x:v>
      </x:c>
      <x:c r="O172" s="7" t="n">
        <x:f>100*I172-S172</x:f>
        <x:v>70846.28926925018</x:v>
      </x:c>
      <x:c r="P172" s="7" t="n">
        <x:f>300*I172-T172</x:f>
        <x:v>327298.0545689718</x:v>
      </x:c>
      <x:c r="Q172" s="7" t="n">
        <x:f>1000*I172-U172</x:f>
        <x:v>1271879.2331179974</x:v>
      </x:c>
      <x:c r="R172" s="7" t="n">
        <x:f>'損益分岐設定'!$B$18+'損益分岐設定'!$B$19+'損益分岐設定'!$B$20+'損益分岐設定'!E37+'損益分岐設定'!D37+AM172*('損益分岐設定'!$B$15+'損益分岐設定'!$B$16)+'損益分岐設定'!$B$17+E172*('損益分岐設定'!$B$13+(AM172-1)*'損益分岐設定'!$B$14)*'損益分岐設定'!$B$11</x:f>
        <x:v>51439.79669030532</x:v>
      </x:c>
      <x:c r="S172" s="7" t="n">
        <x:f>'損益分岐設定'!$B$18+'損益分岐設定'!$B$19+'損益分岐設定'!$B$20+'損益分岐設定'!E38+'損益分岐設定'!D38+AN172*('損益分岐設定'!$B$15+'損益分岐設定'!$B$16)+'損益分岐設定'!$B$17+E172*('損益分岐設定'!$B$13+(AN172-1)*'損益分岐設定'!$B$14)*'損益分岐設定'!$B$11</x:f>
        <x:v>68379.59338061063</x:v>
      </x:c>
      <x:c r="T172" s="7" t="n">
        <x:f>'損益分岐設定'!$B$18+'損益分岐設定'!$B$19+'損益分岐設定'!$B$20+'損益分岐設定'!E39+'損益分岐設定'!D39+AO172*('損益分岐設定'!$B$15+'損益分岐設定'!$B$16)+'損益分岐設定'!$B$17+E172*('損益分岐設定'!$B$13+(AO172-1)*'損益分岐設定'!$B$14)*'損益分岐設定'!$B$11</x:f>
        <x:v>90379.59338061063</x:v>
      </x:c>
      <x:c r="U172" s="7" t="n">
        <x:f>'損益分岐設定'!$B$18+'損益分岐設定'!$B$19+'損益分岐設定'!$B$20+'損益分岐設定'!E40+'損益分岐設定'!D40+AP172*('損益分岐設定'!$B$15+'損益分岐設定'!$B$16)+'損益分岐設定'!$B$17+E172*('損益分岐設定'!$B$13+(AP172-1)*'損益分岐設定'!$B$14)*'損益分岐設定'!$B$11</x:f>
        <x:v>120379.59338061063</x:v>
      </x:c>
      <x:c r="V172" s="1" t="n">
        <x:f>IF(I172&lt;=0,1001,IF(MAX('損益分岐設定'!B37,ROUNDUP(R172/I172,0))&lt;='損益分岐設定'!C37,MAX('損益分岐設定'!B37,ROUNDUP(R172/I172,0)),1001))</x:f>
        <x:v>1001</x:v>
      </x:c>
      <x:c r="W172" s="1" t="n">
        <x:f>IF(I172&lt;=0,1001,IF(MAX('損益分岐設定'!B38,ROUNDUP(S172/I172,0))&lt;='損益分岐設定'!C38,MAX('損益分岐設定'!B38,ROUNDUP(S172/I172,0)),1001))</x:f>
        <x:v>50</x:v>
      </x:c>
      <x:c r="X172" s="1" t="n">
        <x:f>IF(I172&lt;=0,1001,IF(MAX('損益分岐設定'!B39,ROUNDUP(T172/I172,0))&lt;='損益分岐設定'!C39,MAX('損益分岐設定'!B39,ROUNDUP(T172/I172,0)),1001))</x:f>
        <x:v>101</x:v>
      </x:c>
      <x:c r="Y172" s="1" t="n">
        <x:f>IF(I172&lt;=0,1001,IF(MAX('損益分岐設定'!B40,ROUNDUP(U172/I172,0))&lt;='損益分岐設定'!C40,MAX('損益分岐設定'!B40,ROUNDUP(U172/I172,0)),1001))</x:f>
        <x:v>501</x:v>
      </x:c>
      <x:c r="Z172" s="1" t="n">
        <x:f>IF(I172&lt;=0,'損益分岐設定'!C37,IF('損益分岐設定'!C37*I172-R172&lt;0,'損益分岐設定'!C37,IF('損益分岐設定'!B37*I172-R172&gt;=0,0,ROUNDUP(R172/I172,0)-1)))</x:f>
        <x:v>10</x:v>
      </x:c>
      <x:c r="AA172" s="1" t="n">
        <x:f>IF(I172&lt;=0,'損益分岐設定'!C38,IF('損益分岐設定'!C38*I172-S172&lt;0,'損益分岐設定'!C38,IF('損益分岐設定'!B38*I172-S172&gt;=0,0,ROUNDUP(S172/I172,0)-1)))</x:f>
        <x:v>49</x:v>
      </x:c>
      <x:c r="AB172" s="1" t="n">
        <x:f>IF(I172&lt;=0,'損益分岐設定'!C39,IF('損益分岐設定'!C39*I172-T172&lt;0,'損益分岐設定'!C39,IF('損益分岐設定'!B39*I172-T172&gt;=0,0,ROUNDUP(T172/I172,0)-1)))</x:f>
        <x:v>0</x:v>
      </x:c>
      <x:c r="AC172" s="1" t="n">
        <x:f>IF(I172&lt;=0,'損益分岐設定'!C40,IF('損益分岐設定'!C40*I172-U172&lt;0,'損益分岐設定'!C40,IF('損益分岐設定'!B40*I172-U172&gt;=0,0,ROUNDUP(U172/I172,0)-1)))</x:f>
        <x:v>0</x:v>
      </x:c>
      <x:c r="AD172" s="1" t="n">
        <x:v>1</x:v>
      </x:c>
      <x:c r="AE172" s="1" t="n">
        <x:v>0</x:v>
      </x:c>
      <x:c r="AF172" s="1" t="n">
        <x:v>0</x:v>
      </x:c>
      <x:c r="AG172" s="1" t="n">
        <x:f>AD172*'損益分岐設定'!$C$56+AE172*'損益分岐設定'!$C$59+AF172*'損益分岐設定'!$C$62</x:f>
        <x:v>66.35651235961915</x:v>
      </x:c>
      <x:c r="AH172" s="1" t="n">
        <x:f>AD172*'損益分岐設定'!$D$56+AE172*'損益分岐設定'!$D$59+AF172*'損益分岐設定'!$D$62</x:f>
        <x:v>7.5</x:v>
      </x:c>
      <x:c r="AI172" s="1" t="n">
        <x:f>AD172*'損益分岐設定'!$E$56+AE172*'損益分岐設定'!$E$59+AF172*'損益分岐設定'!$E$62</x:f>
        <x:v>5</x:v>
      </x:c>
      <x:c r="AJ172" s="1" t="n">
        <x:f>(AD172*'損益分岐設定'!$F$56+AE172*'損益分岐設定'!$F$59+AF172*'損益分岐設定'!$F$62*1)*'損益分岐設定'!$B$22</x:f>
        <x:v>7.5</x:v>
      </x:c>
      <x:c r="AK172" s="1" t="n">
        <x:f>AD172*'損益分岐設定'!$G$56+AE172*'損益分岐設定'!$G$59+AF172*'損益分岐設定'!$G$62</x:f>
        <x:v>25</x:v>
      </x:c>
      <x:c r="AL172" s="1" t="n">
        <x:f>AD172*'損益分岐設定'!$H$56+AE172*'損益分岐設定'!$H$59+AF172*'損益分岐設定'!$H$62</x:f>
        <x:v>233.33333333333334</x:v>
      </x:c>
      <x:c r="AM172" s="1" t="n">
        <x:f>MAX(1,ROUNDUP('損益分岐設定'!C37*AJ172/('損益分岐設定'!$B$23*'損益分岐設定'!$B$24*3600*'損益分岐設定'!$B$25),0))</x:f>
        <x:v>1</x:v>
      </x:c>
      <x:c r="AN172" s="1" t="n">
        <x:f>MAX(2,ROUNDUP('損益分岐設定'!C38*AJ172/('損益分岐設定'!$B$23*'損益分岐設定'!$B$24*3600*'損益分岐設定'!$B$25),0))</x:f>
        <x:v>2</x:v>
      </x:c>
      <x:c r="AO172" s="1" t="n">
        <x:f>MAX(2,ROUNDUP('損益分岐設定'!C39*AJ172/('損益分岐設定'!$B$23*'損益分岐設定'!$B$24*3600*'損益分岐設定'!$B$25),0))</x:f>
        <x:v>2</x:v>
      </x:c>
      <x:c r="AP172" s="1" t="n">
        <x:f>MAX(2,ROUNDUP('損益分岐設定'!C40*AJ172/('損益分岐設定'!$B$23*'損益分岐設定'!$B$24*3600*'損益分岐設定'!$B$25),0))</x:f>
        <x:v>2</x:v>
      </x:c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 ht="23" customHeight="1">
      <x:c r="A173" s="1" t="str">
        <x:v>Hybrid</x:v>
      </x:c>
      <x:c r="B173" s="1" t="str">
        <x:v>Starter</x:v>
      </x:c>
      <x:c r="C173" s="1" t="str">
        <x:v>低位</x:v>
      </x:c>
      <x:c r="D173" s="21" t="n">
        <x:v>0.5</x:v>
      </x:c>
      <x:c r="E173" s="1" t="n">
        <x:v>0</x:v>
      </x:c>
      <x:c r="F173" s="7" t="n">
        <x:f>AD173*'損益分岐設定'!$B$5+AE173*'損益分岐設定'!$B$6+AF173*'損益分岐設定'!$B$7</x:f>
        <x:v>3000</x:v>
      </x:c>
      <x:c r="G173" s="7" t="n">
        <x:f>AG173+(AH173+AI173)*('損益分岐設定'!$B$29+0.5*'損益分岐設定'!$B$30)+AK173*'損益分岐設定'!$B$33</x:f>
        <x:v>66.40784016805826</x:v>
      </x:c>
      <x:c r="H173" s="7" t="n">
        <x:f>AL173*E173</x:f>
        <x:v>0</x:v>
      </x:c>
      <x:c r="I173" s="7" t="n">
        <x:f>F173*(1-D173-'損益分岐設定'!$B$10)-G173-H173</x:f>
        <x:v>1325.5921598319417</x:v>
      </x:c>
      <x:c r="J173" s="1" t="n">
        <x:f>IF(MIN(V173:Y173)&gt;1000,"範囲内なし",MIN(V173:Y173))</x:f>
        <x:v>39</x:v>
      </x:c>
      <x:c r="K173" s="1" t="n">
        <x:f>IF(MAX(Z173:AC173)&gt;=1000,"範囲内なし",MAX(1,MAX(Z173:AC173)+1))</x:f>
        <x:v>39</x:v>
      </x:c>
      <x:c r="L173" s="7" t="n">
        <x:f>10*I173-R173</x:f>
        <x:v>-22183.8750919859</x:v>
      </x:c>
      <x:c r="M173" s="7" t="n">
        <x:f>30*I173-S173</x:f>
        <x:v>-10611.82858565238</x:v>
      </x:c>
      <x:c r="N173" s="7" t="n">
        <x:f>50*I173-S173</x:f>
        <x:v>15900.014610986444</x:v>
      </x:c>
      <x:c r="O173" s="7" t="n">
        <x:f>100*I173-S173</x:f>
        <x:v>82179.62260258352</x:v>
      </x:c>
      <x:c r="P173" s="7" t="n">
        <x:f>300*I173-T173</x:f>
        <x:v>325298.05456897186</x:v>
      </x:c>
      <x:c r="Q173" s="7" t="n">
        <x:f>1000*I173-U173</x:f>
        <x:v>1223212.566451331</x:v>
      </x:c>
      <x:c r="R173" s="7" t="n">
        <x:f>'損益分岐設定'!$B$18+'損益分岐設定'!$B$19+'損益分岐設定'!$B$20+'損益分岐設定'!E37+'損益分岐設定'!D37+AM173*('損益分岐設定'!$B$15+'損益分岐設定'!$B$16)+'損益分岐設定'!$B$17+E173*('損益分岐設定'!$B$13+(AM173-1)*'損益分岐設定'!$B$14)*'損益分岐設定'!$B$11</x:f>
        <x:v>35439.79669030532</x:v>
      </x:c>
      <x:c r="S173" s="7" t="n">
        <x:f>'損益分岐設定'!$B$18+'損益分岐設定'!$B$19+'損益分岐設定'!$B$20+'損益分岐設定'!E38+'損益分岐設定'!D38+AN173*('損益分岐設定'!$B$15+'損益分岐設定'!$B$16)+'損益分岐設定'!$B$17+E173*('損益分岐設定'!$B$13+(AN173-1)*'損益分岐設定'!$B$14)*'損益分岐設定'!$B$11</x:f>
        <x:v>50379.59338061063</x:v>
      </x:c>
      <x:c r="T173" s="7" t="n">
        <x:f>'損益分岐設定'!$B$18+'損益分岐設定'!$B$19+'損益分岐設定'!$B$20+'損益分岐設定'!E39+'損益分岐設定'!D39+AO173*('損益分岐設定'!$B$15+'損益分岐設定'!$B$16)+'損益分岐設定'!$B$17+E173*('損益分岐設定'!$B$13+(AO173-1)*'損益分岐設定'!$B$14)*'損益分岐設定'!$B$11</x:f>
        <x:v>72379.59338061063</x:v>
      </x:c>
      <x:c r="U173" s="7" t="n">
        <x:f>'損益分岐設定'!$B$18+'損益分岐設定'!$B$19+'損益分岐設定'!$B$20+'損益分岐設定'!E40+'損益分岐設定'!D40+AP173*('損益分岐設定'!$B$15+'損益分岐設定'!$B$16)+'損益分岐設定'!$B$17+E173*('損益分岐設定'!$B$13+(AP173-1)*'損益分岐設定'!$B$14)*'損益分岐設定'!$B$11</x:f>
        <x:v>102379.59338061063</x:v>
      </x:c>
      <x:c r="V173" s="1" t="n">
        <x:f>IF(I173&lt;=0,1001,IF(MAX('損益分岐設定'!B37,ROUNDUP(R173/I173,0))&lt;='損益分岐設定'!C37,MAX('損益分岐設定'!B37,ROUNDUP(R173/I173,0)),1001))</x:f>
        <x:v>1001</x:v>
      </x:c>
      <x:c r="W173" s="1" t="n">
        <x:f>IF(I173&lt;=0,1001,IF(MAX('損益分岐設定'!B38,ROUNDUP(S173/I173,0))&lt;='損益分岐設定'!C38,MAX('損益分岐設定'!B38,ROUNDUP(S173/I173,0)),1001))</x:f>
        <x:v>39</x:v>
      </x:c>
      <x:c r="X173" s="1" t="n">
        <x:f>IF(I173&lt;=0,1001,IF(MAX('損益分岐設定'!B39,ROUNDUP(T173/I173,0))&lt;='損益分岐設定'!C39,MAX('損益分岐設定'!B39,ROUNDUP(T173/I173,0)),1001))</x:f>
        <x:v>101</x:v>
      </x:c>
      <x:c r="Y173" s="1" t="n">
        <x:f>IF(I173&lt;=0,1001,IF(MAX('損益分岐設定'!B40,ROUNDUP(U173/I173,0))&lt;='損益分岐設定'!C40,MAX('損益分岐設定'!B40,ROUNDUP(U173/I173,0)),1001))</x:f>
        <x:v>501</x:v>
      </x:c>
      <x:c r="Z173" s="1" t="n">
        <x:f>IF(I173&lt;=0,'損益分岐設定'!C37,IF('損益分岐設定'!C37*I173-R173&lt;0,'損益分岐設定'!C37,IF('損益分岐設定'!B37*I173-R173&gt;=0,0,ROUNDUP(R173/I173,0)-1)))</x:f>
        <x:v>10</x:v>
      </x:c>
      <x:c r="AA173" s="1" t="n">
        <x:f>IF(I173&lt;=0,'損益分岐設定'!C38,IF('損益分岐設定'!C38*I173-S173&lt;0,'損益分岐設定'!C38,IF('損益分岐設定'!B38*I173-S173&gt;=0,0,ROUNDUP(S173/I173,0)-1)))</x:f>
        <x:v>38</x:v>
      </x:c>
      <x:c r="AB173" s="1" t="n">
        <x:f>IF(I173&lt;=0,'損益分岐設定'!C39,IF('損益分岐設定'!C39*I173-T173&lt;0,'損益分岐設定'!C39,IF('損益分岐設定'!B39*I173-T173&gt;=0,0,ROUNDUP(T173/I173,0)-1)))</x:f>
        <x:v>0</x:v>
      </x:c>
      <x:c r="AC173" s="1" t="n">
        <x:f>IF(I173&lt;=0,'損益分岐設定'!C40,IF('損益分岐設定'!C40*I173-U173&lt;0,'損益分岐設定'!C40,IF('損益分岐設定'!B40*I173-U173&gt;=0,0,ROUNDUP(U173/I173,0)-1)))</x:f>
        <x:v>0</x:v>
      </x:c>
      <x:c r="AD173" s="1" t="n">
        <x:v>1</x:v>
      </x:c>
      <x:c r="AE173" s="1" t="n">
        <x:v>0</x:v>
      </x:c>
      <x:c r="AF173" s="1" t="n">
        <x:v>0</x:v>
      </x:c>
      <x:c r="AG173" s="1" t="n">
        <x:f>AD173*'損益分岐設定'!$C$56+AE173*'損益分岐設定'!$C$59+AF173*'損益分岐設定'!$C$62</x:f>
        <x:v>66.35651235961915</x:v>
      </x:c>
      <x:c r="AH173" s="1" t="n">
        <x:f>AD173*'損益分岐設定'!$D$56+AE173*'損益分岐設定'!$D$59+AF173*'損益分岐設定'!$D$62</x:f>
        <x:v>7.5</x:v>
      </x:c>
      <x:c r="AI173" s="1" t="n">
        <x:f>AD173*'損益分岐設定'!$E$56+AE173*'損益分岐設定'!$E$59+AF173*'損益分岐設定'!$E$62</x:f>
        <x:v>5</x:v>
      </x:c>
      <x:c r="AJ173" s="1" t="n">
        <x:f>(AD173*'損益分岐設定'!$F$56+AE173*'損益分岐設定'!$F$59+AF173*'損益分岐設定'!$F$62*1)*'損益分岐設定'!$B$22</x:f>
        <x:v>7.5</x:v>
      </x:c>
      <x:c r="AK173" s="1" t="n">
        <x:f>AD173*'損益分岐設定'!$G$56+AE173*'損益分岐設定'!$G$59+AF173*'損益分岐設定'!$G$62</x:f>
        <x:v>25</x:v>
      </x:c>
      <x:c r="AL173" s="1" t="n">
        <x:f>AD173*'損益分岐設定'!$H$56+AE173*'損益分岐設定'!$H$59+AF173*'損益分岐設定'!$H$62</x:f>
        <x:v>233.33333333333334</x:v>
      </x:c>
      <x:c r="AM173" s="1" t="n">
        <x:f>MAX(1,ROUNDUP('損益分岐設定'!C37*AJ173/('損益分岐設定'!$B$23*'損益分岐設定'!$B$24*3600*'損益分岐設定'!$B$25),0))</x:f>
        <x:v>1</x:v>
      </x:c>
      <x:c r="AN173" s="1" t="n">
        <x:f>MAX(2,ROUNDUP('損益分岐設定'!C38*AJ173/('損益分岐設定'!$B$23*'損益分岐設定'!$B$24*3600*'損益分岐設定'!$B$25),0))</x:f>
        <x:v>2</x:v>
      </x:c>
      <x:c r="AO173" s="1" t="n">
        <x:f>MAX(2,ROUNDUP('損益分岐設定'!C39*AJ173/('損益分岐設定'!$B$23*'損益分岐設定'!$B$24*3600*'損益分岐設定'!$B$25),0))</x:f>
        <x:v>2</x:v>
      </x:c>
      <x:c r="AP173" s="1" t="n">
        <x:f>MAX(2,ROUNDUP('損益分岐設定'!C40*AJ173/('損益分岐設定'!$B$23*'損益分岐設定'!$B$24*3600*'損益分岐設定'!$B$25),0))</x:f>
        <x:v>2</x:v>
      </x:c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 ht="23" customHeight="1">
      <x:c r="A174" s="1" t="str">
        <x:v>Hybrid</x:v>
      </x:c>
      <x:c r="B174" s="1" t="str">
        <x:v>Starter</x:v>
      </x:c>
      <x:c r="C174" s="1" t="str">
        <x:v>低位</x:v>
      </x:c>
      <x:c r="D174" s="21" t="n">
        <x:v>0.5</x:v>
      </x:c>
      <x:c r="E174" s="1" t="n">
        <x:v>1</x:v>
      </x:c>
      <x:c r="F174" s="7" t="n">
        <x:f>AD174*'損益分岐設定'!$B$5+AE174*'損益分岐設定'!$B$6+AF174*'損益分岐設定'!$B$7</x:f>
        <x:v>3000</x:v>
      </x:c>
      <x:c r="G174" s="7" t="n">
        <x:f>AG174+(AH174+AI174)*('損益分岐設定'!$B$29+0.5*'損益分岐設定'!$B$30)+AK174*'損益分岐設定'!$B$33</x:f>
        <x:v>66.40784016805826</x:v>
      </x:c>
      <x:c r="H174" s="7" t="n">
        <x:f>AL174*E174</x:f>
        <x:v>233.33333333333334</x:v>
      </x:c>
      <x:c r="I174" s="7" t="n">
        <x:f>F174*(1-D174-'損益分岐設定'!$B$10)-G174-H174</x:f>
        <x:v>1092.2588264986084</x:v>
      </x:c>
      <x:c r="J174" s="1" t="n">
        <x:f>IF(MIN(V174:Y174)&gt;1000,"範囲内なし",MIN(V174:Y174))</x:f>
        <x:v>63</x:v>
      </x:c>
      <x:c r="K174" s="1" t="n">
        <x:f>IF(MAX(Z174:AC174)&gt;=1000,"範囲内なし",MAX(1,MAX(Z174:AC174)+1))</x:f>
        <x:v>63</x:v>
      </x:c>
      <x:c r="L174" s="7" t="n">
        <x:f>10*I174-R174</x:f>
        <x:v>-40517.20842531923</x:v>
      </x:c>
      <x:c r="M174" s="7" t="n">
        <x:f>30*I174-S174</x:f>
        <x:v>-35611.82858565238</x:v>
      </x:c>
      <x:c r="N174" s="7" t="n">
        <x:f>50*I174-S174</x:f>
        <x:v>-13766.652055680213</x:v>
      </x:c>
      <x:c r="O174" s="7" t="n">
        <x:f>100*I174-S174</x:f>
        <x:v>40846.28926925021</x:v>
      </x:c>
      <x:c r="P174" s="7" t="n">
        <x:f>300*I174-T174</x:f>
        <x:v>237298.05456897191</x:v>
      </x:c>
      <x:c r="Q174" s="7" t="n">
        <x:f>1000*I174-U174</x:f>
        <x:v>971879.2331179976</x:v>
      </x:c>
      <x:c r="R174" s="7" t="n">
        <x:f>'損益分岐設定'!$B$18+'損益分岐設定'!$B$19+'損益分岐設定'!$B$20+'損益分岐設定'!E37+'損益分岐設定'!D37+AM174*('損益分岐設定'!$B$15+'損益分岐設定'!$B$16)+'損益分岐設定'!$B$17+E174*('損益分岐設定'!$B$13+(AM174-1)*'損益分岐設定'!$B$14)*'損益分岐設定'!$B$11</x:f>
        <x:v>51439.79669030532</x:v>
      </x:c>
      <x:c r="S174" s="7" t="n">
        <x:f>'損益分岐設定'!$B$18+'損益分岐設定'!$B$19+'損益分岐設定'!$B$20+'損益分岐設定'!E38+'損益分岐設定'!D38+AN174*('損益分岐設定'!$B$15+'損益分岐設定'!$B$16)+'損益分岐設定'!$B$17+E174*('損益分岐設定'!$B$13+(AN174-1)*'損益分岐設定'!$B$14)*'損益分岐設定'!$B$11</x:f>
        <x:v>68379.59338061063</x:v>
      </x:c>
      <x:c r="T174" s="7" t="n">
        <x:f>'損益分岐設定'!$B$18+'損益分岐設定'!$B$19+'損益分岐設定'!$B$20+'損益分岐設定'!E39+'損益分岐設定'!D39+AO174*('損益分岐設定'!$B$15+'損益分岐設定'!$B$16)+'損益分岐設定'!$B$17+E174*('損益分岐設定'!$B$13+(AO174-1)*'損益分岐設定'!$B$14)*'損益分岐設定'!$B$11</x:f>
        <x:v>90379.59338061063</x:v>
      </x:c>
      <x:c r="U174" s="7" t="n">
        <x:f>'損益分岐設定'!$B$18+'損益分岐設定'!$B$19+'損益分岐設定'!$B$20+'損益分岐設定'!E40+'損益分岐設定'!D40+AP174*('損益分岐設定'!$B$15+'損益分岐設定'!$B$16)+'損益分岐設定'!$B$17+E174*('損益分岐設定'!$B$13+(AP174-1)*'損益分岐設定'!$B$14)*'損益分岐設定'!$B$11</x:f>
        <x:v>120379.59338061063</x:v>
      </x:c>
      <x:c r="V174" s="1" t="n">
        <x:f>IF(I174&lt;=0,1001,IF(MAX('損益分岐設定'!B37,ROUNDUP(R174/I174,0))&lt;='損益分岐設定'!C37,MAX('損益分岐設定'!B37,ROUNDUP(R174/I174,0)),1001))</x:f>
        <x:v>1001</x:v>
      </x:c>
      <x:c r="W174" s="1" t="n">
        <x:f>IF(I174&lt;=0,1001,IF(MAX('損益分岐設定'!B38,ROUNDUP(S174/I174,0))&lt;='損益分岐設定'!C38,MAX('損益分岐設定'!B38,ROUNDUP(S174/I174,0)),1001))</x:f>
        <x:v>63</x:v>
      </x:c>
      <x:c r="X174" s="1" t="n">
        <x:f>IF(I174&lt;=0,1001,IF(MAX('損益分岐設定'!B39,ROUNDUP(T174/I174,0))&lt;='損益分岐設定'!C39,MAX('損益分岐設定'!B39,ROUNDUP(T174/I174,0)),1001))</x:f>
        <x:v>101</x:v>
      </x:c>
      <x:c r="Y174" s="1" t="n">
        <x:f>IF(I174&lt;=0,1001,IF(MAX('損益分岐設定'!B40,ROUNDUP(U174/I174,0))&lt;='損益分岐設定'!C40,MAX('損益分岐設定'!B40,ROUNDUP(U174/I174,0)),1001))</x:f>
        <x:v>501</x:v>
      </x:c>
      <x:c r="Z174" s="1" t="n">
        <x:f>IF(I174&lt;=0,'損益分岐設定'!C37,IF('損益分岐設定'!C37*I174-R174&lt;0,'損益分岐設定'!C37,IF('損益分岐設定'!B37*I174-R174&gt;=0,0,ROUNDUP(R174/I174,0)-1)))</x:f>
        <x:v>10</x:v>
      </x:c>
      <x:c r="AA174" s="1" t="n">
        <x:f>IF(I174&lt;=0,'損益分岐設定'!C38,IF('損益分岐設定'!C38*I174-S174&lt;0,'損益分岐設定'!C38,IF('損益分岐設定'!B38*I174-S174&gt;=0,0,ROUNDUP(S174/I174,0)-1)))</x:f>
        <x:v>62</x:v>
      </x:c>
      <x:c r="AB174" s="1" t="n">
        <x:f>IF(I174&lt;=0,'損益分岐設定'!C39,IF('損益分岐設定'!C39*I174-T174&lt;0,'損益分岐設定'!C39,IF('損益分岐設定'!B39*I174-T174&gt;=0,0,ROUNDUP(T174/I174,0)-1)))</x:f>
        <x:v>0</x:v>
      </x:c>
      <x:c r="AC174" s="1" t="n">
        <x:f>IF(I174&lt;=0,'損益分岐設定'!C40,IF('損益分岐設定'!C40*I174-U174&lt;0,'損益分岐設定'!C40,IF('損益分岐設定'!B40*I174-U174&gt;=0,0,ROUNDUP(U174/I174,0)-1)))</x:f>
        <x:v>0</x:v>
      </x:c>
      <x:c r="AD174" s="1" t="n">
        <x:v>1</x:v>
      </x:c>
      <x:c r="AE174" s="1" t="n">
        <x:v>0</x:v>
      </x:c>
      <x:c r="AF174" s="1" t="n">
        <x:v>0</x:v>
      </x:c>
      <x:c r="AG174" s="1" t="n">
        <x:f>AD174*'損益分岐設定'!$C$56+AE174*'損益分岐設定'!$C$59+AF174*'損益分岐設定'!$C$62</x:f>
        <x:v>66.35651235961915</x:v>
      </x:c>
      <x:c r="AH174" s="1" t="n">
        <x:f>AD174*'損益分岐設定'!$D$56+AE174*'損益分岐設定'!$D$59+AF174*'損益分岐設定'!$D$62</x:f>
        <x:v>7.5</x:v>
      </x:c>
      <x:c r="AI174" s="1" t="n">
        <x:f>AD174*'損益分岐設定'!$E$56+AE174*'損益分岐設定'!$E$59+AF174*'損益分岐設定'!$E$62</x:f>
        <x:v>5</x:v>
      </x:c>
      <x:c r="AJ174" s="1" t="n">
        <x:f>(AD174*'損益分岐設定'!$F$56+AE174*'損益分岐設定'!$F$59+AF174*'損益分岐設定'!$F$62*1)*'損益分岐設定'!$B$22</x:f>
        <x:v>7.5</x:v>
      </x:c>
      <x:c r="AK174" s="1" t="n">
        <x:f>AD174*'損益分岐設定'!$G$56+AE174*'損益分岐設定'!$G$59+AF174*'損益分岐設定'!$G$62</x:f>
        <x:v>25</x:v>
      </x:c>
      <x:c r="AL174" s="1" t="n">
        <x:f>AD174*'損益分岐設定'!$H$56+AE174*'損益分岐設定'!$H$59+AF174*'損益分岐設定'!$H$62</x:f>
        <x:v>233.33333333333334</x:v>
      </x:c>
      <x:c r="AM174" s="1" t="n">
        <x:f>MAX(1,ROUNDUP('損益分岐設定'!C37*AJ174/('損益分岐設定'!$B$23*'損益分岐設定'!$B$24*3600*'損益分岐設定'!$B$25),0))</x:f>
        <x:v>1</x:v>
      </x:c>
      <x:c r="AN174" s="1" t="n">
        <x:f>MAX(2,ROUNDUP('損益分岐設定'!C38*AJ174/('損益分岐設定'!$B$23*'損益分岐設定'!$B$24*3600*'損益分岐設定'!$B$25),0))</x:f>
        <x:v>2</x:v>
      </x:c>
      <x:c r="AO174" s="1" t="n">
        <x:f>MAX(2,ROUNDUP('損益分岐設定'!C39*AJ174/('損益分岐設定'!$B$23*'損益分岐設定'!$B$24*3600*'損益分岐設定'!$B$25),0))</x:f>
        <x:v>2</x:v>
      </x:c>
      <x:c r="AP174" s="1" t="n">
        <x:f>MAX(2,ROUNDUP('損益分岐設定'!C40*AJ174/('損益分岐設定'!$B$23*'損益分岐設定'!$B$24*3600*'損益分岐設定'!$B$25),0))</x:f>
        <x:v>2</x:v>
      </x:c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 ht="23" customHeight="1">
      <x:c r="A175" s="1" t="str">
        <x:v>Hybrid</x:v>
      </x:c>
      <x:c r="B175" s="1" t="str">
        <x:v>Starter</x:v>
      </x:c>
      <x:c r="C175" s="1" t="str">
        <x:v>標準</x:v>
      </x:c>
      <x:c r="D175" s="21" t="n">
        <x:v>0</x:v>
      </x:c>
      <x:c r="E175" s="1" t="n">
        <x:v>0</x:v>
      </x:c>
      <x:c r="F175" s="7" t="n">
        <x:f>AD175*'損益分岐設定'!$B$5+AE175*'損益分岐設定'!$B$6+AF175*'損益分岐設定'!$B$7</x:f>
        <x:v>3000</x:v>
      </x:c>
      <x:c r="G175" s="7" t="n">
        <x:f>AG175+(AH175+AI175)*('損益分岐設定'!$B$29+0.5*'損益分岐設定'!$B$30)+AK175*'損益分岐設定'!$B$33</x:f>
        <x:v>148.14341073865597</x:v>
      </x:c>
      <x:c r="H175" s="7" t="n">
        <x:f>AL175*E175</x:f>
        <x:v>0</x:v>
      </x:c>
      <x:c r="I175" s="7" t="n">
        <x:f>F175*(1-D175-'損益分岐設定'!$B$10)-G175-H175</x:f>
        <x:v>2743.856589261344</x:v>
      </x:c>
      <x:c r="J175" s="1" t="n">
        <x:f>IF(MIN(V175:Y175)&gt;1000,"範囲内なし",MIN(V175:Y175))</x:f>
        <x:v>19</x:v>
      </x:c>
      <x:c r="K175" s="1" t="n">
        <x:f>IF(MAX(Z175:AC175)&gt;=1000,"範囲内なし",MAX(1,MAX(Z175:AC175)+1))</x:f>
        <x:v>19</x:v>
      </x:c>
      <x:c r="L175" s="7" t="n">
        <x:f>10*I175-R175</x:f>
        <x:v>-8001.230797691875</x:v>
      </x:c>
      <x:c r="M175" s="7" t="n">
        <x:f>30*I175-S175</x:f>
        <x:v>31936.1042972297</x:v>
      </x:c>
      <x:c r="N175" s="7" t="n">
        <x:f>50*I175-S175</x:f>
        <x:v>86813.23608245657</x:v>
      </x:c>
      <x:c r="O175" s="7" t="n">
        <x:f>100*I175-S175</x:f>
        <x:v>224006.06554552377</x:v>
      </x:c>
      <x:c r="P175" s="7" t="n">
        <x:f>300*I175-T175</x:f>
        <x:v>750777.3833977927</x:v>
      </x:c>
      <x:c r="Q175" s="7" t="n">
        <x:f>1000*I175-U175</x:f>
        <x:v>2641476.9958807337</x:v>
      </x:c>
      <x:c r="R175" s="7" t="n">
        <x:f>'損益分岐設定'!$B$18+'損益分岐設定'!$B$19+'損益分岐設定'!$B$20+'損益分岐設定'!E37+'損益分岐設定'!D37+AM175*('損益分岐設定'!$B$15+'損益分岐設定'!$B$16)+'損益分岐設定'!$B$17+E175*('損益分岐設定'!$B$13+(AM175-1)*'損益分岐設定'!$B$14)*'損益分岐設定'!$B$11</x:f>
        <x:v>35439.79669030532</x:v>
      </x:c>
      <x:c r="S175" s="7" t="n">
        <x:f>'損益分岐設定'!$B$18+'損益分岐設定'!$B$19+'損益分岐設定'!$B$20+'損益分岐設定'!E38+'損益分岐設定'!D38+AN175*('損益分岐設定'!$B$15+'損益分岐設定'!$B$16)+'損益分岐設定'!$B$17+E175*('損益分岐設定'!$B$13+(AN175-1)*'損益分岐設定'!$B$14)*'損益分岐設定'!$B$11</x:f>
        <x:v>50379.59338061063</x:v>
      </x:c>
      <x:c r="T175" s="7" t="n">
        <x:f>'損益分岐設定'!$B$18+'損益分岐設定'!$B$19+'損益分岐設定'!$B$20+'損益分岐設定'!E39+'損益分岐設定'!D39+AO175*('損益分岐設定'!$B$15+'損益分岐設定'!$B$16)+'損益分岐設定'!$B$17+E175*('損益分岐設定'!$B$13+(AO175-1)*'損益分岐設定'!$B$14)*'損益分岐設定'!$B$11</x:f>
        <x:v>72379.59338061063</x:v>
      </x:c>
      <x:c r="U175" s="7" t="n">
        <x:f>'損益分岐設定'!$B$18+'損益分岐設定'!$B$19+'損益分岐設定'!$B$20+'損益分岐設定'!E40+'損益分岐設定'!D40+AP175*('損益分岐設定'!$B$15+'損益分岐設定'!$B$16)+'損益分岐設定'!$B$17+E175*('損益分岐設定'!$B$13+(AP175-1)*'損益分岐設定'!$B$14)*'損益分岐設定'!$B$11</x:f>
        <x:v>102379.59338061063</x:v>
      </x:c>
      <x:c r="V175" s="1" t="n">
        <x:f>IF(I175&lt;=0,1001,IF(MAX('損益分岐設定'!B37,ROUNDUP(R175/I175,0))&lt;='損益分岐設定'!C37,MAX('損益分岐設定'!B37,ROUNDUP(R175/I175,0)),1001))</x:f>
        <x:v>1001</x:v>
      </x:c>
      <x:c r="W175" s="1" t="n">
        <x:f>IF(I175&lt;=0,1001,IF(MAX('損益分岐設定'!B38,ROUNDUP(S175/I175,0))&lt;='損益分岐設定'!C38,MAX('損益分岐設定'!B38,ROUNDUP(S175/I175,0)),1001))</x:f>
        <x:v>19</x:v>
      </x:c>
      <x:c r="X175" s="1" t="n">
        <x:f>IF(I175&lt;=0,1001,IF(MAX('損益分岐設定'!B39,ROUNDUP(T175/I175,0))&lt;='損益分岐設定'!C39,MAX('損益分岐設定'!B39,ROUNDUP(T175/I175,0)),1001))</x:f>
        <x:v>101</x:v>
      </x:c>
      <x:c r="Y175" s="1" t="n">
        <x:f>IF(I175&lt;=0,1001,IF(MAX('損益分岐設定'!B40,ROUNDUP(U175/I175,0))&lt;='損益分岐設定'!C40,MAX('損益分岐設定'!B40,ROUNDUP(U175/I175,0)),1001))</x:f>
        <x:v>501</x:v>
      </x:c>
      <x:c r="Z175" s="1" t="n">
        <x:f>IF(I175&lt;=0,'損益分岐設定'!C37,IF('損益分岐設定'!C37*I175-R175&lt;0,'損益分岐設定'!C37,IF('損益分岐設定'!B37*I175-R175&gt;=0,0,ROUNDUP(R175/I175,0)-1)))</x:f>
        <x:v>10</x:v>
      </x:c>
      <x:c r="AA175" s="1" t="n">
        <x:f>IF(I175&lt;=0,'損益分岐設定'!C38,IF('損益分岐設定'!C38*I175-S175&lt;0,'損益分岐設定'!C38,IF('損益分岐設定'!B38*I175-S175&gt;=0,0,ROUNDUP(S175/I175,0)-1)))</x:f>
        <x:v>18</x:v>
      </x:c>
      <x:c r="AB175" s="1" t="n">
        <x:f>IF(I175&lt;=0,'損益分岐設定'!C39,IF('損益分岐設定'!C39*I175-T175&lt;0,'損益分岐設定'!C39,IF('損益分岐設定'!B39*I175-T175&gt;=0,0,ROUNDUP(T175/I175,0)-1)))</x:f>
        <x:v>0</x:v>
      </x:c>
      <x:c r="AC175" s="1" t="n">
        <x:f>IF(I175&lt;=0,'損益分岐設定'!C40,IF('損益分岐設定'!C40*I175-U175&lt;0,'損益分岐設定'!C40,IF('損益分岐設定'!B40*I175-U175&gt;=0,0,ROUNDUP(U175/I175,0)-1)))</x:f>
        <x:v>0</x:v>
      </x:c>
      <x:c r="AD175" s="1" t="n">
        <x:v>1</x:v>
      </x:c>
      <x:c r="AE175" s="1" t="n">
        <x:v>0</x:v>
      </x:c>
      <x:c r="AF175" s="1" t="n">
        <x:v>0</x:v>
      </x:c>
      <x:c r="AG175" s="1" t="n">
        <x:f>AD175*'損益分岐設定'!$C$57+AE175*'損益分岐設定'!$C$60+AF175*'損益分岐設定'!$C$63</x:f>
        <x:v>147.89614318847657</x:v>
      </x:c>
      <x:c r="AH175" s="1" t="n">
        <x:f>AD175*'損益分岐設定'!$D$57+AE175*'損益分岐設定'!$D$60+AF175*'損益分岐設定'!$D$63</x:f>
        <x:v>30</x:v>
      </x:c>
      <x:c r="AI175" s="1" t="n">
        <x:f>AD175*'損益分岐設定'!$E$57+AE175*'損益分岐設定'!$E$60+AF175*'損益分岐設定'!$E$63</x:f>
        <x:v>30</x:v>
      </x:c>
      <x:c r="AJ175" s="1" t="n">
        <x:f>(AD175*'損益分岐設定'!$F$57+AE175*'損益分岐設定'!$F$60+AF175*'損益分岐設定'!$F$63*1)*'損益分岐設定'!$B$22</x:f>
        <x:v>120</x:v>
      </x:c>
      <x:c r="AK175" s="1" t="n">
        <x:f>AD175*'損益分岐設定'!$G$57+AE175*'損益分岐設定'!$G$60+AF175*'損益分岐設定'!$G$63</x:f>
        <x:v>200</x:v>
      </x:c>
      <x:c r="AL175" s="1" t="n">
        <x:f>AD175*'損益分岐設定'!$H$57+AE175*'損益分岐設定'!$H$60+AF175*'損益分岐設定'!$H$63</x:f>
        <x:v>566.6666666666666</x:v>
      </x:c>
      <x:c r="AM175" s="1" t="n">
        <x:f>MAX(1,ROUNDUP('損益分岐設定'!C37*AJ175/('損益分岐設定'!$B$23*'損益分岐設定'!$B$24*3600*'損益分岐設定'!$B$25),0))</x:f>
        <x:v>1</x:v>
      </x:c>
      <x:c r="AN175" s="1" t="n">
        <x:f>MAX(2,ROUNDUP('損益分岐設定'!C38*AJ175/('損益分岐設定'!$B$23*'損益分岐設定'!$B$24*3600*'損益分岐設定'!$B$25),0))</x:f>
        <x:v>2</x:v>
      </x:c>
      <x:c r="AO175" s="1" t="n">
        <x:f>MAX(2,ROUNDUP('損益分岐設定'!C39*AJ175/('損益分岐設定'!$B$23*'損益分岐設定'!$B$24*3600*'損益分岐設定'!$B$25),0))</x:f>
        <x:v>2</x:v>
      </x:c>
      <x:c r="AP175" s="1" t="n">
        <x:f>MAX(2,ROUNDUP('損益分岐設定'!C40*AJ175/('損益分岐設定'!$B$23*'損益分岐設定'!$B$24*3600*'損益分岐設定'!$B$25),0))</x:f>
        <x:v>2</x:v>
      </x:c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 ht="23" customHeight="1">
      <x:c r="A176" s="1" t="str">
        <x:v>Hybrid</x:v>
      </x:c>
      <x:c r="B176" s="1" t="str">
        <x:v>Starter</x:v>
      </x:c>
      <x:c r="C176" s="1" t="str">
        <x:v>標準</x:v>
      </x:c>
      <x:c r="D176" s="21" t="n">
        <x:v>0</x:v>
      </x:c>
      <x:c r="E176" s="1" t="n">
        <x:v>1</x:v>
      </x:c>
      <x:c r="F176" s="7" t="n">
        <x:f>AD176*'損益分岐設定'!$B$5+AE176*'損益分岐設定'!$B$6+AF176*'損益分岐設定'!$B$7</x:f>
        <x:v>3000</x:v>
      </x:c>
      <x:c r="G176" s="7" t="n">
        <x:f>AG176+(AH176+AI176)*('損益分岐設定'!$B$29+0.5*'損益分岐設定'!$B$30)+AK176*'損益分岐設定'!$B$33</x:f>
        <x:v>148.14341073865597</x:v>
      </x:c>
      <x:c r="H176" s="7" t="n">
        <x:f>AL176*E176</x:f>
        <x:v>566.6666666666666</x:v>
      </x:c>
      <x:c r="I176" s="7" t="n">
        <x:f>F176*(1-D176-'損益分岐設定'!$B$10)-G176-H176</x:f>
        <x:v>2177.1899225946777</x:v>
      </x:c>
      <x:c r="J176" s="1" t="n">
        <x:f>IF(MIN(V176:Y176)&gt;1000,"範囲内なし",MIN(V176:Y176))</x:f>
        <x:v>32</x:v>
      </x:c>
      <x:c r="K176" s="1" t="n">
        <x:f>IF(MAX(Z176:AC176)&gt;=1000,"範囲内なし",MAX(1,MAX(Z176:AC176)+1))</x:f>
        <x:v>32</x:v>
      </x:c>
      <x:c r="L176" s="7" t="n">
        <x:f>10*I176-R176</x:f>
        <x:v>-29667.89746435854</x:v>
      </x:c>
      <x:c r="M176" s="7" t="n">
        <x:f>30*I176-S176</x:f>
        <x:v>-3063.8957027703</x:v>
      </x:c>
      <x:c r="N176" s="7" t="n">
        <x:f>50*I176-S176</x:f>
        <x:v>40479.902749123255</x:v>
      </x:c>
      <x:c r="O176" s="7" t="n">
        <x:f>100*I176-S176</x:f>
        <x:v>149339.39887885714</x:v>
      </x:c>
      <x:c r="P176" s="7" t="n">
        <x:f>300*I176-T176</x:f>
        <x:v>562777.3833977927</x:v>
      </x:c>
      <x:c r="Q176" s="7" t="n">
        <x:f>1000*I176-U176</x:f>
        <x:v>2056810.329214067</x:v>
      </x:c>
      <x:c r="R176" s="7" t="n">
        <x:f>'損益分岐設定'!$B$18+'損益分岐設定'!$B$19+'損益分岐設定'!$B$20+'損益分岐設定'!E37+'損益分岐設定'!D37+AM176*('損益分岐設定'!$B$15+'損益分岐設定'!$B$16)+'損益分岐設定'!$B$17+E176*('損益分岐設定'!$B$13+(AM176-1)*'損益分岐設定'!$B$14)*'損益分岐設定'!$B$11</x:f>
        <x:v>51439.79669030532</x:v>
      </x:c>
      <x:c r="S176" s="7" t="n">
        <x:f>'損益分岐設定'!$B$18+'損益分岐設定'!$B$19+'損益分岐設定'!$B$20+'損益分岐設定'!E38+'損益分岐設定'!D38+AN176*('損益分岐設定'!$B$15+'損益分岐設定'!$B$16)+'損益分岐設定'!$B$17+E176*('損益分岐設定'!$B$13+(AN176-1)*'損益分岐設定'!$B$14)*'損益分岐設定'!$B$11</x:f>
        <x:v>68379.59338061063</x:v>
      </x:c>
      <x:c r="T176" s="7" t="n">
        <x:f>'損益分岐設定'!$B$18+'損益分岐設定'!$B$19+'損益分岐設定'!$B$20+'損益分岐設定'!E39+'損益分岐設定'!D39+AO176*('損益分岐設定'!$B$15+'損益分岐設定'!$B$16)+'損益分岐設定'!$B$17+E176*('損益分岐設定'!$B$13+(AO176-1)*'損益分岐設定'!$B$14)*'損益分岐設定'!$B$11</x:f>
        <x:v>90379.59338061063</x:v>
      </x:c>
      <x:c r="U176" s="7" t="n">
        <x:f>'損益分岐設定'!$B$18+'損益分岐設定'!$B$19+'損益分岐設定'!$B$20+'損益分岐設定'!E40+'損益分岐設定'!D40+AP176*('損益分岐設定'!$B$15+'損益分岐設定'!$B$16)+'損益分岐設定'!$B$17+E176*('損益分岐設定'!$B$13+(AP176-1)*'損益分岐設定'!$B$14)*'損益分岐設定'!$B$11</x:f>
        <x:v>120379.59338061063</x:v>
      </x:c>
      <x:c r="V176" s="1" t="n">
        <x:f>IF(I176&lt;=0,1001,IF(MAX('損益分岐設定'!B37,ROUNDUP(R176/I176,0))&lt;='損益分岐設定'!C37,MAX('損益分岐設定'!B37,ROUNDUP(R176/I176,0)),1001))</x:f>
        <x:v>1001</x:v>
      </x:c>
      <x:c r="W176" s="1" t="n">
        <x:f>IF(I176&lt;=0,1001,IF(MAX('損益分岐設定'!B38,ROUNDUP(S176/I176,0))&lt;='損益分岐設定'!C38,MAX('損益分岐設定'!B38,ROUNDUP(S176/I176,0)),1001))</x:f>
        <x:v>32</x:v>
      </x:c>
      <x:c r="X176" s="1" t="n">
        <x:f>IF(I176&lt;=0,1001,IF(MAX('損益分岐設定'!B39,ROUNDUP(T176/I176,0))&lt;='損益分岐設定'!C39,MAX('損益分岐設定'!B39,ROUNDUP(T176/I176,0)),1001))</x:f>
        <x:v>101</x:v>
      </x:c>
      <x:c r="Y176" s="1" t="n">
        <x:f>IF(I176&lt;=0,1001,IF(MAX('損益分岐設定'!B40,ROUNDUP(U176/I176,0))&lt;='損益分岐設定'!C40,MAX('損益分岐設定'!B40,ROUNDUP(U176/I176,0)),1001))</x:f>
        <x:v>501</x:v>
      </x:c>
      <x:c r="Z176" s="1" t="n">
        <x:f>IF(I176&lt;=0,'損益分岐設定'!C37,IF('損益分岐設定'!C37*I176-R176&lt;0,'損益分岐設定'!C37,IF('損益分岐設定'!B37*I176-R176&gt;=0,0,ROUNDUP(R176/I176,0)-1)))</x:f>
        <x:v>10</x:v>
      </x:c>
      <x:c r="AA176" s="1" t="n">
        <x:f>IF(I176&lt;=0,'損益分岐設定'!C38,IF('損益分岐設定'!C38*I176-S176&lt;0,'損益分岐設定'!C38,IF('損益分岐設定'!B38*I176-S176&gt;=0,0,ROUNDUP(S176/I176,0)-1)))</x:f>
        <x:v>31</x:v>
      </x:c>
      <x:c r="AB176" s="1" t="n">
        <x:f>IF(I176&lt;=0,'損益分岐設定'!C39,IF('損益分岐設定'!C39*I176-T176&lt;0,'損益分岐設定'!C39,IF('損益分岐設定'!B39*I176-T176&gt;=0,0,ROUNDUP(T176/I176,0)-1)))</x:f>
        <x:v>0</x:v>
      </x:c>
      <x:c r="AC176" s="1" t="n">
        <x:f>IF(I176&lt;=0,'損益分岐設定'!C40,IF('損益分岐設定'!C40*I176-U176&lt;0,'損益分岐設定'!C40,IF('損益分岐設定'!B40*I176-U176&gt;=0,0,ROUNDUP(U176/I176,0)-1)))</x:f>
        <x:v>0</x:v>
      </x:c>
      <x:c r="AD176" s="1" t="n">
        <x:v>1</x:v>
      </x:c>
      <x:c r="AE176" s="1" t="n">
        <x:v>0</x:v>
      </x:c>
      <x:c r="AF176" s="1" t="n">
        <x:v>0</x:v>
      </x:c>
      <x:c r="AG176" s="1" t="n">
        <x:f>AD176*'損益分岐設定'!$C$57+AE176*'損益分岐設定'!$C$60+AF176*'損益分岐設定'!$C$63</x:f>
        <x:v>147.89614318847657</x:v>
      </x:c>
      <x:c r="AH176" s="1" t="n">
        <x:f>AD176*'損益分岐設定'!$D$57+AE176*'損益分岐設定'!$D$60+AF176*'損益分岐設定'!$D$63</x:f>
        <x:v>30</x:v>
      </x:c>
      <x:c r="AI176" s="1" t="n">
        <x:f>AD176*'損益分岐設定'!$E$57+AE176*'損益分岐設定'!$E$60+AF176*'損益分岐設定'!$E$63</x:f>
        <x:v>30</x:v>
      </x:c>
      <x:c r="AJ176" s="1" t="n">
        <x:f>(AD176*'損益分岐設定'!$F$57+AE176*'損益分岐設定'!$F$60+AF176*'損益分岐設定'!$F$63*1)*'損益分岐設定'!$B$22</x:f>
        <x:v>120</x:v>
      </x:c>
      <x:c r="AK176" s="1" t="n">
        <x:f>AD176*'損益分岐設定'!$G$57+AE176*'損益分岐設定'!$G$60+AF176*'損益分岐設定'!$G$63</x:f>
        <x:v>200</x:v>
      </x:c>
      <x:c r="AL176" s="1" t="n">
        <x:f>AD176*'損益分岐設定'!$H$57+AE176*'損益分岐設定'!$H$60+AF176*'損益分岐設定'!$H$63</x:f>
        <x:v>566.6666666666666</x:v>
      </x:c>
      <x:c r="AM176" s="1" t="n">
        <x:f>MAX(1,ROUNDUP('損益分岐設定'!C37*AJ176/('損益分岐設定'!$B$23*'損益分岐設定'!$B$24*3600*'損益分岐設定'!$B$25),0))</x:f>
        <x:v>1</x:v>
      </x:c>
      <x:c r="AN176" s="1" t="n">
        <x:f>MAX(2,ROUNDUP('損益分岐設定'!C38*AJ176/('損益分岐設定'!$B$23*'損益分岐設定'!$B$24*3600*'損益分岐設定'!$B$25),0))</x:f>
        <x:v>2</x:v>
      </x:c>
      <x:c r="AO176" s="1" t="n">
        <x:f>MAX(2,ROUNDUP('損益分岐設定'!C39*AJ176/('損益分岐設定'!$B$23*'損益分岐設定'!$B$24*3600*'損益分岐設定'!$B$25),0))</x:f>
        <x:v>2</x:v>
      </x:c>
      <x:c r="AP176" s="1" t="n">
        <x:f>MAX(2,ROUNDUP('損益分岐設定'!C40*AJ176/('損益分岐設定'!$B$23*'損益分岐設定'!$B$24*3600*'損益分岐設定'!$B$25),0))</x:f>
        <x:v>2</x:v>
      </x:c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 ht="23" customHeight="1">
      <x:c r="A177" s="1" t="str">
        <x:v>Hybrid</x:v>
      </x:c>
      <x:c r="B177" s="1" t="str">
        <x:v>Starter</x:v>
      </x:c>
      <x:c r="C177" s="1" t="str">
        <x:v>標準</x:v>
      </x:c>
      <x:c r="D177" s="21" t="n">
        <x:v>0.2</x:v>
      </x:c>
      <x:c r="E177" s="1" t="n">
        <x:v>0</x:v>
      </x:c>
      <x:c r="F177" s="7" t="n">
        <x:f>AD177*'損益分岐設定'!$B$5+AE177*'損益分岐設定'!$B$6+AF177*'損益分岐設定'!$B$7</x:f>
        <x:v>3000</x:v>
      </x:c>
      <x:c r="G177" s="7" t="n">
        <x:f>AG177+(AH177+AI177)*('損益分岐設定'!$B$29+0.5*'損益分岐設定'!$B$30)+AK177*'損益分岐設定'!$B$33</x:f>
        <x:v>148.14341073865597</x:v>
      </x:c>
      <x:c r="H177" s="7" t="n">
        <x:f>AL177*E177</x:f>
        <x:v>0</x:v>
      </x:c>
      <x:c r="I177" s="7" t="n">
        <x:f>F177*(1-D177-'損益分岐設定'!$B$10)-G177-H177</x:f>
        <x:v>2143.856589261344</x:v>
      </x:c>
      <x:c r="J177" s="1" t="n">
        <x:f>IF(MIN(V177:Y177)&gt;1000,"範囲内なし",MIN(V177:Y177))</x:f>
        <x:v>24</x:v>
      </x:c>
      <x:c r="K177" s="1" t="n">
        <x:f>IF(MAX(Z177:AC177)&gt;=1000,"範囲内なし",MAX(1,MAX(Z177:AC177)+1))</x:f>
        <x:v>24</x:v>
      </x:c>
      <x:c r="L177" s="7" t="n">
        <x:f>10*I177-R177</x:f>
        <x:v>-14001.230797691875</x:v>
      </x:c>
      <x:c r="M177" s="7" t="n">
        <x:f>30*I177-S177</x:f>
        <x:v>13936.104297229693</x:v>
      </x:c>
      <x:c r="N177" s="7" t="n">
        <x:f>50*I177-S177</x:f>
        <x:v>56813.23608245657</x:v>
      </x:c>
      <x:c r="O177" s="7" t="n">
        <x:f>100*I177-S177</x:f>
        <x:v>164006.06554552377</x:v>
      </x:c>
      <x:c r="P177" s="7" t="n">
        <x:f>300*I177-T177</x:f>
        <x:v>570777.3833977927</x:v>
      </x:c>
      <x:c r="Q177" s="7" t="n">
        <x:f>1000*I177-U177</x:f>
        <x:v>2041476.9958807335</x:v>
      </x:c>
      <x:c r="R177" s="7" t="n">
        <x:f>'損益分岐設定'!$B$18+'損益分岐設定'!$B$19+'損益分岐設定'!$B$20+'損益分岐設定'!E37+'損益分岐設定'!D37+AM177*('損益分岐設定'!$B$15+'損益分岐設定'!$B$16)+'損益分岐設定'!$B$17+E177*('損益分岐設定'!$B$13+(AM177-1)*'損益分岐設定'!$B$14)*'損益分岐設定'!$B$11</x:f>
        <x:v>35439.79669030532</x:v>
      </x:c>
      <x:c r="S177" s="7" t="n">
        <x:f>'損益分岐設定'!$B$18+'損益分岐設定'!$B$19+'損益分岐設定'!$B$20+'損益分岐設定'!E38+'損益分岐設定'!D38+AN177*('損益分岐設定'!$B$15+'損益分岐設定'!$B$16)+'損益分岐設定'!$B$17+E177*('損益分岐設定'!$B$13+(AN177-1)*'損益分岐設定'!$B$14)*'損益分岐設定'!$B$11</x:f>
        <x:v>50379.59338061063</x:v>
      </x:c>
      <x:c r="T177" s="7" t="n">
        <x:f>'損益分岐設定'!$B$18+'損益分岐設定'!$B$19+'損益分岐設定'!$B$20+'損益分岐設定'!E39+'損益分岐設定'!D39+AO177*('損益分岐設定'!$B$15+'損益分岐設定'!$B$16)+'損益分岐設定'!$B$17+E177*('損益分岐設定'!$B$13+(AO177-1)*'損益分岐設定'!$B$14)*'損益分岐設定'!$B$11</x:f>
        <x:v>72379.59338061063</x:v>
      </x:c>
      <x:c r="U177" s="7" t="n">
        <x:f>'損益分岐設定'!$B$18+'損益分岐設定'!$B$19+'損益分岐設定'!$B$20+'損益分岐設定'!E40+'損益分岐設定'!D40+AP177*('損益分岐設定'!$B$15+'損益分岐設定'!$B$16)+'損益分岐設定'!$B$17+E177*('損益分岐設定'!$B$13+(AP177-1)*'損益分岐設定'!$B$14)*'損益分岐設定'!$B$11</x:f>
        <x:v>102379.59338061063</x:v>
      </x:c>
      <x:c r="V177" s="1" t="n">
        <x:f>IF(I177&lt;=0,1001,IF(MAX('損益分岐設定'!B37,ROUNDUP(R177/I177,0))&lt;='損益分岐設定'!C37,MAX('損益分岐設定'!B37,ROUNDUP(R177/I177,0)),1001))</x:f>
        <x:v>1001</x:v>
      </x:c>
      <x:c r="W177" s="1" t="n">
        <x:f>IF(I177&lt;=0,1001,IF(MAX('損益分岐設定'!B38,ROUNDUP(S177/I177,0))&lt;='損益分岐設定'!C38,MAX('損益分岐設定'!B38,ROUNDUP(S177/I177,0)),1001))</x:f>
        <x:v>24</x:v>
      </x:c>
      <x:c r="X177" s="1" t="n">
        <x:f>IF(I177&lt;=0,1001,IF(MAX('損益分岐設定'!B39,ROUNDUP(T177/I177,0))&lt;='損益分岐設定'!C39,MAX('損益分岐設定'!B39,ROUNDUP(T177/I177,0)),1001))</x:f>
        <x:v>101</x:v>
      </x:c>
      <x:c r="Y177" s="1" t="n">
        <x:f>IF(I177&lt;=0,1001,IF(MAX('損益分岐設定'!B40,ROUNDUP(U177/I177,0))&lt;='損益分岐設定'!C40,MAX('損益分岐設定'!B40,ROUNDUP(U177/I177,0)),1001))</x:f>
        <x:v>501</x:v>
      </x:c>
      <x:c r="Z177" s="1" t="n">
        <x:f>IF(I177&lt;=0,'損益分岐設定'!C37,IF('損益分岐設定'!C37*I177-R177&lt;0,'損益分岐設定'!C37,IF('損益分岐設定'!B37*I177-R177&gt;=0,0,ROUNDUP(R177/I177,0)-1)))</x:f>
        <x:v>10</x:v>
      </x:c>
      <x:c r="AA177" s="1" t="n">
        <x:f>IF(I177&lt;=0,'損益分岐設定'!C38,IF('損益分岐設定'!C38*I177-S177&lt;0,'損益分岐設定'!C38,IF('損益分岐設定'!B38*I177-S177&gt;=0,0,ROUNDUP(S177/I177,0)-1)))</x:f>
        <x:v>23</x:v>
      </x:c>
      <x:c r="AB177" s="1" t="n">
        <x:f>IF(I177&lt;=0,'損益分岐設定'!C39,IF('損益分岐設定'!C39*I177-T177&lt;0,'損益分岐設定'!C39,IF('損益分岐設定'!B39*I177-T177&gt;=0,0,ROUNDUP(T177/I177,0)-1)))</x:f>
        <x:v>0</x:v>
      </x:c>
      <x:c r="AC177" s="1" t="n">
        <x:f>IF(I177&lt;=0,'損益分岐設定'!C40,IF('損益分岐設定'!C40*I177-U177&lt;0,'損益分岐設定'!C40,IF('損益分岐設定'!B40*I177-U177&gt;=0,0,ROUNDUP(U177/I177,0)-1)))</x:f>
        <x:v>0</x:v>
      </x:c>
      <x:c r="AD177" s="1" t="n">
        <x:v>1</x:v>
      </x:c>
      <x:c r="AE177" s="1" t="n">
        <x:v>0</x:v>
      </x:c>
      <x:c r="AF177" s="1" t="n">
        <x:v>0</x:v>
      </x:c>
      <x:c r="AG177" s="1" t="n">
        <x:f>AD177*'損益分岐設定'!$C$57+AE177*'損益分岐設定'!$C$60+AF177*'損益分岐設定'!$C$63</x:f>
        <x:v>147.89614318847657</x:v>
      </x:c>
      <x:c r="AH177" s="1" t="n">
        <x:f>AD177*'損益分岐設定'!$D$57+AE177*'損益分岐設定'!$D$60+AF177*'損益分岐設定'!$D$63</x:f>
        <x:v>30</x:v>
      </x:c>
      <x:c r="AI177" s="1" t="n">
        <x:f>AD177*'損益分岐設定'!$E$57+AE177*'損益分岐設定'!$E$60+AF177*'損益分岐設定'!$E$63</x:f>
        <x:v>30</x:v>
      </x:c>
      <x:c r="AJ177" s="1" t="n">
        <x:f>(AD177*'損益分岐設定'!$F$57+AE177*'損益分岐設定'!$F$60+AF177*'損益分岐設定'!$F$63*1)*'損益分岐設定'!$B$22</x:f>
        <x:v>120</x:v>
      </x:c>
      <x:c r="AK177" s="1" t="n">
        <x:f>AD177*'損益分岐設定'!$G$57+AE177*'損益分岐設定'!$G$60+AF177*'損益分岐設定'!$G$63</x:f>
        <x:v>200</x:v>
      </x:c>
      <x:c r="AL177" s="1" t="n">
        <x:f>AD177*'損益分岐設定'!$H$57+AE177*'損益分岐設定'!$H$60+AF177*'損益分岐設定'!$H$63</x:f>
        <x:v>566.6666666666666</x:v>
      </x:c>
      <x:c r="AM177" s="1" t="n">
        <x:f>MAX(1,ROUNDUP('損益分岐設定'!C37*AJ177/('損益分岐設定'!$B$23*'損益分岐設定'!$B$24*3600*'損益分岐設定'!$B$25),0))</x:f>
        <x:v>1</x:v>
      </x:c>
      <x:c r="AN177" s="1" t="n">
        <x:f>MAX(2,ROUNDUP('損益分岐設定'!C38*AJ177/('損益分岐設定'!$B$23*'損益分岐設定'!$B$24*3600*'損益分岐設定'!$B$25),0))</x:f>
        <x:v>2</x:v>
      </x:c>
      <x:c r="AO177" s="1" t="n">
        <x:f>MAX(2,ROUNDUP('損益分岐設定'!C39*AJ177/('損益分岐設定'!$B$23*'損益分岐設定'!$B$24*3600*'損益分岐設定'!$B$25),0))</x:f>
        <x:v>2</x:v>
      </x:c>
      <x:c r="AP177" s="1" t="n">
        <x:f>MAX(2,ROUNDUP('損益分岐設定'!C40*AJ177/('損益分岐設定'!$B$23*'損益分岐設定'!$B$24*3600*'損益分岐設定'!$B$25),0))</x:f>
        <x:v>2</x:v>
      </x:c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 ht="23" customHeight="1">
      <x:c r="A178" s="1" t="str">
        <x:v>Hybrid</x:v>
      </x:c>
      <x:c r="B178" s="1" t="str">
        <x:v>Starter</x:v>
      </x:c>
      <x:c r="C178" s="1" t="str">
        <x:v>標準</x:v>
      </x:c>
      <x:c r="D178" s="21" t="n">
        <x:v>0.2</x:v>
      </x:c>
      <x:c r="E178" s="1" t="n">
        <x:v>1</x:v>
      </x:c>
      <x:c r="F178" s="7" t="n">
        <x:f>AD178*'損益分岐設定'!$B$5+AE178*'損益分岐設定'!$B$6+AF178*'損益分岐設定'!$B$7</x:f>
        <x:v>3000</x:v>
      </x:c>
      <x:c r="G178" s="7" t="n">
        <x:f>AG178+(AH178+AI178)*('損益分岐設定'!$B$29+0.5*'損益分岐設定'!$B$30)+AK178*'損益分岐設定'!$B$33</x:f>
        <x:v>148.14341073865597</x:v>
      </x:c>
      <x:c r="H178" s="7" t="n">
        <x:f>AL178*E178</x:f>
        <x:v>566.6666666666666</x:v>
      </x:c>
      <x:c r="I178" s="7" t="n">
        <x:f>F178*(1-D178-'損益分岐設定'!$B$10)-G178-H178</x:f>
        <x:v>1577.1899225946777</x:v>
      </x:c>
      <x:c r="J178" s="1" t="n">
        <x:f>IF(MIN(V178:Y178)&gt;1000,"範囲内なし",MIN(V178:Y178))</x:f>
        <x:v>44</x:v>
      </x:c>
      <x:c r="K178" s="1" t="n">
        <x:f>IF(MAX(Z178:AC178)&gt;=1000,"範囲内なし",MAX(1,MAX(Z178:AC178)+1))</x:f>
        <x:v>44</x:v>
      </x:c>
      <x:c r="L178" s="7" t="n">
        <x:f>10*I178-R178</x:f>
        <x:v>-35667.89746435854</x:v>
      </x:c>
      <x:c r="M178" s="7" t="n">
        <x:f>30*I178-S178</x:f>
        <x:v>-21063.8957027703</x:v>
      </x:c>
      <x:c r="N178" s="7" t="n">
        <x:f>50*I178-S178</x:f>
        <x:v>10479.902749123255</x:v>
      </x:c>
      <x:c r="O178" s="7" t="n">
        <x:f>100*I178-S178</x:f>
        <x:v>89339.39887885714</x:v>
      </x:c>
      <x:c r="P178" s="7" t="n">
        <x:f>300*I178-T178</x:f>
        <x:v>382777.3833977927</x:v>
      </x:c>
      <x:c r="Q178" s="7" t="n">
        <x:f>1000*I178-U178</x:f>
        <x:v>1456810.329214067</x:v>
      </x:c>
      <x:c r="R178" s="7" t="n">
        <x:f>'損益分岐設定'!$B$18+'損益分岐設定'!$B$19+'損益分岐設定'!$B$20+'損益分岐設定'!E37+'損益分岐設定'!D37+AM178*('損益分岐設定'!$B$15+'損益分岐設定'!$B$16)+'損益分岐設定'!$B$17+E178*('損益分岐設定'!$B$13+(AM178-1)*'損益分岐設定'!$B$14)*'損益分岐設定'!$B$11</x:f>
        <x:v>51439.79669030532</x:v>
      </x:c>
      <x:c r="S178" s="7" t="n">
        <x:f>'損益分岐設定'!$B$18+'損益分岐設定'!$B$19+'損益分岐設定'!$B$20+'損益分岐設定'!E38+'損益分岐設定'!D38+AN178*('損益分岐設定'!$B$15+'損益分岐設定'!$B$16)+'損益分岐設定'!$B$17+E178*('損益分岐設定'!$B$13+(AN178-1)*'損益分岐設定'!$B$14)*'損益分岐設定'!$B$11</x:f>
        <x:v>68379.59338061063</x:v>
      </x:c>
      <x:c r="T178" s="7" t="n">
        <x:f>'損益分岐設定'!$B$18+'損益分岐設定'!$B$19+'損益分岐設定'!$B$20+'損益分岐設定'!E39+'損益分岐設定'!D39+AO178*('損益分岐設定'!$B$15+'損益分岐設定'!$B$16)+'損益分岐設定'!$B$17+E178*('損益分岐設定'!$B$13+(AO178-1)*'損益分岐設定'!$B$14)*'損益分岐設定'!$B$11</x:f>
        <x:v>90379.59338061063</x:v>
      </x:c>
      <x:c r="U178" s="7" t="n">
        <x:f>'損益分岐設定'!$B$18+'損益分岐設定'!$B$19+'損益分岐設定'!$B$20+'損益分岐設定'!E40+'損益分岐設定'!D40+AP178*('損益分岐設定'!$B$15+'損益分岐設定'!$B$16)+'損益分岐設定'!$B$17+E178*('損益分岐設定'!$B$13+(AP178-1)*'損益分岐設定'!$B$14)*'損益分岐設定'!$B$11</x:f>
        <x:v>120379.59338061063</x:v>
      </x:c>
      <x:c r="V178" s="1" t="n">
        <x:f>IF(I178&lt;=0,1001,IF(MAX('損益分岐設定'!B37,ROUNDUP(R178/I178,0))&lt;='損益分岐設定'!C37,MAX('損益分岐設定'!B37,ROUNDUP(R178/I178,0)),1001))</x:f>
        <x:v>1001</x:v>
      </x:c>
      <x:c r="W178" s="1" t="n">
        <x:f>IF(I178&lt;=0,1001,IF(MAX('損益分岐設定'!B38,ROUNDUP(S178/I178,0))&lt;='損益分岐設定'!C38,MAX('損益分岐設定'!B38,ROUNDUP(S178/I178,0)),1001))</x:f>
        <x:v>44</x:v>
      </x:c>
      <x:c r="X178" s="1" t="n">
        <x:f>IF(I178&lt;=0,1001,IF(MAX('損益分岐設定'!B39,ROUNDUP(T178/I178,0))&lt;='損益分岐設定'!C39,MAX('損益分岐設定'!B39,ROUNDUP(T178/I178,0)),1001))</x:f>
        <x:v>101</x:v>
      </x:c>
      <x:c r="Y178" s="1" t="n">
        <x:f>IF(I178&lt;=0,1001,IF(MAX('損益分岐設定'!B40,ROUNDUP(U178/I178,0))&lt;='損益分岐設定'!C40,MAX('損益分岐設定'!B40,ROUNDUP(U178/I178,0)),1001))</x:f>
        <x:v>501</x:v>
      </x:c>
      <x:c r="Z178" s="1" t="n">
        <x:f>IF(I178&lt;=0,'損益分岐設定'!C37,IF('損益分岐設定'!C37*I178-R178&lt;0,'損益分岐設定'!C37,IF('損益分岐設定'!B37*I178-R178&gt;=0,0,ROUNDUP(R178/I178,0)-1)))</x:f>
        <x:v>10</x:v>
      </x:c>
      <x:c r="AA178" s="1" t="n">
        <x:f>IF(I178&lt;=0,'損益分岐設定'!C38,IF('損益分岐設定'!C38*I178-S178&lt;0,'損益分岐設定'!C38,IF('損益分岐設定'!B38*I178-S178&gt;=0,0,ROUNDUP(S178/I178,0)-1)))</x:f>
        <x:v>43</x:v>
      </x:c>
      <x:c r="AB178" s="1" t="n">
        <x:f>IF(I178&lt;=0,'損益分岐設定'!C39,IF('損益分岐設定'!C39*I178-T178&lt;0,'損益分岐設定'!C39,IF('損益分岐設定'!B39*I178-T178&gt;=0,0,ROUNDUP(T178/I178,0)-1)))</x:f>
        <x:v>0</x:v>
      </x:c>
      <x:c r="AC178" s="1" t="n">
        <x:f>IF(I178&lt;=0,'損益分岐設定'!C40,IF('損益分岐設定'!C40*I178-U178&lt;0,'損益分岐設定'!C40,IF('損益分岐設定'!B40*I178-U178&gt;=0,0,ROUNDUP(U178/I178,0)-1)))</x:f>
        <x:v>0</x:v>
      </x:c>
      <x:c r="AD178" s="1" t="n">
        <x:v>1</x:v>
      </x:c>
      <x:c r="AE178" s="1" t="n">
        <x:v>0</x:v>
      </x:c>
      <x:c r="AF178" s="1" t="n">
        <x:v>0</x:v>
      </x:c>
      <x:c r="AG178" s="1" t="n">
        <x:f>AD178*'損益分岐設定'!$C$57+AE178*'損益分岐設定'!$C$60+AF178*'損益分岐設定'!$C$63</x:f>
        <x:v>147.89614318847657</x:v>
      </x:c>
      <x:c r="AH178" s="1" t="n">
        <x:f>AD178*'損益分岐設定'!$D$57+AE178*'損益分岐設定'!$D$60+AF178*'損益分岐設定'!$D$63</x:f>
        <x:v>30</x:v>
      </x:c>
      <x:c r="AI178" s="1" t="n">
        <x:f>AD178*'損益分岐設定'!$E$57+AE178*'損益分岐設定'!$E$60+AF178*'損益分岐設定'!$E$63</x:f>
        <x:v>30</x:v>
      </x:c>
      <x:c r="AJ178" s="1" t="n">
        <x:f>(AD178*'損益分岐設定'!$F$57+AE178*'損益分岐設定'!$F$60+AF178*'損益分岐設定'!$F$63*1)*'損益分岐設定'!$B$22</x:f>
        <x:v>120</x:v>
      </x:c>
      <x:c r="AK178" s="1" t="n">
        <x:f>AD178*'損益分岐設定'!$G$57+AE178*'損益分岐設定'!$G$60+AF178*'損益分岐設定'!$G$63</x:f>
        <x:v>200</x:v>
      </x:c>
      <x:c r="AL178" s="1" t="n">
        <x:f>AD178*'損益分岐設定'!$H$57+AE178*'損益分岐設定'!$H$60+AF178*'損益分岐設定'!$H$63</x:f>
        <x:v>566.6666666666666</x:v>
      </x:c>
      <x:c r="AM178" s="1" t="n">
        <x:f>MAX(1,ROUNDUP('損益分岐設定'!C37*AJ178/('損益分岐設定'!$B$23*'損益分岐設定'!$B$24*3600*'損益分岐設定'!$B$25),0))</x:f>
        <x:v>1</x:v>
      </x:c>
      <x:c r="AN178" s="1" t="n">
        <x:f>MAX(2,ROUNDUP('損益分岐設定'!C38*AJ178/('損益分岐設定'!$B$23*'損益分岐設定'!$B$24*3600*'損益分岐設定'!$B$25),0))</x:f>
        <x:v>2</x:v>
      </x:c>
      <x:c r="AO178" s="1" t="n">
        <x:f>MAX(2,ROUNDUP('損益分岐設定'!C39*AJ178/('損益分岐設定'!$B$23*'損益分岐設定'!$B$24*3600*'損益分岐設定'!$B$25),0))</x:f>
        <x:v>2</x:v>
      </x:c>
      <x:c r="AP178" s="1" t="n">
        <x:f>MAX(2,ROUNDUP('損益分岐設定'!C40*AJ178/('損益分岐設定'!$B$23*'損益分岐設定'!$B$24*3600*'損益分岐設定'!$B$25),0))</x:f>
        <x:v>2</x:v>
      </x:c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 ht="23" customHeight="1">
      <x:c r="A179" s="1" t="str">
        <x:v>Hybrid</x:v>
      </x:c>
      <x:c r="B179" s="1" t="str">
        <x:v>Starter</x:v>
      </x:c>
      <x:c r="C179" s="1" t="str">
        <x:v>標準</x:v>
      </x:c>
      <x:c r="D179" s="21" t="n">
        <x:v>0.3</x:v>
      </x:c>
      <x:c r="E179" s="1" t="n">
        <x:v>0</x:v>
      </x:c>
      <x:c r="F179" s="7" t="n">
        <x:f>AD179*'損益分岐設定'!$B$5+AE179*'損益分岐設定'!$B$6+AF179*'損益分岐設定'!$B$7</x:f>
        <x:v>3000</x:v>
      </x:c>
      <x:c r="G179" s="7" t="n">
        <x:f>AG179+(AH179+AI179)*('損益分岐設定'!$B$29+0.5*'損益分岐設定'!$B$30)+AK179*'損益分岐設定'!$B$33</x:f>
        <x:v>148.14341073865597</x:v>
      </x:c>
      <x:c r="H179" s="7" t="n">
        <x:f>AL179*E179</x:f>
        <x:v>0</x:v>
      </x:c>
      <x:c r="I179" s="7" t="n">
        <x:f>F179*(1-D179-'損益分岐設定'!$B$10)-G179-H179</x:f>
        <x:v>1843.8565892613437</x:v>
      </x:c>
      <x:c r="J179" s="1" t="n">
        <x:f>IF(MIN(V179:Y179)&gt;1000,"範囲内なし",MIN(V179:Y179))</x:f>
        <x:v>28</x:v>
      </x:c>
      <x:c r="K179" s="1" t="n">
        <x:f>IF(MAX(Z179:AC179)&gt;=1000,"範囲内なし",MAX(1,MAX(Z179:AC179)+1))</x:f>
        <x:v>28</x:v>
      </x:c>
      <x:c r="L179" s="7" t="n">
        <x:f>10*I179-R179</x:f>
        <x:v>-17001.23079769188</x:v>
      </x:c>
      <x:c r="M179" s="7" t="n">
        <x:f>30*I179-S179</x:f>
        <x:v>4936.104297229678</x:v>
      </x:c>
      <x:c r="N179" s="7" t="n">
        <x:f>50*I179-S179</x:f>
        <x:v>41813.236082456555</x:v>
      </x:c>
      <x:c r="O179" s="7" t="n">
        <x:f>100*I179-S179</x:f>
        <x:v>134006.06554552374</x:v>
      </x:c>
      <x:c r="P179" s="7" t="n">
        <x:f>300*I179-T179</x:f>
        <x:v>480777.3833977925</x:v>
      </x:c>
      <x:c r="Q179" s="7" t="n">
        <x:f>1000*I179-U179</x:f>
        <x:v>1741476.995880733</x:v>
      </x:c>
      <x:c r="R179" s="7" t="n">
        <x:f>'損益分岐設定'!$B$18+'損益分岐設定'!$B$19+'損益分岐設定'!$B$20+'損益分岐設定'!E37+'損益分岐設定'!D37+AM179*('損益分岐設定'!$B$15+'損益分岐設定'!$B$16)+'損益分岐設定'!$B$17+E179*('損益分岐設定'!$B$13+(AM179-1)*'損益分岐設定'!$B$14)*'損益分岐設定'!$B$11</x:f>
        <x:v>35439.79669030532</x:v>
      </x:c>
      <x:c r="S179" s="7" t="n">
        <x:f>'損益分岐設定'!$B$18+'損益分岐設定'!$B$19+'損益分岐設定'!$B$20+'損益分岐設定'!E38+'損益分岐設定'!D38+AN179*('損益分岐設定'!$B$15+'損益分岐設定'!$B$16)+'損益分岐設定'!$B$17+E179*('損益分岐設定'!$B$13+(AN179-1)*'損益分岐設定'!$B$14)*'損益分岐設定'!$B$11</x:f>
        <x:v>50379.59338061063</x:v>
      </x:c>
      <x:c r="T179" s="7" t="n">
        <x:f>'損益分岐設定'!$B$18+'損益分岐設定'!$B$19+'損益分岐設定'!$B$20+'損益分岐設定'!E39+'損益分岐設定'!D39+AO179*('損益分岐設定'!$B$15+'損益分岐設定'!$B$16)+'損益分岐設定'!$B$17+E179*('損益分岐設定'!$B$13+(AO179-1)*'損益分岐設定'!$B$14)*'損益分岐設定'!$B$11</x:f>
        <x:v>72379.59338061063</x:v>
      </x:c>
      <x:c r="U179" s="7" t="n">
        <x:f>'損益分岐設定'!$B$18+'損益分岐設定'!$B$19+'損益分岐設定'!$B$20+'損益分岐設定'!E40+'損益分岐設定'!D40+AP179*('損益分岐設定'!$B$15+'損益分岐設定'!$B$16)+'損益分岐設定'!$B$17+E179*('損益分岐設定'!$B$13+(AP179-1)*'損益分岐設定'!$B$14)*'損益分岐設定'!$B$11</x:f>
        <x:v>102379.59338061063</x:v>
      </x:c>
      <x:c r="V179" s="1" t="n">
        <x:f>IF(I179&lt;=0,1001,IF(MAX('損益分岐設定'!B37,ROUNDUP(R179/I179,0))&lt;='損益分岐設定'!C37,MAX('損益分岐設定'!B37,ROUNDUP(R179/I179,0)),1001))</x:f>
        <x:v>1001</x:v>
      </x:c>
      <x:c r="W179" s="1" t="n">
        <x:f>IF(I179&lt;=0,1001,IF(MAX('損益分岐設定'!B38,ROUNDUP(S179/I179,0))&lt;='損益分岐設定'!C38,MAX('損益分岐設定'!B38,ROUNDUP(S179/I179,0)),1001))</x:f>
        <x:v>28</x:v>
      </x:c>
      <x:c r="X179" s="1" t="n">
        <x:f>IF(I179&lt;=0,1001,IF(MAX('損益分岐設定'!B39,ROUNDUP(T179/I179,0))&lt;='損益分岐設定'!C39,MAX('損益分岐設定'!B39,ROUNDUP(T179/I179,0)),1001))</x:f>
        <x:v>101</x:v>
      </x:c>
      <x:c r="Y179" s="1" t="n">
        <x:f>IF(I179&lt;=0,1001,IF(MAX('損益分岐設定'!B40,ROUNDUP(U179/I179,0))&lt;='損益分岐設定'!C40,MAX('損益分岐設定'!B40,ROUNDUP(U179/I179,0)),1001))</x:f>
        <x:v>501</x:v>
      </x:c>
      <x:c r="Z179" s="1" t="n">
        <x:f>IF(I179&lt;=0,'損益分岐設定'!C37,IF('損益分岐設定'!C37*I179-R179&lt;0,'損益分岐設定'!C37,IF('損益分岐設定'!B37*I179-R179&gt;=0,0,ROUNDUP(R179/I179,0)-1)))</x:f>
        <x:v>10</x:v>
      </x:c>
      <x:c r="AA179" s="1" t="n">
        <x:f>IF(I179&lt;=0,'損益分岐設定'!C38,IF('損益分岐設定'!C38*I179-S179&lt;0,'損益分岐設定'!C38,IF('損益分岐設定'!B38*I179-S179&gt;=0,0,ROUNDUP(S179/I179,0)-1)))</x:f>
        <x:v>27</x:v>
      </x:c>
      <x:c r="AB179" s="1" t="n">
        <x:f>IF(I179&lt;=0,'損益分岐設定'!C39,IF('損益分岐設定'!C39*I179-T179&lt;0,'損益分岐設定'!C39,IF('損益分岐設定'!B39*I179-T179&gt;=0,0,ROUNDUP(T179/I179,0)-1)))</x:f>
        <x:v>0</x:v>
      </x:c>
      <x:c r="AC179" s="1" t="n">
        <x:f>IF(I179&lt;=0,'損益分岐設定'!C40,IF('損益分岐設定'!C40*I179-U179&lt;0,'損益分岐設定'!C40,IF('損益分岐設定'!B40*I179-U179&gt;=0,0,ROUNDUP(U179/I179,0)-1)))</x:f>
        <x:v>0</x:v>
      </x:c>
      <x:c r="AD179" s="1" t="n">
        <x:v>1</x:v>
      </x:c>
      <x:c r="AE179" s="1" t="n">
        <x:v>0</x:v>
      </x:c>
      <x:c r="AF179" s="1" t="n">
        <x:v>0</x:v>
      </x:c>
      <x:c r="AG179" s="1" t="n">
        <x:f>AD179*'損益分岐設定'!$C$57+AE179*'損益分岐設定'!$C$60+AF179*'損益分岐設定'!$C$63</x:f>
        <x:v>147.89614318847657</x:v>
      </x:c>
      <x:c r="AH179" s="1" t="n">
        <x:f>AD179*'損益分岐設定'!$D$57+AE179*'損益分岐設定'!$D$60+AF179*'損益分岐設定'!$D$63</x:f>
        <x:v>30</x:v>
      </x:c>
      <x:c r="AI179" s="1" t="n">
        <x:f>AD179*'損益分岐設定'!$E$57+AE179*'損益分岐設定'!$E$60+AF179*'損益分岐設定'!$E$63</x:f>
        <x:v>30</x:v>
      </x:c>
      <x:c r="AJ179" s="1" t="n">
        <x:f>(AD179*'損益分岐設定'!$F$57+AE179*'損益分岐設定'!$F$60+AF179*'損益分岐設定'!$F$63*1)*'損益分岐設定'!$B$22</x:f>
        <x:v>120</x:v>
      </x:c>
      <x:c r="AK179" s="1" t="n">
        <x:f>AD179*'損益分岐設定'!$G$57+AE179*'損益分岐設定'!$G$60+AF179*'損益分岐設定'!$G$63</x:f>
        <x:v>200</x:v>
      </x:c>
      <x:c r="AL179" s="1" t="n">
        <x:f>AD179*'損益分岐設定'!$H$57+AE179*'損益分岐設定'!$H$60+AF179*'損益分岐設定'!$H$63</x:f>
        <x:v>566.6666666666666</x:v>
      </x:c>
      <x:c r="AM179" s="1" t="n">
        <x:f>MAX(1,ROUNDUP('損益分岐設定'!C37*AJ179/('損益分岐設定'!$B$23*'損益分岐設定'!$B$24*3600*'損益分岐設定'!$B$25),0))</x:f>
        <x:v>1</x:v>
      </x:c>
      <x:c r="AN179" s="1" t="n">
        <x:f>MAX(2,ROUNDUP('損益分岐設定'!C38*AJ179/('損益分岐設定'!$B$23*'損益分岐設定'!$B$24*3600*'損益分岐設定'!$B$25),0))</x:f>
        <x:v>2</x:v>
      </x:c>
      <x:c r="AO179" s="1" t="n">
        <x:f>MAX(2,ROUNDUP('損益分岐設定'!C39*AJ179/('損益分岐設定'!$B$23*'損益分岐設定'!$B$24*3600*'損益分岐設定'!$B$25),0))</x:f>
        <x:v>2</x:v>
      </x:c>
      <x:c r="AP179" s="1" t="n">
        <x:f>MAX(2,ROUNDUP('損益分岐設定'!C40*AJ179/('損益分岐設定'!$B$23*'損益分岐設定'!$B$24*3600*'損益分岐設定'!$B$25),0))</x:f>
        <x:v>2</x:v>
      </x:c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 ht="23" customHeight="1">
      <x:c r="A180" s="1" t="str">
        <x:v>Hybrid</x:v>
      </x:c>
      <x:c r="B180" s="1" t="str">
        <x:v>Starter</x:v>
      </x:c>
      <x:c r="C180" s="1" t="str">
        <x:v>標準</x:v>
      </x:c>
      <x:c r="D180" s="21" t="n">
        <x:v>0.3</x:v>
      </x:c>
      <x:c r="E180" s="1" t="n">
        <x:v>1</x:v>
      </x:c>
      <x:c r="F180" s="7" t="n">
        <x:f>AD180*'損益分岐設定'!$B$5+AE180*'損益分岐設定'!$B$6+AF180*'損益分岐設定'!$B$7</x:f>
        <x:v>3000</x:v>
      </x:c>
      <x:c r="G180" s="7" t="n">
        <x:f>AG180+(AH180+AI180)*('損益分岐設定'!$B$29+0.5*'損益分岐設定'!$B$30)+AK180*'損益分岐設定'!$B$33</x:f>
        <x:v>148.14341073865597</x:v>
      </x:c>
      <x:c r="H180" s="7" t="n">
        <x:f>AL180*E180</x:f>
        <x:v>566.6666666666666</x:v>
      </x:c>
      <x:c r="I180" s="7" t="n">
        <x:f>F180*(1-D180-'損益分岐設定'!$B$10)-G180-H180</x:f>
        <x:v>1277.1899225946772</x:v>
      </x:c>
      <x:c r="J180" s="1" t="n">
        <x:f>IF(MIN(V180:Y180)&gt;1000,"範囲内なし",MIN(V180:Y180))</x:f>
        <x:v>54</x:v>
      </x:c>
      <x:c r="K180" s="1" t="n">
        <x:f>IF(MAX(Z180:AC180)&gt;=1000,"範囲内なし",MAX(1,MAX(Z180:AC180)+1))</x:f>
        <x:v>54</x:v>
      </x:c>
      <x:c r="L180" s="7" t="n">
        <x:f>10*I180-R180</x:f>
        <x:v>-38667.897464358546</x:v>
      </x:c>
      <x:c r="M180" s="7" t="n">
        <x:f>30*I180-S180</x:f>
        <x:v>-30063.895702770315</x:v>
      </x:c>
      <x:c r="N180" s="7" t="n">
        <x:f>50*I180-S180</x:f>
        <x:v>-4520.097250876774</x:v>
      </x:c>
      <x:c r="O180" s="7" t="n">
        <x:f>100*I180-S180</x:f>
        <x:v>59339.398878857086</x:v>
      </x:c>
      <x:c r="P180" s="7" t="n">
        <x:f>300*I180-T180</x:f>
        <x:v>292777.3833977925</x:v>
      </x:c>
      <x:c r="Q180" s="7" t="n">
        <x:f>1000*I180-U180</x:f>
        <x:v>1156810.3292140665</x:v>
      </x:c>
      <x:c r="R180" s="7" t="n">
        <x:f>'損益分岐設定'!$B$18+'損益分岐設定'!$B$19+'損益分岐設定'!$B$20+'損益分岐設定'!E37+'損益分岐設定'!D37+AM180*('損益分岐設定'!$B$15+'損益分岐設定'!$B$16)+'損益分岐設定'!$B$17+E180*('損益分岐設定'!$B$13+(AM180-1)*'損益分岐設定'!$B$14)*'損益分岐設定'!$B$11</x:f>
        <x:v>51439.79669030532</x:v>
      </x:c>
      <x:c r="S180" s="7" t="n">
        <x:f>'損益分岐設定'!$B$18+'損益分岐設定'!$B$19+'損益分岐設定'!$B$20+'損益分岐設定'!E38+'損益分岐設定'!D38+AN180*('損益分岐設定'!$B$15+'損益分岐設定'!$B$16)+'損益分岐設定'!$B$17+E180*('損益分岐設定'!$B$13+(AN180-1)*'損益分岐設定'!$B$14)*'損益分岐設定'!$B$11</x:f>
        <x:v>68379.59338061063</x:v>
      </x:c>
      <x:c r="T180" s="7" t="n">
        <x:f>'損益分岐設定'!$B$18+'損益分岐設定'!$B$19+'損益分岐設定'!$B$20+'損益分岐設定'!E39+'損益分岐設定'!D39+AO180*('損益分岐設定'!$B$15+'損益分岐設定'!$B$16)+'損益分岐設定'!$B$17+E180*('損益分岐設定'!$B$13+(AO180-1)*'損益分岐設定'!$B$14)*'損益分岐設定'!$B$11</x:f>
        <x:v>90379.59338061063</x:v>
      </x:c>
      <x:c r="U180" s="7" t="n">
        <x:f>'損益分岐設定'!$B$18+'損益分岐設定'!$B$19+'損益分岐設定'!$B$20+'損益分岐設定'!E40+'損益分岐設定'!D40+AP180*('損益分岐設定'!$B$15+'損益分岐設定'!$B$16)+'損益分岐設定'!$B$17+E180*('損益分岐設定'!$B$13+(AP180-1)*'損益分岐設定'!$B$14)*'損益分岐設定'!$B$11</x:f>
        <x:v>120379.59338061063</x:v>
      </x:c>
      <x:c r="V180" s="1" t="n">
        <x:f>IF(I180&lt;=0,1001,IF(MAX('損益分岐設定'!B37,ROUNDUP(R180/I180,0))&lt;='損益分岐設定'!C37,MAX('損益分岐設定'!B37,ROUNDUP(R180/I180,0)),1001))</x:f>
        <x:v>1001</x:v>
      </x:c>
      <x:c r="W180" s="1" t="n">
        <x:f>IF(I180&lt;=0,1001,IF(MAX('損益分岐設定'!B38,ROUNDUP(S180/I180,0))&lt;='損益分岐設定'!C38,MAX('損益分岐設定'!B38,ROUNDUP(S180/I180,0)),1001))</x:f>
        <x:v>54</x:v>
      </x:c>
      <x:c r="X180" s="1" t="n">
        <x:f>IF(I180&lt;=0,1001,IF(MAX('損益分岐設定'!B39,ROUNDUP(T180/I180,0))&lt;='損益分岐設定'!C39,MAX('損益分岐設定'!B39,ROUNDUP(T180/I180,0)),1001))</x:f>
        <x:v>101</x:v>
      </x:c>
      <x:c r="Y180" s="1" t="n">
        <x:f>IF(I180&lt;=0,1001,IF(MAX('損益分岐設定'!B40,ROUNDUP(U180/I180,0))&lt;='損益分岐設定'!C40,MAX('損益分岐設定'!B40,ROUNDUP(U180/I180,0)),1001))</x:f>
        <x:v>501</x:v>
      </x:c>
      <x:c r="Z180" s="1" t="n">
        <x:f>IF(I180&lt;=0,'損益分岐設定'!C37,IF('損益分岐設定'!C37*I180-R180&lt;0,'損益分岐設定'!C37,IF('損益分岐設定'!B37*I180-R180&gt;=0,0,ROUNDUP(R180/I180,0)-1)))</x:f>
        <x:v>10</x:v>
      </x:c>
      <x:c r="AA180" s="1" t="n">
        <x:f>IF(I180&lt;=0,'損益分岐設定'!C38,IF('損益分岐設定'!C38*I180-S180&lt;0,'損益分岐設定'!C38,IF('損益分岐設定'!B38*I180-S180&gt;=0,0,ROUNDUP(S180/I180,0)-1)))</x:f>
        <x:v>53</x:v>
      </x:c>
      <x:c r="AB180" s="1" t="n">
        <x:f>IF(I180&lt;=0,'損益分岐設定'!C39,IF('損益分岐設定'!C39*I180-T180&lt;0,'損益分岐設定'!C39,IF('損益分岐設定'!B39*I180-T180&gt;=0,0,ROUNDUP(T180/I180,0)-1)))</x:f>
        <x:v>0</x:v>
      </x:c>
      <x:c r="AC180" s="1" t="n">
        <x:f>IF(I180&lt;=0,'損益分岐設定'!C40,IF('損益分岐設定'!C40*I180-U180&lt;0,'損益分岐設定'!C40,IF('損益分岐設定'!B40*I180-U180&gt;=0,0,ROUNDUP(U180/I180,0)-1)))</x:f>
        <x:v>0</x:v>
      </x:c>
      <x:c r="AD180" s="1" t="n">
        <x:v>1</x:v>
      </x:c>
      <x:c r="AE180" s="1" t="n">
        <x:v>0</x:v>
      </x:c>
      <x:c r="AF180" s="1" t="n">
        <x:v>0</x:v>
      </x:c>
      <x:c r="AG180" s="1" t="n">
        <x:f>AD180*'損益分岐設定'!$C$57+AE180*'損益分岐設定'!$C$60+AF180*'損益分岐設定'!$C$63</x:f>
        <x:v>147.89614318847657</x:v>
      </x:c>
      <x:c r="AH180" s="1" t="n">
        <x:f>AD180*'損益分岐設定'!$D$57+AE180*'損益分岐設定'!$D$60+AF180*'損益分岐設定'!$D$63</x:f>
        <x:v>30</x:v>
      </x:c>
      <x:c r="AI180" s="1" t="n">
        <x:f>AD180*'損益分岐設定'!$E$57+AE180*'損益分岐設定'!$E$60+AF180*'損益分岐設定'!$E$63</x:f>
        <x:v>30</x:v>
      </x:c>
      <x:c r="AJ180" s="1" t="n">
        <x:f>(AD180*'損益分岐設定'!$F$57+AE180*'損益分岐設定'!$F$60+AF180*'損益分岐設定'!$F$63*1)*'損益分岐設定'!$B$22</x:f>
        <x:v>120</x:v>
      </x:c>
      <x:c r="AK180" s="1" t="n">
        <x:f>AD180*'損益分岐設定'!$G$57+AE180*'損益分岐設定'!$G$60+AF180*'損益分岐設定'!$G$63</x:f>
        <x:v>200</x:v>
      </x:c>
      <x:c r="AL180" s="1" t="n">
        <x:f>AD180*'損益分岐設定'!$H$57+AE180*'損益分岐設定'!$H$60+AF180*'損益分岐設定'!$H$63</x:f>
        <x:v>566.6666666666666</x:v>
      </x:c>
      <x:c r="AM180" s="1" t="n">
        <x:f>MAX(1,ROUNDUP('損益分岐設定'!C37*AJ180/('損益分岐設定'!$B$23*'損益分岐設定'!$B$24*3600*'損益分岐設定'!$B$25),0))</x:f>
        <x:v>1</x:v>
      </x:c>
      <x:c r="AN180" s="1" t="n">
        <x:f>MAX(2,ROUNDUP('損益分岐設定'!C38*AJ180/('損益分岐設定'!$B$23*'損益分岐設定'!$B$24*3600*'損益分岐設定'!$B$25),0))</x:f>
        <x:v>2</x:v>
      </x:c>
      <x:c r="AO180" s="1" t="n">
        <x:f>MAX(2,ROUNDUP('損益分岐設定'!C39*AJ180/('損益分岐設定'!$B$23*'損益分岐設定'!$B$24*3600*'損益分岐設定'!$B$25),0))</x:f>
        <x:v>2</x:v>
      </x:c>
      <x:c r="AP180" s="1" t="n">
        <x:f>MAX(2,ROUNDUP('損益分岐設定'!C40*AJ180/('損益分岐設定'!$B$23*'損益分岐設定'!$B$24*3600*'損益分岐設定'!$B$25),0))</x:f>
        <x:v>2</x:v>
      </x:c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 ht="23" customHeight="1">
      <x:c r="A181" s="1" t="str">
        <x:v>Hybrid</x:v>
      </x:c>
      <x:c r="B181" s="1" t="str">
        <x:v>Starter</x:v>
      </x:c>
      <x:c r="C181" s="1" t="str">
        <x:v>標準</x:v>
      </x:c>
      <x:c r="D181" s="21" t="n">
        <x:v>0.4</x:v>
      </x:c>
      <x:c r="E181" s="1" t="n">
        <x:v>0</x:v>
      </x:c>
      <x:c r="F181" s="7" t="n">
        <x:f>AD181*'損益分岐設定'!$B$5+AE181*'損益分岐設定'!$B$6+AF181*'損益分岐設定'!$B$7</x:f>
        <x:v>3000</x:v>
      </x:c>
      <x:c r="G181" s="7" t="n">
        <x:f>AG181+(AH181+AI181)*('損益分岐設定'!$B$29+0.5*'損益分岐設定'!$B$30)+AK181*'損益分岐設定'!$B$33</x:f>
        <x:v>148.14341073865597</x:v>
      </x:c>
      <x:c r="H181" s="7" t="n">
        <x:f>AL181*E181</x:f>
        <x:v>0</x:v>
      </x:c>
      <x:c r="I181" s="7" t="n">
        <x:f>F181*(1-D181-'損益分岐設定'!$B$10)-G181-H181</x:f>
        <x:v>1543.8565892613437</x:v>
      </x:c>
      <x:c r="J181" s="1" t="n">
        <x:f>IF(MIN(V181:Y181)&gt;1000,"範囲内なし",MIN(V181:Y181))</x:f>
        <x:v>33</x:v>
      </x:c>
      <x:c r="K181" s="1" t="n">
        <x:f>IF(MAX(Z181:AC181)&gt;=1000,"範囲内なし",MAX(1,MAX(Z181:AC181)+1))</x:f>
        <x:v>33</x:v>
      </x:c>
      <x:c r="L181" s="7" t="n">
        <x:f>10*I181-R181</x:f>
        <x:v>-20001.23079769188</x:v>
      </x:c>
      <x:c r="M181" s="7" t="n">
        <x:f>30*I181-S181</x:f>
        <x:v>-4063.895702770322</x:v>
      </x:c>
      <x:c r="N181" s="7" t="n">
        <x:f>50*I181-S181</x:f>
        <x:v>26813.236082456555</x:v>
      </x:c>
      <x:c r="O181" s="7" t="n">
        <x:f>100*I181-S181</x:f>
        <x:v>104006.06554552374</x:v>
      </x:c>
      <x:c r="P181" s="7" t="n">
        <x:f>300*I181-T181</x:f>
        <x:v>390777.38339779247</x:v>
      </x:c>
      <x:c r="Q181" s="7" t="n">
        <x:f>1000*I181-U181</x:f>
        <x:v>1441476.995880733</x:v>
      </x:c>
      <x:c r="R181" s="7" t="n">
        <x:f>'損益分岐設定'!$B$18+'損益分岐設定'!$B$19+'損益分岐設定'!$B$20+'損益分岐設定'!E37+'損益分岐設定'!D37+AM181*('損益分岐設定'!$B$15+'損益分岐設定'!$B$16)+'損益分岐設定'!$B$17+E181*('損益分岐設定'!$B$13+(AM181-1)*'損益分岐設定'!$B$14)*'損益分岐設定'!$B$11</x:f>
        <x:v>35439.79669030532</x:v>
      </x:c>
      <x:c r="S181" s="7" t="n">
        <x:f>'損益分岐設定'!$B$18+'損益分岐設定'!$B$19+'損益分岐設定'!$B$20+'損益分岐設定'!E38+'損益分岐設定'!D38+AN181*('損益分岐設定'!$B$15+'損益分岐設定'!$B$16)+'損益分岐設定'!$B$17+E181*('損益分岐設定'!$B$13+(AN181-1)*'損益分岐設定'!$B$14)*'損益分岐設定'!$B$11</x:f>
        <x:v>50379.59338061063</x:v>
      </x:c>
      <x:c r="T181" s="7" t="n">
        <x:f>'損益分岐設定'!$B$18+'損益分岐設定'!$B$19+'損益分岐設定'!$B$20+'損益分岐設定'!E39+'損益分岐設定'!D39+AO181*('損益分岐設定'!$B$15+'損益分岐設定'!$B$16)+'損益分岐設定'!$B$17+E181*('損益分岐設定'!$B$13+(AO181-1)*'損益分岐設定'!$B$14)*'損益分岐設定'!$B$11</x:f>
        <x:v>72379.59338061063</x:v>
      </x:c>
      <x:c r="U181" s="7" t="n">
        <x:f>'損益分岐設定'!$B$18+'損益分岐設定'!$B$19+'損益分岐設定'!$B$20+'損益分岐設定'!E40+'損益分岐設定'!D40+AP181*('損益分岐設定'!$B$15+'損益分岐設定'!$B$16)+'損益分岐設定'!$B$17+E181*('損益分岐設定'!$B$13+(AP181-1)*'損益分岐設定'!$B$14)*'損益分岐設定'!$B$11</x:f>
        <x:v>102379.59338061063</x:v>
      </x:c>
      <x:c r="V181" s="1" t="n">
        <x:f>IF(I181&lt;=0,1001,IF(MAX('損益分岐設定'!B37,ROUNDUP(R181/I181,0))&lt;='損益分岐設定'!C37,MAX('損益分岐設定'!B37,ROUNDUP(R181/I181,0)),1001))</x:f>
        <x:v>1001</x:v>
      </x:c>
      <x:c r="W181" s="1" t="n">
        <x:f>IF(I181&lt;=0,1001,IF(MAX('損益分岐設定'!B38,ROUNDUP(S181/I181,0))&lt;='損益分岐設定'!C38,MAX('損益分岐設定'!B38,ROUNDUP(S181/I181,0)),1001))</x:f>
        <x:v>33</x:v>
      </x:c>
      <x:c r="X181" s="1" t="n">
        <x:f>IF(I181&lt;=0,1001,IF(MAX('損益分岐設定'!B39,ROUNDUP(T181/I181,0))&lt;='損益分岐設定'!C39,MAX('損益分岐設定'!B39,ROUNDUP(T181/I181,0)),1001))</x:f>
        <x:v>101</x:v>
      </x:c>
      <x:c r="Y181" s="1" t="n">
        <x:f>IF(I181&lt;=0,1001,IF(MAX('損益分岐設定'!B40,ROUNDUP(U181/I181,0))&lt;='損益分岐設定'!C40,MAX('損益分岐設定'!B40,ROUNDUP(U181/I181,0)),1001))</x:f>
        <x:v>501</x:v>
      </x:c>
      <x:c r="Z181" s="1" t="n">
        <x:f>IF(I181&lt;=0,'損益分岐設定'!C37,IF('損益分岐設定'!C37*I181-R181&lt;0,'損益分岐設定'!C37,IF('損益分岐設定'!B37*I181-R181&gt;=0,0,ROUNDUP(R181/I181,0)-1)))</x:f>
        <x:v>10</x:v>
      </x:c>
      <x:c r="AA181" s="1" t="n">
        <x:f>IF(I181&lt;=0,'損益分岐設定'!C38,IF('損益分岐設定'!C38*I181-S181&lt;0,'損益分岐設定'!C38,IF('損益分岐設定'!B38*I181-S181&gt;=0,0,ROUNDUP(S181/I181,0)-1)))</x:f>
        <x:v>32</x:v>
      </x:c>
      <x:c r="AB181" s="1" t="n">
        <x:f>IF(I181&lt;=0,'損益分岐設定'!C39,IF('損益分岐設定'!C39*I181-T181&lt;0,'損益分岐設定'!C39,IF('損益分岐設定'!B39*I181-T181&gt;=0,0,ROUNDUP(T181/I181,0)-1)))</x:f>
        <x:v>0</x:v>
      </x:c>
      <x:c r="AC181" s="1" t="n">
        <x:f>IF(I181&lt;=0,'損益分岐設定'!C40,IF('損益分岐設定'!C40*I181-U181&lt;0,'損益分岐設定'!C40,IF('損益分岐設定'!B40*I181-U181&gt;=0,0,ROUNDUP(U181/I181,0)-1)))</x:f>
        <x:v>0</x:v>
      </x:c>
      <x:c r="AD181" s="1" t="n">
        <x:v>1</x:v>
      </x:c>
      <x:c r="AE181" s="1" t="n">
        <x:v>0</x:v>
      </x:c>
      <x:c r="AF181" s="1" t="n">
        <x:v>0</x:v>
      </x:c>
      <x:c r="AG181" s="1" t="n">
        <x:f>AD181*'損益分岐設定'!$C$57+AE181*'損益分岐設定'!$C$60+AF181*'損益分岐設定'!$C$63</x:f>
        <x:v>147.89614318847657</x:v>
      </x:c>
      <x:c r="AH181" s="1" t="n">
        <x:f>AD181*'損益分岐設定'!$D$57+AE181*'損益分岐設定'!$D$60+AF181*'損益分岐設定'!$D$63</x:f>
        <x:v>30</x:v>
      </x:c>
      <x:c r="AI181" s="1" t="n">
        <x:f>AD181*'損益分岐設定'!$E$57+AE181*'損益分岐設定'!$E$60+AF181*'損益分岐設定'!$E$63</x:f>
        <x:v>30</x:v>
      </x:c>
      <x:c r="AJ181" s="1" t="n">
        <x:f>(AD181*'損益分岐設定'!$F$57+AE181*'損益分岐設定'!$F$60+AF181*'損益分岐設定'!$F$63*1)*'損益分岐設定'!$B$22</x:f>
        <x:v>120</x:v>
      </x:c>
      <x:c r="AK181" s="1" t="n">
        <x:f>AD181*'損益分岐設定'!$G$57+AE181*'損益分岐設定'!$G$60+AF181*'損益分岐設定'!$G$63</x:f>
        <x:v>200</x:v>
      </x:c>
      <x:c r="AL181" s="1" t="n">
        <x:f>AD181*'損益分岐設定'!$H$57+AE181*'損益分岐設定'!$H$60+AF181*'損益分岐設定'!$H$63</x:f>
        <x:v>566.6666666666666</x:v>
      </x:c>
      <x:c r="AM181" s="1" t="n">
        <x:f>MAX(1,ROUNDUP('損益分岐設定'!C37*AJ181/('損益分岐設定'!$B$23*'損益分岐設定'!$B$24*3600*'損益分岐設定'!$B$25),0))</x:f>
        <x:v>1</x:v>
      </x:c>
      <x:c r="AN181" s="1" t="n">
        <x:f>MAX(2,ROUNDUP('損益分岐設定'!C38*AJ181/('損益分岐設定'!$B$23*'損益分岐設定'!$B$24*3600*'損益分岐設定'!$B$25),0))</x:f>
        <x:v>2</x:v>
      </x:c>
      <x:c r="AO181" s="1" t="n">
        <x:f>MAX(2,ROUNDUP('損益分岐設定'!C39*AJ181/('損益分岐設定'!$B$23*'損益分岐設定'!$B$24*3600*'損益分岐設定'!$B$25),0))</x:f>
        <x:v>2</x:v>
      </x:c>
      <x:c r="AP181" s="1" t="n">
        <x:f>MAX(2,ROUNDUP('損益分岐設定'!C40*AJ181/('損益分岐設定'!$B$23*'損益分岐設定'!$B$24*3600*'損益分岐設定'!$B$25),0))</x:f>
        <x:v>2</x:v>
      </x:c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 ht="23" customHeight="1">
      <x:c r="A182" s="1" t="str">
        <x:v>Hybrid</x:v>
      </x:c>
      <x:c r="B182" s="1" t="str">
        <x:v>Starter</x:v>
      </x:c>
      <x:c r="C182" s="1" t="str">
        <x:v>標準</x:v>
      </x:c>
      <x:c r="D182" s="21" t="n">
        <x:v>0.4</x:v>
      </x:c>
      <x:c r="E182" s="1" t="n">
        <x:v>1</x:v>
      </x:c>
      <x:c r="F182" s="7" t="n">
        <x:f>AD182*'損益分岐設定'!$B$5+AE182*'損益分岐設定'!$B$6+AF182*'損益分岐設定'!$B$7</x:f>
        <x:v>3000</x:v>
      </x:c>
      <x:c r="G182" s="7" t="n">
        <x:f>AG182+(AH182+AI182)*('損益分岐設定'!$B$29+0.5*'損益分岐設定'!$B$30)+AK182*'損益分岐設定'!$B$33</x:f>
        <x:v>148.14341073865597</x:v>
      </x:c>
      <x:c r="H182" s="7" t="n">
        <x:f>AL182*E182</x:f>
        <x:v>566.6666666666666</x:v>
      </x:c>
      <x:c r="I182" s="7" t="n">
        <x:f>F182*(1-D182-'損益分岐設定'!$B$10)-G182-H182</x:f>
        <x:v>977.1899225946771</x:v>
      </x:c>
      <x:c r="J182" s="1" t="n">
        <x:f>IF(MIN(V182:Y182)&gt;1000,"範囲内なし",MIN(V182:Y182))</x:f>
        <x:v>70</x:v>
      </x:c>
      <x:c r="K182" s="1" t="n">
        <x:f>IF(MAX(Z182:AC182)&gt;=1000,"範囲内なし",MAX(1,MAX(Z182:AC182)+1))</x:f>
        <x:v>70</x:v>
      </x:c>
      <x:c r="L182" s="7" t="n">
        <x:f>10*I182-R182</x:f>
        <x:v>-41667.897464358546</x:v>
      </x:c>
      <x:c r="M182" s="7" t="n">
        <x:f>30*I182-S182</x:f>
        <x:v>-39063.895702770315</x:v>
      </x:c>
      <x:c r="N182" s="7" t="n">
        <x:f>50*I182-S182</x:f>
        <x:v>-19520.09725087678</x:v>
      </x:c>
      <x:c r="O182" s="7" t="n">
        <x:f>100*I182-S182</x:f>
        <x:v>29339.39887885707</x:v>
      </x:c>
      <x:c r="P182" s="7" t="n">
        <x:f>300*I182-T182</x:f>
        <x:v>202777.38339779252</x:v>
      </x:c>
      <x:c r="Q182" s="7" t="n">
        <x:f>1000*I182-U182</x:f>
        <x:v>856810.3292140665</x:v>
      </x:c>
      <x:c r="R182" s="7" t="n">
        <x:f>'損益分岐設定'!$B$18+'損益分岐設定'!$B$19+'損益分岐設定'!$B$20+'損益分岐設定'!E37+'損益分岐設定'!D37+AM182*('損益分岐設定'!$B$15+'損益分岐設定'!$B$16)+'損益分岐設定'!$B$17+E182*('損益分岐設定'!$B$13+(AM182-1)*'損益分岐設定'!$B$14)*'損益分岐設定'!$B$11</x:f>
        <x:v>51439.79669030532</x:v>
      </x:c>
      <x:c r="S182" s="7" t="n">
        <x:f>'損益分岐設定'!$B$18+'損益分岐設定'!$B$19+'損益分岐設定'!$B$20+'損益分岐設定'!E38+'損益分岐設定'!D38+AN182*('損益分岐設定'!$B$15+'損益分岐設定'!$B$16)+'損益分岐設定'!$B$17+E182*('損益分岐設定'!$B$13+(AN182-1)*'損益分岐設定'!$B$14)*'損益分岐設定'!$B$11</x:f>
        <x:v>68379.59338061063</x:v>
      </x:c>
      <x:c r="T182" s="7" t="n">
        <x:f>'損益分岐設定'!$B$18+'損益分岐設定'!$B$19+'損益分岐設定'!$B$20+'損益分岐設定'!E39+'損益分岐設定'!D39+AO182*('損益分岐設定'!$B$15+'損益分岐設定'!$B$16)+'損益分岐設定'!$B$17+E182*('損益分岐設定'!$B$13+(AO182-1)*'損益分岐設定'!$B$14)*'損益分岐設定'!$B$11</x:f>
        <x:v>90379.59338061063</x:v>
      </x:c>
      <x:c r="U182" s="7" t="n">
        <x:f>'損益分岐設定'!$B$18+'損益分岐設定'!$B$19+'損益分岐設定'!$B$20+'損益分岐設定'!E40+'損益分岐設定'!D40+AP182*('損益分岐設定'!$B$15+'損益分岐設定'!$B$16)+'損益分岐設定'!$B$17+E182*('損益分岐設定'!$B$13+(AP182-1)*'損益分岐設定'!$B$14)*'損益分岐設定'!$B$11</x:f>
        <x:v>120379.59338061063</x:v>
      </x:c>
      <x:c r="V182" s="1" t="n">
        <x:f>IF(I182&lt;=0,1001,IF(MAX('損益分岐設定'!B37,ROUNDUP(R182/I182,0))&lt;='損益分岐設定'!C37,MAX('損益分岐設定'!B37,ROUNDUP(R182/I182,0)),1001))</x:f>
        <x:v>1001</x:v>
      </x:c>
      <x:c r="W182" s="1" t="n">
        <x:f>IF(I182&lt;=0,1001,IF(MAX('損益分岐設定'!B38,ROUNDUP(S182/I182,0))&lt;='損益分岐設定'!C38,MAX('損益分岐設定'!B38,ROUNDUP(S182/I182,0)),1001))</x:f>
        <x:v>70</x:v>
      </x:c>
      <x:c r="X182" s="1" t="n">
        <x:f>IF(I182&lt;=0,1001,IF(MAX('損益分岐設定'!B39,ROUNDUP(T182/I182,0))&lt;='損益分岐設定'!C39,MAX('損益分岐設定'!B39,ROUNDUP(T182/I182,0)),1001))</x:f>
        <x:v>101</x:v>
      </x:c>
      <x:c r="Y182" s="1" t="n">
        <x:f>IF(I182&lt;=0,1001,IF(MAX('損益分岐設定'!B40,ROUNDUP(U182/I182,0))&lt;='損益分岐設定'!C40,MAX('損益分岐設定'!B40,ROUNDUP(U182/I182,0)),1001))</x:f>
        <x:v>501</x:v>
      </x:c>
      <x:c r="Z182" s="1" t="n">
        <x:f>IF(I182&lt;=0,'損益分岐設定'!C37,IF('損益分岐設定'!C37*I182-R182&lt;0,'損益分岐設定'!C37,IF('損益分岐設定'!B37*I182-R182&gt;=0,0,ROUNDUP(R182/I182,0)-1)))</x:f>
        <x:v>10</x:v>
      </x:c>
      <x:c r="AA182" s="1" t="n">
        <x:f>IF(I182&lt;=0,'損益分岐設定'!C38,IF('損益分岐設定'!C38*I182-S182&lt;0,'損益分岐設定'!C38,IF('損益分岐設定'!B38*I182-S182&gt;=0,0,ROUNDUP(S182/I182,0)-1)))</x:f>
        <x:v>69</x:v>
      </x:c>
      <x:c r="AB182" s="1" t="n">
        <x:f>IF(I182&lt;=0,'損益分岐設定'!C39,IF('損益分岐設定'!C39*I182-T182&lt;0,'損益分岐設定'!C39,IF('損益分岐設定'!B39*I182-T182&gt;=0,0,ROUNDUP(T182/I182,0)-1)))</x:f>
        <x:v>0</x:v>
      </x:c>
      <x:c r="AC182" s="1" t="n">
        <x:f>IF(I182&lt;=0,'損益分岐設定'!C40,IF('損益分岐設定'!C40*I182-U182&lt;0,'損益分岐設定'!C40,IF('損益分岐設定'!B40*I182-U182&gt;=0,0,ROUNDUP(U182/I182,0)-1)))</x:f>
        <x:v>0</x:v>
      </x:c>
      <x:c r="AD182" s="1" t="n">
        <x:v>1</x:v>
      </x:c>
      <x:c r="AE182" s="1" t="n">
        <x:v>0</x:v>
      </x:c>
      <x:c r="AF182" s="1" t="n">
        <x:v>0</x:v>
      </x:c>
      <x:c r="AG182" s="1" t="n">
        <x:f>AD182*'損益分岐設定'!$C$57+AE182*'損益分岐設定'!$C$60+AF182*'損益分岐設定'!$C$63</x:f>
        <x:v>147.89614318847657</x:v>
      </x:c>
      <x:c r="AH182" s="1" t="n">
        <x:f>AD182*'損益分岐設定'!$D$57+AE182*'損益分岐設定'!$D$60+AF182*'損益分岐設定'!$D$63</x:f>
        <x:v>30</x:v>
      </x:c>
      <x:c r="AI182" s="1" t="n">
        <x:f>AD182*'損益分岐設定'!$E$57+AE182*'損益分岐設定'!$E$60+AF182*'損益分岐設定'!$E$63</x:f>
        <x:v>30</x:v>
      </x:c>
      <x:c r="AJ182" s="1" t="n">
        <x:f>(AD182*'損益分岐設定'!$F$57+AE182*'損益分岐設定'!$F$60+AF182*'損益分岐設定'!$F$63*1)*'損益分岐設定'!$B$22</x:f>
        <x:v>120</x:v>
      </x:c>
      <x:c r="AK182" s="1" t="n">
        <x:f>AD182*'損益分岐設定'!$G$57+AE182*'損益分岐設定'!$G$60+AF182*'損益分岐設定'!$G$63</x:f>
        <x:v>200</x:v>
      </x:c>
      <x:c r="AL182" s="1" t="n">
        <x:f>AD182*'損益分岐設定'!$H$57+AE182*'損益分岐設定'!$H$60+AF182*'損益分岐設定'!$H$63</x:f>
        <x:v>566.6666666666666</x:v>
      </x:c>
      <x:c r="AM182" s="1" t="n">
        <x:f>MAX(1,ROUNDUP('損益分岐設定'!C37*AJ182/('損益分岐設定'!$B$23*'損益分岐設定'!$B$24*3600*'損益分岐設定'!$B$25),0))</x:f>
        <x:v>1</x:v>
      </x:c>
      <x:c r="AN182" s="1" t="n">
        <x:f>MAX(2,ROUNDUP('損益分岐設定'!C38*AJ182/('損益分岐設定'!$B$23*'損益分岐設定'!$B$24*3600*'損益分岐設定'!$B$25),0))</x:f>
        <x:v>2</x:v>
      </x:c>
      <x:c r="AO182" s="1" t="n">
        <x:f>MAX(2,ROUNDUP('損益分岐設定'!C39*AJ182/('損益分岐設定'!$B$23*'損益分岐設定'!$B$24*3600*'損益分岐設定'!$B$25),0))</x:f>
        <x:v>2</x:v>
      </x:c>
      <x:c r="AP182" s="1" t="n">
        <x:f>MAX(2,ROUNDUP('損益分岐設定'!C40*AJ182/('損益分岐設定'!$B$23*'損益分岐設定'!$B$24*3600*'損益分岐設定'!$B$25),0))</x:f>
        <x:v>2</x:v>
      </x:c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 ht="23" customHeight="1">
      <x:c r="A183" s="1" t="str">
        <x:v>Hybrid</x:v>
      </x:c>
      <x:c r="B183" s="1" t="str">
        <x:v>Starter</x:v>
      </x:c>
      <x:c r="C183" s="1" t="str">
        <x:v>標準</x:v>
      </x:c>
      <x:c r="D183" s="21" t="n">
        <x:v>0.5</x:v>
      </x:c>
      <x:c r="E183" s="1" t="n">
        <x:v>0</x:v>
      </x:c>
      <x:c r="F183" s="7" t="n">
        <x:f>AD183*'損益分岐設定'!$B$5+AE183*'損益分岐設定'!$B$6+AF183*'損益分岐設定'!$B$7</x:f>
        <x:v>3000</x:v>
      </x:c>
      <x:c r="G183" s="7" t="n">
        <x:f>AG183+(AH183+AI183)*('損益分岐設定'!$B$29+0.5*'損益分岐設定'!$B$30)+AK183*'損益分岐設定'!$B$33</x:f>
        <x:v>148.14341073865597</x:v>
      </x:c>
      <x:c r="H183" s="7" t="n">
        <x:f>AL183*E183</x:f>
        <x:v>0</x:v>
      </x:c>
      <x:c r="I183" s="7" t="n">
        <x:f>F183*(1-D183-'損益分岐設定'!$B$10)-G183-H183</x:f>
        <x:v>1243.856589261344</x:v>
      </x:c>
      <x:c r="J183" s="1" t="n">
        <x:f>IF(MIN(V183:Y183)&gt;1000,"範囲内なし",MIN(V183:Y183))</x:f>
        <x:v>41</x:v>
      </x:c>
      <x:c r="K183" s="1" t="n">
        <x:f>IF(MAX(Z183:AC183)&gt;=1000,"範囲内なし",MAX(1,MAX(Z183:AC183)+1))</x:f>
        <x:v>41</x:v>
      </x:c>
      <x:c r="L183" s="7" t="n">
        <x:f>10*I183-R183</x:f>
        <x:v>-23001.230797691875</x:v>
      </x:c>
      <x:c r="M183" s="7" t="n">
        <x:f>30*I183-S183</x:f>
        <x:v>-13063.895702770315</x:v>
      </x:c>
      <x:c r="N183" s="7" t="n">
        <x:f>50*I183-S183</x:f>
        <x:v>11813.236082456562</x:v>
      </x:c>
      <x:c r="O183" s="7" t="n">
        <x:f>100*I183-S183</x:f>
        <x:v>74006.06554552376</x:v>
      </x:c>
      <x:c r="P183" s="7" t="n">
        <x:f>300*I183-T183</x:f>
        <x:v>300777.3833977926</x:v>
      </x:c>
      <x:c r="Q183" s="7" t="n">
        <x:f>1000*I183-U183</x:f>
        <x:v>1141476.9958807332</x:v>
      </x:c>
      <x:c r="R183" s="7" t="n">
        <x:f>'損益分岐設定'!$B$18+'損益分岐設定'!$B$19+'損益分岐設定'!$B$20+'損益分岐設定'!E37+'損益分岐設定'!D37+AM183*('損益分岐設定'!$B$15+'損益分岐設定'!$B$16)+'損益分岐設定'!$B$17+E183*('損益分岐設定'!$B$13+(AM183-1)*'損益分岐設定'!$B$14)*'損益分岐設定'!$B$11</x:f>
        <x:v>35439.79669030532</x:v>
      </x:c>
      <x:c r="S183" s="7" t="n">
        <x:f>'損益分岐設定'!$B$18+'損益分岐設定'!$B$19+'損益分岐設定'!$B$20+'損益分岐設定'!E38+'損益分岐設定'!D38+AN183*('損益分岐設定'!$B$15+'損益分岐設定'!$B$16)+'損益分岐設定'!$B$17+E183*('損益分岐設定'!$B$13+(AN183-1)*'損益分岐設定'!$B$14)*'損益分岐設定'!$B$11</x:f>
        <x:v>50379.59338061063</x:v>
      </x:c>
      <x:c r="T183" s="7" t="n">
        <x:f>'損益分岐設定'!$B$18+'損益分岐設定'!$B$19+'損益分岐設定'!$B$20+'損益分岐設定'!E39+'損益分岐設定'!D39+AO183*('損益分岐設定'!$B$15+'損益分岐設定'!$B$16)+'損益分岐設定'!$B$17+E183*('損益分岐設定'!$B$13+(AO183-1)*'損益分岐設定'!$B$14)*'損益分岐設定'!$B$11</x:f>
        <x:v>72379.59338061063</x:v>
      </x:c>
      <x:c r="U183" s="7" t="n">
        <x:f>'損益分岐設定'!$B$18+'損益分岐設定'!$B$19+'損益分岐設定'!$B$20+'損益分岐設定'!E40+'損益分岐設定'!D40+AP183*('損益分岐設定'!$B$15+'損益分岐設定'!$B$16)+'損益分岐設定'!$B$17+E183*('損益分岐設定'!$B$13+(AP183-1)*'損益分岐設定'!$B$14)*'損益分岐設定'!$B$11</x:f>
        <x:v>102379.59338061063</x:v>
      </x:c>
      <x:c r="V183" s="1" t="n">
        <x:f>IF(I183&lt;=0,1001,IF(MAX('損益分岐設定'!B37,ROUNDUP(R183/I183,0))&lt;='損益分岐設定'!C37,MAX('損益分岐設定'!B37,ROUNDUP(R183/I183,0)),1001))</x:f>
        <x:v>1001</x:v>
      </x:c>
      <x:c r="W183" s="1" t="n">
        <x:f>IF(I183&lt;=0,1001,IF(MAX('損益分岐設定'!B38,ROUNDUP(S183/I183,0))&lt;='損益分岐設定'!C38,MAX('損益分岐設定'!B38,ROUNDUP(S183/I183,0)),1001))</x:f>
        <x:v>41</x:v>
      </x:c>
      <x:c r="X183" s="1" t="n">
        <x:f>IF(I183&lt;=0,1001,IF(MAX('損益分岐設定'!B39,ROUNDUP(T183/I183,0))&lt;='損益分岐設定'!C39,MAX('損益分岐設定'!B39,ROUNDUP(T183/I183,0)),1001))</x:f>
        <x:v>101</x:v>
      </x:c>
      <x:c r="Y183" s="1" t="n">
        <x:f>IF(I183&lt;=0,1001,IF(MAX('損益分岐設定'!B40,ROUNDUP(U183/I183,0))&lt;='損益分岐設定'!C40,MAX('損益分岐設定'!B40,ROUNDUP(U183/I183,0)),1001))</x:f>
        <x:v>501</x:v>
      </x:c>
      <x:c r="Z183" s="1" t="n">
        <x:f>IF(I183&lt;=0,'損益分岐設定'!C37,IF('損益分岐設定'!C37*I183-R183&lt;0,'損益分岐設定'!C37,IF('損益分岐設定'!B37*I183-R183&gt;=0,0,ROUNDUP(R183/I183,0)-1)))</x:f>
        <x:v>10</x:v>
      </x:c>
      <x:c r="AA183" s="1" t="n">
        <x:f>IF(I183&lt;=0,'損益分岐設定'!C38,IF('損益分岐設定'!C38*I183-S183&lt;0,'損益分岐設定'!C38,IF('損益分岐設定'!B38*I183-S183&gt;=0,0,ROUNDUP(S183/I183,0)-1)))</x:f>
        <x:v>40</x:v>
      </x:c>
      <x:c r="AB183" s="1" t="n">
        <x:f>IF(I183&lt;=0,'損益分岐設定'!C39,IF('損益分岐設定'!C39*I183-T183&lt;0,'損益分岐設定'!C39,IF('損益分岐設定'!B39*I183-T183&gt;=0,0,ROUNDUP(T183/I183,0)-1)))</x:f>
        <x:v>0</x:v>
      </x:c>
      <x:c r="AC183" s="1" t="n">
        <x:f>IF(I183&lt;=0,'損益分岐設定'!C40,IF('損益分岐設定'!C40*I183-U183&lt;0,'損益分岐設定'!C40,IF('損益分岐設定'!B40*I183-U183&gt;=0,0,ROUNDUP(U183/I183,0)-1)))</x:f>
        <x:v>0</x:v>
      </x:c>
      <x:c r="AD183" s="1" t="n">
        <x:v>1</x:v>
      </x:c>
      <x:c r="AE183" s="1" t="n">
        <x:v>0</x:v>
      </x:c>
      <x:c r="AF183" s="1" t="n">
        <x:v>0</x:v>
      </x:c>
      <x:c r="AG183" s="1" t="n">
        <x:f>AD183*'損益分岐設定'!$C$57+AE183*'損益分岐設定'!$C$60+AF183*'損益分岐設定'!$C$63</x:f>
        <x:v>147.89614318847657</x:v>
      </x:c>
      <x:c r="AH183" s="1" t="n">
        <x:f>AD183*'損益分岐設定'!$D$57+AE183*'損益分岐設定'!$D$60+AF183*'損益分岐設定'!$D$63</x:f>
        <x:v>30</x:v>
      </x:c>
      <x:c r="AI183" s="1" t="n">
        <x:f>AD183*'損益分岐設定'!$E$57+AE183*'損益分岐設定'!$E$60+AF183*'損益分岐設定'!$E$63</x:f>
        <x:v>30</x:v>
      </x:c>
      <x:c r="AJ183" s="1" t="n">
        <x:f>(AD183*'損益分岐設定'!$F$57+AE183*'損益分岐設定'!$F$60+AF183*'損益分岐設定'!$F$63*1)*'損益分岐設定'!$B$22</x:f>
        <x:v>120</x:v>
      </x:c>
      <x:c r="AK183" s="1" t="n">
        <x:f>AD183*'損益分岐設定'!$G$57+AE183*'損益分岐設定'!$G$60+AF183*'損益分岐設定'!$G$63</x:f>
        <x:v>200</x:v>
      </x:c>
      <x:c r="AL183" s="1" t="n">
        <x:f>AD183*'損益分岐設定'!$H$57+AE183*'損益分岐設定'!$H$60+AF183*'損益分岐設定'!$H$63</x:f>
        <x:v>566.6666666666666</x:v>
      </x:c>
      <x:c r="AM183" s="1" t="n">
        <x:f>MAX(1,ROUNDUP('損益分岐設定'!C37*AJ183/('損益分岐設定'!$B$23*'損益分岐設定'!$B$24*3600*'損益分岐設定'!$B$25),0))</x:f>
        <x:v>1</x:v>
      </x:c>
      <x:c r="AN183" s="1" t="n">
        <x:f>MAX(2,ROUNDUP('損益分岐設定'!C38*AJ183/('損益分岐設定'!$B$23*'損益分岐設定'!$B$24*3600*'損益分岐設定'!$B$25),0))</x:f>
        <x:v>2</x:v>
      </x:c>
      <x:c r="AO183" s="1" t="n">
        <x:f>MAX(2,ROUNDUP('損益分岐設定'!C39*AJ183/('損益分岐設定'!$B$23*'損益分岐設定'!$B$24*3600*'損益分岐設定'!$B$25),0))</x:f>
        <x:v>2</x:v>
      </x:c>
      <x:c r="AP183" s="1" t="n">
        <x:f>MAX(2,ROUNDUP('損益分岐設定'!C40*AJ183/('損益分岐設定'!$B$23*'損益分岐設定'!$B$24*3600*'損益分岐設定'!$B$25),0))</x:f>
        <x:v>2</x:v>
      </x:c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 ht="23" customHeight="1">
      <x:c r="A184" s="1" t="str">
        <x:v>Hybrid</x:v>
      </x:c>
      <x:c r="B184" s="1" t="str">
        <x:v>Starter</x:v>
      </x:c>
      <x:c r="C184" s="1" t="str">
        <x:v>標準</x:v>
      </x:c>
      <x:c r="D184" s="21" t="n">
        <x:v>0.5</x:v>
      </x:c>
      <x:c r="E184" s="1" t="n">
        <x:v>1</x:v>
      </x:c>
      <x:c r="F184" s="7" t="n">
        <x:f>AD184*'損益分岐設定'!$B$5+AE184*'損益分岐設定'!$B$6+AF184*'損益分岐設定'!$B$7</x:f>
        <x:v>3000</x:v>
      </x:c>
      <x:c r="G184" s="7" t="n">
        <x:f>AG184+(AH184+AI184)*('損益分岐設定'!$B$29+0.5*'損益分岐設定'!$B$30)+AK184*'損益分岐設定'!$B$33</x:f>
        <x:v>148.14341073865597</x:v>
      </x:c>
      <x:c r="H184" s="7" t="n">
        <x:f>AL184*E184</x:f>
        <x:v>566.6666666666666</x:v>
      </x:c>
      <x:c r="I184" s="7" t="n">
        <x:f>F184*(1-D184-'損益分岐設定'!$B$10)-G184-H184</x:f>
        <x:v>677.1899225946773</x:v>
      </x:c>
      <x:c r="J184" s="1" t="n">
        <x:f>IF(MIN(V184:Y184)&gt;1000,"範囲内なし",MIN(V184:Y184))</x:f>
        <x:v>134</x:v>
      </x:c>
      <x:c r="K184" s="1" t="n">
        <x:f>IF(MAX(Z184:AC184)&gt;=1000,"範囲内なし",MAX(1,MAX(Z184:AC184)+1))</x:f>
        <x:v>134</x:v>
      </x:c>
      <x:c r="L184" s="7" t="n">
        <x:f>10*I184-R184</x:f>
        <x:v>-44667.897464358546</x:v>
      </x:c>
      <x:c r="M184" s="7" t="n">
        <x:f>30*I184-S184</x:f>
        <x:v>-48063.895702770315</x:v>
      </x:c>
      <x:c r="N184" s="7" t="n">
        <x:f>50*I184-S184</x:f>
        <x:v>-34520.097250876766</x:v>
      </x:c>
      <x:c r="O184" s="7" t="n">
        <x:f>100*I184-S184</x:f>
        <x:v>-660.6011211428995</x:v>
      </x:c>
      <x:c r="P184" s="7" t="n">
        <x:f>300*I184-T184</x:f>
        <x:v>112777.38339779258</x:v>
      </x:c>
      <x:c r="Q184" s="7" t="n">
        <x:f>1000*I184-U184</x:f>
        <x:v>556810.3292140667</x:v>
      </x:c>
      <x:c r="R184" s="7" t="n">
        <x:f>'損益分岐設定'!$B$18+'損益分岐設定'!$B$19+'損益分岐設定'!$B$20+'損益分岐設定'!E37+'損益分岐設定'!D37+AM184*('損益分岐設定'!$B$15+'損益分岐設定'!$B$16)+'損益分岐設定'!$B$17+E184*('損益分岐設定'!$B$13+(AM184-1)*'損益分岐設定'!$B$14)*'損益分岐設定'!$B$11</x:f>
        <x:v>51439.79669030532</x:v>
      </x:c>
      <x:c r="S184" s="7" t="n">
        <x:f>'損益分岐設定'!$B$18+'損益分岐設定'!$B$19+'損益分岐設定'!$B$20+'損益分岐設定'!E38+'損益分岐設定'!D38+AN184*('損益分岐設定'!$B$15+'損益分岐設定'!$B$16)+'損益分岐設定'!$B$17+E184*('損益分岐設定'!$B$13+(AN184-1)*'損益分岐設定'!$B$14)*'損益分岐設定'!$B$11</x:f>
        <x:v>68379.59338061063</x:v>
      </x:c>
      <x:c r="T184" s="7" t="n">
        <x:f>'損益分岐設定'!$B$18+'損益分岐設定'!$B$19+'損益分岐設定'!$B$20+'損益分岐設定'!E39+'損益分岐設定'!D39+AO184*('損益分岐設定'!$B$15+'損益分岐設定'!$B$16)+'損益分岐設定'!$B$17+E184*('損益分岐設定'!$B$13+(AO184-1)*'損益分岐設定'!$B$14)*'損益分岐設定'!$B$11</x:f>
        <x:v>90379.59338061063</x:v>
      </x:c>
      <x:c r="U184" s="7" t="n">
        <x:f>'損益分岐設定'!$B$18+'損益分岐設定'!$B$19+'損益分岐設定'!$B$20+'損益分岐設定'!E40+'損益分岐設定'!D40+AP184*('損益分岐設定'!$B$15+'損益分岐設定'!$B$16)+'損益分岐設定'!$B$17+E184*('損益分岐設定'!$B$13+(AP184-1)*'損益分岐設定'!$B$14)*'損益分岐設定'!$B$11</x:f>
        <x:v>120379.59338061063</x:v>
      </x:c>
      <x:c r="V184" s="1" t="n">
        <x:f>IF(I184&lt;=0,1001,IF(MAX('損益分岐設定'!B37,ROUNDUP(R184/I184,0))&lt;='損益分岐設定'!C37,MAX('損益分岐設定'!B37,ROUNDUP(R184/I184,0)),1001))</x:f>
        <x:v>1001</x:v>
      </x:c>
      <x:c r="W184" s="1" t="n">
        <x:f>IF(I184&lt;=0,1001,IF(MAX('損益分岐設定'!B38,ROUNDUP(S184/I184,0))&lt;='損益分岐設定'!C38,MAX('損益分岐設定'!B38,ROUNDUP(S184/I184,0)),1001))</x:f>
        <x:v>1001</x:v>
      </x:c>
      <x:c r="X184" s="1" t="n">
        <x:f>IF(I184&lt;=0,1001,IF(MAX('損益分岐設定'!B39,ROUNDUP(T184/I184,0))&lt;='損益分岐設定'!C39,MAX('損益分岐設定'!B39,ROUNDUP(T184/I184,0)),1001))</x:f>
        <x:v>134</x:v>
      </x:c>
      <x:c r="Y184" s="1" t="n">
        <x:f>IF(I184&lt;=0,1001,IF(MAX('損益分岐設定'!B40,ROUNDUP(U184/I184,0))&lt;='損益分岐設定'!C40,MAX('損益分岐設定'!B40,ROUNDUP(U184/I184,0)),1001))</x:f>
        <x:v>501</x:v>
      </x:c>
      <x:c r="Z184" s="1" t="n">
        <x:f>IF(I184&lt;=0,'損益分岐設定'!C37,IF('損益分岐設定'!C37*I184-R184&lt;0,'損益分岐設定'!C37,IF('損益分岐設定'!B37*I184-R184&gt;=0,0,ROUNDUP(R184/I184,0)-1)))</x:f>
        <x:v>10</x:v>
      </x:c>
      <x:c r="AA184" s="1" t="n">
        <x:f>IF(I184&lt;=0,'損益分岐設定'!C38,IF('損益分岐設定'!C38*I184-S184&lt;0,'損益分岐設定'!C38,IF('損益分岐設定'!B38*I184-S184&gt;=0,0,ROUNDUP(S184/I184,0)-1)))</x:f>
        <x:v>100</x:v>
      </x:c>
      <x:c r="AB184" s="1" t="n">
        <x:f>IF(I184&lt;=0,'損益分岐設定'!C39,IF('損益分岐設定'!C39*I184-T184&lt;0,'損益分岐設定'!C39,IF('損益分岐設定'!B39*I184-T184&gt;=0,0,ROUNDUP(T184/I184,0)-1)))</x:f>
        <x:v>133</x:v>
      </x:c>
      <x:c r="AC184" s="1" t="n">
        <x:f>IF(I184&lt;=0,'損益分岐設定'!C40,IF('損益分岐設定'!C40*I184-U184&lt;0,'損益分岐設定'!C40,IF('損益分岐設定'!B40*I184-U184&gt;=0,0,ROUNDUP(U184/I184,0)-1)))</x:f>
        <x:v>0</x:v>
      </x:c>
      <x:c r="AD184" s="1" t="n">
        <x:v>1</x:v>
      </x:c>
      <x:c r="AE184" s="1" t="n">
        <x:v>0</x:v>
      </x:c>
      <x:c r="AF184" s="1" t="n">
        <x:v>0</x:v>
      </x:c>
      <x:c r="AG184" s="1" t="n">
        <x:f>AD184*'損益分岐設定'!$C$57+AE184*'損益分岐設定'!$C$60+AF184*'損益分岐設定'!$C$63</x:f>
        <x:v>147.89614318847657</x:v>
      </x:c>
      <x:c r="AH184" s="1" t="n">
        <x:f>AD184*'損益分岐設定'!$D$57+AE184*'損益分岐設定'!$D$60+AF184*'損益分岐設定'!$D$63</x:f>
        <x:v>30</x:v>
      </x:c>
      <x:c r="AI184" s="1" t="n">
        <x:f>AD184*'損益分岐設定'!$E$57+AE184*'損益分岐設定'!$E$60+AF184*'損益分岐設定'!$E$63</x:f>
        <x:v>30</x:v>
      </x:c>
      <x:c r="AJ184" s="1" t="n">
        <x:f>(AD184*'損益分岐設定'!$F$57+AE184*'損益分岐設定'!$F$60+AF184*'損益分岐設定'!$F$63*1)*'損益分岐設定'!$B$22</x:f>
        <x:v>120</x:v>
      </x:c>
      <x:c r="AK184" s="1" t="n">
        <x:f>AD184*'損益分岐設定'!$G$57+AE184*'損益分岐設定'!$G$60+AF184*'損益分岐設定'!$G$63</x:f>
        <x:v>200</x:v>
      </x:c>
      <x:c r="AL184" s="1" t="n">
        <x:f>AD184*'損益分岐設定'!$H$57+AE184*'損益分岐設定'!$H$60+AF184*'損益分岐設定'!$H$63</x:f>
        <x:v>566.6666666666666</x:v>
      </x:c>
      <x:c r="AM184" s="1" t="n">
        <x:f>MAX(1,ROUNDUP('損益分岐設定'!C37*AJ184/('損益分岐設定'!$B$23*'損益分岐設定'!$B$24*3600*'損益分岐設定'!$B$25),0))</x:f>
        <x:v>1</x:v>
      </x:c>
      <x:c r="AN184" s="1" t="n">
        <x:f>MAX(2,ROUNDUP('損益分岐設定'!C38*AJ184/('損益分岐設定'!$B$23*'損益分岐設定'!$B$24*3600*'損益分岐設定'!$B$25),0))</x:f>
        <x:v>2</x:v>
      </x:c>
      <x:c r="AO184" s="1" t="n">
        <x:f>MAX(2,ROUNDUP('損益分岐設定'!C39*AJ184/('損益分岐設定'!$B$23*'損益分岐設定'!$B$24*3600*'損益分岐設定'!$B$25),0))</x:f>
        <x:v>2</x:v>
      </x:c>
      <x:c r="AP184" s="1" t="n">
        <x:f>MAX(2,ROUNDUP('損益分岐設定'!C40*AJ184/('損益分岐設定'!$B$23*'損益分岐設定'!$B$24*3600*'損益分岐設定'!$B$25),0))</x:f>
        <x:v>2</x:v>
      </x:c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 ht="23" customHeight="1">
      <x:c r="A185" s="1" t="str">
        <x:v>Hybrid</x:v>
      </x:c>
      <x:c r="B185" s="1" t="str">
        <x:v>Starter</x:v>
      </x:c>
      <x:c r="C185" s="1" t="str">
        <x:v>高位</x:v>
      </x:c>
      <x:c r="D185" s="21" t="n">
        <x:v>0</x:v>
      </x:c>
      <x:c r="E185" s="1" t="n">
        <x:v>0</x:v>
      </x:c>
      <x:c r="F185" s="7" t="n">
        <x:f>AD185*'損益分岐設定'!$B$5+AE185*'損益分岐設定'!$B$6+AF185*'損益分岐設定'!$B$7</x:f>
        <x:v>3000</x:v>
      </x:c>
      <x:c r="G185" s="7" t="n">
        <x:f>AG185+(AH185+AI185)*('損益分岐設定'!$B$29+0.5*'損益分岐設定'!$B$30)+AK185*'損益分岐設定'!$B$33</x:f>
        <x:v>2517.333343220316</x:v>
      </x:c>
      <x:c r="H185" s="7" t="n">
        <x:f>AL185*E185</x:f>
        <x:v>0</x:v>
      </x:c>
      <x:c r="I185" s="7" t="n">
        <x:f>F185*(1-D185-'損益分岐設定'!$B$10)-G185-H185</x:f>
        <x:v>374.6666567796842</x:v>
      </x:c>
      <x:c r="J185" s="1" t="n">
        <x:f>IF(MIN(V185:Y185)&gt;1000,"範囲内なし",MIN(V185:Y185))</x:f>
        <x:v>194</x:v>
      </x:c>
      <x:c r="K185" s="1" t="n">
        <x:f>IF(MAX(Z185:AC185)&gt;=1000,"範囲内なし",MAX(1,MAX(Z185:AC185)+1))</x:f>
        <x:v>194</x:v>
      </x:c>
      <x:c r="L185" s="7" t="n">
        <x:f>10*I185-R185</x:f>
        <x:v>-31693.130122508475</x:v>
      </x:c>
      <x:c r="M185" s="7" t="n">
        <x:f>30*I185-S185</x:f>
        <x:v>-39139.59367722011</x:v>
      </x:c>
      <x:c r="N185" s="7" t="n">
        <x:f>50*I185-S185</x:f>
        <x:v>-31646.260541626423</x:v>
      </x:c>
      <x:c r="O185" s="7" t="n">
        <x:f>100*I185-S185</x:f>
        <x:v>-12912.927702642213</x:v>
      </x:c>
      <x:c r="P185" s="7" t="n">
        <x:f>300*I185-T185</x:f>
        <x:v>40020.403653294634</x:v>
      </x:c>
      <x:c r="Q185" s="7" t="n">
        <x:f>1000*I185-U185</x:f>
        <x:v>251407.47001846298</x:v>
      </x:c>
      <x:c r="R185" s="7" t="n">
        <x:f>'損益分岐設定'!$B$18+'損益分岐設定'!$B$19+'損益分岐設定'!$B$20+'損益分岐設定'!E37+'損益分岐設定'!D37+AM185*('損益分岐設定'!$B$15+'損益分岐設定'!$B$16)+'損益分岐設定'!$B$17+E185*('損益分岐設定'!$B$13+(AM185-1)*'損益分岐設定'!$B$14)*'損益分岐設定'!$B$11</x:f>
        <x:v>35439.79669030532</x:v>
      </x:c>
      <x:c r="S185" s="7" t="n">
        <x:f>'損益分岐設定'!$B$18+'損益分岐設定'!$B$19+'損益分岐設定'!$B$20+'損益分岐設定'!E38+'損益分岐設定'!D38+AN185*('損益分岐設定'!$B$15+'損益分岐設定'!$B$16)+'損益分岐設定'!$B$17+E185*('損益分岐設定'!$B$13+(AN185-1)*'損益分岐設定'!$B$14)*'損益分岐設定'!$B$11</x:f>
        <x:v>50379.59338061063</x:v>
      </x:c>
      <x:c r="T185" s="7" t="n">
        <x:f>'損益分岐設定'!$B$18+'損益分岐設定'!$B$19+'損益分岐設定'!$B$20+'損益分岐設定'!E39+'損益分岐設定'!D39+AO185*('損益分岐設定'!$B$15+'損益分岐設定'!$B$16)+'損益分岐設定'!$B$17+E185*('損益分岐設定'!$B$13+(AO185-1)*'損益分岐設定'!$B$14)*'損益分岐設定'!$B$11</x:f>
        <x:v>72379.59338061063</x:v>
      </x:c>
      <x:c r="U185" s="7" t="n">
        <x:f>'損益分岐設定'!$B$18+'損益分岐設定'!$B$19+'損益分岐設定'!$B$20+'損益分岐設定'!E40+'損益分岐設定'!D40+AP185*('損益分岐設定'!$B$15+'損益分岐設定'!$B$16)+'損益分岐設定'!$B$17+E185*('損益分岐設定'!$B$13+(AP185-1)*'損益分岐設定'!$B$14)*'損益分岐設定'!$B$11</x:f>
        <x:v>123259.18676122127</x:v>
      </x:c>
      <x:c r="V185" s="1" t="n">
        <x:f>IF(I185&lt;=0,1001,IF(MAX('損益分岐設定'!B37,ROUNDUP(R185/I185,0))&lt;='損益分岐設定'!C37,MAX('損益分岐設定'!B37,ROUNDUP(R185/I185,0)),1001))</x:f>
        <x:v>1001</x:v>
      </x:c>
      <x:c r="W185" s="1" t="n">
        <x:f>IF(I185&lt;=0,1001,IF(MAX('損益分岐設定'!B38,ROUNDUP(S185/I185,0))&lt;='損益分岐設定'!C38,MAX('損益分岐設定'!B38,ROUNDUP(S185/I185,0)),1001))</x:f>
        <x:v>1001</x:v>
      </x:c>
      <x:c r="X185" s="1" t="n">
        <x:f>IF(I185&lt;=0,1001,IF(MAX('損益分岐設定'!B39,ROUNDUP(T185/I185,0))&lt;='損益分岐設定'!C39,MAX('損益分岐設定'!B39,ROUNDUP(T185/I185,0)),1001))</x:f>
        <x:v>194</x:v>
      </x:c>
      <x:c r="Y185" s="1" t="n">
        <x:f>IF(I185&lt;=0,1001,IF(MAX('損益分岐設定'!B40,ROUNDUP(U185/I185,0))&lt;='損益分岐設定'!C40,MAX('損益分岐設定'!B40,ROUNDUP(U185/I185,0)),1001))</x:f>
        <x:v>501</x:v>
      </x:c>
      <x:c r="Z185" s="1" t="n">
        <x:f>IF(I185&lt;=0,'損益分岐設定'!C37,IF('損益分岐設定'!C37*I185-R185&lt;0,'損益分岐設定'!C37,IF('損益分岐設定'!B37*I185-R185&gt;=0,0,ROUNDUP(R185/I185,0)-1)))</x:f>
        <x:v>10</x:v>
      </x:c>
      <x:c r="AA185" s="1" t="n">
        <x:f>IF(I185&lt;=0,'損益分岐設定'!C38,IF('損益分岐設定'!C38*I185-S185&lt;0,'損益分岐設定'!C38,IF('損益分岐設定'!B38*I185-S185&gt;=0,0,ROUNDUP(S185/I185,0)-1)))</x:f>
        <x:v>100</x:v>
      </x:c>
      <x:c r="AB185" s="1" t="n">
        <x:f>IF(I185&lt;=0,'損益分岐設定'!C39,IF('損益分岐設定'!C39*I185-T185&lt;0,'損益分岐設定'!C39,IF('損益分岐設定'!B39*I185-T185&gt;=0,0,ROUNDUP(T185/I185,0)-1)))</x:f>
        <x:v>193</x:v>
      </x:c>
      <x:c r="AC185" s="1" t="n">
        <x:f>IF(I185&lt;=0,'損益分岐設定'!C40,IF('損益分岐設定'!C40*I185-U185&lt;0,'損益分岐設定'!C40,IF('損益分岐設定'!B40*I185-U185&gt;=0,0,ROUNDUP(U185/I185,0)-1)))</x:f>
        <x:v>0</x:v>
      </x:c>
      <x:c r="AD185" s="1" t="n">
        <x:v>1</x:v>
      </x:c>
      <x:c r="AE185" s="1" t="n">
        <x:v>0</x:v>
      </x:c>
      <x:c r="AF185" s="1" t="n">
        <x:v>0</x:v>
      </x:c>
      <x:c r="AG185" s="1" t="n">
        <x:f>AD185*'損益分岐設定'!$C$58+AE185*'損益分岐設定'!$C$61+AF185*'損益分岐設定'!$C$64</x:f>
        <x:v>2516.1764477539064</x:v>
      </x:c>
      <x:c r="AH185" s="1" t="n">
        <x:f>AD185*'損益分岐設定'!$D$58+AE185*'損益分岐設定'!$D$61+AF185*'損益分岐設定'!$D$64</x:f>
        <x:v>120</x:v>
      </x:c>
      <x:c r="AI185" s="1" t="n">
        <x:f>AD185*'損益分岐設定'!$E$58+AE185*'損益分岐設定'!$E$61+AF185*'損益分岐設定'!$E$64</x:f>
        <x:v>160</x:v>
      </x:c>
      <x:c r="AJ185" s="1" t="n">
        <x:f>(AD185*'損益分岐設定'!$F$58+AE185*'損益分岐設定'!$F$61+AF185*'損益分岐設定'!$F$64*1)*'損益分岐設定'!$B$22</x:f>
        <x:v>1800</x:v>
      </x:c>
      <x:c r="AK185" s="1" t="n">
        <x:f>AD185*'損益分岐設定'!$G$58+AE185*'損益分岐設定'!$G$61+AF185*'損益分岐設定'!$G$64</x:f>
        <x:v>1200</x:v>
      </x:c>
      <x:c r="AL185" s="1" t="n">
        <x:f>AD185*'損益分岐設定'!$H$58+AE185*'損益分岐設定'!$H$61+AF185*'損益分岐設定'!$H$64</x:f>
        <x:v>1366.6666666666667</x:v>
      </x:c>
      <x:c r="AM185" s="1" t="n">
        <x:f>MAX(1,ROUNDUP('損益分岐設定'!C37*AJ185/('損益分岐設定'!$B$23*'損益分岐設定'!$B$24*3600*'損益分岐設定'!$B$25),0))</x:f>
        <x:v>1</x:v>
      </x:c>
      <x:c r="AN185" s="1" t="n">
        <x:f>MAX(2,ROUNDUP('損益分岐設定'!C38*AJ185/('損益分岐設定'!$B$23*'損益分岐設定'!$B$24*3600*'損益分岐設定'!$B$25),0))</x:f>
        <x:v>2</x:v>
      </x:c>
      <x:c r="AO185" s="1" t="n">
        <x:f>MAX(2,ROUNDUP('損益分岐設定'!C39*AJ185/('損益分岐設定'!$B$23*'損益分岐設定'!$B$24*3600*'損益分岐設定'!$B$25),0))</x:f>
        <x:v>2</x:v>
      </x:c>
      <x:c r="AP185" s="1" t="n">
        <x:f>MAX(2,ROUNDUP('損益分岐設定'!C40*AJ185/('損益分岐設定'!$B$23*'損益分岐設定'!$B$24*3600*'損益分岐設定'!$B$25),0))</x:f>
        <x:v>4</x:v>
      </x:c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 ht="23" customHeight="1">
      <x:c r="A186" s="1" t="str">
        <x:v>Hybrid</x:v>
      </x:c>
      <x:c r="B186" s="1" t="str">
        <x:v>Starter</x:v>
      </x:c>
      <x:c r="C186" s="1" t="str">
        <x:v>高位</x:v>
      </x:c>
      <x:c r="D186" s="21" t="n">
        <x:v>0</x:v>
      </x:c>
      <x:c r="E186" s="1" t="n">
        <x:v>1</x:v>
      </x:c>
      <x:c r="F186" s="7" t="n">
        <x:f>AD186*'損益分岐設定'!$B$5+AE186*'損益分岐設定'!$B$6+AF186*'損益分岐設定'!$B$7</x:f>
        <x:v>3000</x:v>
      </x:c>
      <x:c r="G186" s="7" t="n">
        <x:f>AG186+(AH186+AI186)*('損益分岐設定'!$B$29+0.5*'損益分岐設定'!$B$30)+AK186*'損益分岐設定'!$B$33</x:f>
        <x:v>2517.333343220316</x:v>
      </x:c>
      <x:c r="H186" s="7" t="n">
        <x:f>AL186*E186</x:f>
        <x:v>1366.6666666666667</x:v>
      </x:c>
      <x:c r="I186" s="7" t="n">
        <x:f>F186*(1-D186-'損益分岐設定'!$B$10)-G186-H186</x:f>
        <x:v>-992.0000098869825</x:v>
      </x:c>
      <x:c r="J186" s="1" t="str">
        <x:f>IF(MIN(V186:Y186)&gt;1000,"範囲内なし",MIN(V186:Y186))</x:f>
        <x:v>範囲内なし</x:v>
      </x:c>
      <x:c r="K186" s="1" t="str">
        <x:f>IF(MAX(Z186:AC186)&gt;=1000,"範囲内なし",MAX(1,MAX(Z186:AC186)+1))</x:f>
        <x:v>範囲内なし</x:v>
      </x:c>
      <x:c r="L186" s="7" t="n">
        <x:f>10*I186-R186</x:f>
        <x:v>-61359.79678917514</x:v>
      </x:c>
      <x:c r="M186" s="7" t="n">
        <x:f>30*I186-S186</x:f>
        <x:v>-98139.59367722011</x:v>
      </x:c>
      <x:c r="N186" s="7" t="n">
        <x:f>50*I186-S186</x:f>
        <x:v>-117979.59387495977</x:v>
      </x:c>
      <x:c r="O186" s="7" t="n">
        <x:f>100*I186-S186</x:f>
        <x:v>-167579.5943693089</x:v>
      </x:c>
      <x:c r="P186" s="7" t="n">
        <x:f>300*I186-T186</x:f>
        <x:v>-387979.5963467054</x:v>
      </x:c>
      <x:c r="Q186" s="7" t="n">
        <x:f>1000*I186-U186</x:f>
        <x:v>-1137259.1966482038</x:v>
      </x:c>
      <x:c r="R186" s="7" t="n">
        <x:f>'損益分岐設定'!$B$18+'損益分岐設定'!$B$19+'損益分岐設定'!$B$20+'損益分岐設定'!E37+'損益分岐設定'!D37+AM186*('損益分岐設定'!$B$15+'損益分岐設定'!$B$16)+'損益分岐設定'!$B$17+E186*('損益分岐設定'!$B$13+(AM186-1)*'損益分岐設定'!$B$14)*'損益分岐設定'!$B$11</x:f>
        <x:v>51439.79669030532</x:v>
      </x:c>
      <x:c r="S186" s="7" t="n">
        <x:f>'損益分岐設定'!$B$18+'損益分岐設定'!$B$19+'損益分岐設定'!$B$20+'損益分岐設定'!E38+'損益分岐設定'!D38+AN186*('損益分岐設定'!$B$15+'損益分岐設定'!$B$16)+'損益分岐設定'!$B$17+E186*('損益分岐設定'!$B$13+(AN186-1)*'損益分岐設定'!$B$14)*'損益分岐設定'!$B$11</x:f>
        <x:v>68379.59338061063</x:v>
      </x:c>
      <x:c r="T186" s="7" t="n">
        <x:f>'損益分岐設定'!$B$18+'損益分岐設定'!$B$19+'損益分岐設定'!$B$20+'損益分岐設定'!E39+'損益分岐設定'!D39+AO186*('損益分岐設定'!$B$15+'損益分岐設定'!$B$16)+'損益分岐設定'!$B$17+E186*('損益分岐設定'!$B$13+(AO186-1)*'損益分岐設定'!$B$14)*'損益分岐設定'!$B$11</x:f>
        <x:v>90379.59338061063</x:v>
      </x:c>
      <x:c r="U186" s="7" t="n">
        <x:f>'損益分岐設定'!$B$18+'損益分岐設定'!$B$19+'損益分岐設定'!$B$20+'損益分岐設定'!E40+'損益分岐設定'!D40+AP186*('損益分岐設定'!$B$15+'損益分岐設定'!$B$16)+'損益分岐設定'!$B$17+E186*('損益分岐設定'!$B$13+(AP186-1)*'損益分岐設定'!$B$14)*'損益分岐設定'!$B$11</x:f>
        <x:v>145259.18676122127</x:v>
      </x:c>
      <x:c r="V186" s="1" t="n">
        <x:f>IF(I186&lt;=0,1001,IF(MAX('損益分岐設定'!B37,ROUNDUP(R186/I186,0))&lt;='損益分岐設定'!C37,MAX('損益分岐設定'!B37,ROUNDUP(R186/I186,0)),1001))</x:f>
        <x:v>1001</x:v>
      </x:c>
      <x:c r="W186" s="1" t="n">
        <x:f>IF(I186&lt;=0,1001,IF(MAX('損益分岐設定'!B38,ROUNDUP(S186/I186,0))&lt;='損益分岐設定'!C38,MAX('損益分岐設定'!B38,ROUNDUP(S186/I186,0)),1001))</x:f>
        <x:v>1001</x:v>
      </x:c>
      <x:c r="X186" s="1" t="n">
        <x:f>IF(I186&lt;=0,1001,IF(MAX('損益分岐設定'!B39,ROUNDUP(T186/I186,0))&lt;='損益分岐設定'!C39,MAX('損益分岐設定'!B39,ROUNDUP(T186/I186,0)),1001))</x:f>
        <x:v>1001</x:v>
      </x:c>
      <x:c r="Y186" s="1" t="n">
        <x:f>IF(I186&lt;=0,1001,IF(MAX('損益分岐設定'!B40,ROUNDUP(U186/I186,0))&lt;='損益分岐設定'!C40,MAX('損益分岐設定'!B40,ROUNDUP(U186/I186,0)),1001))</x:f>
        <x:v>1001</x:v>
      </x:c>
      <x:c r="Z186" s="1" t="n">
        <x:f>IF(I186&lt;=0,'損益分岐設定'!C37,IF('損益分岐設定'!C37*I186-R186&lt;0,'損益分岐設定'!C37,IF('損益分岐設定'!B37*I186-R186&gt;=0,0,ROUNDUP(R186/I186,0)-1)))</x:f>
        <x:v>10</x:v>
      </x:c>
      <x:c r="AA186" s="1" t="n">
        <x:f>IF(I186&lt;=0,'損益分岐設定'!C38,IF('損益分岐設定'!C38*I186-S186&lt;0,'損益分岐設定'!C38,IF('損益分岐設定'!B38*I186-S186&gt;=0,0,ROUNDUP(S186/I186,0)-1)))</x:f>
        <x:v>100</x:v>
      </x:c>
      <x:c r="AB186" s="1" t="n">
        <x:f>IF(I186&lt;=0,'損益分岐設定'!C39,IF('損益分岐設定'!C39*I186-T186&lt;0,'損益分岐設定'!C39,IF('損益分岐設定'!B39*I186-T186&gt;=0,0,ROUNDUP(T186/I186,0)-1)))</x:f>
        <x:v>500</x:v>
      </x:c>
      <x:c r="AC186" s="1" t="n">
        <x:f>IF(I186&lt;=0,'損益分岐設定'!C40,IF('損益分岐設定'!C40*I186-U186&lt;0,'損益分岐設定'!C40,IF('損益分岐設定'!B40*I186-U186&gt;=0,0,ROUNDUP(U186/I186,0)-1)))</x:f>
        <x:v>1000</x:v>
      </x:c>
      <x:c r="AD186" s="1" t="n">
        <x:v>1</x:v>
      </x:c>
      <x:c r="AE186" s="1" t="n">
        <x:v>0</x:v>
      </x:c>
      <x:c r="AF186" s="1" t="n">
        <x:v>0</x:v>
      </x:c>
      <x:c r="AG186" s="1" t="n">
        <x:f>AD186*'損益分岐設定'!$C$58+AE186*'損益分岐設定'!$C$61+AF186*'損益分岐設定'!$C$64</x:f>
        <x:v>2516.1764477539064</x:v>
      </x:c>
      <x:c r="AH186" s="1" t="n">
        <x:f>AD186*'損益分岐設定'!$D$58+AE186*'損益分岐設定'!$D$61+AF186*'損益分岐設定'!$D$64</x:f>
        <x:v>120</x:v>
      </x:c>
      <x:c r="AI186" s="1" t="n">
        <x:f>AD186*'損益分岐設定'!$E$58+AE186*'損益分岐設定'!$E$61+AF186*'損益分岐設定'!$E$64</x:f>
        <x:v>160</x:v>
      </x:c>
      <x:c r="AJ186" s="1" t="n">
        <x:f>(AD186*'損益分岐設定'!$F$58+AE186*'損益分岐設定'!$F$61+AF186*'損益分岐設定'!$F$64*1)*'損益分岐設定'!$B$22</x:f>
        <x:v>1800</x:v>
      </x:c>
      <x:c r="AK186" s="1" t="n">
        <x:f>AD186*'損益分岐設定'!$G$58+AE186*'損益分岐設定'!$G$61+AF186*'損益分岐設定'!$G$64</x:f>
        <x:v>1200</x:v>
      </x:c>
      <x:c r="AL186" s="1" t="n">
        <x:f>AD186*'損益分岐設定'!$H$58+AE186*'損益分岐設定'!$H$61+AF186*'損益分岐設定'!$H$64</x:f>
        <x:v>1366.6666666666667</x:v>
      </x:c>
      <x:c r="AM186" s="1" t="n">
        <x:f>MAX(1,ROUNDUP('損益分岐設定'!C37*AJ186/('損益分岐設定'!$B$23*'損益分岐設定'!$B$24*3600*'損益分岐設定'!$B$25),0))</x:f>
        <x:v>1</x:v>
      </x:c>
      <x:c r="AN186" s="1" t="n">
        <x:f>MAX(2,ROUNDUP('損益分岐設定'!C38*AJ186/('損益分岐設定'!$B$23*'損益分岐設定'!$B$24*3600*'損益分岐設定'!$B$25),0))</x:f>
        <x:v>2</x:v>
      </x:c>
      <x:c r="AO186" s="1" t="n">
        <x:f>MAX(2,ROUNDUP('損益分岐設定'!C39*AJ186/('損益分岐設定'!$B$23*'損益分岐設定'!$B$24*3600*'損益分岐設定'!$B$25),0))</x:f>
        <x:v>2</x:v>
      </x:c>
      <x:c r="AP186" s="1" t="n">
        <x:f>MAX(2,ROUNDUP('損益分岐設定'!C40*AJ186/('損益分岐設定'!$B$23*'損益分岐設定'!$B$24*3600*'損益分岐設定'!$B$25),0))</x:f>
        <x:v>4</x:v>
      </x:c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 ht="23" customHeight="1">
      <x:c r="A187" s="1" t="str">
        <x:v>Hybrid</x:v>
      </x:c>
      <x:c r="B187" s="1" t="str">
        <x:v>Starter</x:v>
      </x:c>
      <x:c r="C187" s="1" t="str">
        <x:v>高位</x:v>
      </x:c>
      <x:c r="D187" s="21" t="n">
        <x:v>0.2</x:v>
      </x:c>
      <x:c r="E187" s="1" t="n">
        <x:v>0</x:v>
      </x:c>
      <x:c r="F187" s="7" t="n">
        <x:f>AD187*'損益分岐設定'!$B$5+AE187*'損益分岐設定'!$B$6+AF187*'損益分岐設定'!$B$7</x:f>
        <x:v>3000</x:v>
      </x:c>
      <x:c r="G187" s="7" t="n">
        <x:f>AG187+(AH187+AI187)*('損益分岐設定'!$B$29+0.5*'損益分岐設定'!$B$30)+AK187*'損益分岐設定'!$B$33</x:f>
        <x:v>2517.333343220316</x:v>
      </x:c>
      <x:c r="H187" s="7" t="n">
        <x:f>AL187*E187</x:f>
        <x:v>0</x:v>
      </x:c>
      <x:c r="I187" s="7" t="n">
        <x:f>F187*(1-D187-'損益分岐設定'!$B$10)-G187-H187</x:f>
        <x:v>-225.33334322031578</x:v>
      </x:c>
      <x:c r="J187" s="1" t="str">
        <x:f>IF(MIN(V187:Y187)&gt;1000,"範囲内なし",MIN(V187:Y187))</x:f>
        <x:v>範囲内なし</x:v>
      </x:c>
      <x:c r="K187" s="1" t="str">
        <x:f>IF(MAX(Z187:AC187)&gt;=1000,"範囲内なし",MAX(1,MAX(Z187:AC187)+1))</x:f>
        <x:v>範囲内なし</x:v>
      </x:c>
      <x:c r="L187" s="7" t="n">
        <x:f>10*I187-R187</x:f>
        <x:v>-37693.130122508475</x:v>
      </x:c>
      <x:c r="M187" s="7" t="n">
        <x:f>30*I187-S187</x:f>
        <x:v>-57139.59367722011</x:v>
      </x:c>
      <x:c r="N187" s="7" t="n">
        <x:f>50*I187-S187</x:f>
        <x:v>-61646.26054162643</x:v>
      </x:c>
      <x:c r="O187" s="7" t="n">
        <x:f>100*I187-S187</x:f>
        <x:v>-72912.92770264222</x:v>
      </x:c>
      <x:c r="P187" s="7" t="n">
        <x:f>300*I187-T187</x:f>
        <x:v>-139979.59634670537</x:v>
      </x:c>
      <x:c r="Q187" s="7" t="n">
        <x:f>1000*I187-U187</x:f>
        <x:v>-348592.529981537</x:v>
      </x:c>
      <x:c r="R187" s="7" t="n">
        <x:f>'損益分岐設定'!$B$18+'損益分岐設定'!$B$19+'損益分岐設定'!$B$20+'損益分岐設定'!E37+'損益分岐設定'!D37+AM187*('損益分岐設定'!$B$15+'損益分岐設定'!$B$16)+'損益分岐設定'!$B$17+E187*('損益分岐設定'!$B$13+(AM187-1)*'損益分岐設定'!$B$14)*'損益分岐設定'!$B$11</x:f>
        <x:v>35439.79669030532</x:v>
      </x:c>
      <x:c r="S187" s="7" t="n">
        <x:f>'損益分岐設定'!$B$18+'損益分岐設定'!$B$19+'損益分岐設定'!$B$20+'損益分岐設定'!E38+'損益分岐設定'!D38+AN187*('損益分岐設定'!$B$15+'損益分岐設定'!$B$16)+'損益分岐設定'!$B$17+E187*('損益分岐設定'!$B$13+(AN187-1)*'損益分岐設定'!$B$14)*'損益分岐設定'!$B$11</x:f>
        <x:v>50379.59338061063</x:v>
      </x:c>
      <x:c r="T187" s="7" t="n">
        <x:f>'損益分岐設定'!$B$18+'損益分岐設定'!$B$19+'損益分岐設定'!$B$20+'損益分岐設定'!E39+'損益分岐設定'!D39+AO187*('損益分岐設定'!$B$15+'損益分岐設定'!$B$16)+'損益分岐設定'!$B$17+E187*('損益分岐設定'!$B$13+(AO187-1)*'損益分岐設定'!$B$14)*'損益分岐設定'!$B$11</x:f>
        <x:v>72379.59338061063</x:v>
      </x:c>
      <x:c r="U187" s="7" t="n">
        <x:f>'損益分岐設定'!$B$18+'損益分岐設定'!$B$19+'損益分岐設定'!$B$20+'損益分岐設定'!E40+'損益分岐設定'!D40+AP187*('損益分岐設定'!$B$15+'損益分岐設定'!$B$16)+'損益分岐設定'!$B$17+E187*('損益分岐設定'!$B$13+(AP187-1)*'損益分岐設定'!$B$14)*'損益分岐設定'!$B$11</x:f>
        <x:v>123259.18676122127</x:v>
      </x:c>
      <x:c r="V187" s="1" t="n">
        <x:f>IF(I187&lt;=0,1001,IF(MAX('損益分岐設定'!B37,ROUNDUP(R187/I187,0))&lt;='損益分岐設定'!C37,MAX('損益分岐設定'!B37,ROUNDUP(R187/I187,0)),1001))</x:f>
        <x:v>1001</x:v>
      </x:c>
      <x:c r="W187" s="1" t="n">
        <x:f>IF(I187&lt;=0,1001,IF(MAX('損益分岐設定'!B38,ROUNDUP(S187/I187,0))&lt;='損益分岐設定'!C38,MAX('損益分岐設定'!B38,ROUNDUP(S187/I187,0)),1001))</x:f>
        <x:v>1001</x:v>
      </x:c>
      <x:c r="X187" s="1" t="n">
        <x:f>IF(I187&lt;=0,1001,IF(MAX('損益分岐設定'!B39,ROUNDUP(T187/I187,0))&lt;='損益分岐設定'!C39,MAX('損益分岐設定'!B39,ROUNDUP(T187/I187,0)),1001))</x:f>
        <x:v>1001</x:v>
      </x:c>
      <x:c r="Y187" s="1" t="n">
        <x:f>IF(I187&lt;=0,1001,IF(MAX('損益分岐設定'!B40,ROUNDUP(U187/I187,0))&lt;='損益分岐設定'!C40,MAX('損益分岐設定'!B40,ROUNDUP(U187/I187,0)),1001))</x:f>
        <x:v>1001</x:v>
      </x:c>
      <x:c r="Z187" s="1" t="n">
        <x:f>IF(I187&lt;=0,'損益分岐設定'!C37,IF('損益分岐設定'!C37*I187-R187&lt;0,'損益分岐設定'!C37,IF('損益分岐設定'!B37*I187-R187&gt;=0,0,ROUNDUP(R187/I187,0)-1)))</x:f>
        <x:v>10</x:v>
      </x:c>
      <x:c r="AA187" s="1" t="n">
        <x:f>IF(I187&lt;=0,'損益分岐設定'!C38,IF('損益分岐設定'!C38*I187-S187&lt;0,'損益分岐設定'!C38,IF('損益分岐設定'!B38*I187-S187&gt;=0,0,ROUNDUP(S187/I187,0)-1)))</x:f>
        <x:v>100</x:v>
      </x:c>
      <x:c r="AB187" s="1" t="n">
        <x:f>IF(I187&lt;=0,'損益分岐設定'!C39,IF('損益分岐設定'!C39*I187-T187&lt;0,'損益分岐設定'!C39,IF('損益分岐設定'!B39*I187-T187&gt;=0,0,ROUNDUP(T187/I187,0)-1)))</x:f>
        <x:v>500</x:v>
      </x:c>
      <x:c r="AC187" s="1" t="n">
        <x:f>IF(I187&lt;=0,'損益分岐設定'!C40,IF('損益分岐設定'!C40*I187-U187&lt;0,'損益分岐設定'!C40,IF('損益分岐設定'!B40*I187-U187&gt;=0,0,ROUNDUP(U187/I187,0)-1)))</x:f>
        <x:v>1000</x:v>
      </x:c>
      <x:c r="AD187" s="1" t="n">
        <x:v>1</x:v>
      </x:c>
      <x:c r="AE187" s="1" t="n">
        <x:v>0</x:v>
      </x:c>
      <x:c r="AF187" s="1" t="n">
        <x:v>0</x:v>
      </x:c>
      <x:c r="AG187" s="1" t="n">
        <x:f>AD187*'損益分岐設定'!$C$58+AE187*'損益分岐設定'!$C$61+AF187*'損益分岐設定'!$C$64</x:f>
        <x:v>2516.1764477539064</x:v>
      </x:c>
      <x:c r="AH187" s="1" t="n">
        <x:f>AD187*'損益分岐設定'!$D$58+AE187*'損益分岐設定'!$D$61+AF187*'損益分岐設定'!$D$64</x:f>
        <x:v>120</x:v>
      </x:c>
      <x:c r="AI187" s="1" t="n">
        <x:f>AD187*'損益分岐設定'!$E$58+AE187*'損益分岐設定'!$E$61+AF187*'損益分岐設定'!$E$64</x:f>
        <x:v>160</x:v>
      </x:c>
      <x:c r="AJ187" s="1" t="n">
        <x:f>(AD187*'損益分岐設定'!$F$58+AE187*'損益分岐設定'!$F$61+AF187*'損益分岐設定'!$F$64*1)*'損益分岐設定'!$B$22</x:f>
        <x:v>1800</x:v>
      </x:c>
      <x:c r="AK187" s="1" t="n">
        <x:f>AD187*'損益分岐設定'!$G$58+AE187*'損益分岐設定'!$G$61+AF187*'損益分岐設定'!$G$64</x:f>
        <x:v>1200</x:v>
      </x:c>
      <x:c r="AL187" s="1" t="n">
        <x:f>AD187*'損益分岐設定'!$H$58+AE187*'損益分岐設定'!$H$61+AF187*'損益分岐設定'!$H$64</x:f>
        <x:v>1366.6666666666667</x:v>
      </x:c>
      <x:c r="AM187" s="1" t="n">
        <x:f>MAX(1,ROUNDUP('損益分岐設定'!C37*AJ187/('損益分岐設定'!$B$23*'損益分岐設定'!$B$24*3600*'損益分岐設定'!$B$25),0))</x:f>
        <x:v>1</x:v>
      </x:c>
      <x:c r="AN187" s="1" t="n">
        <x:f>MAX(2,ROUNDUP('損益分岐設定'!C38*AJ187/('損益分岐設定'!$B$23*'損益分岐設定'!$B$24*3600*'損益分岐設定'!$B$25),0))</x:f>
        <x:v>2</x:v>
      </x:c>
      <x:c r="AO187" s="1" t="n">
        <x:f>MAX(2,ROUNDUP('損益分岐設定'!C39*AJ187/('損益分岐設定'!$B$23*'損益分岐設定'!$B$24*3600*'損益分岐設定'!$B$25),0))</x:f>
        <x:v>2</x:v>
      </x:c>
      <x:c r="AP187" s="1" t="n">
        <x:f>MAX(2,ROUNDUP('損益分岐設定'!C40*AJ187/('損益分岐設定'!$B$23*'損益分岐設定'!$B$24*3600*'損益分岐設定'!$B$25),0))</x:f>
        <x:v>4</x:v>
      </x:c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 ht="23" customHeight="1">
      <x:c r="A188" s="1" t="str">
        <x:v>Hybrid</x:v>
      </x:c>
      <x:c r="B188" s="1" t="str">
        <x:v>Starter</x:v>
      </x:c>
      <x:c r="C188" s="1" t="str">
        <x:v>高位</x:v>
      </x:c>
      <x:c r="D188" s="21" t="n">
        <x:v>0.2</x:v>
      </x:c>
      <x:c r="E188" s="1" t="n">
        <x:v>1</x:v>
      </x:c>
      <x:c r="F188" s="7" t="n">
        <x:f>AD188*'損益分岐設定'!$B$5+AE188*'損益分岐設定'!$B$6+AF188*'損益分岐設定'!$B$7</x:f>
        <x:v>3000</x:v>
      </x:c>
      <x:c r="G188" s="7" t="n">
        <x:f>AG188+(AH188+AI188)*('損益分岐設定'!$B$29+0.5*'損益分岐設定'!$B$30)+AK188*'損益分岐設定'!$B$33</x:f>
        <x:v>2517.333343220316</x:v>
      </x:c>
      <x:c r="H188" s="7" t="n">
        <x:f>AL188*E188</x:f>
        <x:v>1366.6666666666667</x:v>
      </x:c>
      <x:c r="I188" s="7" t="n">
        <x:f>F188*(1-D188-'損益分岐設定'!$B$10)-G188-H188</x:f>
        <x:v>-1592.0000098869825</x:v>
      </x:c>
      <x:c r="J188" s="1" t="str">
        <x:f>IF(MIN(V188:Y188)&gt;1000,"範囲内なし",MIN(V188:Y188))</x:f>
        <x:v>範囲内なし</x:v>
      </x:c>
      <x:c r="K188" s="1" t="str">
        <x:f>IF(MAX(Z188:AC188)&gt;=1000,"範囲内なし",MAX(1,MAX(Z188:AC188)+1))</x:f>
        <x:v>範囲内なし</x:v>
      </x:c>
      <x:c r="L188" s="7" t="n">
        <x:f>10*I188-R188</x:f>
        <x:v>-67359.79678917515</x:v>
      </x:c>
      <x:c r="M188" s="7" t="n">
        <x:f>30*I188-S188</x:f>
        <x:v>-116139.59367722011</x:v>
      </x:c>
      <x:c r="N188" s="7" t="n">
        <x:f>50*I188-S188</x:f>
        <x:v>-147979.59387495974</x:v>
      </x:c>
      <x:c r="O188" s="7" t="n">
        <x:f>100*I188-S188</x:f>
        <x:v>-227579.59436930888</x:v>
      </x:c>
      <x:c r="P188" s="7" t="n">
        <x:f>300*I188-T188</x:f>
        <x:v>-567979.5963467055</x:v>
      </x:c>
      <x:c r="Q188" s="7" t="n">
        <x:f>1000*I188-U188</x:f>
        <x:v>-1737259.1966482038</x:v>
      </x:c>
      <x:c r="R188" s="7" t="n">
        <x:f>'損益分岐設定'!$B$18+'損益分岐設定'!$B$19+'損益分岐設定'!$B$20+'損益分岐設定'!E37+'損益分岐設定'!D37+AM188*('損益分岐設定'!$B$15+'損益分岐設定'!$B$16)+'損益分岐設定'!$B$17+E188*('損益分岐設定'!$B$13+(AM188-1)*'損益分岐設定'!$B$14)*'損益分岐設定'!$B$11</x:f>
        <x:v>51439.79669030532</x:v>
      </x:c>
      <x:c r="S188" s="7" t="n">
        <x:f>'損益分岐設定'!$B$18+'損益分岐設定'!$B$19+'損益分岐設定'!$B$20+'損益分岐設定'!E38+'損益分岐設定'!D38+AN188*('損益分岐設定'!$B$15+'損益分岐設定'!$B$16)+'損益分岐設定'!$B$17+E188*('損益分岐設定'!$B$13+(AN188-1)*'損益分岐設定'!$B$14)*'損益分岐設定'!$B$11</x:f>
        <x:v>68379.59338061063</x:v>
      </x:c>
      <x:c r="T188" s="7" t="n">
        <x:f>'損益分岐設定'!$B$18+'損益分岐設定'!$B$19+'損益分岐設定'!$B$20+'損益分岐設定'!E39+'損益分岐設定'!D39+AO188*('損益分岐設定'!$B$15+'損益分岐設定'!$B$16)+'損益分岐設定'!$B$17+E188*('損益分岐設定'!$B$13+(AO188-1)*'損益分岐設定'!$B$14)*'損益分岐設定'!$B$11</x:f>
        <x:v>90379.59338061063</x:v>
      </x:c>
      <x:c r="U188" s="7" t="n">
        <x:f>'損益分岐設定'!$B$18+'損益分岐設定'!$B$19+'損益分岐設定'!$B$20+'損益分岐設定'!E40+'損益分岐設定'!D40+AP188*('損益分岐設定'!$B$15+'損益分岐設定'!$B$16)+'損益分岐設定'!$B$17+E188*('損益分岐設定'!$B$13+(AP188-1)*'損益分岐設定'!$B$14)*'損益分岐設定'!$B$11</x:f>
        <x:v>145259.18676122127</x:v>
      </x:c>
      <x:c r="V188" s="1" t="n">
        <x:f>IF(I188&lt;=0,1001,IF(MAX('損益分岐設定'!B37,ROUNDUP(R188/I188,0))&lt;='損益分岐設定'!C37,MAX('損益分岐設定'!B37,ROUNDUP(R188/I188,0)),1001))</x:f>
        <x:v>1001</x:v>
      </x:c>
      <x:c r="W188" s="1" t="n">
        <x:f>IF(I188&lt;=0,1001,IF(MAX('損益分岐設定'!B38,ROUNDUP(S188/I188,0))&lt;='損益分岐設定'!C38,MAX('損益分岐設定'!B38,ROUNDUP(S188/I188,0)),1001))</x:f>
        <x:v>1001</x:v>
      </x:c>
      <x:c r="X188" s="1" t="n">
        <x:f>IF(I188&lt;=0,1001,IF(MAX('損益分岐設定'!B39,ROUNDUP(T188/I188,0))&lt;='損益分岐設定'!C39,MAX('損益分岐設定'!B39,ROUNDUP(T188/I188,0)),1001))</x:f>
        <x:v>1001</x:v>
      </x:c>
      <x:c r="Y188" s="1" t="n">
        <x:f>IF(I188&lt;=0,1001,IF(MAX('損益分岐設定'!B40,ROUNDUP(U188/I188,0))&lt;='損益分岐設定'!C40,MAX('損益分岐設定'!B40,ROUNDUP(U188/I188,0)),1001))</x:f>
        <x:v>1001</x:v>
      </x:c>
      <x:c r="Z188" s="1" t="n">
        <x:f>IF(I188&lt;=0,'損益分岐設定'!C37,IF('損益分岐設定'!C37*I188-R188&lt;0,'損益分岐設定'!C37,IF('損益分岐設定'!B37*I188-R188&gt;=0,0,ROUNDUP(R188/I188,0)-1)))</x:f>
        <x:v>10</x:v>
      </x:c>
      <x:c r="AA188" s="1" t="n">
        <x:f>IF(I188&lt;=0,'損益分岐設定'!C38,IF('損益分岐設定'!C38*I188-S188&lt;0,'損益分岐設定'!C38,IF('損益分岐設定'!B38*I188-S188&gt;=0,0,ROUNDUP(S188/I188,0)-1)))</x:f>
        <x:v>100</x:v>
      </x:c>
      <x:c r="AB188" s="1" t="n">
        <x:f>IF(I188&lt;=0,'損益分岐設定'!C39,IF('損益分岐設定'!C39*I188-T188&lt;0,'損益分岐設定'!C39,IF('損益分岐設定'!B39*I188-T188&gt;=0,0,ROUNDUP(T188/I188,0)-1)))</x:f>
        <x:v>500</x:v>
      </x:c>
      <x:c r="AC188" s="1" t="n">
        <x:f>IF(I188&lt;=0,'損益分岐設定'!C40,IF('損益分岐設定'!C40*I188-U188&lt;0,'損益分岐設定'!C40,IF('損益分岐設定'!B40*I188-U188&gt;=0,0,ROUNDUP(U188/I188,0)-1)))</x:f>
        <x:v>1000</x:v>
      </x:c>
      <x:c r="AD188" s="1" t="n">
        <x:v>1</x:v>
      </x:c>
      <x:c r="AE188" s="1" t="n">
        <x:v>0</x:v>
      </x:c>
      <x:c r="AF188" s="1" t="n">
        <x:v>0</x:v>
      </x:c>
      <x:c r="AG188" s="1" t="n">
        <x:f>AD188*'損益分岐設定'!$C$58+AE188*'損益分岐設定'!$C$61+AF188*'損益分岐設定'!$C$64</x:f>
        <x:v>2516.1764477539064</x:v>
      </x:c>
      <x:c r="AH188" s="1" t="n">
        <x:f>AD188*'損益分岐設定'!$D$58+AE188*'損益分岐設定'!$D$61+AF188*'損益分岐設定'!$D$64</x:f>
        <x:v>120</x:v>
      </x:c>
      <x:c r="AI188" s="1" t="n">
        <x:f>AD188*'損益分岐設定'!$E$58+AE188*'損益分岐設定'!$E$61+AF188*'損益分岐設定'!$E$64</x:f>
        <x:v>160</x:v>
      </x:c>
      <x:c r="AJ188" s="1" t="n">
        <x:f>(AD188*'損益分岐設定'!$F$58+AE188*'損益分岐設定'!$F$61+AF188*'損益分岐設定'!$F$64*1)*'損益分岐設定'!$B$22</x:f>
        <x:v>1800</x:v>
      </x:c>
      <x:c r="AK188" s="1" t="n">
        <x:f>AD188*'損益分岐設定'!$G$58+AE188*'損益分岐設定'!$G$61+AF188*'損益分岐設定'!$G$64</x:f>
        <x:v>1200</x:v>
      </x:c>
      <x:c r="AL188" s="1" t="n">
        <x:f>AD188*'損益分岐設定'!$H$58+AE188*'損益分岐設定'!$H$61+AF188*'損益分岐設定'!$H$64</x:f>
        <x:v>1366.6666666666667</x:v>
      </x:c>
      <x:c r="AM188" s="1" t="n">
        <x:f>MAX(1,ROUNDUP('損益分岐設定'!C37*AJ188/('損益分岐設定'!$B$23*'損益分岐設定'!$B$24*3600*'損益分岐設定'!$B$25),0))</x:f>
        <x:v>1</x:v>
      </x:c>
      <x:c r="AN188" s="1" t="n">
        <x:f>MAX(2,ROUNDUP('損益分岐設定'!C38*AJ188/('損益分岐設定'!$B$23*'損益分岐設定'!$B$24*3600*'損益分岐設定'!$B$25),0))</x:f>
        <x:v>2</x:v>
      </x:c>
      <x:c r="AO188" s="1" t="n">
        <x:f>MAX(2,ROUNDUP('損益分岐設定'!C39*AJ188/('損益分岐設定'!$B$23*'損益分岐設定'!$B$24*3600*'損益分岐設定'!$B$25),0))</x:f>
        <x:v>2</x:v>
      </x:c>
      <x:c r="AP188" s="1" t="n">
        <x:f>MAX(2,ROUNDUP('損益分岐設定'!C40*AJ188/('損益分岐設定'!$B$23*'損益分岐設定'!$B$24*3600*'損益分岐設定'!$B$25),0))</x:f>
        <x:v>4</x:v>
      </x:c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 ht="23" customHeight="1">
      <x:c r="A189" s="1" t="str">
        <x:v>Hybrid</x:v>
      </x:c>
      <x:c r="B189" s="1" t="str">
        <x:v>Starter</x:v>
      </x:c>
      <x:c r="C189" s="1" t="str">
        <x:v>高位</x:v>
      </x:c>
      <x:c r="D189" s="21" t="n">
        <x:v>0.3</x:v>
      </x:c>
      <x:c r="E189" s="1" t="n">
        <x:v>0</x:v>
      </x:c>
      <x:c r="F189" s="7" t="n">
        <x:f>AD189*'損益分岐設定'!$B$5+AE189*'損益分岐設定'!$B$6+AF189*'損益分岐設定'!$B$7</x:f>
        <x:v>3000</x:v>
      </x:c>
      <x:c r="G189" s="7" t="n">
        <x:f>AG189+(AH189+AI189)*('損益分岐設定'!$B$29+0.5*'損益分岐設定'!$B$30)+AK189*'損益分岐設定'!$B$33</x:f>
        <x:v>2517.333343220316</x:v>
      </x:c>
      <x:c r="H189" s="7" t="n">
        <x:f>AL189*E189</x:f>
        <x:v>0</x:v>
      </x:c>
      <x:c r="I189" s="7" t="n">
        <x:f>F189*(1-D189-'損益分岐設定'!$B$10)-G189-H189</x:f>
        <x:v>-525.333343220316</x:v>
      </x:c>
      <x:c r="J189" s="1" t="str">
        <x:f>IF(MIN(V189:Y189)&gt;1000,"範囲内なし",MIN(V189:Y189))</x:f>
        <x:v>範囲内なし</x:v>
      </x:c>
      <x:c r="K189" s="1" t="str">
        <x:f>IF(MAX(Z189:AC189)&gt;=1000,"範囲内なし",MAX(1,MAX(Z189:AC189)+1))</x:f>
        <x:v>範囲内なし</x:v>
      </x:c>
      <x:c r="L189" s="7" t="n">
        <x:f>10*I189-R189</x:f>
        <x:v>-40693.130122508475</x:v>
      </x:c>
      <x:c r="M189" s="7" t="n">
        <x:f>30*I189-S189</x:f>
        <x:v>-66139.59367722011</x:v>
      </x:c>
      <x:c r="N189" s="7" t="n">
        <x:f>50*I189-S189</x:f>
        <x:v>-76646.26054162643</x:v>
      </x:c>
      <x:c r="O189" s="7" t="n">
        <x:f>100*I189-S189</x:f>
        <x:v>-102912.92770264224</x:v>
      </x:c>
      <x:c r="P189" s="7" t="n">
        <x:f>300*I189-T189</x:f>
        <x:v>-229979.59634670542</x:v>
      </x:c>
      <x:c r="Q189" s="7" t="n">
        <x:f>1000*I189-U189</x:f>
        <x:v>-648592.5299815373</x:v>
      </x:c>
      <x:c r="R189" s="7" t="n">
        <x:f>'損益分岐設定'!$B$18+'損益分岐設定'!$B$19+'損益分岐設定'!$B$20+'損益分岐設定'!E37+'損益分岐設定'!D37+AM189*('損益分岐設定'!$B$15+'損益分岐設定'!$B$16)+'損益分岐設定'!$B$17+E189*('損益分岐設定'!$B$13+(AM189-1)*'損益分岐設定'!$B$14)*'損益分岐設定'!$B$11</x:f>
        <x:v>35439.79669030532</x:v>
      </x:c>
      <x:c r="S189" s="7" t="n">
        <x:f>'損益分岐設定'!$B$18+'損益分岐設定'!$B$19+'損益分岐設定'!$B$20+'損益分岐設定'!E38+'損益分岐設定'!D38+AN189*('損益分岐設定'!$B$15+'損益分岐設定'!$B$16)+'損益分岐設定'!$B$17+E189*('損益分岐設定'!$B$13+(AN189-1)*'損益分岐設定'!$B$14)*'損益分岐設定'!$B$11</x:f>
        <x:v>50379.59338061063</x:v>
      </x:c>
      <x:c r="T189" s="7" t="n">
        <x:f>'損益分岐設定'!$B$18+'損益分岐設定'!$B$19+'損益分岐設定'!$B$20+'損益分岐設定'!E39+'損益分岐設定'!D39+AO189*('損益分岐設定'!$B$15+'損益分岐設定'!$B$16)+'損益分岐設定'!$B$17+E189*('損益分岐設定'!$B$13+(AO189-1)*'損益分岐設定'!$B$14)*'損益分岐設定'!$B$11</x:f>
        <x:v>72379.59338061063</x:v>
      </x:c>
      <x:c r="U189" s="7" t="n">
        <x:f>'損益分岐設定'!$B$18+'損益分岐設定'!$B$19+'損益分岐設定'!$B$20+'損益分岐設定'!E40+'損益分岐設定'!D40+AP189*('損益分岐設定'!$B$15+'損益分岐設定'!$B$16)+'損益分岐設定'!$B$17+E189*('損益分岐設定'!$B$13+(AP189-1)*'損益分岐設定'!$B$14)*'損益分岐設定'!$B$11</x:f>
        <x:v>123259.18676122127</x:v>
      </x:c>
      <x:c r="V189" s="1" t="n">
        <x:f>IF(I189&lt;=0,1001,IF(MAX('損益分岐設定'!B37,ROUNDUP(R189/I189,0))&lt;='損益分岐設定'!C37,MAX('損益分岐設定'!B37,ROUNDUP(R189/I189,0)),1001))</x:f>
        <x:v>1001</x:v>
      </x:c>
      <x:c r="W189" s="1" t="n">
        <x:f>IF(I189&lt;=0,1001,IF(MAX('損益分岐設定'!B38,ROUNDUP(S189/I189,0))&lt;='損益分岐設定'!C38,MAX('損益分岐設定'!B38,ROUNDUP(S189/I189,0)),1001))</x:f>
        <x:v>1001</x:v>
      </x:c>
      <x:c r="X189" s="1" t="n">
        <x:f>IF(I189&lt;=0,1001,IF(MAX('損益分岐設定'!B39,ROUNDUP(T189/I189,0))&lt;='損益分岐設定'!C39,MAX('損益分岐設定'!B39,ROUNDUP(T189/I189,0)),1001))</x:f>
        <x:v>1001</x:v>
      </x:c>
      <x:c r="Y189" s="1" t="n">
        <x:f>IF(I189&lt;=0,1001,IF(MAX('損益分岐設定'!B40,ROUNDUP(U189/I189,0))&lt;='損益分岐設定'!C40,MAX('損益分岐設定'!B40,ROUNDUP(U189/I189,0)),1001))</x:f>
        <x:v>1001</x:v>
      </x:c>
      <x:c r="Z189" s="1" t="n">
        <x:f>IF(I189&lt;=0,'損益分岐設定'!C37,IF('損益分岐設定'!C37*I189-R189&lt;0,'損益分岐設定'!C37,IF('損益分岐設定'!B37*I189-R189&gt;=0,0,ROUNDUP(R189/I189,0)-1)))</x:f>
        <x:v>10</x:v>
      </x:c>
      <x:c r="AA189" s="1" t="n">
        <x:f>IF(I189&lt;=0,'損益分岐設定'!C38,IF('損益分岐設定'!C38*I189-S189&lt;0,'損益分岐設定'!C38,IF('損益分岐設定'!B38*I189-S189&gt;=0,0,ROUNDUP(S189/I189,0)-1)))</x:f>
        <x:v>100</x:v>
      </x:c>
      <x:c r="AB189" s="1" t="n">
        <x:f>IF(I189&lt;=0,'損益分岐設定'!C39,IF('損益分岐設定'!C39*I189-T189&lt;0,'損益分岐設定'!C39,IF('損益分岐設定'!B39*I189-T189&gt;=0,0,ROUNDUP(T189/I189,0)-1)))</x:f>
        <x:v>500</x:v>
      </x:c>
      <x:c r="AC189" s="1" t="n">
        <x:f>IF(I189&lt;=0,'損益分岐設定'!C40,IF('損益分岐設定'!C40*I189-U189&lt;0,'損益分岐設定'!C40,IF('損益分岐設定'!B40*I189-U189&gt;=0,0,ROUNDUP(U189/I189,0)-1)))</x:f>
        <x:v>1000</x:v>
      </x:c>
      <x:c r="AD189" s="1" t="n">
        <x:v>1</x:v>
      </x:c>
      <x:c r="AE189" s="1" t="n">
        <x:v>0</x:v>
      </x:c>
      <x:c r="AF189" s="1" t="n">
        <x:v>0</x:v>
      </x:c>
      <x:c r="AG189" s="1" t="n">
        <x:f>AD189*'損益分岐設定'!$C$58+AE189*'損益分岐設定'!$C$61+AF189*'損益分岐設定'!$C$64</x:f>
        <x:v>2516.1764477539064</x:v>
      </x:c>
      <x:c r="AH189" s="1" t="n">
        <x:f>AD189*'損益分岐設定'!$D$58+AE189*'損益分岐設定'!$D$61+AF189*'損益分岐設定'!$D$64</x:f>
        <x:v>120</x:v>
      </x:c>
      <x:c r="AI189" s="1" t="n">
        <x:f>AD189*'損益分岐設定'!$E$58+AE189*'損益分岐設定'!$E$61+AF189*'損益分岐設定'!$E$64</x:f>
        <x:v>160</x:v>
      </x:c>
      <x:c r="AJ189" s="1" t="n">
        <x:f>(AD189*'損益分岐設定'!$F$58+AE189*'損益分岐設定'!$F$61+AF189*'損益分岐設定'!$F$64*1)*'損益分岐設定'!$B$22</x:f>
        <x:v>1800</x:v>
      </x:c>
      <x:c r="AK189" s="1" t="n">
        <x:f>AD189*'損益分岐設定'!$G$58+AE189*'損益分岐設定'!$G$61+AF189*'損益分岐設定'!$G$64</x:f>
        <x:v>1200</x:v>
      </x:c>
      <x:c r="AL189" s="1" t="n">
        <x:f>AD189*'損益分岐設定'!$H$58+AE189*'損益分岐設定'!$H$61+AF189*'損益分岐設定'!$H$64</x:f>
        <x:v>1366.6666666666667</x:v>
      </x:c>
      <x:c r="AM189" s="1" t="n">
        <x:f>MAX(1,ROUNDUP('損益分岐設定'!C37*AJ189/('損益分岐設定'!$B$23*'損益分岐設定'!$B$24*3600*'損益分岐設定'!$B$25),0))</x:f>
        <x:v>1</x:v>
      </x:c>
      <x:c r="AN189" s="1" t="n">
        <x:f>MAX(2,ROUNDUP('損益分岐設定'!C38*AJ189/('損益分岐設定'!$B$23*'損益分岐設定'!$B$24*3600*'損益分岐設定'!$B$25),0))</x:f>
        <x:v>2</x:v>
      </x:c>
      <x:c r="AO189" s="1" t="n">
        <x:f>MAX(2,ROUNDUP('損益分岐設定'!C39*AJ189/('損益分岐設定'!$B$23*'損益分岐設定'!$B$24*3600*'損益分岐設定'!$B$25),0))</x:f>
        <x:v>2</x:v>
      </x:c>
      <x:c r="AP189" s="1" t="n">
        <x:f>MAX(2,ROUNDUP('損益分岐設定'!C40*AJ189/('損益分岐設定'!$B$23*'損益分岐設定'!$B$24*3600*'損益分岐設定'!$B$25),0))</x:f>
        <x:v>4</x:v>
      </x:c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 ht="23" customHeight="1">
      <x:c r="A190" s="1" t="str">
        <x:v>Hybrid</x:v>
      </x:c>
      <x:c r="B190" s="1" t="str">
        <x:v>Starter</x:v>
      </x:c>
      <x:c r="C190" s="1" t="str">
        <x:v>高位</x:v>
      </x:c>
      <x:c r="D190" s="21" t="n">
        <x:v>0.3</x:v>
      </x:c>
      <x:c r="E190" s="1" t="n">
        <x:v>1</x:v>
      </x:c>
      <x:c r="F190" s="7" t="n">
        <x:f>AD190*'損益分岐設定'!$B$5+AE190*'損益分岐設定'!$B$6+AF190*'損益分岐設定'!$B$7</x:f>
        <x:v>3000</x:v>
      </x:c>
      <x:c r="G190" s="7" t="n">
        <x:f>AG190+(AH190+AI190)*('損益分岐設定'!$B$29+0.5*'損益分岐設定'!$B$30)+AK190*'損益分岐設定'!$B$33</x:f>
        <x:v>2517.333343220316</x:v>
      </x:c>
      <x:c r="H190" s="7" t="n">
        <x:f>AL190*E190</x:f>
        <x:v>1366.6666666666667</x:v>
      </x:c>
      <x:c r="I190" s="7" t="n">
        <x:f>F190*(1-D190-'損益分岐設定'!$B$10)-G190-H190</x:f>
        <x:v>-1892.0000098869828</x:v>
      </x:c>
      <x:c r="J190" s="1" t="str">
        <x:f>IF(MIN(V190:Y190)&gt;1000,"範囲内なし",MIN(V190:Y190))</x:f>
        <x:v>範囲内なし</x:v>
      </x:c>
      <x:c r="K190" s="1" t="str">
        <x:f>IF(MAX(Z190:AC190)&gt;=1000,"範囲内なし",MAX(1,MAX(Z190:AC190)+1))</x:f>
        <x:v>範囲内なし</x:v>
      </x:c>
      <x:c r="L190" s="7" t="n">
        <x:f>10*I190-R190</x:f>
        <x:v>-70359.79678917515</x:v>
      </x:c>
      <x:c r="M190" s="7" t="n">
        <x:f>30*I190-S190</x:f>
        <x:v>-125139.59367722011</x:v>
      </x:c>
      <x:c r="N190" s="7" t="n">
        <x:f>50*I190-S190</x:f>
        <x:v>-162979.59387495977</x:v>
      </x:c>
      <x:c r="O190" s="7" t="n">
        <x:f>100*I190-S190</x:f>
        <x:v>-257579.5943693089</x:v>
      </x:c>
      <x:c r="P190" s="7" t="n">
        <x:f>300*I190-T190</x:f>
        <x:v>-657979.5963467055</x:v>
      </x:c>
      <x:c r="Q190" s="7" t="n">
        <x:f>1000*I190-U190</x:f>
        <x:v>-2037259.1966482042</x:v>
      </x:c>
      <x:c r="R190" s="7" t="n">
        <x:f>'損益分岐設定'!$B$18+'損益分岐設定'!$B$19+'損益分岐設定'!$B$20+'損益分岐設定'!E37+'損益分岐設定'!D37+AM190*('損益分岐設定'!$B$15+'損益分岐設定'!$B$16)+'損益分岐設定'!$B$17+E190*('損益分岐設定'!$B$13+(AM190-1)*'損益分岐設定'!$B$14)*'損益分岐設定'!$B$11</x:f>
        <x:v>51439.79669030532</x:v>
      </x:c>
      <x:c r="S190" s="7" t="n">
        <x:f>'損益分岐設定'!$B$18+'損益分岐設定'!$B$19+'損益分岐設定'!$B$20+'損益分岐設定'!E38+'損益分岐設定'!D38+AN190*('損益分岐設定'!$B$15+'損益分岐設定'!$B$16)+'損益分岐設定'!$B$17+E190*('損益分岐設定'!$B$13+(AN190-1)*'損益分岐設定'!$B$14)*'損益分岐設定'!$B$11</x:f>
        <x:v>68379.59338061063</x:v>
      </x:c>
      <x:c r="T190" s="7" t="n">
        <x:f>'損益分岐設定'!$B$18+'損益分岐設定'!$B$19+'損益分岐設定'!$B$20+'損益分岐設定'!E39+'損益分岐設定'!D39+AO190*('損益分岐設定'!$B$15+'損益分岐設定'!$B$16)+'損益分岐設定'!$B$17+E190*('損益分岐設定'!$B$13+(AO190-1)*'損益分岐設定'!$B$14)*'損益分岐設定'!$B$11</x:f>
        <x:v>90379.59338061063</x:v>
      </x:c>
      <x:c r="U190" s="7" t="n">
        <x:f>'損益分岐設定'!$B$18+'損益分岐設定'!$B$19+'損益分岐設定'!$B$20+'損益分岐設定'!E40+'損益分岐設定'!D40+AP190*('損益分岐設定'!$B$15+'損益分岐設定'!$B$16)+'損益分岐設定'!$B$17+E190*('損益分岐設定'!$B$13+(AP190-1)*'損益分岐設定'!$B$14)*'損益分岐設定'!$B$11</x:f>
        <x:v>145259.18676122127</x:v>
      </x:c>
      <x:c r="V190" s="1" t="n">
        <x:f>IF(I190&lt;=0,1001,IF(MAX('損益分岐設定'!B37,ROUNDUP(R190/I190,0))&lt;='損益分岐設定'!C37,MAX('損益分岐設定'!B37,ROUNDUP(R190/I190,0)),1001))</x:f>
        <x:v>1001</x:v>
      </x:c>
      <x:c r="W190" s="1" t="n">
        <x:f>IF(I190&lt;=0,1001,IF(MAX('損益分岐設定'!B38,ROUNDUP(S190/I190,0))&lt;='損益分岐設定'!C38,MAX('損益分岐設定'!B38,ROUNDUP(S190/I190,0)),1001))</x:f>
        <x:v>1001</x:v>
      </x:c>
      <x:c r="X190" s="1" t="n">
        <x:f>IF(I190&lt;=0,1001,IF(MAX('損益分岐設定'!B39,ROUNDUP(T190/I190,0))&lt;='損益分岐設定'!C39,MAX('損益分岐設定'!B39,ROUNDUP(T190/I190,0)),1001))</x:f>
        <x:v>1001</x:v>
      </x:c>
      <x:c r="Y190" s="1" t="n">
        <x:f>IF(I190&lt;=0,1001,IF(MAX('損益分岐設定'!B40,ROUNDUP(U190/I190,0))&lt;='損益分岐設定'!C40,MAX('損益分岐設定'!B40,ROUNDUP(U190/I190,0)),1001))</x:f>
        <x:v>1001</x:v>
      </x:c>
      <x:c r="Z190" s="1" t="n">
        <x:f>IF(I190&lt;=0,'損益分岐設定'!C37,IF('損益分岐設定'!C37*I190-R190&lt;0,'損益分岐設定'!C37,IF('損益分岐設定'!B37*I190-R190&gt;=0,0,ROUNDUP(R190/I190,0)-1)))</x:f>
        <x:v>10</x:v>
      </x:c>
      <x:c r="AA190" s="1" t="n">
        <x:f>IF(I190&lt;=0,'損益分岐設定'!C38,IF('損益分岐設定'!C38*I190-S190&lt;0,'損益分岐設定'!C38,IF('損益分岐設定'!B38*I190-S190&gt;=0,0,ROUNDUP(S190/I190,0)-1)))</x:f>
        <x:v>100</x:v>
      </x:c>
      <x:c r="AB190" s="1" t="n">
        <x:f>IF(I190&lt;=0,'損益分岐設定'!C39,IF('損益分岐設定'!C39*I190-T190&lt;0,'損益分岐設定'!C39,IF('損益分岐設定'!B39*I190-T190&gt;=0,0,ROUNDUP(T190/I190,0)-1)))</x:f>
        <x:v>500</x:v>
      </x:c>
      <x:c r="AC190" s="1" t="n">
        <x:f>IF(I190&lt;=0,'損益分岐設定'!C40,IF('損益分岐設定'!C40*I190-U190&lt;0,'損益分岐設定'!C40,IF('損益分岐設定'!B40*I190-U190&gt;=0,0,ROUNDUP(U190/I190,0)-1)))</x:f>
        <x:v>1000</x:v>
      </x:c>
      <x:c r="AD190" s="1" t="n">
        <x:v>1</x:v>
      </x:c>
      <x:c r="AE190" s="1" t="n">
        <x:v>0</x:v>
      </x:c>
      <x:c r="AF190" s="1" t="n">
        <x:v>0</x:v>
      </x:c>
      <x:c r="AG190" s="1" t="n">
        <x:f>AD190*'損益分岐設定'!$C$58+AE190*'損益分岐設定'!$C$61+AF190*'損益分岐設定'!$C$64</x:f>
        <x:v>2516.1764477539064</x:v>
      </x:c>
      <x:c r="AH190" s="1" t="n">
        <x:f>AD190*'損益分岐設定'!$D$58+AE190*'損益分岐設定'!$D$61+AF190*'損益分岐設定'!$D$64</x:f>
        <x:v>120</x:v>
      </x:c>
      <x:c r="AI190" s="1" t="n">
        <x:f>AD190*'損益分岐設定'!$E$58+AE190*'損益分岐設定'!$E$61+AF190*'損益分岐設定'!$E$64</x:f>
        <x:v>160</x:v>
      </x:c>
      <x:c r="AJ190" s="1" t="n">
        <x:f>(AD190*'損益分岐設定'!$F$58+AE190*'損益分岐設定'!$F$61+AF190*'損益分岐設定'!$F$64*1)*'損益分岐設定'!$B$22</x:f>
        <x:v>1800</x:v>
      </x:c>
      <x:c r="AK190" s="1" t="n">
        <x:f>AD190*'損益分岐設定'!$G$58+AE190*'損益分岐設定'!$G$61+AF190*'損益分岐設定'!$G$64</x:f>
        <x:v>1200</x:v>
      </x:c>
      <x:c r="AL190" s="1" t="n">
        <x:f>AD190*'損益分岐設定'!$H$58+AE190*'損益分岐設定'!$H$61+AF190*'損益分岐設定'!$H$64</x:f>
        <x:v>1366.6666666666667</x:v>
      </x:c>
      <x:c r="AM190" s="1" t="n">
        <x:f>MAX(1,ROUNDUP('損益分岐設定'!C37*AJ190/('損益分岐設定'!$B$23*'損益分岐設定'!$B$24*3600*'損益分岐設定'!$B$25),0))</x:f>
        <x:v>1</x:v>
      </x:c>
      <x:c r="AN190" s="1" t="n">
        <x:f>MAX(2,ROUNDUP('損益分岐設定'!C38*AJ190/('損益分岐設定'!$B$23*'損益分岐設定'!$B$24*3600*'損益分岐設定'!$B$25),0))</x:f>
        <x:v>2</x:v>
      </x:c>
      <x:c r="AO190" s="1" t="n">
        <x:f>MAX(2,ROUNDUP('損益分岐設定'!C39*AJ190/('損益分岐設定'!$B$23*'損益分岐設定'!$B$24*3600*'損益分岐設定'!$B$25),0))</x:f>
        <x:v>2</x:v>
      </x:c>
      <x:c r="AP190" s="1" t="n">
        <x:f>MAX(2,ROUNDUP('損益分岐設定'!C40*AJ190/('損益分岐設定'!$B$23*'損益分岐設定'!$B$24*3600*'損益分岐設定'!$B$25),0))</x:f>
        <x:v>4</x:v>
      </x:c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 ht="23" customHeight="1">
      <x:c r="A191" s="1" t="str">
        <x:v>Hybrid</x:v>
      </x:c>
      <x:c r="B191" s="1" t="str">
        <x:v>Starter</x:v>
      </x:c>
      <x:c r="C191" s="1" t="str">
        <x:v>高位</x:v>
      </x:c>
      <x:c r="D191" s="21" t="n">
        <x:v>0.4</x:v>
      </x:c>
      <x:c r="E191" s="1" t="n">
        <x:v>0</x:v>
      </x:c>
      <x:c r="F191" s="7" t="n">
        <x:f>AD191*'損益分岐設定'!$B$5+AE191*'損益分岐設定'!$B$6+AF191*'損益分岐設定'!$B$7</x:f>
        <x:v>3000</x:v>
      </x:c>
      <x:c r="G191" s="7" t="n">
        <x:f>AG191+(AH191+AI191)*('損益分岐設定'!$B$29+0.5*'損益分岐設定'!$B$30)+AK191*'損益分岐設定'!$B$33</x:f>
        <x:v>2517.333343220316</x:v>
      </x:c>
      <x:c r="H191" s="7" t="n">
        <x:f>AL191*E191</x:f>
        <x:v>0</x:v>
      </x:c>
      <x:c r="I191" s="7" t="n">
        <x:f>F191*(1-D191-'損益分岐設定'!$B$10)-G191-H191</x:f>
        <x:v>-825.333343220316</x:v>
      </x:c>
      <x:c r="J191" s="1" t="str">
        <x:f>IF(MIN(V191:Y191)&gt;1000,"範囲内なし",MIN(V191:Y191))</x:f>
        <x:v>範囲内なし</x:v>
      </x:c>
      <x:c r="K191" s="1" t="str">
        <x:f>IF(MAX(Z191:AC191)&gt;=1000,"範囲内なし",MAX(1,MAX(Z191:AC191)+1))</x:f>
        <x:v>範囲内なし</x:v>
      </x:c>
      <x:c r="L191" s="7" t="n">
        <x:f>10*I191-R191</x:f>
        <x:v>-43693.130122508475</x:v>
      </x:c>
      <x:c r="M191" s="7" t="n">
        <x:f>30*I191-S191</x:f>
        <x:v>-75139.59367722011</x:v>
      </x:c>
      <x:c r="N191" s="7" t="n">
        <x:f>50*I191-S191</x:f>
        <x:v>-91646.26054162643</x:v>
      </x:c>
      <x:c r="O191" s="7" t="n">
        <x:f>100*I191-S191</x:f>
        <x:v>-132912.92770264222</x:v>
      </x:c>
      <x:c r="P191" s="7" t="n">
        <x:f>300*I191-T191</x:f>
        <x:v>-319979.59634670545</x:v>
      </x:c>
      <x:c r="Q191" s="7" t="n">
        <x:f>1000*I191-U191</x:f>
        <x:v>-948592.5299815373</x:v>
      </x:c>
      <x:c r="R191" s="7" t="n">
        <x:f>'損益分岐設定'!$B$18+'損益分岐設定'!$B$19+'損益分岐設定'!$B$20+'損益分岐設定'!E37+'損益分岐設定'!D37+AM191*('損益分岐設定'!$B$15+'損益分岐設定'!$B$16)+'損益分岐設定'!$B$17+E191*('損益分岐設定'!$B$13+(AM191-1)*'損益分岐設定'!$B$14)*'損益分岐設定'!$B$11</x:f>
        <x:v>35439.79669030532</x:v>
      </x:c>
      <x:c r="S191" s="7" t="n">
        <x:f>'損益分岐設定'!$B$18+'損益分岐設定'!$B$19+'損益分岐設定'!$B$20+'損益分岐設定'!E38+'損益分岐設定'!D38+AN191*('損益分岐設定'!$B$15+'損益分岐設定'!$B$16)+'損益分岐設定'!$B$17+E191*('損益分岐設定'!$B$13+(AN191-1)*'損益分岐設定'!$B$14)*'損益分岐設定'!$B$11</x:f>
        <x:v>50379.59338061063</x:v>
      </x:c>
      <x:c r="T191" s="7" t="n">
        <x:f>'損益分岐設定'!$B$18+'損益分岐設定'!$B$19+'損益分岐設定'!$B$20+'損益分岐設定'!E39+'損益分岐設定'!D39+AO191*('損益分岐設定'!$B$15+'損益分岐設定'!$B$16)+'損益分岐設定'!$B$17+E191*('損益分岐設定'!$B$13+(AO191-1)*'損益分岐設定'!$B$14)*'損益分岐設定'!$B$11</x:f>
        <x:v>72379.59338061063</x:v>
      </x:c>
      <x:c r="U191" s="7" t="n">
        <x:f>'損益分岐設定'!$B$18+'損益分岐設定'!$B$19+'損益分岐設定'!$B$20+'損益分岐設定'!E40+'損益分岐設定'!D40+AP191*('損益分岐設定'!$B$15+'損益分岐設定'!$B$16)+'損益分岐設定'!$B$17+E191*('損益分岐設定'!$B$13+(AP191-1)*'損益分岐設定'!$B$14)*'損益分岐設定'!$B$11</x:f>
        <x:v>123259.18676122127</x:v>
      </x:c>
      <x:c r="V191" s="1" t="n">
        <x:f>IF(I191&lt;=0,1001,IF(MAX('損益分岐設定'!B37,ROUNDUP(R191/I191,0))&lt;='損益分岐設定'!C37,MAX('損益分岐設定'!B37,ROUNDUP(R191/I191,0)),1001))</x:f>
        <x:v>1001</x:v>
      </x:c>
      <x:c r="W191" s="1" t="n">
        <x:f>IF(I191&lt;=0,1001,IF(MAX('損益分岐設定'!B38,ROUNDUP(S191/I191,0))&lt;='損益分岐設定'!C38,MAX('損益分岐設定'!B38,ROUNDUP(S191/I191,0)),1001))</x:f>
        <x:v>1001</x:v>
      </x:c>
      <x:c r="X191" s="1" t="n">
        <x:f>IF(I191&lt;=0,1001,IF(MAX('損益分岐設定'!B39,ROUNDUP(T191/I191,0))&lt;='損益分岐設定'!C39,MAX('損益分岐設定'!B39,ROUNDUP(T191/I191,0)),1001))</x:f>
        <x:v>1001</x:v>
      </x:c>
      <x:c r="Y191" s="1" t="n">
        <x:f>IF(I191&lt;=0,1001,IF(MAX('損益分岐設定'!B40,ROUNDUP(U191/I191,0))&lt;='損益分岐設定'!C40,MAX('損益分岐設定'!B40,ROUNDUP(U191/I191,0)),1001))</x:f>
        <x:v>1001</x:v>
      </x:c>
      <x:c r="Z191" s="1" t="n">
        <x:f>IF(I191&lt;=0,'損益分岐設定'!C37,IF('損益分岐設定'!C37*I191-R191&lt;0,'損益分岐設定'!C37,IF('損益分岐設定'!B37*I191-R191&gt;=0,0,ROUNDUP(R191/I191,0)-1)))</x:f>
        <x:v>10</x:v>
      </x:c>
      <x:c r="AA191" s="1" t="n">
        <x:f>IF(I191&lt;=0,'損益分岐設定'!C38,IF('損益分岐設定'!C38*I191-S191&lt;0,'損益分岐設定'!C38,IF('損益分岐設定'!B38*I191-S191&gt;=0,0,ROUNDUP(S191/I191,0)-1)))</x:f>
        <x:v>100</x:v>
      </x:c>
      <x:c r="AB191" s="1" t="n">
        <x:f>IF(I191&lt;=0,'損益分岐設定'!C39,IF('損益分岐設定'!C39*I191-T191&lt;0,'損益分岐設定'!C39,IF('損益分岐設定'!B39*I191-T191&gt;=0,0,ROUNDUP(T191/I191,0)-1)))</x:f>
        <x:v>500</x:v>
      </x:c>
      <x:c r="AC191" s="1" t="n">
        <x:f>IF(I191&lt;=0,'損益分岐設定'!C40,IF('損益分岐設定'!C40*I191-U191&lt;0,'損益分岐設定'!C40,IF('損益分岐設定'!B40*I191-U191&gt;=0,0,ROUNDUP(U191/I191,0)-1)))</x:f>
        <x:v>1000</x:v>
      </x:c>
      <x:c r="AD191" s="1" t="n">
        <x:v>1</x:v>
      </x:c>
      <x:c r="AE191" s="1" t="n">
        <x:v>0</x:v>
      </x:c>
      <x:c r="AF191" s="1" t="n">
        <x:v>0</x:v>
      </x:c>
      <x:c r="AG191" s="1" t="n">
        <x:f>AD191*'損益分岐設定'!$C$58+AE191*'損益分岐設定'!$C$61+AF191*'損益分岐設定'!$C$64</x:f>
        <x:v>2516.1764477539064</x:v>
      </x:c>
      <x:c r="AH191" s="1" t="n">
        <x:f>AD191*'損益分岐設定'!$D$58+AE191*'損益分岐設定'!$D$61+AF191*'損益分岐設定'!$D$64</x:f>
        <x:v>120</x:v>
      </x:c>
      <x:c r="AI191" s="1" t="n">
        <x:f>AD191*'損益分岐設定'!$E$58+AE191*'損益分岐設定'!$E$61+AF191*'損益分岐設定'!$E$64</x:f>
        <x:v>160</x:v>
      </x:c>
      <x:c r="AJ191" s="1" t="n">
        <x:f>(AD191*'損益分岐設定'!$F$58+AE191*'損益分岐設定'!$F$61+AF191*'損益分岐設定'!$F$64*1)*'損益分岐設定'!$B$22</x:f>
        <x:v>1800</x:v>
      </x:c>
      <x:c r="AK191" s="1" t="n">
        <x:f>AD191*'損益分岐設定'!$G$58+AE191*'損益分岐設定'!$G$61+AF191*'損益分岐設定'!$G$64</x:f>
        <x:v>1200</x:v>
      </x:c>
      <x:c r="AL191" s="1" t="n">
        <x:f>AD191*'損益分岐設定'!$H$58+AE191*'損益分岐設定'!$H$61+AF191*'損益分岐設定'!$H$64</x:f>
        <x:v>1366.6666666666667</x:v>
      </x:c>
      <x:c r="AM191" s="1" t="n">
        <x:f>MAX(1,ROUNDUP('損益分岐設定'!C37*AJ191/('損益分岐設定'!$B$23*'損益分岐設定'!$B$24*3600*'損益分岐設定'!$B$25),0))</x:f>
        <x:v>1</x:v>
      </x:c>
      <x:c r="AN191" s="1" t="n">
        <x:f>MAX(2,ROUNDUP('損益分岐設定'!C38*AJ191/('損益分岐設定'!$B$23*'損益分岐設定'!$B$24*3600*'損益分岐設定'!$B$25),0))</x:f>
        <x:v>2</x:v>
      </x:c>
      <x:c r="AO191" s="1" t="n">
        <x:f>MAX(2,ROUNDUP('損益分岐設定'!C39*AJ191/('損益分岐設定'!$B$23*'損益分岐設定'!$B$24*3600*'損益分岐設定'!$B$25),0))</x:f>
        <x:v>2</x:v>
      </x:c>
      <x:c r="AP191" s="1" t="n">
        <x:f>MAX(2,ROUNDUP('損益分岐設定'!C40*AJ191/('損益分岐設定'!$B$23*'損益分岐設定'!$B$24*3600*'損益分岐設定'!$B$25),0))</x:f>
        <x:v>4</x:v>
      </x:c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 ht="23" customHeight="1">
      <x:c r="A192" s="1" t="str">
        <x:v>Hybrid</x:v>
      </x:c>
      <x:c r="B192" s="1" t="str">
        <x:v>Starter</x:v>
      </x:c>
      <x:c r="C192" s="1" t="str">
        <x:v>高位</x:v>
      </x:c>
      <x:c r="D192" s="21" t="n">
        <x:v>0.4</x:v>
      </x:c>
      <x:c r="E192" s="1" t="n">
        <x:v>1</x:v>
      </x:c>
      <x:c r="F192" s="7" t="n">
        <x:f>AD192*'損益分岐設定'!$B$5+AE192*'損益分岐設定'!$B$6+AF192*'損益分岐設定'!$B$7</x:f>
        <x:v>3000</x:v>
      </x:c>
      <x:c r="G192" s="7" t="n">
        <x:f>AG192+(AH192+AI192)*('損益分岐設定'!$B$29+0.5*'損益分岐設定'!$B$30)+AK192*'損益分岐設定'!$B$33</x:f>
        <x:v>2517.333343220316</x:v>
      </x:c>
      <x:c r="H192" s="7" t="n">
        <x:f>AL192*E192</x:f>
        <x:v>1366.6666666666667</x:v>
      </x:c>
      <x:c r="I192" s="7" t="n">
        <x:f>F192*(1-D192-'損益分岐設定'!$B$10)-G192-H192</x:f>
        <x:v>-2192.0000098869828</x:v>
      </x:c>
      <x:c r="J192" s="1" t="str">
        <x:f>IF(MIN(V192:Y192)&gt;1000,"範囲内なし",MIN(V192:Y192))</x:f>
        <x:v>範囲内なし</x:v>
      </x:c>
      <x:c r="K192" s="1" t="str">
        <x:f>IF(MAX(Z192:AC192)&gt;=1000,"範囲内なし",MAX(1,MAX(Z192:AC192)+1))</x:f>
        <x:v>範囲内なし</x:v>
      </x:c>
      <x:c r="L192" s="7" t="n">
        <x:f>10*I192-R192</x:f>
        <x:v>-73359.79678917515</x:v>
      </x:c>
      <x:c r="M192" s="7" t="n">
        <x:f>30*I192-S192</x:f>
        <x:v>-134139.5936772201</x:v>
      </x:c>
      <x:c r="N192" s="7" t="n">
        <x:f>50*I192-S192</x:f>
        <x:v>-177979.59387495977</x:v>
      </x:c>
      <x:c r="O192" s="7" t="n">
        <x:f>100*I192-S192</x:f>
        <x:v>-287579.5943693089</x:v>
      </x:c>
      <x:c r="P192" s="7" t="n">
        <x:f>300*I192-T192</x:f>
        <x:v>-747979.5963467055</x:v>
      </x:c>
      <x:c r="Q192" s="7" t="n">
        <x:f>1000*I192-U192</x:f>
        <x:v>-2337259.1966482042</x:v>
      </x:c>
      <x:c r="R192" s="7" t="n">
        <x:f>'損益分岐設定'!$B$18+'損益分岐設定'!$B$19+'損益分岐設定'!$B$20+'損益分岐設定'!E37+'損益分岐設定'!D37+AM192*('損益分岐設定'!$B$15+'損益分岐設定'!$B$16)+'損益分岐設定'!$B$17+E192*('損益分岐設定'!$B$13+(AM192-1)*'損益分岐設定'!$B$14)*'損益分岐設定'!$B$11</x:f>
        <x:v>51439.79669030532</x:v>
      </x:c>
      <x:c r="S192" s="7" t="n">
        <x:f>'損益分岐設定'!$B$18+'損益分岐設定'!$B$19+'損益分岐設定'!$B$20+'損益分岐設定'!E38+'損益分岐設定'!D38+AN192*('損益分岐設定'!$B$15+'損益分岐設定'!$B$16)+'損益分岐設定'!$B$17+E192*('損益分岐設定'!$B$13+(AN192-1)*'損益分岐設定'!$B$14)*'損益分岐設定'!$B$11</x:f>
        <x:v>68379.59338061063</x:v>
      </x:c>
      <x:c r="T192" s="7" t="n">
        <x:f>'損益分岐設定'!$B$18+'損益分岐設定'!$B$19+'損益分岐設定'!$B$20+'損益分岐設定'!E39+'損益分岐設定'!D39+AO192*('損益分岐設定'!$B$15+'損益分岐設定'!$B$16)+'損益分岐設定'!$B$17+E192*('損益分岐設定'!$B$13+(AO192-1)*'損益分岐設定'!$B$14)*'損益分岐設定'!$B$11</x:f>
        <x:v>90379.59338061063</x:v>
      </x:c>
      <x:c r="U192" s="7" t="n">
        <x:f>'損益分岐設定'!$B$18+'損益分岐設定'!$B$19+'損益分岐設定'!$B$20+'損益分岐設定'!E40+'損益分岐設定'!D40+AP192*('損益分岐設定'!$B$15+'損益分岐設定'!$B$16)+'損益分岐設定'!$B$17+E192*('損益分岐設定'!$B$13+(AP192-1)*'損益分岐設定'!$B$14)*'損益分岐設定'!$B$11</x:f>
        <x:v>145259.18676122127</x:v>
      </x:c>
      <x:c r="V192" s="1" t="n">
        <x:f>IF(I192&lt;=0,1001,IF(MAX('損益分岐設定'!B37,ROUNDUP(R192/I192,0))&lt;='損益分岐設定'!C37,MAX('損益分岐設定'!B37,ROUNDUP(R192/I192,0)),1001))</x:f>
        <x:v>1001</x:v>
      </x:c>
      <x:c r="W192" s="1" t="n">
        <x:f>IF(I192&lt;=0,1001,IF(MAX('損益分岐設定'!B38,ROUNDUP(S192/I192,0))&lt;='損益分岐設定'!C38,MAX('損益分岐設定'!B38,ROUNDUP(S192/I192,0)),1001))</x:f>
        <x:v>1001</x:v>
      </x:c>
      <x:c r="X192" s="1" t="n">
        <x:f>IF(I192&lt;=0,1001,IF(MAX('損益分岐設定'!B39,ROUNDUP(T192/I192,0))&lt;='損益分岐設定'!C39,MAX('損益分岐設定'!B39,ROUNDUP(T192/I192,0)),1001))</x:f>
        <x:v>1001</x:v>
      </x:c>
      <x:c r="Y192" s="1" t="n">
        <x:f>IF(I192&lt;=0,1001,IF(MAX('損益分岐設定'!B40,ROUNDUP(U192/I192,0))&lt;='損益分岐設定'!C40,MAX('損益分岐設定'!B40,ROUNDUP(U192/I192,0)),1001))</x:f>
        <x:v>1001</x:v>
      </x:c>
      <x:c r="Z192" s="1" t="n">
        <x:f>IF(I192&lt;=0,'損益分岐設定'!C37,IF('損益分岐設定'!C37*I192-R192&lt;0,'損益分岐設定'!C37,IF('損益分岐設定'!B37*I192-R192&gt;=0,0,ROUNDUP(R192/I192,0)-1)))</x:f>
        <x:v>10</x:v>
      </x:c>
      <x:c r="AA192" s="1" t="n">
        <x:f>IF(I192&lt;=0,'損益分岐設定'!C38,IF('損益分岐設定'!C38*I192-S192&lt;0,'損益分岐設定'!C38,IF('損益分岐設定'!B38*I192-S192&gt;=0,0,ROUNDUP(S192/I192,0)-1)))</x:f>
        <x:v>100</x:v>
      </x:c>
      <x:c r="AB192" s="1" t="n">
        <x:f>IF(I192&lt;=0,'損益分岐設定'!C39,IF('損益分岐設定'!C39*I192-T192&lt;0,'損益分岐設定'!C39,IF('損益分岐設定'!B39*I192-T192&gt;=0,0,ROUNDUP(T192/I192,0)-1)))</x:f>
        <x:v>500</x:v>
      </x:c>
      <x:c r="AC192" s="1" t="n">
        <x:f>IF(I192&lt;=0,'損益分岐設定'!C40,IF('損益分岐設定'!C40*I192-U192&lt;0,'損益分岐設定'!C40,IF('損益分岐設定'!B40*I192-U192&gt;=0,0,ROUNDUP(U192/I192,0)-1)))</x:f>
        <x:v>1000</x:v>
      </x:c>
      <x:c r="AD192" s="1" t="n">
        <x:v>1</x:v>
      </x:c>
      <x:c r="AE192" s="1" t="n">
        <x:v>0</x:v>
      </x:c>
      <x:c r="AF192" s="1" t="n">
        <x:v>0</x:v>
      </x:c>
      <x:c r="AG192" s="1" t="n">
        <x:f>AD192*'損益分岐設定'!$C$58+AE192*'損益分岐設定'!$C$61+AF192*'損益分岐設定'!$C$64</x:f>
        <x:v>2516.1764477539064</x:v>
      </x:c>
      <x:c r="AH192" s="1" t="n">
        <x:f>AD192*'損益分岐設定'!$D$58+AE192*'損益分岐設定'!$D$61+AF192*'損益分岐設定'!$D$64</x:f>
        <x:v>120</x:v>
      </x:c>
      <x:c r="AI192" s="1" t="n">
        <x:f>AD192*'損益分岐設定'!$E$58+AE192*'損益分岐設定'!$E$61+AF192*'損益分岐設定'!$E$64</x:f>
        <x:v>160</x:v>
      </x:c>
      <x:c r="AJ192" s="1" t="n">
        <x:f>(AD192*'損益分岐設定'!$F$58+AE192*'損益分岐設定'!$F$61+AF192*'損益分岐設定'!$F$64*1)*'損益分岐設定'!$B$22</x:f>
        <x:v>1800</x:v>
      </x:c>
      <x:c r="AK192" s="1" t="n">
        <x:f>AD192*'損益分岐設定'!$G$58+AE192*'損益分岐設定'!$G$61+AF192*'損益分岐設定'!$G$64</x:f>
        <x:v>1200</x:v>
      </x:c>
      <x:c r="AL192" s="1" t="n">
        <x:f>AD192*'損益分岐設定'!$H$58+AE192*'損益分岐設定'!$H$61+AF192*'損益分岐設定'!$H$64</x:f>
        <x:v>1366.6666666666667</x:v>
      </x:c>
      <x:c r="AM192" s="1" t="n">
        <x:f>MAX(1,ROUNDUP('損益分岐設定'!C37*AJ192/('損益分岐設定'!$B$23*'損益分岐設定'!$B$24*3600*'損益分岐設定'!$B$25),0))</x:f>
        <x:v>1</x:v>
      </x:c>
      <x:c r="AN192" s="1" t="n">
        <x:f>MAX(2,ROUNDUP('損益分岐設定'!C38*AJ192/('損益分岐設定'!$B$23*'損益分岐設定'!$B$24*3600*'損益分岐設定'!$B$25),0))</x:f>
        <x:v>2</x:v>
      </x:c>
      <x:c r="AO192" s="1" t="n">
        <x:f>MAX(2,ROUNDUP('損益分岐設定'!C39*AJ192/('損益分岐設定'!$B$23*'損益分岐設定'!$B$24*3600*'損益分岐設定'!$B$25),0))</x:f>
        <x:v>2</x:v>
      </x:c>
      <x:c r="AP192" s="1" t="n">
        <x:f>MAX(2,ROUNDUP('損益分岐設定'!C40*AJ192/('損益分岐設定'!$B$23*'損益分岐設定'!$B$24*3600*'損益分岐設定'!$B$25),0))</x:f>
        <x:v>4</x:v>
      </x:c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 ht="23" customHeight="1">
      <x:c r="A193" s="1" t="str">
        <x:v>Hybrid</x:v>
      </x:c>
      <x:c r="B193" s="1" t="str">
        <x:v>Starter</x:v>
      </x:c>
      <x:c r="C193" s="1" t="str">
        <x:v>高位</x:v>
      </x:c>
      <x:c r="D193" s="21" t="n">
        <x:v>0.5</x:v>
      </x:c>
      <x:c r="E193" s="1" t="n">
        <x:v>0</x:v>
      </x:c>
      <x:c r="F193" s="7" t="n">
        <x:f>AD193*'損益分岐設定'!$B$5+AE193*'損益分岐設定'!$B$6+AF193*'損益分岐設定'!$B$7</x:f>
        <x:v>3000</x:v>
      </x:c>
      <x:c r="G193" s="7" t="n">
        <x:f>AG193+(AH193+AI193)*('損益分岐設定'!$B$29+0.5*'損益分岐設定'!$B$30)+AK193*'損益分岐設定'!$B$33</x:f>
        <x:v>2517.333343220316</x:v>
      </x:c>
      <x:c r="H193" s="7" t="n">
        <x:f>AL193*E193</x:f>
        <x:v>0</x:v>
      </x:c>
      <x:c r="I193" s="7" t="n">
        <x:f>F193*(1-D193-'損益分岐設定'!$B$10)-G193-H193</x:f>
        <x:v>-1125.3333432203158</x:v>
      </x:c>
      <x:c r="J193" s="1" t="str">
        <x:f>IF(MIN(V193:Y193)&gt;1000,"範囲内なし",MIN(V193:Y193))</x:f>
        <x:v>範囲内なし</x:v>
      </x:c>
      <x:c r="K193" s="1" t="str">
        <x:f>IF(MAX(Z193:AC193)&gt;=1000,"範囲内なし",MAX(1,MAX(Z193:AC193)+1))</x:f>
        <x:v>範囲内なし</x:v>
      </x:c>
      <x:c r="L193" s="7" t="n">
        <x:f>10*I193-R193</x:f>
        <x:v>-46693.130122508475</x:v>
      </x:c>
      <x:c r="M193" s="7" t="n">
        <x:f>30*I193-S193</x:f>
        <x:v>-84139.59367722011</x:v>
      </x:c>
      <x:c r="N193" s="7" t="n">
        <x:f>50*I193-S193</x:f>
        <x:v>-106646.26054162643</x:v>
      </x:c>
      <x:c r="O193" s="7" t="n">
        <x:f>100*I193-S193</x:f>
        <x:v>-162912.92770264222</x:v>
      </x:c>
      <x:c r="P193" s="7" t="n">
        <x:f>300*I193-T193</x:f>
        <x:v>-409979.5963467054</x:v>
      </x:c>
      <x:c r="Q193" s="7" t="n">
        <x:f>1000*I193-U193</x:f>
        <x:v>-1248592.5299815373</x:v>
      </x:c>
      <x:c r="R193" s="7" t="n">
        <x:f>'損益分岐設定'!$B$18+'損益分岐設定'!$B$19+'損益分岐設定'!$B$20+'損益分岐設定'!E37+'損益分岐設定'!D37+AM193*('損益分岐設定'!$B$15+'損益分岐設定'!$B$16)+'損益分岐設定'!$B$17+E193*('損益分岐設定'!$B$13+(AM193-1)*'損益分岐設定'!$B$14)*'損益分岐設定'!$B$11</x:f>
        <x:v>35439.79669030532</x:v>
      </x:c>
      <x:c r="S193" s="7" t="n">
        <x:f>'損益分岐設定'!$B$18+'損益分岐設定'!$B$19+'損益分岐設定'!$B$20+'損益分岐設定'!E38+'損益分岐設定'!D38+AN193*('損益分岐設定'!$B$15+'損益分岐設定'!$B$16)+'損益分岐設定'!$B$17+E193*('損益分岐設定'!$B$13+(AN193-1)*'損益分岐設定'!$B$14)*'損益分岐設定'!$B$11</x:f>
        <x:v>50379.59338061063</x:v>
      </x:c>
      <x:c r="T193" s="7" t="n">
        <x:f>'損益分岐設定'!$B$18+'損益分岐設定'!$B$19+'損益分岐設定'!$B$20+'損益分岐設定'!E39+'損益分岐設定'!D39+AO193*('損益分岐設定'!$B$15+'損益分岐設定'!$B$16)+'損益分岐設定'!$B$17+E193*('損益分岐設定'!$B$13+(AO193-1)*'損益分岐設定'!$B$14)*'損益分岐設定'!$B$11</x:f>
        <x:v>72379.59338061063</x:v>
      </x:c>
      <x:c r="U193" s="7" t="n">
        <x:f>'損益分岐設定'!$B$18+'損益分岐設定'!$B$19+'損益分岐設定'!$B$20+'損益分岐設定'!E40+'損益分岐設定'!D40+AP193*('損益分岐設定'!$B$15+'損益分岐設定'!$B$16)+'損益分岐設定'!$B$17+E193*('損益分岐設定'!$B$13+(AP193-1)*'損益分岐設定'!$B$14)*'損益分岐設定'!$B$11</x:f>
        <x:v>123259.18676122127</x:v>
      </x:c>
      <x:c r="V193" s="1" t="n">
        <x:f>IF(I193&lt;=0,1001,IF(MAX('損益分岐設定'!B37,ROUNDUP(R193/I193,0))&lt;='損益分岐設定'!C37,MAX('損益分岐設定'!B37,ROUNDUP(R193/I193,0)),1001))</x:f>
        <x:v>1001</x:v>
      </x:c>
      <x:c r="W193" s="1" t="n">
        <x:f>IF(I193&lt;=0,1001,IF(MAX('損益分岐設定'!B38,ROUNDUP(S193/I193,0))&lt;='損益分岐設定'!C38,MAX('損益分岐設定'!B38,ROUNDUP(S193/I193,0)),1001))</x:f>
        <x:v>1001</x:v>
      </x:c>
      <x:c r="X193" s="1" t="n">
        <x:f>IF(I193&lt;=0,1001,IF(MAX('損益分岐設定'!B39,ROUNDUP(T193/I193,0))&lt;='損益分岐設定'!C39,MAX('損益分岐設定'!B39,ROUNDUP(T193/I193,0)),1001))</x:f>
        <x:v>1001</x:v>
      </x:c>
      <x:c r="Y193" s="1" t="n">
        <x:f>IF(I193&lt;=0,1001,IF(MAX('損益分岐設定'!B40,ROUNDUP(U193/I193,0))&lt;='損益分岐設定'!C40,MAX('損益分岐設定'!B40,ROUNDUP(U193/I193,0)),1001))</x:f>
        <x:v>1001</x:v>
      </x:c>
      <x:c r="Z193" s="1" t="n">
        <x:f>IF(I193&lt;=0,'損益分岐設定'!C37,IF('損益分岐設定'!C37*I193-R193&lt;0,'損益分岐設定'!C37,IF('損益分岐設定'!B37*I193-R193&gt;=0,0,ROUNDUP(R193/I193,0)-1)))</x:f>
        <x:v>10</x:v>
      </x:c>
      <x:c r="AA193" s="1" t="n">
        <x:f>IF(I193&lt;=0,'損益分岐設定'!C38,IF('損益分岐設定'!C38*I193-S193&lt;0,'損益分岐設定'!C38,IF('損益分岐設定'!B38*I193-S193&gt;=0,0,ROUNDUP(S193/I193,0)-1)))</x:f>
        <x:v>100</x:v>
      </x:c>
      <x:c r="AB193" s="1" t="n">
        <x:f>IF(I193&lt;=0,'損益分岐設定'!C39,IF('損益分岐設定'!C39*I193-T193&lt;0,'損益分岐設定'!C39,IF('損益分岐設定'!B39*I193-T193&gt;=0,0,ROUNDUP(T193/I193,0)-1)))</x:f>
        <x:v>500</x:v>
      </x:c>
      <x:c r="AC193" s="1" t="n">
        <x:f>IF(I193&lt;=0,'損益分岐設定'!C40,IF('損益分岐設定'!C40*I193-U193&lt;0,'損益分岐設定'!C40,IF('損益分岐設定'!B40*I193-U193&gt;=0,0,ROUNDUP(U193/I193,0)-1)))</x:f>
        <x:v>1000</x:v>
      </x:c>
      <x:c r="AD193" s="1" t="n">
        <x:v>1</x:v>
      </x:c>
      <x:c r="AE193" s="1" t="n">
        <x:v>0</x:v>
      </x:c>
      <x:c r="AF193" s="1" t="n">
        <x:v>0</x:v>
      </x:c>
      <x:c r="AG193" s="1" t="n">
        <x:f>AD193*'損益分岐設定'!$C$58+AE193*'損益分岐設定'!$C$61+AF193*'損益分岐設定'!$C$64</x:f>
        <x:v>2516.1764477539064</x:v>
      </x:c>
      <x:c r="AH193" s="1" t="n">
        <x:f>AD193*'損益分岐設定'!$D$58+AE193*'損益分岐設定'!$D$61+AF193*'損益分岐設定'!$D$64</x:f>
        <x:v>120</x:v>
      </x:c>
      <x:c r="AI193" s="1" t="n">
        <x:f>AD193*'損益分岐設定'!$E$58+AE193*'損益分岐設定'!$E$61+AF193*'損益分岐設定'!$E$64</x:f>
        <x:v>160</x:v>
      </x:c>
      <x:c r="AJ193" s="1" t="n">
        <x:f>(AD193*'損益分岐設定'!$F$58+AE193*'損益分岐設定'!$F$61+AF193*'損益分岐設定'!$F$64*1)*'損益分岐設定'!$B$22</x:f>
        <x:v>1800</x:v>
      </x:c>
      <x:c r="AK193" s="1" t="n">
        <x:f>AD193*'損益分岐設定'!$G$58+AE193*'損益分岐設定'!$G$61+AF193*'損益分岐設定'!$G$64</x:f>
        <x:v>1200</x:v>
      </x:c>
      <x:c r="AL193" s="1" t="n">
        <x:f>AD193*'損益分岐設定'!$H$58+AE193*'損益分岐設定'!$H$61+AF193*'損益分岐設定'!$H$64</x:f>
        <x:v>1366.6666666666667</x:v>
      </x:c>
      <x:c r="AM193" s="1" t="n">
        <x:f>MAX(1,ROUNDUP('損益分岐設定'!C37*AJ193/('損益分岐設定'!$B$23*'損益分岐設定'!$B$24*3600*'損益分岐設定'!$B$25),0))</x:f>
        <x:v>1</x:v>
      </x:c>
      <x:c r="AN193" s="1" t="n">
        <x:f>MAX(2,ROUNDUP('損益分岐設定'!C38*AJ193/('損益分岐設定'!$B$23*'損益分岐設定'!$B$24*3600*'損益分岐設定'!$B$25),0))</x:f>
        <x:v>2</x:v>
      </x:c>
      <x:c r="AO193" s="1" t="n">
        <x:f>MAX(2,ROUNDUP('損益分岐設定'!C39*AJ193/('損益分岐設定'!$B$23*'損益分岐設定'!$B$24*3600*'損益分岐設定'!$B$25),0))</x:f>
        <x:v>2</x:v>
      </x:c>
      <x:c r="AP193" s="1" t="n">
        <x:f>MAX(2,ROUNDUP('損益分岐設定'!C40*AJ193/('損益分岐設定'!$B$23*'損益分岐設定'!$B$24*3600*'損益分岐設定'!$B$25),0))</x:f>
        <x:v>4</x:v>
      </x:c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 ht="23" customHeight="1">
      <x:c r="A194" s="1" t="str">
        <x:v>Hybrid</x:v>
      </x:c>
      <x:c r="B194" s="1" t="str">
        <x:v>Starter</x:v>
      </x:c>
      <x:c r="C194" s="1" t="str">
        <x:v>高位</x:v>
      </x:c>
      <x:c r="D194" s="21" t="n">
        <x:v>0.5</x:v>
      </x:c>
      <x:c r="E194" s="1" t="n">
        <x:v>1</x:v>
      </x:c>
      <x:c r="F194" s="7" t="n">
        <x:f>AD194*'損益分岐設定'!$B$5+AE194*'損益分岐設定'!$B$6+AF194*'損益分岐設定'!$B$7</x:f>
        <x:v>3000</x:v>
      </x:c>
      <x:c r="G194" s="7" t="n">
        <x:f>AG194+(AH194+AI194)*('損益分岐設定'!$B$29+0.5*'損益分岐設定'!$B$30)+AK194*'損益分岐設定'!$B$33</x:f>
        <x:v>2517.333343220316</x:v>
      </x:c>
      <x:c r="H194" s="7" t="n">
        <x:f>AL194*E194</x:f>
        <x:v>1366.6666666666667</x:v>
      </x:c>
      <x:c r="I194" s="7" t="n">
        <x:f>F194*(1-D194-'損益分岐設定'!$B$10)-G194-H194</x:f>
        <x:v>-2492.0000098869823</x:v>
      </x:c>
      <x:c r="J194" s="1" t="str">
        <x:f>IF(MIN(V194:Y194)&gt;1000,"範囲内なし",MIN(V194:Y194))</x:f>
        <x:v>範囲内なし</x:v>
      </x:c>
      <x:c r="K194" s="1" t="str">
        <x:f>IF(MAX(Z194:AC194)&gt;=1000,"範囲内なし",MAX(1,MAX(Z194:AC194)+1))</x:f>
        <x:v>範囲内なし</x:v>
      </x:c>
      <x:c r="L194" s="7" t="n">
        <x:f>10*I194-R194</x:f>
        <x:v>-76359.79678917513</x:v>
      </x:c>
      <x:c r="M194" s="7" t="n">
        <x:f>30*I194-S194</x:f>
        <x:v>-143139.5936772201</x:v>
      </x:c>
      <x:c r="N194" s="7" t="n">
        <x:f>50*I194-S194</x:f>
        <x:v>-192979.59387495974</x:v>
      </x:c>
      <x:c r="O194" s="7" t="n">
        <x:f>100*I194-S194</x:f>
        <x:v>-317579.59436930885</x:v>
      </x:c>
      <x:c r="P194" s="7" t="n">
        <x:f>300*I194-T194</x:f>
        <x:v>-837979.5963467052</x:v>
      </x:c>
      <x:c r="Q194" s="7" t="n">
        <x:f>1000*I194-U194</x:f>
        <x:v>-2637259.196648204</x:v>
      </x:c>
      <x:c r="R194" s="7" t="n">
        <x:f>'損益分岐設定'!$B$18+'損益分岐設定'!$B$19+'損益分岐設定'!$B$20+'損益分岐設定'!E37+'損益分岐設定'!D37+AM194*('損益分岐設定'!$B$15+'損益分岐設定'!$B$16)+'損益分岐設定'!$B$17+E194*('損益分岐設定'!$B$13+(AM194-1)*'損益分岐設定'!$B$14)*'損益分岐設定'!$B$11</x:f>
        <x:v>51439.79669030532</x:v>
      </x:c>
      <x:c r="S194" s="7" t="n">
        <x:f>'損益分岐設定'!$B$18+'損益分岐設定'!$B$19+'損益分岐設定'!$B$20+'損益分岐設定'!E38+'損益分岐設定'!D38+AN194*('損益分岐設定'!$B$15+'損益分岐設定'!$B$16)+'損益分岐設定'!$B$17+E194*('損益分岐設定'!$B$13+(AN194-1)*'損益分岐設定'!$B$14)*'損益分岐設定'!$B$11</x:f>
        <x:v>68379.59338061063</x:v>
      </x:c>
      <x:c r="T194" s="7" t="n">
        <x:f>'損益分岐設定'!$B$18+'損益分岐設定'!$B$19+'損益分岐設定'!$B$20+'損益分岐設定'!E39+'損益分岐設定'!D39+AO194*('損益分岐設定'!$B$15+'損益分岐設定'!$B$16)+'損益分岐設定'!$B$17+E194*('損益分岐設定'!$B$13+(AO194-1)*'損益分岐設定'!$B$14)*'損益分岐設定'!$B$11</x:f>
        <x:v>90379.59338061063</x:v>
      </x:c>
      <x:c r="U194" s="7" t="n">
        <x:f>'損益分岐設定'!$B$18+'損益分岐設定'!$B$19+'損益分岐設定'!$B$20+'損益分岐設定'!E40+'損益分岐設定'!D40+AP194*('損益分岐設定'!$B$15+'損益分岐設定'!$B$16)+'損益分岐設定'!$B$17+E194*('損益分岐設定'!$B$13+(AP194-1)*'損益分岐設定'!$B$14)*'損益分岐設定'!$B$11</x:f>
        <x:v>145259.18676122127</x:v>
      </x:c>
      <x:c r="V194" s="1" t="n">
        <x:f>IF(I194&lt;=0,1001,IF(MAX('損益分岐設定'!B37,ROUNDUP(R194/I194,0))&lt;='損益分岐設定'!C37,MAX('損益分岐設定'!B37,ROUNDUP(R194/I194,0)),1001))</x:f>
        <x:v>1001</x:v>
      </x:c>
      <x:c r="W194" s="1" t="n">
        <x:f>IF(I194&lt;=0,1001,IF(MAX('損益分岐設定'!B38,ROUNDUP(S194/I194,0))&lt;='損益分岐設定'!C38,MAX('損益分岐設定'!B38,ROUNDUP(S194/I194,0)),1001))</x:f>
        <x:v>1001</x:v>
      </x:c>
      <x:c r="X194" s="1" t="n">
        <x:f>IF(I194&lt;=0,1001,IF(MAX('損益分岐設定'!B39,ROUNDUP(T194/I194,0))&lt;='損益分岐設定'!C39,MAX('損益分岐設定'!B39,ROUNDUP(T194/I194,0)),1001))</x:f>
        <x:v>1001</x:v>
      </x:c>
      <x:c r="Y194" s="1" t="n">
        <x:f>IF(I194&lt;=0,1001,IF(MAX('損益分岐設定'!B40,ROUNDUP(U194/I194,0))&lt;='損益分岐設定'!C40,MAX('損益分岐設定'!B40,ROUNDUP(U194/I194,0)),1001))</x:f>
        <x:v>1001</x:v>
      </x:c>
      <x:c r="Z194" s="1" t="n">
        <x:f>IF(I194&lt;=0,'損益分岐設定'!C37,IF('損益分岐設定'!C37*I194-R194&lt;0,'損益分岐設定'!C37,IF('損益分岐設定'!B37*I194-R194&gt;=0,0,ROUNDUP(R194/I194,0)-1)))</x:f>
        <x:v>10</x:v>
      </x:c>
      <x:c r="AA194" s="1" t="n">
        <x:f>IF(I194&lt;=0,'損益分岐設定'!C38,IF('損益分岐設定'!C38*I194-S194&lt;0,'損益分岐設定'!C38,IF('損益分岐設定'!B38*I194-S194&gt;=0,0,ROUNDUP(S194/I194,0)-1)))</x:f>
        <x:v>100</x:v>
      </x:c>
      <x:c r="AB194" s="1" t="n">
        <x:f>IF(I194&lt;=0,'損益分岐設定'!C39,IF('損益分岐設定'!C39*I194-T194&lt;0,'損益分岐設定'!C39,IF('損益分岐設定'!B39*I194-T194&gt;=0,0,ROUNDUP(T194/I194,0)-1)))</x:f>
        <x:v>500</x:v>
      </x:c>
      <x:c r="AC194" s="1" t="n">
        <x:f>IF(I194&lt;=0,'損益分岐設定'!C40,IF('損益分岐設定'!C40*I194-U194&lt;0,'損益分岐設定'!C40,IF('損益分岐設定'!B40*I194-U194&gt;=0,0,ROUNDUP(U194/I194,0)-1)))</x:f>
        <x:v>1000</x:v>
      </x:c>
      <x:c r="AD194" s="1" t="n">
        <x:v>1</x:v>
      </x:c>
      <x:c r="AE194" s="1" t="n">
        <x:v>0</x:v>
      </x:c>
      <x:c r="AF194" s="1" t="n">
        <x:v>0</x:v>
      </x:c>
      <x:c r="AG194" s="1" t="n">
        <x:f>AD194*'損益分岐設定'!$C$58+AE194*'損益分岐設定'!$C$61+AF194*'損益分岐設定'!$C$64</x:f>
        <x:v>2516.1764477539064</x:v>
      </x:c>
      <x:c r="AH194" s="1" t="n">
        <x:f>AD194*'損益分岐設定'!$D$58+AE194*'損益分岐設定'!$D$61+AF194*'損益分岐設定'!$D$64</x:f>
        <x:v>120</x:v>
      </x:c>
      <x:c r="AI194" s="1" t="n">
        <x:f>AD194*'損益分岐設定'!$E$58+AE194*'損益分岐設定'!$E$61+AF194*'損益分岐設定'!$E$64</x:f>
        <x:v>160</x:v>
      </x:c>
      <x:c r="AJ194" s="1" t="n">
        <x:f>(AD194*'損益分岐設定'!$F$58+AE194*'損益分岐設定'!$F$61+AF194*'損益分岐設定'!$F$64*1)*'損益分岐設定'!$B$22</x:f>
        <x:v>1800</x:v>
      </x:c>
      <x:c r="AK194" s="1" t="n">
        <x:f>AD194*'損益分岐設定'!$G$58+AE194*'損益分岐設定'!$G$61+AF194*'損益分岐設定'!$G$64</x:f>
        <x:v>1200</x:v>
      </x:c>
      <x:c r="AL194" s="1" t="n">
        <x:f>AD194*'損益分岐設定'!$H$58+AE194*'損益分岐設定'!$H$61+AF194*'損益分岐設定'!$H$64</x:f>
        <x:v>1366.6666666666667</x:v>
      </x:c>
      <x:c r="AM194" s="1" t="n">
        <x:f>MAX(1,ROUNDUP('損益分岐設定'!C37*AJ194/('損益分岐設定'!$B$23*'損益分岐設定'!$B$24*3600*'損益分岐設定'!$B$25),0))</x:f>
        <x:v>1</x:v>
      </x:c>
      <x:c r="AN194" s="1" t="n">
        <x:f>MAX(2,ROUNDUP('損益分岐設定'!C38*AJ194/('損益分岐設定'!$B$23*'損益分岐設定'!$B$24*3600*'損益分岐設定'!$B$25),0))</x:f>
        <x:v>2</x:v>
      </x:c>
      <x:c r="AO194" s="1" t="n">
        <x:f>MAX(2,ROUNDUP('損益分岐設定'!C39*AJ194/('損益分岐設定'!$B$23*'損益分岐設定'!$B$24*3600*'損益分岐設定'!$B$25),0))</x:f>
        <x:v>2</x:v>
      </x:c>
      <x:c r="AP194" s="1" t="n">
        <x:f>MAX(2,ROUNDUP('損益分岐設定'!C40*AJ194/('損益分岐設定'!$B$23*'損益分岐設定'!$B$24*3600*'損益分岐設定'!$B$25),0))</x:f>
        <x:v>4</x:v>
      </x:c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 ht="23" customHeight="1">
      <x:c r="A195" s="1" t="str">
        <x:v>Hybrid</x:v>
      </x:c>
      <x:c r="B195" s="1" t="str">
        <x:v>Starter</x:v>
      </x:c>
      <x:c r="C195" s="1" t="str">
        <x:v>標準+高位混在</x:v>
      </x:c>
      <x:c r="D195" s="21" t="n">
        <x:v>0</x:v>
      </x:c>
      <x:c r="E195" s="1" t="n">
        <x:v>0</x:v>
      </x:c>
      <x:c r="F195" s="7" t="n">
        <x:f>AD195*'損益分岐設定'!$B$5+AE195*'損益分岐設定'!$B$6+AF195*'損益分岐設定'!$B$7</x:f>
        <x:v>3000</x:v>
      </x:c>
      <x:c r="G195" s="7" t="n">
        <x:f>AG195+(AH195+AI195)*('損益分岐設定'!$B$29+0.5*'損益分岐設定'!$B$30)+AK195*'損益分岐設定'!$B$33</x:f>
        <x:v>621.9813972349879</x:v>
      </x:c>
      <x:c r="H195" s="7" t="n">
        <x:f>AL195*E195</x:f>
        <x:v>0</x:v>
      </x:c>
      <x:c r="I195" s="7" t="n">
        <x:f>F195*(1-D195-'損益分岐設定'!$B$10)-G195-H195</x:f>
        <x:v>2270.018602765012</x:v>
      </x:c>
      <x:c r="J195" s="1" t="n">
        <x:f>IF(MIN(V195:Y195)&gt;1000,"範囲内なし",MIN(V195:Y195))</x:f>
        <x:v>23</x:v>
      </x:c>
      <x:c r="K195" s="1" t="n">
        <x:f>IF(MAX(Z195:AC195)&gt;=1000,"範囲内なし",MAX(1,MAX(Z195:AC195)+1))</x:f>
        <x:v>23</x:v>
      </x:c>
      <x:c r="L195" s="7" t="n">
        <x:f>10*I195-R195</x:f>
        <x:v>-12739.610662655195</x:v>
      </x:c>
      <x:c r="M195" s="7" t="n">
        <x:f>30*I195-S195</x:f>
        <x:v>17720.964702339727</x:v>
      </x:c>
      <x:c r="N195" s="7" t="n">
        <x:f>50*I195-S195</x:f>
        <x:v>63121.33675763996</x:v>
      </x:c>
      <x:c r="O195" s="7" t="n">
        <x:f>100*I195-S195</x:f>
        <x:v>176622.26689589056</x:v>
      </x:c>
      <x:c r="P195" s="7" t="n">
        <x:f>300*I195-T195</x:f>
        <x:v>608625.987448893</x:v>
      </x:c>
      <x:c r="Q195" s="7" t="n">
        <x:f>1000*I195-U195</x:f>
        <x:v>2167639.0093844016</x:v>
      </x:c>
      <x:c r="R195" s="7" t="n">
        <x:f>'損益分岐設定'!$B$18+'損益分岐設定'!$B$19+'損益分岐設定'!$B$20+'損益分岐設定'!E37+'損益分岐設定'!D37+AM195*('損益分岐設定'!$B$15+'損益分岐設定'!$B$16)+'損益分岐設定'!$B$17+E195*('損益分岐設定'!$B$13+(AM195-1)*'損益分岐設定'!$B$14)*'損益分岐設定'!$B$11</x:f>
        <x:v>35439.79669030532</x:v>
      </x:c>
      <x:c r="S195" s="7" t="n">
        <x:f>'損益分岐設定'!$B$18+'損益分岐設定'!$B$19+'損益分岐設定'!$B$20+'損益分岐設定'!E38+'損益分岐設定'!D38+AN195*('損益分岐設定'!$B$15+'損益分岐設定'!$B$16)+'損益分岐設定'!$B$17+E195*('損益分岐設定'!$B$13+(AN195-1)*'損益分岐設定'!$B$14)*'損益分岐設定'!$B$11</x:f>
        <x:v>50379.59338061063</x:v>
      </x:c>
      <x:c r="T195" s="7" t="n">
        <x:f>'損益分岐設定'!$B$18+'損益分岐設定'!$B$19+'損益分岐設定'!$B$20+'損益分岐設定'!E39+'損益分岐設定'!D39+AO195*('損益分岐設定'!$B$15+'損益分岐設定'!$B$16)+'損益分岐設定'!$B$17+E195*('損益分岐設定'!$B$13+(AO195-1)*'損益分岐設定'!$B$14)*'損益分岐設定'!$B$11</x:f>
        <x:v>72379.59338061063</x:v>
      </x:c>
      <x:c r="U195" s="7" t="n">
        <x:f>'損益分岐設定'!$B$18+'損益分岐設定'!$B$19+'損益分岐設定'!$B$20+'損益分岐設定'!E40+'損益分岐設定'!D40+AP195*('損益分岐設定'!$B$15+'損益分岐設定'!$B$16)+'損益分岐設定'!$B$17+E195*('損益分岐設定'!$B$13+(AP195-1)*'損益分岐設定'!$B$14)*'損益分岐設定'!$B$11</x:f>
        <x:v>102379.59338061063</x:v>
      </x:c>
      <x:c r="V195" s="1" t="n">
        <x:f>IF(I195&lt;=0,1001,IF(MAX('損益分岐設定'!B37,ROUNDUP(R195/I195,0))&lt;='損益分岐設定'!C37,MAX('損益分岐設定'!B37,ROUNDUP(R195/I195,0)),1001))</x:f>
        <x:v>1001</x:v>
      </x:c>
      <x:c r="W195" s="1" t="n">
        <x:f>IF(I195&lt;=0,1001,IF(MAX('損益分岐設定'!B38,ROUNDUP(S195/I195,0))&lt;='損益分岐設定'!C38,MAX('損益分岐設定'!B38,ROUNDUP(S195/I195,0)),1001))</x:f>
        <x:v>23</x:v>
      </x:c>
      <x:c r="X195" s="1" t="n">
        <x:f>IF(I195&lt;=0,1001,IF(MAX('損益分岐設定'!B39,ROUNDUP(T195/I195,0))&lt;='損益分岐設定'!C39,MAX('損益分岐設定'!B39,ROUNDUP(T195/I195,0)),1001))</x:f>
        <x:v>101</x:v>
      </x:c>
      <x:c r="Y195" s="1" t="n">
        <x:f>IF(I195&lt;=0,1001,IF(MAX('損益分岐設定'!B40,ROUNDUP(U195/I195,0))&lt;='損益分岐設定'!C40,MAX('損益分岐設定'!B40,ROUNDUP(U195/I195,0)),1001))</x:f>
        <x:v>501</x:v>
      </x:c>
      <x:c r="Z195" s="1" t="n">
        <x:f>IF(I195&lt;=0,'損益分岐設定'!C37,IF('損益分岐設定'!C37*I195-R195&lt;0,'損益分岐設定'!C37,IF('損益分岐設定'!B37*I195-R195&gt;=0,0,ROUNDUP(R195/I195,0)-1)))</x:f>
        <x:v>10</x:v>
      </x:c>
      <x:c r="AA195" s="1" t="n">
        <x:f>IF(I195&lt;=0,'損益分岐設定'!C38,IF('損益分岐設定'!C38*I195-S195&lt;0,'損益分岐設定'!C38,IF('損益分岐設定'!B38*I195-S195&gt;=0,0,ROUNDUP(S195/I195,0)-1)))</x:f>
        <x:v>22</x:v>
      </x:c>
      <x:c r="AB195" s="1" t="n">
        <x:f>IF(I195&lt;=0,'損益分岐設定'!C39,IF('損益分岐設定'!C39*I195-T195&lt;0,'損益分岐設定'!C39,IF('損益分岐設定'!B39*I195-T195&gt;=0,0,ROUNDUP(T195/I195,0)-1)))</x:f>
        <x:v>0</x:v>
      </x:c>
      <x:c r="AC195" s="1" t="n">
        <x:f>IF(I195&lt;=0,'損益分岐設定'!C40,IF('損益分岐設定'!C40*I195-U195&lt;0,'損益分岐設定'!C40,IF('損益分岐設定'!B40*I195-U195&gt;=0,0,ROUNDUP(U195/I195,0)-1)))</x:f>
        <x:v>0</x:v>
      </x:c>
      <x:c r="AD195" s="1" t="n">
        <x:v>1</x:v>
      </x:c>
      <x:c r="AE195" s="1" t="n">
        <x:v>0</x:v>
      </x:c>
      <x:c r="AF195" s="1" t="n">
        <x:v>0</x:v>
      </x:c>
      <x:c r="AG195" s="1" t="n">
        <x:f>AD195*('損益分岐設定'!$C$57*(1-'損益分岐設定'!$B$51)+'損益分岐設定'!$C$58*'損益分岐設定'!$B$51)+AE195*('損益分岐設定'!$C$60*(1-'損益分岐設定'!$B$51)+'損益分岐設定'!$C$61*'損益分岐設定'!$B$51)+AF195*('損益分岐設定'!$C$63*(1-'損益分岐設定'!$B$51)+'損益分岐設定'!$C$64*'損益分岐設定'!$B$51)</x:f>
        <x:v>621.5522041015626</x:v>
      </x:c>
      <x:c r="AH195" s="1" t="n">
        <x:f>AD195*('損益分岐設定'!$D$57*(1-'損益分岐設定'!$B$51)+'損益分岐設定'!$D$58*'損益分岐設定'!$B$51)+AE195*('損益分岐設定'!$D$60*(1-'損益分岐設定'!$B$51)+'損益分岐設定'!$D$61*'損益分岐設定'!$B$51)+AF195*('損益分岐設定'!$D$63*(1-'損益分岐設定'!$B$51)+'損益分岐設定'!$D$64*'損益分岐設定'!$B$51)</x:f>
        <x:v>48</x:v>
      </x:c>
      <x:c r="AI195" s="1" t="n">
        <x:f>AD195*('損益分岐設定'!$E$57*(1-'損益分岐設定'!$B$51)+'損益分岐設定'!$E$58*'損益分岐設定'!$B$51)+AE195*('損益分岐設定'!$E$60*(1-'損益分岐設定'!$B$51)+'損益分岐設定'!$E$61*'損益分岐設定'!$B$51)+AF195*('損益分岐設定'!$E$63*(1-'損益分岐設定'!$B$51)+'損益分岐設定'!$E$64*'損益分岐設定'!$B$51)</x:f>
        <x:v>56</x:v>
      </x:c>
      <x:c r="AJ195" s="1" t="n">
        <x:f>(AD195*('損益分岐設定'!$F$57*(1-'損益分岐設定'!$B$51)+'損益分岐設定'!$F$58*'損益分岐設定'!$B$51)+AE195*('損益分岐設定'!$F$60*(1-'損益分岐設定'!$B$51)+'損益分岐設定'!$F$61*'損益分岐設定'!$B$51)+AF195*('損益分岐設定'!$F$63*(1-'損益分岐設定'!$B$51)+'損益分岐設定'!$F$64*'損益分岐設定'!$B$51)*1)*'損益分岐設定'!$B$22</x:f>
        <x:v>456</x:v>
      </x:c>
      <x:c r="AK195" s="1" t="n">
        <x:f>AD195*('損益分岐設定'!$G$57*(1-'損益分岐設定'!$B$51)+'損益分岐設定'!$G$58*'損益分岐設定'!$B$51)+AE195*('損益分岐設定'!$G$60*(1-'損益分岐設定'!$B$51)+'損益分岐設定'!$G$61*'損益分岐設定'!$B$51)+AF195*('損益分岐設定'!$G$63*(1-'損益分岐設定'!$B$51)+'損益分岐設定'!$G$64*'損益分岐設定'!$B$51)</x:f>
        <x:v>400</x:v>
      </x:c>
      <x:c r="AL195" s="1" t="n">
        <x:f>AD195*('損益分岐設定'!$H$57*(1-'損益分岐設定'!$B$51)+'損益分岐設定'!$H$58*'損益分岐設定'!$B$51)+AE195*('損益分岐設定'!$H$60*(1-'損益分岐設定'!$B$51)+'損益分岐設定'!$H$61*'損益分岐設定'!$B$51)+AF195*('損益分岐設定'!$H$63*(1-'損益分岐設定'!$B$51)+'損益分岐設定'!$H$64*'損益分岐設定'!$B$51)</x:f>
        <x:v>726.6666666666667</x:v>
      </x:c>
      <x:c r="AM195" s="1" t="n">
        <x:f>MAX(1,ROUNDUP('損益分岐設定'!C37*AJ195/('損益分岐設定'!$B$23*'損益分岐設定'!$B$24*3600*'損益分岐設定'!$B$25),0))</x:f>
        <x:v>1</x:v>
      </x:c>
      <x:c r="AN195" s="1" t="n">
        <x:f>MAX(2,ROUNDUP('損益分岐設定'!C38*AJ195/('損益分岐設定'!$B$23*'損益分岐設定'!$B$24*3600*'損益分岐設定'!$B$25),0))</x:f>
        <x:v>2</x:v>
      </x:c>
      <x:c r="AO195" s="1" t="n">
        <x:f>MAX(2,ROUNDUP('損益分岐設定'!C39*AJ195/('損益分岐設定'!$B$23*'損益分岐設定'!$B$24*3600*'損益分岐設定'!$B$25),0))</x:f>
        <x:v>2</x:v>
      </x:c>
      <x:c r="AP195" s="1" t="n">
        <x:f>MAX(2,ROUNDUP('損益分岐設定'!C40*AJ195/('損益分岐設定'!$B$23*'損益分岐設定'!$B$24*3600*'損益分岐設定'!$B$25),0))</x:f>
        <x:v>2</x:v>
      </x:c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 ht="23" customHeight="1">
      <x:c r="A196" s="1" t="str">
        <x:v>Hybrid</x:v>
      </x:c>
      <x:c r="B196" s="1" t="str">
        <x:v>Starter</x:v>
      </x:c>
      <x:c r="C196" s="1" t="str">
        <x:v>標準+高位混在</x:v>
      </x:c>
      <x:c r="D196" s="21" t="n">
        <x:v>0</x:v>
      </x:c>
      <x:c r="E196" s="1" t="n">
        <x:v>1</x:v>
      </x:c>
      <x:c r="F196" s="7" t="n">
        <x:f>AD196*'損益分岐設定'!$B$5+AE196*'損益分岐設定'!$B$6+AF196*'損益分岐設定'!$B$7</x:f>
        <x:v>3000</x:v>
      </x:c>
      <x:c r="G196" s="7" t="n">
        <x:f>AG196+(AH196+AI196)*('損益分岐設定'!$B$29+0.5*'損益分岐設定'!$B$30)+AK196*'損益分岐設定'!$B$33</x:f>
        <x:v>621.9813972349879</x:v>
      </x:c>
      <x:c r="H196" s="7" t="n">
        <x:f>AL196*E196</x:f>
        <x:v>726.6666666666667</x:v>
      </x:c>
      <x:c r="I196" s="7" t="n">
        <x:f>F196*(1-D196-'損益分岐設定'!$B$10)-G196-H196</x:f>
        <x:v>1543.3519360983453</x:v>
      </x:c>
      <x:c r="J196" s="1" t="n">
        <x:f>IF(MIN(V196:Y196)&gt;1000,"範囲内なし",MIN(V196:Y196))</x:f>
        <x:v>45</x:v>
      </x:c>
      <x:c r="K196" s="1" t="n">
        <x:f>IF(MAX(Z196:AC196)&gt;=1000,"範囲内なし",MAX(1,MAX(Z196:AC196)+1))</x:f>
        <x:v>45</x:v>
      </x:c>
      <x:c r="L196" s="7" t="n">
        <x:f>10*I196-R196</x:f>
        <x:v>-36006.27732932186</x:v>
      </x:c>
      <x:c r="M196" s="7" t="n">
        <x:f>30*I196-S196</x:f>
        <x:v>-22079.035297660273</x:v>
      </x:c>
      <x:c r="N196" s="7" t="n">
        <x:f>50*I196-S196</x:f>
        <x:v>8788.003424306633</x:v>
      </x:c>
      <x:c r="O196" s="7" t="n">
        <x:f>100*I196-S196</x:f>
        <x:v>85955.6002292239</x:v>
      </x:c>
      <x:c r="P196" s="7" t="n">
        <x:f>300*I196-T196</x:f>
        <x:v>372625.98744889296</x:v>
      </x:c>
      <x:c r="Q196" s="7" t="n">
        <x:f>1000*I196-U196</x:f>
        <x:v>1422972.3427177346</x:v>
      </x:c>
      <x:c r="R196" s="7" t="n">
        <x:f>'損益分岐設定'!$B$18+'損益分岐設定'!$B$19+'損益分岐設定'!$B$20+'損益分岐設定'!E37+'損益分岐設定'!D37+AM196*('損益分岐設定'!$B$15+'損益分岐設定'!$B$16)+'損益分岐設定'!$B$17+E196*('損益分岐設定'!$B$13+(AM196-1)*'損益分岐設定'!$B$14)*'損益分岐設定'!$B$11</x:f>
        <x:v>51439.79669030532</x:v>
      </x:c>
      <x:c r="S196" s="7" t="n">
        <x:f>'損益分岐設定'!$B$18+'損益分岐設定'!$B$19+'損益分岐設定'!$B$20+'損益分岐設定'!E38+'損益分岐設定'!D38+AN196*('損益分岐設定'!$B$15+'損益分岐設定'!$B$16)+'損益分岐設定'!$B$17+E196*('損益分岐設定'!$B$13+(AN196-1)*'損益分岐設定'!$B$14)*'損益分岐設定'!$B$11</x:f>
        <x:v>68379.59338061063</x:v>
      </x:c>
      <x:c r="T196" s="7" t="n">
        <x:f>'損益分岐設定'!$B$18+'損益分岐設定'!$B$19+'損益分岐設定'!$B$20+'損益分岐設定'!E39+'損益分岐設定'!D39+AO196*('損益分岐設定'!$B$15+'損益分岐設定'!$B$16)+'損益分岐設定'!$B$17+E196*('損益分岐設定'!$B$13+(AO196-1)*'損益分岐設定'!$B$14)*'損益分岐設定'!$B$11</x:f>
        <x:v>90379.59338061063</x:v>
      </x:c>
      <x:c r="U196" s="7" t="n">
        <x:f>'損益分岐設定'!$B$18+'損益分岐設定'!$B$19+'損益分岐設定'!$B$20+'損益分岐設定'!E40+'損益分岐設定'!D40+AP196*('損益分岐設定'!$B$15+'損益分岐設定'!$B$16)+'損益分岐設定'!$B$17+E196*('損益分岐設定'!$B$13+(AP196-1)*'損益分岐設定'!$B$14)*'損益分岐設定'!$B$11</x:f>
        <x:v>120379.59338061063</x:v>
      </x:c>
      <x:c r="V196" s="1" t="n">
        <x:f>IF(I196&lt;=0,1001,IF(MAX('損益分岐設定'!B37,ROUNDUP(R196/I196,0))&lt;='損益分岐設定'!C37,MAX('損益分岐設定'!B37,ROUNDUP(R196/I196,0)),1001))</x:f>
        <x:v>1001</x:v>
      </x:c>
      <x:c r="W196" s="1" t="n">
        <x:f>IF(I196&lt;=0,1001,IF(MAX('損益分岐設定'!B38,ROUNDUP(S196/I196,0))&lt;='損益分岐設定'!C38,MAX('損益分岐設定'!B38,ROUNDUP(S196/I196,0)),1001))</x:f>
        <x:v>45</x:v>
      </x:c>
      <x:c r="X196" s="1" t="n">
        <x:f>IF(I196&lt;=0,1001,IF(MAX('損益分岐設定'!B39,ROUNDUP(T196/I196,0))&lt;='損益分岐設定'!C39,MAX('損益分岐設定'!B39,ROUNDUP(T196/I196,0)),1001))</x:f>
        <x:v>101</x:v>
      </x:c>
      <x:c r="Y196" s="1" t="n">
        <x:f>IF(I196&lt;=0,1001,IF(MAX('損益分岐設定'!B40,ROUNDUP(U196/I196,0))&lt;='損益分岐設定'!C40,MAX('損益分岐設定'!B40,ROUNDUP(U196/I196,0)),1001))</x:f>
        <x:v>501</x:v>
      </x:c>
      <x:c r="Z196" s="1" t="n">
        <x:f>IF(I196&lt;=0,'損益分岐設定'!C37,IF('損益分岐設定'!C37*I196-R196&lt;0,'損益分岐設定'!C37,IF('損益分岐設定'!B37*I196-R196&gt;=0,0,ROUNDUP(R196/I196,0)-1)))</x:f>
        <x:v>10</x:v>
      </x:c>
      <x:c r="AA196" s="1" t="n">
        <x:f>IF(I196&lt;=0,'損益分岐設定'!C38,IF('損益分岐設定'!C38*I196-S196&lt;0,'損益分岐設定'!C38,IF('損益分岐設定'!B38*I196-S196&gt;=0,0,ROUNDUP(S196/I196,0)-1)))</x:f>
        <x:v>44</x:v>
      </x:c>
      <x:c r="AB196" s="1" t="n">
        <x:f>IF(I196&lt;=0,'損益分岐設定'!C39,IF('損益分岐設定'!C39*I196-T196&lt;0,'損益分岐設定'!C39,IF('損益分岐設定'!B39*I196-T196&gt;=0,0,ROUNDUP(T196/I196,0)-1)))</x:f>
        <x:v>0</x:v>
      </x:c>
      <x:c r="AC196" s="1" t="n">
        <x:f>IF(I196&lt;=0,'損益分岐設定'!C40,IF('損益分岐設定'!C40*I196-U196&lt;0,'損益分岐設定'!C40,IF('損益分岐設定'!B40*I196-U196&gt;=0,0,ROUNDUP(U196/I196,0)-1)))</x:f>
        <x:v>0</x:v>
      </x:c>
      <x:c r="AD196" s="1" t="n">
        <x:v>1</x:v>
      </x:c>
      <x:c r="AE196" s="1" t="n">
        <x:v>0</x:v>
      </x:c>
      <x:c r="AF196" s="1" t="n">
        <x:v>0</x:v>
      </x:c>
      <x:c r="AG196" s="1" t="n">
        <x:f>AD196*('損益分岐設定'!$C$57*(1-'損益分岐設定'!$B$51)+'損益分岐設定'!$C$58*'損益分岐設定'!$B$51)+AE196*('損益分岐設定'!$C$60*(1-'損益分岐設定'!$B$51)+'損益分岐設定'!$C$61*'損益分岐設定'!$B$51)+AF196*('損益分岐設定'!$C$63*(1-'損益分岐設定'!$B$51)+'損益分岐設定'!$C$64*'損益分岐設定'!$B$51)</x:f>
        <x:v>621.5522041015626</x:v>
      </x:c>
      <x:c r="AH196" s="1" t="n">
        <x:f>AD196*('損益分岐設定'!$D$57*(1-'損益分岐設定'!$B$51)+'損益分岐設定'!$D$58*'損益分岐設定'!$B$51)+AE196*('損益分岐設定'!$D$60*(1-'損益分岐設定'!$B$51)+'損益分岐設定'!$D$61*'損益分岐設定'!$B$51)+AF196*('損益分岐設定'!$D$63*(1-'損益分岐設定'!$B$51)+'損益分岐設定'!$D$64*'損益分岐設定'!$B$51)</x:f>
        <x:v>48</x:v>
      </x:c>
      <x:c r="AI196" s="1" t="n">
        <x:f>AD196*('損益分岐設定'!$E$57*(1-'損益分岐設定'!$B$51)+'損益分岐設定'!$E$58*'損益分岐設定'!$B$51)+AE196*('損益分岐設定'!$E$60*(1-'損益分岐設定'!$B$51)+'損益分岐設定'!$E$61*'損益分岐設定'!$B$51)+AF196*('損益分岐設定'!$E$63*(1-'損益分岐設定'!$B$51)+'損益分岐設定'!$E$64*'損益分岐設定'!$B$51)</x:f>
        <x:v>56</x:v>
      </x:c>
      <x:c r="AJ196" s="1" t="n">
        <x:f>(AD196*('損益分岐設定'!$F$57*(1-'損益分岐設定'!$B$51)+'損益分岐設定'!$F$58*'損益分岐設定'!$B$51)+AE196*('損益分岐設定'!$F$60*(1-'損益分岐設定'!$B$51)+'損益分岐設定'!$F$61*'損益分岐設定'!$B$51)+AF196*('損益分岐設定'!$F$63*(1-'損益分岐設定'!$B$51)+'損益分岐設定'!$F$64*'損益分岐設定'!$B$51)*1)*'損益分岐設定'!$B$22</x:f>
        <x:v>456</x:v>
      </x:c>
      <x:c r="AK196" s="1" t="n">
        <x:f>AD196*('損益分岐設定'!$G$57*(1-'損益分岐設定'!$B$51)+'損益分岐設定'!$G$58*'損益分岐設定'!$B$51)+AE196*('損益分岐設定'!$G$60*(1-'損益分岐設定'!$B$51)+'損益分岐設定'!$G$61*'損益分岐設定'!$B$51)+AF196*('損益分岐設定'!$G$63*(1-'損益分岐設定'!$B$51)+'損益分岐設定'!$G$64*'損益分岐設定'!$B$51)</x:f>
        <x:v>400</x:v>
      </x:c>
      <x:c r="AL196" s="1" t="n">
        <x:f>AD196*('損益分岐設定'!$H$57*(1-'損益分岐設定'!$B$51)+'損益分岐設定'!$H$58*'損益分岐設定'!$B$51)+AE196*('損益分岐設定'!$H$60*(1-'損益分岐設定'!$B$51)+'損益分岐設定'!$H$61*'損益分岐設定'!$B$51)+AF196*('損益分岐設定'!$H$63*(1-'損益分岐設定'!$B$51)+'損益分岐設定'!$H$64*'損益分岐設定'!$B$51)</x:f>
        <x:v>726.6666666666667</x:v>
      </x:c>
      <x:c r="AM196" s="1" t="n">
        <x:f>MAX(1,ROUNDUP('損益分岐設定'!C37*AJ196/('損益分岐設定'!$B$23*'損益分岐設定'!$B$24*3600*'損益分岐設定'!$B$25),0))</x:f>
        <x:v>1</x:v>
      </x:c>
      <x:c r="AN196" s="1" t="n">
        <x:f>MAX(2,ROUNDUP('損益分岐設定'!C38*AJ196/('損益分岐設定'!$B$23*'損益分岐設定'!$B$24*3600*'損益分岐設定'!$B$25),0))</x:f>
        <x:v>2</x:v>
      </x:c>
      <x:c r="AO196" s="1" t="n">
        <x:f>MAX(2,ROUNDUP('損益分岐設定'!C39*AJ196/('損益分岐設定'!$B$23*'損益分岐設定'!$B$24*3600*'損益分岐設定'!$B$25),0))</x:f>
        <x:v>2</x:v>
      </x:c>
      <x:c r="AP196" s="1" t="n">
        <x:f>MAX(2,ROUNDUP('損益分岐設定'!C40*AJ196/('損益分岐設定'!$B$23*'損益分岐設定'!$B$24*3600*'損益分岐設定'!$B$25),0))</x:f>
        <x:v>2</x:v>
      </x:c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 ht="23" customHeight="1">
      <x:c r="A197" s="1" t="str">
        <x:v>Hybrid</x:v>
      </x:c>
      <x:c r="B197" s="1" t="str">
        <x:v>Starter</x:v>
      </x:c>
      <x:c r="C197" s="1" t="str">
        <x:v>標準+高位混在</x:v>
      </x:c>
      <x:c r="D197" s="21" t="n">
        <x:v>0.2</x:v>
      </x:c>
      <x:c r="E197" s="1" t="n">
        <x:v>0</x:v>
      </x:c>
      <x:c r="F197" s="7" t="n">
        <x:f>AD197*'損益分岐設定'!$B$5+AE197*'損益分岐設定'!$B$6+AF197*'損益分岐設定'!$B$7</x:f>
        <x:v>3000</x:v>
      </x:c>
      <x:c r="G197" s="7" t="n">
        <x:f>AG197+(AH197+AI197)*('損益分岐設定'!$B$29+0.5*'損益分岐設定'!$B$30)+AK197*'損益分岐設定'!$B$33</x:f>
        <x:v>621.9813972349879</x:v>
      </x:c>
      <x:c r="H197" s="7" t="n">
        <x:f>AL197*E197</x:f>
        <x:v>0</x:v>
      </x:c>
      <x:c r="I197" s="7" t="n">
        <x:f>F197*(1-D197-'損益分岐設定'!$B$10)-G197-H197</x:f>
        <x:v>1670.018602765012</x:v>
      </x:c>
      <x:c r="J197" s="1" t="n">
        <x:f>IF(MIN(V197:Y197)&gt;1000,"範囲内なし",MIN(V197:Y197))</x:f>
        <x:v>31</x:v>
      </x:c>
      <x:c r="K197" s="1" t="n">
        <x:f>IF(MAX(Z197:AC197)&gt;=1000,"範囲内なし",MAX(1,MAX(Z197:AC197)+1))</x:f>
        <x:v>31</x:v>
      </x:c>
      <x:c r="L197" s="7" t="n">
        <x:f>10*I197-R197</x:f>
        <x:v>-18739.610662655195</x:v>
      </x:c>
      <x:c r="M197" s="7" t="n">
        <x:f>30*I197-S197</x:f>
        <x:v>-279.0352976602735</x:v>
      </x:c>
      <x:c r="N197" s="7" t="n">
        <x:f>50*I197-S197</x:f>
        <x:v>33121.33675763996</x:v>
      </x:c>
      <x:c r="O197" s="7" t="n">
        <x:f>100*I197-S197</x:f>
        <x:v>116622.26689589056</x:v>
      </x:c>
      <x:c r="P197" s="7" t="n">
        <x:f>300*I197-T197</x:f>
        <x:v>428625.98744889296</x:v>
      </x:c>
      <x:c r="Q197" s="7" t="n">
        <x:f>1000*I197-U197</x:f>
        <x:v>1567639.0093844014</x:v>
      </x:c>
      <x:c r="R197" s="7" t="n">
        <x:f>'損益分岐設定'!$B$18+'損益分岐設定'!$B$19+'損益分岐設定'!$B$20+'損益分岐設定'!E37+'損益分岐設定'!D37+AM197*('損益分岐設定'!$B$15+'損益分岐設定'!$B$16)+'損益分岐設定'!$B$17+E197*('損益分岐設定'!$B$13+(AM197-1)*'損益分岐設定'!$B$14)*'損益分岐設定'!$B$11</x:f>
        <x:v>35439.79669030532</x:v>
      </x:c>
      <x:c r="S197" s="7" t="n">
        <x:f>'損益分岐設定'!$B$18+'損益分岐設定'!$B$19+'損益分岐設定'!$B$20+'損益分岐設定'!E38+'損益分岐設定'!D38+AN197*('損益分岐設定'!$B$15+'損益分岐設定'!$B$16)+'損益分岐設定'!$B$17+E197*('損益分岐設定'!$B$13+(AN197-1)*'損益分岐設定'!$B$14)*'損益分岐設定'!$B$11</x:f>
        <x:v>50379.59338061063</x:v>
      </x:c>
      <x:c r="T197" s="7" t="n">
        <x:f>'損益分岐設定'!$B$18+'損益分岐設定'!$B$19+'損益分岐設定'!$B$20+'損益分岐設定'!E39+'損益分岐設定'!D39+AO197*('損益分岐設定'!$B$15+'損益分岐設定'!$B$16)+'損益分岐設定'!$B$17+E197*('損益分岐設定'!$B$13+(AO197-1)*'損益分岐設定'!$B$14)*'損益分岐設定'!$B$11</x:f>
        <x:v>72379.59338061063</x:v>
      </x:c>
      <x:c r="U197" s="7" t="n">
        <x:f>'損益分岐設定'!$B$18+'損益分岐設定'!$B$19+'損益分岐設定'!$B$20+'損益分岐設定'!E40+'損益分岐設定'!D40+AP197*('損益分岐設定'!$B$15+'損益分岐設定'!$B$16)+'損益分岐設定'!$B$17+E197*('損益分岐設定'!$B$13+(AP197-1)*'損益分岐設定'!$B$14)*'損益分岐設定'!$B$11</x:f>
        <x:v>102379.59338061063</x:v>
      </x:c>
      <x:c r="V197" s="1" t="n">
        <x:f>IF(I197&lt;=0,1001,IF(MAX('損益分岐設定'!B37,ROUNDUP(R197/I197,0))&lt;='損益分岐設定'!C37,MAX('損益分岐設定'!B37,ROUNDUP(R197/I197,0)),1001))</x:f>
        <x:v>1001</x:v>
      </x:c>
      <x:c r="W197" s="1" t="n">
        <x:f>IF(I197&lt;=0,1001,IF(MAX('損益分岐設定'!B38,ROUNDUP(S197/I197,0))&lt;='損益分岐設定'!C38,MAX('損益分岐設定'!B38,ROUNDUP(S197/I197,0)),1001))</x:f>
        <x:v>31</x:v>
      </x:c>
      <x:c r="X197" s="1" t="n">
        <x:f>IF(I197&lt;=0,1001,IF(MAX('損益分岐設定'!B39,ROUNDUP(T197/I197,0))&lt;='損益分岐設定'!C39,MAX('損益分岐設定'!B39,ROUNDUP(T197/I197,0)),1001))</x:f>
        <x:v>101</x:v>
      </x:c>
      <x:c r="Y197" s="1" t="n">
        <x:f>IF(I197&lt;=0,1001,IF(MAX('損益分岐設定'!B40,ROUNDUP(U197/I197,0))&lt;='損益分岐設定'!C40,MAX('損益分岐設定'!B40,ROUNDUP(U197/I197,0)),1001))</x:f>
        <x:v>501</x:v>
      </x:c>
      <x:c r="Z197" s="1" t="n">
        <x:f>IF(I197&lt;=0,'損益分岐設定'!C37,IF('損益分岐設定'!C37*I197-R197&lt;0,'損益分岐設定'!C37,IF('損益分岐設定'!B37*I197-R197&gt;=0,0,ROUNDUP(R197/I197,0)-1)))</x:f>
        <x:v>10</x:v>
      </x:c>
      <x:c r="AA197" s="1" t="n">
        <x:f>IF(I197&lt;=0,'損益分岐設定'!C38,IF('損益分岐設定'!C38*I197-S197&lt;0,'損益分岐設定'!C38,IF('損益分岐設定'!B38*I197-S197&gt;=0,0,ROUNDUP(S197/I197,0)-1)))</x:f>
        <x:v>30</x:v>
      </x:c>
      <x:c r="AB197" s="1" t="n">
        <x:f>IF(I197&lt;=0,'損益分岐設定'!C39,IF('損益分岐設定'!C39*I197-T197&lt;0,'損益分岐設定'!C39,IF('損益分岐設定'!B39*I197-T197&gt;=0,0,ROUNDUP(T197/I197,0)-1)))</x:f>
        <x:v>0</x:v>
      </x:c>
      <x:c r="AC197" s="1" t="n">
        <x:f>IF(I197&lt;=0,'損益分岐設定'!C40,IF('損益分岐設定'!C40*I197-U197&lt;0,'損益分岐設定'!C40,IF('損益分岐設定'!B40*I197-U197&gt;=0,0,ROUNDUP(U197/I197,0)-1)))</x:f>
        <x:v>0</x:v>
      </x:c>
      <x:c r="AD197" s="1" t="n">
        <x:v>1</x:v>
      </x:c>
      <x:c r="AE197" s="1" t="n">
        <x:v>0</x:v>
      </x:c>
      <x:c r="AF197" s="1" t="n">
        <x:v>0</x:v>
      </x:c>
      <x:c r="AG197" s="1" t="n">
        <x:f>AD197*('損益分岐設定'!$C$57*(1-'損益分岐設定'!$B$51)+'損益分岐設定'!$C$58*'損益分岐設定'!$B$51)+AE197*('損益分岐設定'!$C$60*(1-'損益分岐設定'!$B$51)+'損益分岐設定'!$C$61*'損益分岐設定'!$B$51)+AF197*('損益分岐設定'!$C$63*(1-'損益分岐設定'!$B$51)+'損益分岐設定'!$C$64*'損益分岐設定'!$B$51)</x:f>
        <x:v>621.5522041015626</x:v>
      </x:c>
      <x:c r="AH197" s="1" t="n">
        <x:f>AD197*('損益分岐設定'!$D$57*(1-'損益分岐設定'!$B$51)+'損益分岐設定'!$D$58*'損益分岐設定'!$B$51)+AE197*('損益分岐設定'!$D$60*(1-'損益分岐設定'!$B$51)+'損益分岐設定'!$D$61*'損益分岐設定'!$B$51)+AF197*('損益分岐設定'!$D$63*(1-'損益分岐設定'!$B$51)+'損益分岐設定'!$D$64*'損益分岐設定'!$B$51)</x:f>
        <x:v>48</x:v>
      </x:c>
      <x:c r="AI197" s="1" t="n">
        <x:f>AD197*('損益分岐設定'!$E$57*(1-'損益分岐設定'!$B$51)+'損益分岐設定'!$E$58*'損益分岐設定'!$B$51)+AE197*('損益分岐設定'!$E$60*(1-'損益分岐設定'!$B$51)+'損益分岐設定'!$E$61*'損益分岐設定'!$B$51)+AF197*('損益分岐設定'!$E$63*(1-'損益分岐設定'!$B$51)+'損益分岐設定'!$E$64*'損益分岐設定'!$B$51)</x:f>
        <x:v>56</x:v>
      </x:c>
      <x:c r="AJ197" s="1" t="n">
        <x:f>(AD197*('損益分岐設定'!$F$57*(1-'損益分岐設定'!$B$51)+'損益分岐設定'!$F$58*'損益分岐設定'!$B$51)+AE197*('損益分岐設定'!$F$60*(1-'損益分岐設定'!$B$51)+'損益分岐設定'!$F$61*'損益分岐設定'!$B$51)+AF197*('損益分岐設定'!$F$63*(1-'損益分岐設定'!$B$51)+'損益分岐設定'!$F$64*'損益分岐設定'!$B$51)*1)*'損益分岐設定'!$B$22</x:f>
        <x:v>456</x:v>
      </x:c>
      <x:c r="AK197" s="1" t="n">
        <x:f>AD197*('損益分岐設定'!$G$57*(1-'損益分岐設定'!$B$51)+'損益分岐設定'!$G$58*'損益分岐設定'!$B$51)+AE197*('損益分岐設定'!$G$60*(1-'損益分岐設定'!$B$51)+'損益分岐設定'!$G$61*'損益分岐設定'!$B$51)+AF197*('損益分岐設定'!$G$63*(1-'損益分岐設定'!$B$51)+'損益分岐設定'!$G$64*'損益分岐設定'!$B$51)</x:f>
        <x:v>400</x:v>
      </x:c>
      <x:c r="AL197" s="1" t="n">
        <x:f>AD197*('損益分岐設定'!$H$57*(1-'損益分岐設定'!$B$51)+'損益分岐設定'!$H$58*'損益分岐設定'!$B$51)+AE197*('損益分岐設定'!$H$60*(1-'損益分岐設定'!$B$51)+'損益分岐設定'!$H$61*'損益分岐設定'!$B$51)+AF197*('損益分岐設定'!$H$63*(1-'損益分岐設定'!$B$51)+'損益分岐設定'!$H$64*'損益分岐設定'!$B$51)</x:f>
        <x:v>726.6666666666667</x:v>
      </x:c>
      <x:c r="AM197" s="1" t="n">
        <x:f>MAX(1,ROUNDUP('損益分岐設定'!C37*AJ197/('損益分岐設定'!$B$23*'損益分岐設定'!$B$24*3600*'損益分岐設定'!$B$25),0))</x:f>
        <x:v>1</x:v>
      </x:c>
      <x:c r="AN197" s="1" t="n">
        <x:f>MAX(2,ROUNDUP('損益分岐設定'!C38*AJ197/('損益分岐設定'!$B$23*'損益分岐設定'!$B$24*3600*'損益分岐設定'!$B$25),0))</x:f>
        <x:v>2</x:v>
      </x:c>
      <x:c r="AO197" s="1" t="n">
        <x:f>MAX(2,ROUNDUP('損益分岐設定'!C39*AJ197/('損益分岐設定'!$B$23*'損益分岐設定'!$B$24*3600*'損益分岐設定'!$B$25),0))</x:f>
        <x:v>2</x:v>
      </x:c>
      <x:c r="AP197" s="1" t="n">
        <x:f>MAX(2,ROUNDUP('損益分岐設定'!C40*AJ197/('損益分岐設定'!$B$23*'損益分岐設定'!$B$24*3600*'損益分岐設定'!$B$25),0))</x:f>
        <x:v>2</x:v>
      </x:c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 ht="23" customHeight="1">
      <x:c r="A198" s="1" t="str">
        <x:v>Hybrid</x:v>
      </x:c>
      <x:c r="B198" s="1" t="str">
        <x:v>Starter</x:v>
      </x:c>
      <x:c r="C198" s="1" t="str">
        <x:v>標準+高位混在</x:v>
      </x:c>
      <x:c r="D198" s="21" t="n">
        <x:v>0.2</x:v>
      </x:c>
      <x:c r="E198" s="1" t="n">
        <x:v>1</x:v>
      </x:c>
      <x:c r="F198" s="7" t="n">
        <x:f>AD198*'損益分岐設定'!$B$5+AE198*'損益分岐設定'!$B$6+AF198*'損益分岐設定'!$B$7</x:f>
        <x:v>3000</x:v>
      </x:c>
      <x:c r="G198" s="7" t="n">
        <x:f>AG198+(AH198+AI198)*('損益分岐設定'!$B$29+0.5*'損益分岐設定'!$B$30)+AK198*'損益分岐設定'!$B$33</x:f>
        <x:v>621.9813972349879</x:v>
      </x:c>
      <x:c r="H198" s="7" t="n">
        <x:f>AL198*E198</x:f>
        <x:v>726.6666666666667</x:v>
      </x:c>
      <x:c r="I198" s="7" t="n">
        <x:f>F198*(1-D198-'損益分岐設定'!$B$10)-G198-H198</x:f>
        <x:v>943.3519360983453</x:v>
      </x:c>
      <x:c r="J198" s="1" t="n">
        <x:f>IF(MIN(V198:Y198)&gt;1000,"範囲内なし",MIN(V198:Y198))</x:f>
        <x:v>73</x:v>
      </x:c>
      <x:c r="K198" s="1" t="n">
        <x:f>IF(MAX(Z198:AC198)&gt;=1000,"範囲内なし",MAX(1,MAX(Z198:AC198)+1))</x:f>
        <x:v>73</x:v>
      </x:c>
      <x:c r="L198" s="7" t="n">
        <x:f>10*I198-R198</x:f>
        <x:v>-42006.27732932186</x:v>
      </x:c>
      <x:c r="M198" s="7" t="n">
        <x:f>30*I198-S198</x:f>
        <x:v>-40079.03529766027</x:v>
      </x:c>
      <x:c r="N198" s="7" t="n">
        <x:f>50*I198-S198</x:f>
        <x:v>-21211.996575693367</x:v>
      </x:c>
      <x:c r="O198" s="7" t="n">
        <x:f>100*I198-S198</x:f>
        <x:v>25955.6002292239</x:v>
      </x:c>
      <x:c r="P198" s="7" t="n">
        <x:f>300*I198-T198</x:f>
        <x:v>192625.98744889296</x:v>
      </x:c>
      <x:c r="Q198" s="7" t="n">
        <x:f>1000*I198-U198</x:f>
        <x:v>822972.3427177346</x:v>
      </x:c>
      <x:c r="R198" s="7" t="n">
        <x:f>'損益分岐設定'!$B$18+'損益分岐設定'!$B$19+'損益分岐設定'!$B$20+'損益分岐設定'!E37+'損益分岐設定'!D37+AM198*('損益分岐設定'!$B$15+'損益分岐設定'!$B$16)+'損益分岐設定'!$B$17+E198*('損益分岐設定'!$B$13+(AM198-1)*'損益分岐設定'!$B$14)*'損益分岐設定'!$B$11</x:f>
        <x:v>51439.79669030532</x:v>
      </x:c>
      <x:c r="S198" s="7" t="n">
        <x:f>'損益分岐設定'!$B$18+'損益分岐設定'!$B$19+'損益分岐設定'!$B$20+'損益分岐設定'!E38+'損益分岐設定'!D38+AN198*('損益分岐設定'!$B$15+'損益分岐設定'!$B$16)+'損益分岐設定'!$B$17+E198*('損益分岐設定'!$B$13+(AN198-1)*'損益分岐設定'!$B$14)*'損益分岐設定'!$B$11</x:f>
        <x:v>68379.59338061063</x:v>
      </x:c>
      <x:c r="T198" s="7" t="n">
        <x:f>'損益分岐設定'!$B$18+'損益分岐設定'!$B$19+'損益分岐設定'!$B$20+'損益分岐設定'!E39+'損益分岐設定'!D39+AO198*('損益分岐設定'!$B$15+'損益分岐設定'!$B$16)+'損益分岐設定'!$B$17+E198*('損益分岐設定'!$B$13+(AO198-1)*'損益分岐設定'!$B$14)*'損益分岐設定'!$B$11</x:f>
        <x:v>90379.59338061063</x:v>
      </x:c>
      <x:c r="U198" s="7" t="n">
        <x:f>'損益分岐設定'!$B$18+'損益分岐設定'!$B$19+'損益分岐設定'!$B$20+'損益分岐設定'!E40+'損益分岐設定'!D40+AP198*('損益分岐設定'!$B$15+'損益分岐設定'!$B$16)+'損益分岐設定'!$B$17+E198*('損益分岐設定'!$B$13+(AP198-1)*'損益分岐設定'!$B$14)*'損益分岐設定'!$B$11</x:f>
        <x:v>120379.59338061063</x:v>
      </x:c>
      <x:c r="V198" s="1" t="n">
        <x:f>IF(I198&lt;=0,1001,IF(MAX('損益分岐設定'!B37,ROUNDUP(R198/I198,0))&lt;='損益分岐設定'!C37,MAX('損益分岐設定'!B37,ROUNDUP(R198/I198,0)),1001))</x:f>
        <x:v>1001</x:v>
      </x:c>
      <x:c r="W198" s="1" t="n">
        <x:f>IF(I198&lt;=0,1001,IF(MAX('損益分岐設定'!B38,ROUNDUP(S198/I198,0))&lt;='損益分岐設定'!C38,MAX('損益分岐設定'!B38,ROUNDUP(S198/I198,0)),1001))</x:f>
        <x:v>73</x:v>
      </x:c>
      <x:c r="X198" s="1" t="n">
        <x:f>IF(I198&lt;=0,1001,IF(MAX('損益分岐設定'!B39,ROUNDUP(T198/I198,0))&lt;='損益分岐設定'!C39,MAX('損益分岐設定'!B39,ROUNDUP(T198/I198,0)),1001))</x:f>
        <x:v>101</x:v>
      </x:c>
      <x:c r="Y198" s="1" t="n">
        <x:f>IF(I198&lt;=0,1001,IF(MAX('損益分岐設定'!B40,ROUNDUP(U198/I198,0))&lt;='損益分岐設定'!C40,MAX('損益分岐設定'!B40,ROUNDUP(U198/I198,0)),1001))</x:f>
        <x:v>501</x:v>
      </x:c>
      <x:c r="Z198" s="1" t="n">
        <x:f>IF(I198&lt;=0,'損益分岐設定'!C37,IF('損益分岐設定'!C37*I198-R198&lt;0,'損益分岐設定'!C37,IF('損益分岐設定'!B37*I198-R198&gt;=0,0,ROUNDUP(R198/I198,0)-1)))</x:f>
        <x:v>10</x:v>
      </x:c>
      <x:c r="AA198" s="1" t="n">
        <x:f>IF(I198&lt;=0,'損益分岐設定'!C38,IF('損益分岐設定'!C38*I198-S198&lt;0,'損益分岐設定'!C38,IF('損益分岐設定'!B38*I198-S198&gt;=0,0,ROUNDUP(S198/I198,0)-1)))</x:f>
        <x:v>72</x:v>
      </x:c>
      <x:c r="AB198" s="1" t="n">
        <x:f>IF(I198&lt;=0,'損益分岐設定'!C39,IF('損益分岐設定'!C39*I198-T198&lt;0,'損益分岐設定'!C39,IF('損益分岐設定'!B39*I198-T198&gt;=0,0,ROUNDUP(T198/I198,0)-1)))</x:f>
        <x:v>0</x:v>
      </x:c>
      <x:c r="AC198" s="1" t="n">
        <x:f>IF(I198&lt;=0,'損益分岐設定'!C40,IF('損益分岐設定'!C40*I198-U198&lt;0,'損益分岐設定'!C40,IF('損益分岐設定'!B40*I198-U198&gt;=0,0,ROUNDUP(U198/I198,0)-1)))</x:f>
        <x:v>0</x:v>
      </x:c>
      <x:c r="AD198" s="1" t="n">
        <x:v>1</x:v>
      </x:c>
      <x:c r="AE198" s="1" t="n">
        <x:v>0</x:v>
      </x:c>
      <x:c r="AF198" s="1" t="n">
        <x:v>0</x:v>
      </x:c>
      <x:c r="AG198" s="1" t="n">
        <x:f>AD198*('損益分岐設定'!$C$57*(1-'損益分岐設定'!$B$51)+'損益分岐設定'!$C$58*'損益分岐設定'!$B$51)+AE198*('損益分岐設定'!$C$60*(1-'損益分岐設定'!$B$51)+'損益分岐設定'!$C$61*'損益分岐設定'!$B$51)+AF198*('損益分岐設定'!$C$63*(1-'損益分岐設定'!$B$51)+'損益分岐設定'!$C$64*'損益分岐設定'!$B$51)</x:f>
        <x:v>621.5522041015626</x:v>
      </x:c>
      <x:c r="AH198" s="1" t="n">
        <x:f>AD198*('損益分岐設定'!$D$57*(1-'損益分岐設定'!$B$51)+'損益分岐設定'!$D$58*'損益分岐設定'!$B$51)+AE198*('損益分岐設定'!$D$60*(1-'損益分岐設定'!$B$51)+'損益分岐設定'!$D$61*'損益分岐設定'!$B$51)+AF198*('損益分岐設定'!$D$63*(1-'損益分岐設定'!$B$51)+'損益分岐設定'!$D$64*'損益分岐設定'!$B$51)</x:f>
        <x:v>48</x:v>
      </x:c>
      <x:c r="AI198" s="1" t="n">
        <x:f>AD198*('損益分岐設定'!$E$57*(1-'損益分岐設定'!$B$51)+'損益分岐設定'!$E$58*'損益分岐設定'!$B$51)+AE198*('損益分岐設定'!$E$60*(1-'損益分岐設定'!$B$51)+'損益分岐設定'!$E$61*'損益分岐設定'!$B$51)+AF198*('損益分岐設定'!$E$63*(1-'損益分岐設定'!$B$51)+'損益分岐設定'!$E$64*'損益分岐設定'!$B$51)</x:f>
        <x:v>56</x:v>
      </x:c>
      <x:c r="AJ198" s="1" t="n">
        <x:f>(AD198*('損益分岐設定'!$F$57*(1-'損益分岐設定'!$B$51)+'損益分岐設定'!$F$58*'損益分岐設定'!$B$51)+AE198*('損益分岐設定'!$F$60*(1-'損益分岐設定'!$B$51)+'損益分岐設定'!$F$61*'損益分岐設定'!$B$51)+AF198*('損益分岐設定'!$F$63*(1-'損益分岐設定'!$B$51)+'損益分岐設定'!$F$64*'損益分岐設定'!$B$51)*1)*'損益分岐設定'!$B$22</x:f>
        <x:v>456</x:v>
      </x:c>
      <x:c r="AK198" s="1" t="n">
        <x:f>AD198*('損益分岐設定'!$G$57*(1-'損益分岐設定'!$B$51)+'損益分岐設定'!$G$58*'損益分岐設定'!$B$51)+AE198*('損益分岐設定'!$G$60*(1-'損益分岐設定'!$B$51)+'損益分岐設定'!$G$61*'損益分岐設定'!$B$51)+AF198*('損益分岐設定'!$G$63*(1-'損益分岐設定'!$B$51)+'損益分岐設定'!$G$64*'損益分岐設定'!$B$51)</x:f>
        <x:v>400</x:v>
      </x:c>
      <x:c r="AL198" s="1" t="n">
        <x:f>AD198*('損益分岐設定'!$H$57*(1-'損益分岐設定'!$B$51)+'損益分岐設定'!$H$58*'損益分岐設定'!$B$51)+AE198*('損益分岐設定'!$H$60*(1-'損益分岐設定'!$B$51)+'損益分岐設定'!$H$61*'損益分岐設定'!$B$51)+AF198*('損益分岐設定'!$H$63*(1-'損益分岐設定'!$B$51)+'損益分岐設定'!$H$64*'損益分岐設定'!$B$51)</x:f>
        <x:v>726.6666666666667</x:v>
      </x:c>
      <x:c r="AM198" s="1" t="n">
        <x:f>MAX(1,ROUNDUP('損益分岐設定'!C37*AJ198/('損益分岐設定'!$B$23*'損益分岐設定'!$B$24*3600*'損益分岐設定'!$B$25),0))</x:f>
        <x:v>1</x:v>
      </x:c>
      <x:c r="AN198" s="1" t="n">
        <x:f>MAX(2,ROUNDUP('損益分岐設定'!C38*AJ198/('損益分岐設定'!$B$23*'損益分岐設定'!$B$24*3600*'損益分岐設定'!$B$25),0))</x:f>
        <x:v>2</x:v>
      </x:c>
      <x:c r="AO198" s="1" t="n">
        <x:f>MAX(2,ROUNDUP('損益分岐設定'!C39*AJ198/('損益分岐設定'!$B$23*'損益分岐設定'!$B$24*3600*'損益分岐設定'!$B$25),0))</x:f>
        <x:v>2</x:v>
      </x:c>
      <x:c r="AP198" s="1" t="n">
        <x:f>MAX(2,ROUNDUP('損益分岐設定'!C40*AJ198/('損益分岐設定'!$B$23*'損益分岐設定'!$B$24*3600*'損益分岐設定'!$B$25),0))</x:f>
        <x:v>2</x:v>
      </x:c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 ht="23" customHeight="1">
      <x:c r="A199" s="1" t="str">
        <x:v>Hybrid</x:v>
      </x:c>
      <x:c r="B199" s="1" t="str">
        <x:v>Starter</x:v>
      </x:c>
      <x:c r="C199" s="1" t="str">
        <x:v>標準+高位混在</x:v>
      </x:c>
      <x:c r="D199" s="21" t="n">
        <x:v>0.3</x:v>
      </x:c>
      <x:c r="E199" s="1" t="n">
        <x:v>0</x:v>
      </x:c>
      <x:c r="F199" s="7" t="n">
        <x:f>AD199*'損益分岐設定'!$B$5+AE199*'損益分岐設定'!$B$6+AF199*'損益分岐設定'!$B$7</x:f>
        <x:v>3000</x:v>
      </x:c>
      <x:c r="G199" s="7" t="n">
        <x:f>AG199+(AH199+AI199)*('損益分岐設定'!$B$29+0.5*'損益分岐設定'!$B$30)+AK199*'損益分岐設定'!$B$33</x:f>
        <x:v>621.9813972349879</x:v>
      </x:c>
      <x:c r="H199" s="7" t="n">
        <x:f>AL199*E199</x:f>
        <x:v>0</x:v>
      </x:c>
      <x:c r="I199" s="7" t="n">
        <x:f>F199*(1-D199-'損益分岐設定'!$B$10)-G199-H199</x:f>
        <x:v>1370.018602765012</x:v>
      </x:c>
      <x:c r="J199" s="1" t="n">
        <x:f>IF(MIN(V199:Y199)&gt;1000,"範囲内なし",MIN(V199:Y199))</x:f>
        <x:v>37</x:v>
      </x:c>
      <x:c r="K199" s="1" t="n">
        <x:f>IF(MAX(Z199:AC199)&gt;=1000,"範囲内なし",MAX(1,MAX(Z199:AC199)+1))</x:f>
        <x:v>37</x:v>
      </x:c>
      <x:c r="L199" s="7" t="n">
        <x:f>10*I199-R199</x:f>
        <x:v>-21739.610662655195</x:v>
      </x:c>
      <x:c r="M199" s="7" t="n">
        <x:f>30*I199-S199</x:f>
        <x:v>-9279.035297660273</x:v>
      </x:c>
      <x:c r="N199" s="7" t="n">
        <x:f>50*I199-S199</x:f>
        <x:v>18121.33675763996</x:v>
      </x:c>
      <x:c r="O199" s="7" t="n">
        <x:f>100*I199-S199</x:f>
        <x:v>86622.26689589056</x:v>
      </x:c>
      <x:c r="P199" s="7" t="n">
        <x:f>300*I199-T199</x:f>
        <x:v>338625.98744889296</x:v>
      </x:c>
      <x:c r="Q199" s="7" t="n">
        <x:f>1000*I199-U199</x:f>
        <x:v>1267639.0093844014</x:v>
      </x:c>
      <x:c r="R199" s="7" t="n">
        <x:f>'損益分岐設定'!$B$18+'損益分岐設定'!$B$19+'損益分岐設定'!$B$20+'損益分岐設定'!E37+'損益分岐設定'!D37+AM199*('損益分岐設定'!$B$15+'損益分岐設定'!$B$16)+'損益分岐設定'!$B$17+E199*('損益分岐設定'!$B$13+(AM199-1)*'損益分岐設定'!$B$14)*'損益分岐設定'!$B$11</x:f>
        <x:v>35439.79669030532</x:v>
      </x:c>
      <x:c r="S199" s="7" t="n">
        <x:f>'損益分岐設定'!$B$18+'損益分岐設定'!$B$19+'損益分岐設定'!$B$20+'損益分岐設定'!E38+'損益分岐設定'!D38+AN199*('損益分岐設定'!$B$15+'損益分岐設定'!$B$16)+'損益分岐設定'!$B$17+E199*('損益分岐設定'!$B$13+(AN199-1)*'損益分岐設定'!$B$14)*'損益分岐設定'!$B$11</x:f>
        <x:v>50379.59338061063</x:v>
      </x:c>
      <x:c r="T199" s="7" t="n">
        <x:f>'損益分岐設定'!$B$18+'損益分岐設定'!$B$19+'損益分岐設定'!$B$20+'損益分岐設定'!E39+'損益分岐設定'!D39+AO199*('損益分岐設定'!$B$15+'損益分岐設定'!$B$16)+'損益分岐設定'!$B$17+E199*('損益分岐設定'!$B$13+(AO199-1)*'損益分岐設定'!$B$14)*'損益分岐設定'!$B$11</x:f>
        <x:v>72379.59338061063</x:v>
      </x:c>
      <x:c r="U199" s="7" t="n">
        <x:f>'損益分岐設定'!$B$18+'損益分岐設定'!$B$19+'損益分岐設定'!$B$20+'損益分岐設定'!E40+'損益分岐設定'!D40+AP199*('損益分岐設定'!$B$15+'損益分岐設定'!$B$16)+'損益分岐設定'!$B$17+E199*('損益分岐設定'!$B$13+(AP199-1)*'損益分岐設定'!$B$14)*'損益分岐設定'!$B$11</x:f>
        <x:v>102379.59338061063</x:v>
      </x:c>
      <x:c r="V199" s="1" t="n">
        <x:f>IF(I199&lt;=0,1001,IF(MAX('損益分岐設定'!B37,ROUNDUP(R199/I199,0))&lt;='損益分岐設定'!C37,MAX('損益分岐設定'!B37,ROUNDUP(R199/I199,0)),1001))</x:f>
        <x:v>1001</x:v>
      </x:c>
      <x:c r="W199" s="1" t="n">
        <x:f>IF(I199&lt;=0,1001,IF(MAX('損益分岐設定'!B38,ROUNDUP(S199/I199,0))&lt;='損益分岐設定'!C38,MAX('損益分岐設定'!B38,ROUNDUP(S199/I199,0)),1001))</x:f>
        <x:v>37</x:v>
      </x:c>
      <x:c r="X199" s="1" t="n">
        <x:f>IF(I199&lt;=0,1001,IF(MAX('損益分岐設定'!B39,ROUNDUP(T199/I199,0))&lt;='損益分岐設定'!C39,MAX('損益分岐設定'!B39,ROUNDUP(T199/I199,0)),1001))</x:f>
        <x:v>101</x:v>
      </x:c>
      <x:c r="Y199" s="1" t="n">
        <x:f>IF(I199&lt;=0,1001,IF(MAX('損益分岐設定'!B40,ROUNDUP(U199/I199,0))&lt;='損益分岐設定'!C40,MAX('損益分岐設定'!B40,ROUNDUP(U199/I199,0)),1001))</x:f>
        <x:v>501</x:v>
      </x:c>
      <x:c r="Z199" s="1" t="n">
        <x:f>IF(I199&lt;=0,'損益分岐設定'!C37,IF('損益分岐設定'!C37*I199-R199&lt;0,'損益分岐設定'!C37,IF('損益分岐設定'!B37*I199-R199&gt;=0,0,ROUNDUP(R199/I199,0)-1)))</x:f>
        <x:v>10</x:v>
      </x:c>
      <x:c r="AA199" s="1" t="n">
        <x:f>IF(I199&lt;=0,'損益分岐設定'!C38,IF('損益分岐設定'!C38*I199-S199&lt;0,'損益分岐設定'!C38,IF('損益分岐設定'!B38*I199-S199&gt;=0,0,ROUNDUP(S199/I199,0)-1)))</x:f>
        <x:v>36</x:v>
      </x:c>
      <x:c r="AB199" s="1" t="n">
        <x:f>IF(I199&lt;=0,'損益分岐設定'!C39,IF('損益分岐設定'!C39*I199-T199&lt;0,'損益分岐設定'!C39,IF('損益分岐設定'!B39*I199-T199&gt;=0,0,ROUNDUP(T199/I199,0)-1)))</x:f>
        <x:v>0</x:v>
      </x:c>
      <x:c r="AC199" s="1" t="n">
        <x:f>IF(I199&lt;=0,'損益分岐設定'!C40,IF('損益分岐設定'!C40*I199-U199&lt;0,'損益分岐設定'!C40,IF('損益分岐設定'!B40*I199-U199&gt;=0,0,ROUNDUP(U199/I199,0)-1)))</x:f>
        <x:v>0</x:v>
      </x:c>
      <x:c r="AD199" s="1" t="n">
        <x:v>1</x:v>
      </x:c>
      <x:c r="AE199" s="1" t="n">
        <x:v>0</x:v>
      </x:c>
      <x:c r="AF199" s="1" t="n">
        <x:v>0</x:v>
      </x:c>
      <x:c r="AG199" s="1" t="n">
        <x:f>AD199*('損益分岐設定'!$C$57*(1-'損益分岐設定'!$B$51)+'損益分岐設定'!$C$58*'損益分岐設定'!$B$51)+AE199*('損益分岐設定'!$C$60*(1-'損益分岐設定'!$B$51)+'損益分岐設定'!$C$61*'損益分岐設定'!$B$51)+AF199*('損益分岐設定'!$C$63*(1-'損益分岐設定'!$B$51)+'損益分岐設定'!$C$64*'損益分岐設定'!$B$51)</x:f>
        <x:v>621.5522041015626</x:v>
      </x:c>
      <x:c r="AH199" s="1" t="n">
        <x:f>AD199*('損益分岐設定'!$D$57*(1-'損益分岐設定'!$B$51)+'損益分岐設定'!$D$58*'損益分岐設定'!$B$51)+AE199*('損益分岐設定'!$D$60*(1-'損益分岐設定'!$B$51)+'損益分岐設定'!$D$61*'損益分岐設定'!$B$51)+AF199*('損益分岐設定'!$D$63*(1-'損益分岐設定'!$B$51)+'損益分岐設定'!$D$64*'損益分岐設定'!$B$51)</x:f>
        <x:v>48</x:v>
      </x:c>
      <x:c r="AI199" s="1" t="n">
        <x:f>AD199*('損益分岐設定'!$E$57*(1-'損益分岐設定'!$B$51)+'損益分岐設定'!$E$58*'損益分岐設定'!$B$51)+AE199*('損益分岐設定'!$E$60*(1-'損益分岐設定'!$B$51)+'損益分岐設定'!$E$61*'損益分岐設定'!$B$51)+AF199*('損益分岐設定'!$E$63*(1-'損益分岐設定'!$B$51)+'損益分岐設定'!$E$64*'損益分岐設定'!$B$51)</x:f>
        <x:v>56</x:v>
      </x:c>
      <x:c r="AJ199" s="1" t="n">
        <x:f>(AD199*('損益分岐設定'!$F$57*(1-'損益分岐設定'!$B$51)+'損益分岐設定'!$F$58*'損益分岐設定'!$B$51)+AE199*('損益分岐設定'!$F$60*(1-'損益分岐設定'!$B$51)+'損益分岐設定'!$F$61*'損益分岐設定'!$B$51)+AF199*('損益分岐設定'!$F$63*(1-'損益分岐設定'!$B$51)+'損益分岐設定'!$F$64*'損益分岐設定'!$B$51)*1)*'損益分岐設定'!$B$22</x:f>
        <x:v>456</x:v>
      </x:c>
      <x:c r="AK199" s="1" t="n">
        <x:f>AD199*('損益分岐設定'!$G$57*(1-'損益分岐設定'!$B$51)+'損益分岐設定'!$G$58*'損益分岐設定'!$B$51)+AE199*('損益分岐設定'!$G$60*(1-'損益分岐設定'!$B$51)+'損益分岐設定'!$G$61*'損益分岐設定'!$B$51)+AF199*('損益分岐設定'!$G$63*(1-'損益分岐設定'!$B$51)+'損益分岐設定'!$G$64*'損益分岐設定'!$B$51)</x:f>
        <x:v>400</x:v>
      </x:c>
      <x:c r="AL199" s="1" t="n">
        <x:f>AD199*('損益分岐設定'!$H$57*(1-'損益分岐設定'!$B$51)+'損益分岐設定'!$H$58*'損益分岐設定'!$B$51)+AE199*('損益分岐設定'!$H$60*(1-'損益分岐設定'!$B$51)+'損益分岐設定'!$H$61*'損益分岐設定'!$B$51)+AF199*('損益分岐設定'!$H$63*(1-'損益分岐設定'!$B$51)+'損益分岐設定'!$H$64*'損益分岐設定'!$B$51)</x:f>
        <x:v>726.6666666666667</x:v>
      </x:c>
      <x:c r="AM199" s="1" t="n">
        <x:f>MAX(1,ROUNDUP('損益分岐設定'!C37*AJ199/('損益分岐設定'!$B$23*'損益分岐設定'!$B$24*3600*'損益分岐設定'!$B$25),0))</x:f>
        <x:v>1</x:v>
      </x:c>
      <x:c r="AN199" s="1" t="n">
        <x:f>MAX(2,ROUNDUP('損益分岐設定'!C38*AJ199/('損益分岐設定'!$B$23*'損益分岐設定'!$B$24*3600*'損益分岐設定'!$B$25),0))</x:f>
        <x:v>2</x:v>
      </x:c>
      <x:c r="AO199" s="1" t="n">
        <x:f>MAX(2,ROUNDUP('損益分岐設定'!C39*AJ199/('損益分岐設定'!$B$23*'損益分岐設定'!$B$24*3600*'損益分岐設定'!$B$25),0))</x:f>
        <x:v>2</x:v>
      </x:c>
      <x:c r="AP199" s="1" t="n">
        <x:f>MAX(2,ROUNDUP('損益分岐設定'!C40*AJ199/('損益分岐設定'!$B$23*'損益分岐設定'!$B$24*3600*'損益分岐設定'!$B$25),0))</x:f>
        <x:v>2</x:v>
      </x:c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 ht="23" customHeight="1">
      <x:c r="A200" s="1" t="str">
        <x:v>Hybrid</x:v>
      </x:c>
      <x:c r="B200" s="1" t="str">
        <x:v>Starter</x:v>
      </x:c>
      <x:c r="C200" s="1" t="str">
        <x:v>標準+高位混在</x:v>
      </x:c>
      <x:c r="D200" s="21" t="n">
        <x:v>0.3</x:v>
      </x:c>
      <x:c r="E200" s="1" t="n">
        <x:v>1</x:v>
      </x:c>
      <x:c r="F200" s="7" t="n">
        <x:f>AD200*'損益分岐設定'!$B$5+AE200*'損益分岐設定'!$B$6+AF200*'損益分岐設定'!$B$7</x:f>
        <x:v>3000</x:v>
      </x:c>
      <x:c r="G200" s="7" t="n">
        <x:f>AG200+(AH200+AI200)*('損益分岐設定'!$B$29+0.5*'損益分岐設定'!$B$30)+AK200*'損益分岐設定'!$B$33</x:f>
        <x:v>621.9813972349879</x:v>
      </x:c>
      <x:c r="H200" s="7" t="n">
        <x:f>AL200*E200</x:f>
        <x:v>726.6666666666667</x:v>
      </x:c>
      <x:c r="I200" s="7" t="n">
        <x:f>F200*(1-D200-'損益分岐設定'!$B$10)-G200-H200</x:f>
        <x:v>643.3519360983453</x:v>
      </x:c>
      <x:c r="J200" s="1" t="n">
        <x:f>IF(MIN(V200:Y200)&gt;1000,"範囲内なし",MIN(V200:Y200))</x:f>
        <x:v>141</x:v>
      </x:c>
      <x:c r="K200" s="1" t="n">
        <x:f>IF(MAX(Z200:AC200)&gt;=1000,"範囲内なし",MAX(1,MAX(Z200:AC200)+1))</x:f>
        <x:v>141</x:v>
      </x:c>
      <x:c r="L200" s="7" t="n">
        <x:f>10*I200-R200</x:f>
        <x:v>-45006.27732932186</x:v>
      </x:c>
      <x:c r="M200" s="7" t="n">
        <x:f>30*I200-S200</x:f>
        <x:v>-49079.03529766027</x:v>
      </x:c>
      <x:c r="N200" s="7" t="n">
        <x:f>50*I200-S200</x:f>
        <x:v>-36211.99657569337</x:v>
      </x:c>
      <x:c r="O200" s="7" t="n">
        <x:f>100*I200-S200</x:f>
        <x:v>-4044.399770776108</x:v>
      </x:c>
      <x:c r="P200" s="7" t="n">
        <x:f>300*I200-T200</x:f>
        <x:v>102625.98744889296</x:v>
      </x:c>
      <x:c r="Q200" s="7" t="n">
        <x:f>1000*I200-U200</x:f>
        <x:v>522972.3427177347</x:v>
      </x:c>
      <x:c r="R200" s="7" t="n">
        <x:f>'損益分岐設定'!$B$18+'損益分岐設定'!$B$19+'損益分岐設定'!$B$20+'損益分岐設定'!E37+'損益分岐設定'!D37+AM200*('損益分岐設定'!$B$15+'損益分岐設定'!$B$16)+'損益分岐設定'!$B$17+E200*('損益分岐設定'!$B$13+(AM200-1)*'損益分岐設定'!$B$14)*'損益分岐設定'!$B$11</x:f>
        <x:v>51439.79669030532</x:v>
      </x:c>
      <x:c r="S200" s="7" t="n">
        <x:f>'損益分岐設定'!$B$18+'損益分岐設定'!$B$19+'損益分岐設定'!$B$20+'損益分岐設定'!E38+'損益分岐設定'!D38+AN200*('損益分岐設定'!$B$15+'損益分岐設定'!$B$16)+'損益分岐設定'!$B$17+E200*('損益分岐設定'!$B$13+(AN200-1)*'損益分岐設定'!$B$14)*'損益分岐設定'!$B$11</x:f>
        <x:v>68379.59338061063</x:v>
      </x:c>
      <x:c r="T200" s="7" t="n">
        <x:f>'損益分岐設定'!$B$18+'損益分岐設定'!$B$19+'損益分岐設定'!$B$20+'損益分岐設定'!E39+'損益分岐設定'!D39+AO200*('損益分岐設定'!$B$15+'損益分岐設定'!$B$16)+'損益分岐設定'!$B$17+E200*('損益分岐設定'!$B$13+(AO200-1)*'損益分岐設定'!$B$14)*'損益分岐設定'!$B$11</x:f>
        <x:v>90379.59338061063</x:v>
      </x:c>
      <x:c r="U200" s="7" t="n">
        <x:f>'損益分岐設定'!$B$18+'損益分岐設定'!$B$19+'損益分岐設定'!$B$20+'損益分岐設定'!E40+'損益分岐設定'!D40+AP200*('損益分岐設定'!$B$15+'損益分岐設定'!$B$16)+'損益分岐設定'!$B$17+E200*('損益分岐設定'!$B$13+(AP200-1)*'損益分岐設定'!$B$14)*'損益分岐設定'!$B$11</x:f>
        <x:v>120379.59338061063</x:v>
      </x:c>
      <x:c r="V200" s="1" t="n">
        <x:f>IF(I200&lt;=0,1001,IF(MAX('損益分岐設定'!B37,ROUNDUP(R200/I200,0))&lt;='損益分岐設定'!C37,MAX('損益分岐設定'!B37,ROUNDUP(R200/I200,0)),1001))</x:f>
        <x:v>1001</x:v>
      </x:c>
      <x:c r="W200" s="1" t="n">
        <x:f>IF(I200&lt;=0,1001,IF(MAX('損益分岐設定'!B38,ROUNDUP(S200/I200,0))&lt;='損益分岐設定'!C38,MAX('損益分岐設定'!B38,ROUNDUP(S200/I200,0)),1001))</x:f>
        <x:v>1001</x:v>
      </x:c>
      <x:c r="X200" s="1" t="n">
        <x:f>IF(I200&lt;=0,1001,IF(MAX('損益分岐設定'!B39,ROUNDUP(T200/I200,0))&lt;='損益分岐設定'!C39,MAX('損益分岐設定'!B39,ROUNDUP(T200/I200,0)),1001))</x:f>
        <x:v>141</x:v>
      </x:c>
      <x:c r="Y200" s="1" t="n">
        <x:f>IF(I200&lt;=0,1001,IF(MAX('損益分岐設定'!B40,ROUNDUP(U200/I200,0))&lt;='損益分岐設定'!C40,MAX('損益分岐設定'!B40,ROUNDUP(U200/I200,0)),1001))</x:f>
        <x:v>501</x:v>
      </x:c>
      <x:c r="Z200" s="1" t="n">
        <x:f>IF(I200&lt;=0,'損益分岐設定'!C37,IF('損益分岐設定'!C37*I200-R200&lt;0,'損益分岐設定'!C37,IF('損益分岐設定'!B37*I200-R200&gt;=0,0,ROUNDUP(R200/I200,0)-1)))</x:f>
        <x:v>10</x:v>
      </x:c>
      <x:c r="AA200" s="1" t="n">
        <x:f>IF(I200&lt;=0,'損益分岐設定'!C38,IF('損益分岐設定'!C38*I200-S200&lt;0,'損益分岐設定'!C38,IF('損益分岐設定'!B38*I200-S200&gt;=0,0,ROUNDUP(S200/I200,0)-1)))</x:f>
        <x:v>100</x:v>
      </x:c>
      <x:c r="AB200" s="1" t="n">
        <x:f>IF(I200&lt;=0,'損益分岐設定'!C39,IF('損益分岐設定'!C39*I200-T200&lt;0,'損益分岐設定'!C39,IF('損益分岐設定'!B39*I200-T200&gt;=0,0,ROUNDUP(T200/I200,0)-1)))</x:f>
        <x:v>140</x:v>
      </x:c>
      <x:c r="AC200" s="1" t="n">
        <x:f>IF(I200&lt;=0,'損益分岐設定'!C40,IF('損益分岐設定'!C40*I200-U200&lt;0,'損益分岐設定'!C40,IF('損益分岐設定'!B40*I200-U200&gt;=0,0,ROUNDUP(U200/I200,0)-1)))</x:f>
        <x:v>0</x:v>
      </x:c>
      <x:c r="AD200" s="1" t="n">
        <x:v>1</x:v>
      </x:c>
      <x:c r="AE200" s="1" t="n">
        <x:v>0</x:v>
      </x:c>
      <x:c r="AF200" s="1" t="n">
        <x:v>0</x:v>
      </x:c>
      <x:c r="AG200" s="1" t="n">
        <x:f>AD200*('損益分岐設定'!$C$57*(1-'損益分岐設定'!$B$51)+'損益分岐設定'!$C$58*'損益分岐設定'!$B$51)+AE200*('損益分岐設定'!$C$60*(1-'損益分岐設定'!$B$51)+'損益分岐設定'!$C$61*'損益分岐設定'!$B$51)+AF200*('損益分岐設定'!$C$63*(1-'損益分岐設定'!$B$51)+'損益分岐設定'!$C$64*'損益分岐設定'!$B$51)</x:f>
        <x:v>621.5522041015626</x:v>
      </x:c>
      <x:c r="AH200" s="1" t="n">
        <x:f>AD200*('損益分岐設定'!$D$57*(1-'損益分岐設定'!$B$51)+'損益分岐設定'!$D$58*'損益分岐設定'!$B$51)+AE200*('損益分岐設定'!$D$60*(1-'損益分岐設定'!$B$51)+'損益分岐設定'!$D$61*'損益分岐設定'!$B$51)+AF200*('損益分岐設定'!$D$63*(1-'損益分岐設定'!$B$51)+'損益分岐設定'!$D$64*'損益分岐設定'!$B$51)</x:f>
        <x:v>48</x:v>
      </x:c>
      <x:c r="AI200" s="1" t="n">
        <x:f>AD200*('損益分岐設定'!$E$57*(1-'損益分岐設定'!$B$51)+'損益分岐設定'!$E$58*'損益分岐設定'!$B$51)+AE200*('損益分岐設定'!$E$60*(1-'損益分岐設定'!$B$51)+'損益分岐設定'!$E$61*'損益分岐設定'!$B$51)+AF200*('損益分岐設定'!$E$63*(1-'損益分岐設定'!$B$51)+'損益分岐設定'!$E$64*'損益分岐設定'!$B$51)</x:f>
        <x:v>56</x:v>
      </x:c>
      <x:c r="AJ200" s="1" t="n">
        <x:f>(AD200*('損益分岐設定'!$F$57*(1-'損益分岐設定'!$B$51)+'損益分岐設定'!$F$58*'損益分岐設定'!$B$51)+AE200*('損益分岐設定'!$F$60*(1-'損益分岐設定'!$B$51)+'損益分岐設定'!$F$61*'損益分岐設定'!$B$51)+AF200*('損益分岐設定'!$F$63*(1-'損益分岐設定'!$B$51)+'損益分岐設定'!$F$64*'損益分岐設定'!$B$51)*1)*'損益分岐設定'!$B$22</x:f>
        <x:v>456</x:v>
      </x:c>
      <x:c r="AK200" s="1" t="n">
        <x:f>AD200*('損益分岐設定'!$G$57*(1-'損益分岐設定'!$B$51)+'損益分岐設定'!$G$58*'損益分岐設定'!$B$51)+AE200*('損益分岐設定'!$G$60*(1-'損益分岐設定'!$B$51)+'損益分岐設定'!$G$61*'損益分岐設定'!$B$51)+AF200*('損益分岐設定'!$G$63*(1-'損益分岐設定'!$B$51)+'損益分岐設定'!$G$64*'損益分岐設定'!$B$51)</x:f>
        <x:v>400</x:v>
      </x:c>
      <x:c r="AL200" s="1" t="n">
        <x:f>AD200*('損益分岐設定'!$H$57*(1-'損益分岐設定'!$B$51)+'損益分岐設定'!$H$58*'損益分岐設定'!$B$51)+AE200*('損益分岐設定'!$H$60*(1-'損益分岐設定'!$B$51)+'損益分岐設定'!$H$61*'損益分岐設定'!$B$51)+AF200*('損益分岐設定'!$H$63*(1-'損益分岐設定'!$B$51)+'損益分岐設定'!$H$64*'損益分岐設定'!$B$51)</x:f>
        <x:v>726.6666666666667</x:v>
      </x:c>
      <x:c r="AM200" s="1" t="n">
        <x:f>MAX(1,ROUNDUP('損益分岐設定'!C37*AJ200/('損益分岐設定'!$B$23*'損益分岐設定'!$B$24*3600*'損益分岐設定'!$B$25),0))</x:f>
        <x:v>1</x:v>
      </x:c>
      <x:c r="AN200" s="1" t="n">
        <x:f>MAX(2,ROUNDUP('損益分岐設定'!C38*AJ200/('損益分岐設定'!$B$23*'損益分岐設定'!$B$24*3600*'損益分岐設定'!$B$25),0))</x:f>
        <x:v>2</x:v>
      </x:c>
      <x:c r="AO200" s="1" t="n">
        <x:f>MAX(2,ROUNDUP('損益分岐設定'!C39*AJ200/('損益分岐設定'!$B$23*'損益分岐設定'!$B$24*3600*'損益分岐設定'!$B$25),0))</x:f>
        <x:v>2</x:v>
      </x:c>
      <x:c r="AP200" s="1" t="n">
        <x:f>MAX(2,ROUNDUP('損益分岐設定'!C40*AJ200/('損益分岐設定'!$B$23*'損益分岐設定'!$B$24*3600*'損益分岐設定'!$B$25),0))</x:f>
        <x:v>2</x:v>
      </x:c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 ht="23" customHeight="1">
      <x:c r="A201" s="1" t="str">
        <x:v>Hybrid</x:v>
      </x:c>
      <x:c r="B201" s="1" t="str">
        <x:v>Starter</x:v>
      </x:c>
      <x:c r="C201" s="1" t="str">
        <x:v>標準+高位混在</x:v>
      </x:c>
      <x:c r="D201" s="21" t="n">
        <x:v>0.4</x:v>
      </x:c>
      <x:c r="E201" s="1" t="n">
        <x:v>0</x:v>
      </x:c>
      <x:c r="F201" s="7" t="n">
        <x:f>AD201*'損益分岐設定'!$B$5+AE201*'損益分岐設定'!$B$6+AF201*'損益分岐設定'!$B$7</x:f>
        <x:v>3000</x:v>
      </x:c>
      <x:c r="G201" s="7" t="n">
        <x:f>AG201+(AH201+AI201)*('損益分岐設定'!$B$29+0.5*'損益分岐設定'!$B$30)+AK201*'損益分岐設定'!$B$33</x:f>
        <x:v>621.9813972349879</x:v>
      </x:c>
      <x:c r="H201" s="7" t="n">
        <x:f>AL201*E201</x:f>
        <x:v>0</x:v>
      </x:c>
      <x:c r="I201" s="7" t="n">
        <x:f>F201*(1-D201-'損益分岐設定'!$B$10)-G201-H201</x:f>
        <x:v>1070.018602765012</x:v>
      </x:c>
      <x:c r="J201" s="1" t="n">
        <x:f>IF(MIN(V201:Y201)&gt;1000,"範囲内なし",MIN(V201:Y201))</x:f>
        <x:v>48</x:v>
      </x:c>
      <x:c r="K201" s="1" t="n">
        <x:f>IF(MAX(Z201:AC201)&gt;=1000,"範囲内なし",MAX(1,MAX(Z201:AC201)+1))</x:f>
        <x:v>48</x:v>
      </x:c>
      <x:c r="L201" s="7" t="n">
        <x:f>10*I201-R201</x:f>
        <x:v>-24739.610662655195</x:v>
      </x:c>
      <x:c r="M201" s="7" t="n">
        <x:f>30*I201-S201</x:f>
        <x:v>-18279.035297660273</x:v>
      </x:c>
      <x:c r="N201" s="7" t="n">
        <x:f>50*I201-S201</x:f>
        <x:v>3121.3367576399687</x:v>
      </x:c>
      <x:c r="O201" s="7" t="n">
        <x:f>100*I201-S201</x:f>
        <x:v>56622.26689589057</x:v>
      </x:c>
      <x:c r="P201" s="7" t="n">
        <x:f>300*I201-T201</x:f>
        <x:v>248625.98744889296</x:v>
      </x:c>
      <x:c r="Q201" s="7" t="n">
        <x:f>1000*I201-U201</x:f>
        <x:v>967639.0093844014</x:v>
      </x:c>
      <x:c r="R201" s="7" t="n">
        <x:f>'損益分岐設定'!$B$18+'損益分岐設定'!$B$19+'損益分岐設定'!$B$20+'損益分岐設定'!E37+'損益分岐設定'!D37+AM201*('損益分岐設定'!$B$15+'損益分岐設定'!$B$16)+'損益分岐設定'!$B$17+E201*('損益分岐設定'!$B$13+(AM201-1)*'損益分岐設定'!$B$14)*'損益分岐設定'!$B$11</x:f>
        <x:v>35439.79669030532</x:v>
      </x:c>
      <x:c r="S201" s="7" t="n">
        <x:f>'損益分岐設定'!$B$18+'損益分岐設定'!$B$19+'損益分岐設定'!$B$20+'損益分岐設定'!E38+'損益分岐設定'!D38+AN201*('損益分岐設定'!$B$15+'損益分岐設定'!$B$16)+'損益分岐設定'!$B$17+E201*('損益分岐設定'!$B$13+(AN201-1)*'損益分岐設定'!$B$14)*'損益分岐設定'!$B$11</x:f>
        <x:v>50379.59338061063</x:v>
      </x:c>
      <x:c r="T201" s="7" t="n">
        <x:f>'損益分岐設定'!$B$18+'損益分岐設定'!$B$19+'損益分岐設定'!$B$20+'損益分岐設定'!E39+'損益分岐設定'!D39+AO201*('損益分岐設定'!$B$15+'損益分岐設定'!$B$16)+'損益分岐設定'!$B$17+E201*('損益分岐設定'!$B$13+(AO201-1)*'損益分岐設定'!$B$14)*'損益分岐設定'!$B$11</x:f>
        <x:v>72379.59338061063</x:v>
      </x:c>
      <x:c r="U201" s="7" t="n">
        <x:f>'損益分岐設定'!$B$18+'損益分岐設定'!$B$19+'損益分岐設定'!$B$20+'損益分岐設定'!E40+'損益分岐設定'!D40+AP201*('損益分岐設定'!$B$15+'損益分岐設定'!$B$16)+'損益分岐設定'!$B$17+E201*('損益分岐設定'!$B$13+(AP201-1)*'損益分岐設定'!$B$14)*'損益分岐設定'!$B$11</x:f>
        <x:v>102379.59338061063</x:v>
      </x:c>
      <x:c r="V201" s="1" t="n">
        <x:f>IF(I201&lt;=0,1001,IF(MAX('損益分岐設定'!B37,ROUNDUP(R201/I201,0))&lt;='損益分岐設定'!C37,MAX('損益分岐設定'!B37,ROUNDUP(R201/I201,0)),1001))</x:f>
        <x:v>1001</x:v>
      </x:c>
      <x:c r="W201" s="1" t="n">
        <x:f>IF(I201&lt;=0,1001,IF(MAX('損益分岐設定'!B38,ROUNDUP(S201/I201,0))&lt;='損益分岐設定'!C38,MAX('損益分岐設定'!B38,ROUNDUP(S201/I201,0)),1001))</x:f>
        <x:v>48</x:v>
      </x:c>
      <x:c r="X201" s="1" t="n">
        <x:f>IF(I201&lt;=0,1001,IF(MAX('損益分岐設定'!B39,ROUNDUP(T201/I201,0))&lt;='損益分岐設定'!C39,MAX('損益分岐設定'!B39,ROUNDUP(T201/I201,0)),1001))</x:f>
        <x:v>101</x:v>
      </x:c>
      <x:c r="Y201" s="1" t="n">
        <x:f>IF(I201&lt;=0,1001,IF(MAX('損益分岐設定'!B40,ROUNDUP(U201/I201,0))&lt;='損益分岐設定'!C40,MAX('損益分岐設定'!B40,ROUNDUP(U201/I201,0)),1001))</x:f>
        <x:v>501</x:v>
      </x:c>
      <x:c r="Z201" s="1" t="n">
        <x:f>IF(I201&lt;=0,'損益分岐設定'!C37,IF('損益分岐設定'!C37*I201-R201&lt;0,'損益分岐設定'!C37,IF('損益分岐設定'!B37*I201-R201&gt;=0,0,ROUNDUP(R201/I201,0)-1)))</x:f>
        <x:v>10</x:v>
      </x:c>
      <x:c r="AA201" s="1" t="n">
        <x:f>IF(I201&lt;=0,'損益分岐設定'!C38,IF('損益分岐設定'!C38*I201-S201&lt;0,'損益分岐設定'!C38,IF('損益分岐設定'!B38*I201-S201&gt;=0,0,ROUNDUP(S201/I201,0)-1)))</x:f>
        <x:v>47</x:v>
      </x:c>
      <x:c r="AB201" s="1" t="n">
        <x:f>IF(I201&lt;=0,'損益分岐設定'!C39,IF('損益分岐設定'!C39*I201-T201&lt;0,'損益分岐設定'!C39,IF('損益分岐設定'!B39*I201-T201&gt;=0,0,ROUNDUP(T201/I201,0)-1)))</x:f>
        <x:v>0</x:v>
      </x:c>
      <x:c r="AC201" s="1" t="n">
        <x:f>IF(I201&lt;=0,'損益分岐設定'!C40,IF('損益分岐設定'!C40*I201-U201&lt;0,'損益分岐設定'!C40,IF('損益分岐設定'!B40*I201-U201&gt;=0,0,ROUNDUP(U201/I201,0)-1)))</x:f>
        <x:v>0</x:v>
      </x:c>
      <x:c r="AD201" s="1" t="n">
        <x:v>1</x:v>
      </x:c>
      <x:c r="AE201" s="1" t="n">
        <x:v>0</x:v>
      </x:c>
      <x:c r="AF201" s="1" t="n">
        <x:v>0</x:v>
      </x:c>
      <x:c r="AG201" s="1" t="n">
        <x:f>AD201*('損益分岐設定'!$C$57*(1-'損益分岐設定'!$B$51)+'損益分岐設定'!$C$58*'損益分岐設定'!$B$51)+AE201*('損益分岐設定'!$C$60*(1-'損益分岐設定'!$B$51)+'損益分岐設定'!$C$61*'損益分岐設定'!$B$51)+AF201*('損益分岐設定'!$C$63*(1-'損益分岐設定'!$B$51)+'損益分岐設定'!$C$64*'損益分岐設定'!$B$51)</x:f>
        <x:v>621.5522041015626</x:v>
      </x:c>
      <x:c r="AH201" s="1" t="n">
        <x:f>AD201*('損益分岐設定'!$D$57*(1-'損益分岐設定'!$B$51)+'損益分岐設定'!$D$58*'損益分岐設定'!$B$51)+AE201*('損益分岐設定'!$D$60*(1-'損益分岐設定'!$B$51)+'損益分岐設定'!$D$61*'損益分岐設定'!$B$51)+AF201*('損益分岐設定'!$D$63*(1-'損益分岐設定'!$B$51)+'損益分岐設定'!$D$64*'損益分岐設定'!$B$51)</x:f>
        <x:v>48</x:v>
      </x:c>
      <x:c r="AI201" s="1" t="n">
        <x:f>AD201*('損益分岐設定'!$E$57*(1-'損益分岐設定'!$B$51)+'損益分岐設定'!$E$58*'損益分岐設定'!$B$51)+AE201*('損益分岐設定'!$E$60*(1-'損益分岐設定'!$B$51)+'損益分岐設定'!$E$61*'損益分岐設定'!$B$51)+AF201*('損益分岐設定'!$E$63*(1-'損益分岐設定'!$B$51)+'損益分岐設定'!$E$64*'損益分岐設定'!$B$51)</x:f>
        <x:v>56</x:v>
      </x:c>
      <x:c r="AJ201" s="1" t="n">
        <x:f>(AD201*('損益分岐設定'!$F$57*(1-'損益分岐設定'!$B$51)+'損益分岐設定'!$F$58*'損益分岐設定'!$B$51)+AE201*('損益分岐設定'!$F$60*(1-'損益分岐設定'!$B$51)+'損益分岐設定'!$F$61*'損益分岐設定'!$B$51)+AF201*('損益分岐設定'!$F$63*(1-'損益分岐設定'!$B$51)+'損益分岐設定'!$F$64*'損益分岐設定'!$B$51)*1)*'損益分岐設定'!$B$22</x:f>
        <x:v>456</x:v>
      </x:c>
      <x:c r="AK201" s="1" t="n">
        <x:f>AD201*('損益分岐設定'!$G$57*(1-'損益分岐設定'!$B$51)+'損益分岐設定'!$G$58*'損益分岐設定'!$B$51)+AE201*('損益分岐設定'!$G$60*(1-'損益分岐設定'!$B$51)+'損益分岐設定'!$G$61*'損益分岐設定'!$B$51)+AF201*('損益分岐設定'!$G$63*(1-'損益分岐設定'!$B$51)+'損益分岐設定'!$G$64*'損益分岐設定'!$B$51)</x:f>
        <x:v>400</x:v>
      </x:c>
      <x:c r="AL201" s="1" t="n">
        <x:f>AD201*('損益分岐設定'!$H$57*(1-'損益分岐設定'!$B$51)+'損益分岐設定'!$H$58*'損益分岐設定'!$B$51)+AE201*('損益分岐設定'!$H$60*(1-'損益分岐設定'!$B$51)+'損益分岐設定'!$H$61*'損益分岐設定'!$B$51)+AF201*('損益分岐設定'!$H$63*(1-'損益分岐設定'!$B$51)+'損益分岐設定'!$H$64*'損益分岐設定'!$B$51)</x:f>
        <x:v>726.6666666666667</x:v>
      </x:c>
      <x:c r="AM201" s="1" t="n">
        <x:f>MAX(1,ROUNDUP('損益分岐設定'!C37*AJ201/('損益分岐設定'!$B$23*'損益分岐設定'!$B$24*3600*'損益分岐設定'!$B$25),0))</x:f>
        <x:v>1</x:v>
      </x:c>
      <x:c r="AN201" s="1" t="n">
        <x:f>MAX(2,ROUNDUP('損益分岐設定'!C38*AJ201/('損益分岐設定'!$B$23*'損益分岐設定'!$B$24*3600*'損益分岐設定'!$B$25),0))</x:f>
        <x:v>2</x:v>
      </x:c>
      <x:c r="AO201" s="1" t="n">
        <x:f>MAX(2,ROUNDUP('損益分岐設定'!C39*AJ201/('損益分岐設定'!$B$23*'損益分岐設定'!$B$24*3600*'損益分岐設定'!$B$25),0))</x:f>
        <x:v>2</x:v>
      </x:c>
      <x:c r="AP201" s="1" t="n">
        <x:f>MAX(2,ROUNDUP('損益分岐設定'!C40*AJ201/('損益分岐設定'!$B$23*'損益分岐設定'!$B$24*3600*'損益分岐設定'!$B$25),0))</x:f>
        <x:v>2</x:v>
      </x:c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 ht="23" customHeight="1">
      <x:c r="A202" s="1" t="str">
        <x:v>Hybrid</x:v>
      </x:c>
      <x:c r="B202" s="1" t="str">
        <x:v>Starter</x:v>
      </x:c>
      <x:c r="C202" s="1" t="str">
        <x:v>標準+高位混在</x:v>
      </x:c>
      <x:c r="D202" s="21" t="n">
        <x:v>0.4</x:v>
      </x:c>
      <x:c r="E202" s="1" t="n">
        <x:v>1</x:v>
      </x:c>
      <x:c r="F202" s="7" t="n">
        <x:f>AD202*'損益分岐設定'!$B$5+AE202*'損益分岐設定'!$B$6+AF202*'損益分岐設定'!$B$7</x:f>
        <x:v>3000</x:v>
      </x:c>
      <x:c r="G202" s="7" t="n">
        <x:f>AG202+(AH202+AI202)*('損益分岐設定'!$B$29+0.5*'損益分岐設定'!$B$30)+AK202*'損益分岐設定'!$B$33</x:f>
        <x:v>621.9813972349879</x:v>
      </x:c>
      <x:c r="H202" s="7" t="n">
        <x:f>AL202*E202</x:f>
        <x:v>726.6666666666667</x:v>
      </x:c>
      <x:c r="I202" s="7" t="n">
        <x:f>F202*(1-D202-'損益分岐設定'!$B$10)-G202-H202</x:f>
        <x:v>343.3519360983453</x:v>
      </x:c>
      <x:c r="J202" s="1" t="n">
        <x:f>IF(MIN(V202:Y202)&gt;1000,"範囲内なし",MIN(V202:Y202))</x:f>
        <x:v>264</x:v>
      </x:c>
      <x:c r="K202" s="1" t="n">
        <x:f>IF(MAX(Z202:AC202)&gt;=1000,"範囲内なし",MAX(1,MAX(Z202:AC202)+1))</x:f>
        <x:v>264</x:v>
      </x:c>
      <x:c r="L202" s="7" t="n">
        <x:f>10*I202-R202</x:f>
        <x:v>-48006.27732932186</x:v>
      </x:c>
      <x:c r="M202" s="7" t="n">
        <x:f>30*I202-S202</x:f>
        <x:v>-58079.03529766027</x:v>
      </x:c>
      <x:c r="N202" s="7" t="n">
        <x:f>50*I202-S202</x:f>
        <x:v>-51211.99657569337</x:v>
      </x:c>
      <x:c r="O202" s="7" t="n">
        <x:f>100*I202-S202</x:f>
        <x:v>-34044.39977077611</x:v>
      </x:c>
      <x:c r="P202" s="7" t="n">
        <x:f>300*I202-T202</x:f>
        <x:v>12625.987448892949</x:v>
      </x:c>
      <x:c r="Q202" s="7" t="n">
        <x:f>1000*I202-U202</x:f>
        <x:v>222972.34271773463</x:v>
      </x:c>
      <x:c r="R202" s="7" t="n">
        <x:f>'損益分岐設定'!$B$18+'損益分岐設定'!$B$19+'損益分岐設定'!$B$20+'損益分岐設定'!E37+'損益分岐設定'!D37+AM202*('損益分岐設定'!$B$15+'損益分岐設定'!$B$16)+'損益分岐設定'!$B$17+E202*('損益分岐設定'!$B$13+(AM202-1)*'損益分岐設定'!$B$14)*'損益分岐設定'!$B$11</x:f>
        <x:v>51439.79669030532</x:v>
      </x:c>
      <x:c r="S202" s="7" t="n">
        <x:f>'損益分岐設定'!$B$18+'損益分岐設定'!$B$19+'損益分岐設定'!$B$20+'損益分岐設定'!E38+'損益分岐設定'!D38+AN202*('損益分岐設定'!$B$15+'損益分岐設定'!$B$16)+'損益分岐設定'!$B$17+E202*('損益分岐設定'!$B$13+(AN202-1)*'損益分岐設定'!$B$14)*'損益分岐設定'!$B$11</x:f>
        <x:v>68379.59338061063</x:v>
      </x:c>
      <x:c r="T202" s="7" t="n">
        <x:f>'損益分岐設定'!$B$18+'損益分岐設定'!$B$19+'損益分岐設定'!$B$20+'損益分岐設定'!E39+'損益分岐設定'!D39+AO202*('損益分岐設定'!$B$15+'損益分岐設定'!$B$16)+'損益分岐設定'!$B$17+E202*('損益分岐設定'!$B$13+(AO202-1)*'損益分岐設定'!$B$14)*'損益分岐設定'!$B$11</x:f>
        <x:v>90379.59338061063</x:v>
      </x:c>
      <x:c r="U202" s="7" t="n">
        <x:f>'損益分岐設定'!$B$18+'損益分岐設定'!$B$19+'損益分岐設定'!$B$20+'損益分岐設定'!E40+'損益分岐設定'!D40+AP202*('損益分岐設定'!$B$15+'損益分岐設定'!$B$16)+'損益分岐設定'!$B$17+E202*('損益分岐設定'!$B$13+(AP202-1)*'損益分岐設定'!$B$14)*'損益分岐設定'!$B$11</x:f>
        <x:v>120379.59338061063</x:v>
      </x:c>
      <x:c r="V202" s="1" t="n">
        <x:f>IF(I202&lt;=0,1001,IF(MAX('損益分岐設定'!B37,ROUNDUP(R202/I202,0))&lt;='損益分岐設定'!C37,MAX('損益分岐設定'!B37,ROUNDUP(R202/I202,0)),1001))</x:f>
        <x:v>1001</x:v>
      </x:c>
      <x:c r="W202" s="1" t="n">
        <x:f>IF(I202&lt;=0,1001,IF(MAX('損益分岐設定'!B38,ROUNDUP(S202/I202,0))&lt;='損益分岐設定'!C38,MAX('損益分岐設定'!B38,ROUNDUP(S202/I202,0)),1001))</x:f>
        <x:v>1001</x:v>
      </x:c>
      <x:c r="X202" s="1" t="n">
        <x:f>IF(I202&lt;=0,1001,IF(MAX('損益分岐設定'!B39,ROUNDUP(T202/I202,0))&lt;='損益分岐設定'!C39,MAX('損益分岐設定'!B39,ROUNDUP(T202/I202,0)),1001))</x:f>
        <x:v>264</x:v>
      </x:c>
      <x:c r="Y202" s="1" t="n">
        <x:f>IF(I202&lt;=0,1001,IF(MAX('損益分岐設定'!B40,ROUNDUP(U202/I202,0))&lt;='損益分岐設定'!C40,MAX('損益分岐設定'!B40,ROUNDUP(U202/I202,0)),1001))</x:f>
        <x:v>501</x:v>
      </x:c>
      <x:c r="Z202" s="1" t="n">
        <x:f>IF(I202&lt;=0,'損益分岐設定'!C37,IF('損益分岐設定'!C37*I202-R202&lt;0,'損益分岐設定'!C37,IF('損益分岐設定'!B37*I202-R202&gt;=0,0,ROUNDUP(R202/I202,0)-1)))</x:f>
        <x:v>10</x:v>
      </x:c>
      <x:c r="AA202" s="1" t="n">
        <x:f>IF(I202&lt;=0,'損益分岐設定'!C38,IF('損益分岐設定'!C38*I202-S202&lt;0,'損益分岐設定'!C38,IF('損益分岐設定'!B38*I202-S202&gt;=0,0,ROUNDUP(S202/I202,0)-1)))</x:f>
        <x:v>100</x:v>
      </x:c>
      <x:c r="AB202" s="1" t="n">
        <x:f>IF(I202&lt;=0,'損益分岐設定'!C39,IF('損益分岐設定'!C39*I202-T202&lt;0,'損益分岐設定'!C39,IF('損益分岐設定'!B39*I202-T202&gt;=0,0,ROUNDUP(T202/I202,0)-1)))</x:f>
        <x:v>263</x:v>
      </x:c>
      <x:c r="AC202" s="1" t="n">
        <x:f>IF(I202&lt;=0,'損益分岐設定'!C40,IF('損益分岐設定'!C40*I202-U202&lt;0,'損益分岐設定'!C40,IF('損益分岐設定'!B40*I202-U202&gt;=0,0,ROUNDUP(U202/I202,0)-1)))</x:f>
        <x:v>0</x:v>
      </x:c>
      <x:c r="AD202" s="1" t="n">
        <x:v>1</x:v>
      </x:c>
      <x:c r="AE202" s="1" t="n">
        <x:v>0</x:v>
      </x:c>
      <x:c r="AF202" s="1" t="n">
        <x:v>0</x:v>
      </x:c>
      <x:c r="AG202" s="1" t="n">
        <x:f>AD202*('損益分岐設定'!$C$57*(1-'損益分岐設定'!$B$51)+'損益分岐設定'!$C$58*'損益分岐設定'!$B$51)+AE202*('損益分岐設定'!$C$60*(1-'損益分岐設定'!$B$51)+'損益分岐設定'!$C$61*'損益分岐設定'!$B$51)+AF202*('損益分岐設定'!$C$63*(1-'損益分岐設定'!$B$51)+'損益分岐設定'!$C$64*'損益分岐設定'!$B$51)</x:f>
        <x:v>621.5522041015626</x:v>
      </x:c>
      <x:c r="AH202" s="1" t="n">
        <x:f>AD202*('損益分岐設定'!$D$57*(1-'損益分岐設定'!$B$51)+'損益分岐設定'!$D$58*'損益分岐設定'!$B$51)+AE202*('損益分岐設定'!$D$60*(1-'損益分岐設定'!$B$51)+'損益分岐設定'!$D$61*'損益分岐設定'!$B$51)+AF202*('損益分岐設定'!$D$63*(1-'損益分岐設定'!$B$51)+'損益分岐設定'!$D$64*'損益分岐設定'!$B$51)</x:f>
        <x:v>48</x:v>
      </x:c>
      <x:c r="AI202" s="1" t="n">
        <x:f>AD202*('損益分岐設定'!$E$57*(1-'損益分岐設定'!$B$51)+'損益分岐設定'!$E$58*'損益分岐設定'!$B$51)+AE202*('損益分岐設定'!$E$60*(1-'損益分岐設定'!$B$51)+'損益分岐設定'!$E$61*'損益分岐設定'!$B$51)+AF202*('損益分岐設定'!$E$63*(1-'損益分岐設定'!$B$51)+'損益分岐設定'!$E$64*'損益分岐設定'!$B$51)</x:f>
        <x:v>56</x:v>
      </x:c>
      <x:c r="AJ202" s="1" t="n">
        <x:f>(AD202*('損益分岐設定'!$F$57*(1-'損益分岐設定'!$B$51)+'損益分岐設定'!$F$58*'損益分岐設定'!$B$51)+AE202*('損益分岐設定'!$F$60*(1-'損益分岐設定'!$B$51)+'損益分岐設定'!$F$61*'損益分岐設定'!$B$51)+AF202*('損益分岐設定'!$F$63*(1-'損益分岐設定'!$B$51)+'損益分岐設定'!$F$64*'損益分岐設定'!$B$51)*1)*'損益分岐設定'!$B$22</x:f>
        <x:v>456</x:v>
      </x:c>
      <x:c r="AK202" s="1" t="n">
        <x:f>AD202*('損益分岐設定'!$G$57*(1-'損益分岐設定'!$B$51)+'損益分岐設定'!$G$58*'損益分岐設定'!$B$51)+AE202*('損益分岐設定'!$G$60*(1-'損益分岐設定'!$B$51)+'損益分岐設定'!$G$61*'損益分岐設定'!$B$51)+AF202*('損益分岐設定'!$G$63*(1-'損益分岐設定'!$B$51)+'損益分岐設定'!$G$64*'損益分岐設定'!$B$51)</x:f>
        <x:v>400</x:v>
      </x:c>
      <x:c r="AL202" s="1" t="n">
        <x:f>AD202*('損益分岐設定'!$H$57*(1-'損益分岐設定'!$B$51)+'損益分岐設定'!$H$58*'損益分岐設定'!$B$51)+AE202*('損益分岐設定'!$H$60*(1-'損益分岐設定'!$B$51)+'損益分岐設定'!$H$61*'損益分岐設定'!$B$51)+AF202*('損益分岐設定'!$H$63*(1-'損益分岐設定'!$B$51)+'損益分岐設定'!$H$64*'損益分岐設定'!$B$51)</x:f>
        <x:v>726.6666666666667</x:v>
      </x:c>
      <x:c r="AM202" s="1" t="n">
        <x:f>MAX(1,ROUNDUP('損益分岐設定'!C37*AJ202/('損益分岐設定'!$B$23*'損益分岐設定'!$B$24*3600*'損益分岐設定'!$B$25),0))</x:f>
        <x:v>1</x:v>
      </x:c>
      <x:c r="AN202" s="1" t="n">
        <x:f>MAX(2,ROUNDUP('損益分岐設定'!C38*AJ202/('損益分岐設定'!$B$23*'損益分岐設定'!$B$24*3600*'損益分岐設定'!$B$25),0))</x:f>
        <x:v>2</x:v>
      </x:c>
      <x:c r="AO202" s="1" t="n">
        <x:f>MAX(2,ROUNDUP('損益分岐設定'!C39*AJ202/('損益分岐設定'!$B$23*'損益分岐設定'!$B$24*3600*'損益分岐設定'!$B$25),0))</x:f>
        <x:v>2</x:v>
      </x:c>
      <x:c r="AP202" s="1" t="n">
        <x:f>MAX(2,ROUNDUP('損益分岐設定'!C40*AJ202/('損益分岐設定'!$B$23*'損益分岐設定'!$B$24*3600*'損益分岐設定'!$B$25),0))</x:f>
        <x:v>2</x:v>
      </x:c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 ht="23" customHeight="1">
      <x:c r="A203" s="1" t="str">
        <x:v>Hybrid</x:v>
      </x:c>
      <x:c r="B203" s="1" t="str">
        <x:v>Starter</x:v>
      </x:c>
      <x:c r="C203" s="1" t="str">
        <x:v>標準+高位混在</x:v>
      </x:c>
      <x:c r="D203" s="21" t="n">
        <x:v>0.5</x:v>
      </x:c>
      <x:c r="E203" s="1" t="n">
        <x:v>0</x:v>
      </x:c>
      <x:c r="F203" s="7" t="n">
        <x:f>AD203*'損益分岐設定'!$B$5+AE203*'損益分岐設定'!$B$6+AF203*'損益分岐設定'!$B$7</x:f>
        <x:v>3000</x:v>
      </x:c>
      <x:c r="G203" s="7" t="n">
        <x:f>AG203+(AH203+AI203)*('損益分岐設定'!$B$29+0.5*'損益分岐設定'!$B$30)+AK203*'損益分岐設定'!$B$33</x:f>
        <x:v>621.9813972349879</x:v>
      </x:c>
      <x:c r="H203" s="7" t="n">
        <x:f>AL203*E203</x:f>
        <x:v>0</x:v>
      </x:c>
      <x:c r="I203" s="7" t="n">
        <x:f>F203*(1-D203-'損益分岐設定'!$B$10)-G203-H203</x:f>
        <x:v>770.0186027650121</x:v>
      </x:c>
      <x:c r="J203" s="1" t="n">
        <x:f>IF(MIN(V203:Y203)&gt;1000,"範囲内なし",MIN(V203:Y203))</x:f>
        <x:v>66</x:v>
      </x:c>
      <x:c r="K203" s="1" t="n">
        <x:f>IF(MAX(Z203:AC203)&gt;=1000,"範囲内なし",MAX(1,MAX(Z203:AC203)+1))</x:f>
        <x:v>66</x:v>
      </x:c>
      <x:c r="L203" s="7" t="n">
        <x:f>10*I203-R203</x:f>
        <x:v>-27739.610662655195</x:v>
      </x:c>
      <x:c r="M203" s="7" t="n">
        <x:f>30*I203-S203</x:f>
        <x:v>-27279.03529766027</x:v>
      </x:c>
      <x:c r="N203" s="7" t="n">
        <x:f>50*I203-S203</x:f>
        <x:v>-11878.663242360024</x:v>
      </x:c>
      <x:c r="O203" s="7" t="n">
        <x:f>100*I203-S203</x:f>
        <x:v>26622.266895890585</x:v>
      </x:c>
      <x:c r="P203" s="7" t="n">
        <x:f>300*I203-T203</x:f>
        <x:v>158625.987448893</x:v>
      </x:c>
      <x:c r="Q203" s="7" t="n">
        <x:f>1000*I203-U203</x:f>
        <x:v>667639.0093844016</x:v>
      </x:c>
      <x:c r="R203" s="7" t="n">
        <x:f>'損益分岐設定'!$B$18+'損益分岐設定'!$B$19+'損益分岐設定'!$B$20+'損益分岐設定'!E37+'損益分岐設定'!D37+AM203*('損益分岐設定'!$B$15+'損益分岐設定'!$B$16)+'損益分岐設定'!$B$17+E203*('損益分岐設定'!$B$13+(AM203-1)*'損益分岐設定'!$B$14)*'損益分岐設定'!$B$11</x:f>
        <x:v>35439.79669030532</x:v>
      </x:c>
      <x:c r="S203" s="7" t="n">
        <x:f>'損益分岐設定'!$B$18+'損益分岐設定'!$B$19+'損益分岐設定'!$B$20+'損益分岐設定'!E38+'損益分岐設定'!D38+AN203*('損益分岐設定'!$B$15+'損益分岐設定'!$B$16)+'損益分岐設定'!$B$17+E203*('損益分岐設定'!$B$13+(AN203-1)*'損益分岐設定'!$B$14)*'損益分岐設定'!$B$11</x:f>
        <x:v>50379.59338061063</x:v>
      </x:c>
      <x:c r="T203" s="7" t="n">
        <x:f>'損益分岐設定'!$B$18+'損益分岐設定'!$B$19+'損益分岐設定'!$B$20+'損益分岐設定'!E39+'損益分岐設定'!D39+AO203*('損益分岐設定'!$B$15+'損益分岐設定'!$B$16)+'損益分岐設定'!$B$17+E203*('損益分岐設定'!$B$13+(AO203-1)*'損益分岐設定'!$B$14)*'損益分岐設定'!$B$11</x:f>
        <x:v>72379.59338061063</x:v>
      </x:c>
      <x:c r="U203" s="7" t="n">
        <x:f>'損益分岐設定'!$B$18+'損益分岐設定'!$B$19+'損益分岐設定'!$B$20+'損益分岐設定'!E40+'損益分岐設定'!D40+AP203*('損益分岐設定'!$B$15+'損益分岐設定'!$B$16)+'損益分岐設定'!$B$17+E203*('損益分岐設定'!$B$13+(AP203-1)*'損益分岐設定'!$B$14)*'損益分岐設定'!$B$11</x:f>
        <x:v>102379.59338061063</x:v>
      </x:c>
      <x:c r="V203" s="1" t="n">
        <x:f>IF(I203&lt;=0,1001,IF(MAX('損益分岐設定'!B37,ROUNDUP(R203/I203,0))&lt;='損益分岐設定'!C37,MAX('損益分岐設定'!B37,ROUNDUP(R203/I203,0)),1001))</x:f>
        <x:v>1001</x:v>
      </x:c>
      <x:c r="W203" s="1" t="n">
        <x:f>IF(I203&lt;=0,1001,IF(MAX('損益分岐設定'!B38,ROUNDUP(S203/I203,0))&lt;='損益分岐設定'!C38,MAX('損益分岐設定'!B38,ROUNDUP(S203/I203,0)),1001))</x:f>
        <x:v>66</x:v>
      </x:c>
      <x:c r="X203" s="1" t="n">
        <x:f>IF(I203&lt;=0,1001,IF(MAX('損益分岐設定'!B39,ROUNDUP(T203/I203,0))&lt;='損益分岐設定'!C39,MAX('損益分岐設定'!B39,ROUNDUP(T203/I203,0)),1001))</x:f>
        <x:v>101</x:v>
      </x:c>
      <x:c r="Y203" s="1" t="n">
        <x:f>IF(I203&lt;=0,1001,IF(MAX('損益分岐設定'!B40,ROUNDUP(U203/I203,0))&lt;='損益分岐設定'!C40,MAX('損益分岐設定'!B40,ROUNDUP(U203/I203,0)),1001))</x:f>
        <x:v>501</x:v>
      </x:c>
      <x:c r="Z203" s="1" t="n">
        <x:f>IF(I203&lt;=0,'損益分岐設定'!C37,IF('損益分岐設定'!C37*I203-R203&lt;0,'損益分岐設定'!C37,IF('損益分岐設定'!B37*I203-R203&gt;=0,0,ROUNDUP(R203/I203,0)-1)))</x:f>
        <x:v>10</x:v>
      </x:c>
      <x:c r="AA203" s="1" t="n">
        <x:f>IF(I203&lt;=0,'損益分岐設定'!C38,IF('損益分岐設定'!C38*I203-S203&lt;0,'損益分岐設定'!C38,IF('損益分岐設定'!B38*I203-S203&gt;=0,0,ROUNDUP(S203/I203,0)-1)))</x:f>
        <x:v>65</x:v>
      </x:c>
      <x:c r="AB203" s="1" t="n">
        <x:f>IF(I203&lt;=0,'損益分岐設定'!C39,IF('損益分岐設定'!C39*I203-T203&lt;0,'損益分岐設定'!C39,IF('損益分岐設定'!B39*I203-T203&gt;=0,0,ROUNDUP(T203/I203,0)-1)))</x:f>
        <x:v>0</x:v>
      </x:c>
      <x:c r="AC203" s="1" t="n">
        <x:f>IF(I203&lt;=0,'損益分岐設定'!C40,IF('損益分岐設定'!C40*I203-U203&lt;0,'損益分岐設定'!C40,IF('損益分岐設定'!B40*I203-U203&gt;=0,0,ROUNDUP(U203/I203,0)-1)))</x:f>
        <x:v>0</x:v>
      </x:c>
      <x:c r="AD203" s="1" t="n">
        <x:v>1</x:v>
      </x:c>
      <x:c r="AE203" s="1" t="n">
        <x:v>0</x:v>
      </x:c>
      <x:c r="AF203" s="1" t="n">
        <x:v>0</x:v>
      </x:c>
      <x:c r="AG203" s="1" t="n">
        <x:f>AD203*('損益分岐設定'!$C$57*(1-'損益分岐設定'!$B$51)+'損益分岐設定'!$C$58*'損益分岐設定'!$B$51)+AE203*('損益分岐設定'!$C$60*(1-'損益分岐設定'!$B$51)+'損益分岐設定'!$C$61*'損益分岐設定'!$B$51)+AF203*('損益分岐設定'!$C$63*(1-'損益分岐設定'!$B$51)+'損益分岐設定'!$C$64*'損益分岐設定'!$B$51)</x:f>
        <x:v>621.5522041015626</x:v>
      </x:c>
      <x:c r="AH203" s="1" t="n">
        <x:f>AD203*('損益分岐設定'!$D$57*(1-'損益分岐設定'!$B$51)+'損益分岐設定'!$D$58*'損益分岐設定'!$B$51)+AE203*('損益分岐設定'!$D$60*(1-'損益分岐設定'!$B$51)+'損益分岐設定'!$D$61*'損益分岐設定'!$B$51)+AF203*('損益分岐設定'!$D$63*(1-'損益分岐設定'!$B$51)+'損益分岐設定'!$D$64*'損益分岐設定'!$B$51)</x:f>
        <x:v>48</x:v>
      </x:c>
      <x:c r="AI203" s="1" t="n">
        <x:f>AD203*('損益分岐設定'!$E$57*(1-'損益分岐設定'!$B$51)+'損益分岐設定'!$E$58*'損益分岐設定'!$B$51)+AE203*('損益分岐設定'!$E$60*(1-'損益分岐設定'!$B$51)+'損益分岐設定'!$E$61*'損益分岐設定'!$B$51)+AF203*('損益分岐設定'!$E$63*(1-'損益分岐設定'!$B$51)+'損益分岐設定'!$E$64*'損益分岐設定'!$B$51)</x:f>
        <x:v>56</x:v>
      </x:c>
      <x:c r="AJ203" s="1" t="n">
        <x:f>(AD203*('損益分岐設定'!$F$57*(1-'損益分岐設定'!$B$51)+'損益分岐設定'!$F$58*'損益分岐設定'!$B$51)+AE203*('損益分岐設定'!$F$60*(1-'損益分岐設定'!$B$51)+'損益分岐設定'!$F$61*'損益分岐設定'!$B$51)+AF203*('損益分岐設定'!$F$63*(1-'損益分岐設定'!$B$51)+'損益分岐設定'!$F$64*'損益分岐設定'!$B$51)*1)*'損益分岐設定'!$B$22</x:f>
        <x:v>456</x:v>
      </x:c>
      <x:c r="AK203" s="1" t="n">
        <x:f>AD203*('損益分岐設定'!$G$57*(1-'損益分岐設定'!$B$51)+'損益分岐設定'!$G$58*'損益分岐設定'!$B$51)+AE203*('損益分岐設定'!$G$60*(1-'損益分岐設定'!$B$51)+'損益分岐設定'!$G$61*'損益分岐設定'!$B$51)+AF203*('損益分岐設定'!$G$63*(1-'損益分岐設定'!$B$51)+'損益分岐設定'!$G$64*'損益分岐設定'!$B$51)</x:f>
        <x:v>400</x:v>
      </x:c>
      <x:c r="AL203" s="1" t="n">
        <x:f>AD203*('損益分岐設定'!$H$57*(1-'損益分岐設定'!$B$51)+'損益分岐設定'!$H$58*'損益分岐設定'!$B$51)+AE203*('損益分岐設定'!$H$60*(1-'損益分岐設定'!$B$51)+'損益分岐設定'!$H$61*'損益分岐設定'!$B$51)+AF203*('損益分岐設定'!$H$63*(1-'損益分岐設定'!$B$51)+'損益分岐設定'!$H$64*'損益分岐設定'!$B$51)</x:f>
        <x:v>726.6666666666667</x:v>
      </x:c>
      <x:c r="AM203" s="1" t="n">
        <x:f>MAX(1,ROUNDUP('損益分岐設定'!C37*AJ203/('損益分岐設定'!$B$23*'損益分岐設定'!$B$24*3600*'損益分岐設定'!$B$25),0))</x:f>
        <x:v>1</x:v>
      </x:c>
      <x:c r="AN203" s="1" t="n">
        <x:f>MAX(2,ROUNDUP('損益分岐設定'!C38*AJ203/('損益分岐設定'!$B$23*'損益分岐設定'!$B$24*3600*'損益分岐設定'!$B$25),0))</x:f>
        <x:v>2</x:v>
      </x:c>
      <x:c r="AO203" s="1" t="n">
        <x:f>MAX(2,ROUNDUP('損益分岐設定'!C39*AJ203/('損益分岐設定'!$B$23*'損益分岐設定'!$B$24*3600*'損益分岐設定'!$B$25),0))</x:f>
        <x:v>2</x:v>
      </x:c>
      <x:c r="AP203" s="1" t="n">
        <x:f>MAX(2,ROUNDUP('損益分岐設定'!C40*AJ203/('損益分岐設定'!$B$23*'損益分岐設定'!$B$24*3600*'損益分岐設定'!$B$25),0))</x:f>
        <x:v>2</x:v>
      </x:c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 ht="23" customHeight="1">
      <x:c r="A204" s="1" t="str">
        <x:v>Hybrid</x:v>
      </x:c>
      <x:c r="B204" s="1" t="str">
        <x:v>Starter</x:v>
      </x:c>
      <x:c r="C204" s="1" t="str">
        <x:v>標準+高位混在</x:v>
      </x:c>
      <x:c r="D204" s="21" t="n">
        <x:v>0.5</x:v>
      </x:c>
      <x:c r="E204" s="1" t="n">
        <x:v>1</x:v>
      </x:c>
      <x:c r="F204" s="7" t="n">
        <x:f>AD204*'損益分岐設定'!$B$5+AE204*'損益分岐設定'!$B$6+AF204*'損益分岐設定'!$B$7</x:f>
        <x:v>3000</x:v>
      </x:c>
      <x:c r="G204" s="7" t="n">
        <x:f>AG204+(AH204+AI204)*('損益分岐設定'!$B$29+0.5*'損益分岐設定'!$B$30)+AK204*'損益分岐設定'!$B$33</x:f>
        <x:v>621.9813972349879</x:v>
      </x:c>
      <x:c r="H204" s="7" t="n">
        <x:f>AL204*E204</x:f>
        <x:v>726.6666666666667</x:v>
      </x:c>
      <x:c r="I204" s="7" t="n">
        <x:f>F204*(1-D204-'損益分岐設定'!$B$10)-G204-H204</x:f>
        <x:v>43.35193609834539</x:v>
      </x:c>
      <x:c r="J204" s="1" t="str">
        <x:f>IF(MIN(V204:Y204)&gt;1000,"範囲内なし",MIN(V204:Y204))</x:f>
        <x:v>範囲内なし</x:v>
      </x:c>
      <x:c r="K204" s="1" t="str">
        <x:f>IF(MAX(Z204:AC204)&gt;=1000,"範囲内なし",MAX(1,MAX(Z204:AC204)+1))</x:f>
        <x:v>範囲内なし</x:v>
      </x:c>
      <x:c r="L204" s="7" t="n">
        <x:f>10*I204-R204</x:f>
        <x:v>-51006.27732932186</x:v>
      </x:c>
      <x:c r="M204" s="7" t="n">
        <x:f>30*I204-S204</x:f>
        <x:v>-67079.03529766027</x:v>
      </x:c>
      <x:c r="N204" s="7" t="n">
        <x:f>50*I204-S204</x:f>
        <x:v>-66211.99657569337</x:v>
      </x:c>
      <x:c r="O204" s="7" t="n">
        <x:f>100*I204-S204</x:f>
        <x:v>-64044.399770776094</x:v>
      </x:c>
      <x:c r="P204" s="7" t="n">
        <x:f>300*I204-T204</x:f>
        <x:v>-77374.01255110702</x:v>
      </x:c>
      <x:c r="Q204" s="7" t="n">
        <x:f>1000*I204-U204</x:f>
        <x:v>-77027.65728226525</x:v>
      </x:c>
      <x:c r="R204" s="7" t="n">
        <x:f>'損益分岐設定'!$B$18+'損益分岐設定'!$B$19+'損益分岐設定'!$B$20+'損益分岐設定'!E37+'損益分岐設定'!D37+AM204*('損益分岐設定'!$B$15+'損益分岐設定'!$B$16)+'損益分岐設定'!$B$17+E204*('損益分岐設定'!$B$13+(AM204-1)*'損益分岐設定'!$B$14)*'損益分岐設定'!$B$11</x:f>
        <x:v>51439.79669030532</x:v>
      </x:c>
      <x:c r="S204" s="7" t="n">
        <x:f>'損益分岐設定'!$B$18+'損益分岐設定'!$B$19+'損益分岐設定'!$B$20+'損益分岐設定'!E38+'損益分岐設定'!D38+AN204*('損益分岐設定'!$B$15+'損益分岐設定'!$B$16)+'損益分岐設定'!$B$17+E204*('損益分岐設定'!$B$13+(AN204-1)*'損益分岐設定'!$B$14)*'損益分岐設定'!$B$11</x:f>
        <x:v>68379.59338061063</x:v>
      </x:c>
      <x:c r="T204" s="7" t="n">
        <x:f>'損益分岐設定'!$B$18+'損益分岐設定'!$B$19+'損益分岐設定'!$B$20+'損益分岐設定'!E39+'損益分岐設定'!D39+AO204*('損益分岐設定'!$B$15+'損益分岐設定'!$B$16)+'損益分岐設定'!$B$17+E204*('損益分岐設定'!$B$13+(AO204-1)*'損益分岐設定'!$B$14)*'損益分岐設定'!$B$11</x:f>
        <x:v>90379.59338061063</x:v>
      </x:c>
      <x:c r="U204" s="7" t="n">
        <x:f>'損益分岐設定'!$B$18+'損益分岐設定'!$B$19+'損益分岐設定'!$B$20+'損益分岐設定'!E40+'損益分岐設定'!D40+AP204*('損益分岐設定'!$B$15+'損益分岐設定'!$B$16)+'損益分岐設定'!$B$17+E204*('損益分岐設定'!$B$13+(AP204-1)*'損益分岐設定'!$B$14)*'損益分岐設定'!$B$11</x:f>
        <x:v>120379.59338061063</x:v>
      </x:c>
      <x:c r="V204" s="1" t="n">
        <x:f>IF(I204&lt;=0,1001,IF(MAX('損益分岐設定'!B37,ROUNDUP(R204/I204,0))&lt;='損益分岐設定'!C37,MAX('損益分岐設定'!B37,ROUNDUP(R204/I204,0)),1001))</x:f>
        <x:v>1001</x:v>
      </x:c>
      <x:c r="W204" s="1" t="n">
        <x:f>IF(I204&lt;=0,1001,IF(MAX('損益分岐設定'!B38,ROUNDUP(S204/I204,0))&lt;='損益分岐設定'!C38,MAX('損益分岐設定'!B38,ROUNDUP(S204/I204,0)),1001))</x:f>
        <x:v>1001</x:v>
      </x:c>
      <x:c r="X204" s="1" t="n">
        <x:f>IF(I204&lt;=0,1001,IF(MAX('損益分岐設定'!B39,ROUNDUP(T204/I204,0))&lt;='損益分岐設定'!C39,MAX('損益分岐設定'!B39,ROUNDUP(T204/I204,0)),1001))</x:f>
        <x:v>1001</x:v>
      </x:c>
      <x:c r="Y204" s="1" t="n">
        <x:f>IF(I204&lt;=0,1001,IF(MAX('損益分岐設定'!B40,ROUNDUP(U204/I204,0))&lt;='損益分岐設定'!C40,MAX('損益分岐設定'!B40,ROUNDUP(U204/I204,0)),1001))</x:f>
        <x:v>1001</x:v>
      </x:c>
      <x:c r="Z204" s="1" t="n">
        <x:f>IF(I204&lt;=0,'損益分岐設定'!C37,IF('損益分岐設定'!C37*I204-R204&lt;0,'損益分岐設定'!C37,IF('損益分岐設定'!B37*I204-R204&gt;=0,0,ROUNDUP(R204/I204,0)-1)))</x:f>
        <x:v>10</x:v>
      </x:c>
      <x:c r="AA204" s="1" t="n">
        <x:f>IF(I204&lt;=0,'損益分岐設定'!C38,IF('損益分岐設定'!C38*I204-S204&lt;0,'損益分岐設定'!C38,IF('損益分岐設定'!B38*I204-S204&gt;=0,0,ROUNDUP(S204/I204,0)-1)))</x:f>
        <x:v>100</x:v>
      </x:c>
      <x:c r="AB204" s="1" t="n">
        <x:f>IF(I204&lt;=0,'損益分岐設定'!C39,IF('損益分岐設定'!C39*I204-T204&lt;0,'損益分岐設定'!C39,IF('損益分岐設定'!B39*I204-T204&gt;=0,0,ROUNDUP(T204/I204,0)-1)))</x:f>
        <x:v>500</x:v>
      </x:c>
      <x:c r="AC204" s="1" t="n">
        <x:f>IF(I204&lt;=0,'損益分岐設定'!C40,IF('損益分岐設定'!C40*I204-U204&lt;0,'損益分岐設定'!C40,IF('損益分岐設定'!B40*I204-U204&gt;=0,0,ROUNDUP(U204/I204,0)-1)))</x:f>
        <x:v>1000</x:v>
      </x:c>
      <x:c r="AD204" s="1" t="n">
        <x:v>1</x:v>
      </x:c>
      <x:c r="AE204" s="1" t="n">
        <x:v>0</x:v>
      </x:c>
      <x:c r="AF204" s="1" t="n">
        <x:v>0</x:v>
      </x:c>
      <x:c r="AG204" s="1" t="n">
        <x:f>AD204*('損益分岐設定'!$C$57*(1-'損益分岐設定'!$B$51)+'損益分岐設定'!$C$58*'損益分岐設定'!$B$51)+AE204*('損益分岐設定'!$C$60*(1-'損益分岐設定'!$B$51)+'損益分岐設定'!$C$61*'損益分岐設定'!$B$51)+AF204*('損益分岐設定'!$C$63*(1-'損益分岐設定'!$B$51)+'損益分岐設定'!$C$64*'損益分岐設定'!$B$51)</x:f>
        <x:v>621.5522041015626</x:v>
      </x:c>
      <x:c r="AH204" s="1" t="n">
        <x:f>AD204*('損益分岐設定'!$D$57*(1-'損益分岐設定'!$B$51)+'損益分岐設定'!$D$58*'損益分岐設定'!$B$51)+AE204*('損益分岐設定'!$D$60*(1-'損益分岐設定'!$B$51)+'損益分岐設定'!$D$61*'損益分岐設定'!$B$51)+AF204*('損益分岐設定'!$D$63*(1-'損益分岐設定'!$B$51)+'損益分岐設定'!$D$64*'損益分岐設定'!$B$51)</x:f>
        <x:v>48</x:v>
      </x:c>
      <x:c r="AI204" s="1" t="n">
        <x:f>AD204*('損益分岐設定'!$E$57*(1-'損益分岐設定'!$B$51)+'損益分岐設定'!$E$58*'損益分岐設定'!$B$51)+AE204*('損益分岐設定'!$E$60*(1-'損益分岐設定'!$B$51)+'損益分岐設定'!$E$61*'損益分岐設定'!$B$51)+AF204*('損益分岐設定'!$E$63*(1-'損益分岐設定'!$B$51)+'損益分岐設定'!$E$64*'損益分岐設定'!$B$51)</x:f>
        <x:v>56</x:v>
      </x:c>
      <x:c r="AJ204" s="1" t="n">
        <x:f>(AD204*('損益分岐設定'!$F$57*(1-'損益分岐設定'!$B$51)+'損益分岐設定'!$F$58*'損益分岐設定'!$B$51)+AE204*('損益分岐設定'!$F$60*(1-'損益分岐設定'!$B$51)+'損益分岐設定'!$F$61*'損益分岐設定'!$B$51)+AF204*('損益分岐設定'!$F$63*(1-'損益分岐設定'!$B$51)+'損益分岐設定'!$F$64*'損益分岐設定'!$B$51)*1)*'損益分岐設定'!$B$22</x:f>
        <x:v>456</x:v>
      </x:c>
      <x:c r="AK204" s="1" t="n">
        <x:f>AD204*('損益分岐設定'!$G$57*(1-'損益分岐設定'!$B$51)+'損益分岐設定'!$G$58*'損益分岐設定'!$B$51)+AE204*('損益分岐設定'!$G$60*(1-'損益分岐設定'!$B$51)+'損益分岐設定'!$G$61*'損益分岐設定'!$B$51)+AF204*('損益分岐設定'!$G$63*(1-'損益分岐設定'!$B$51)+'損益分岐設定'!$G$64*'損益分岐設定'!$B$51)</x:f>
        <x:v>400</x:v>
      </x:c>
      <x:c r="AL204" s="1" t="n">
        <x:f>AD204*('損益分岐設定'!$H$57*(1-'損益分岐設定'!$B$51)+'損益分岐設定'!$H$58*'損益分岐設定'!$B$51)+AE204*('損益分岐設定'!$H$60*(1-'損益分岐設定'!$B$51)+'損益分岐設定'!$H$61*'損益分岐設定'!$B$51)+AF204*('損益分岐設定'!$H$63*(1-'損益分岐設定'!$B$51)+'損益分岐設定'!$H$64*'損益分岐設定'!$B$51)</x:f>
        <x:v>726.6666666666667</x:v>
      </x:c>
      <x:c r="AM204" s="1" t="n">
        <x:f>MAX(1,ROUNDUP('損益分岐設定'!C37*AJ204/('損益分岐設定'!$B$23*'損益分岐設定'!$B$24*3600*'損益分岐設定'!$B$25),0))</x:f>
        <x:v>1</x:v>
      </x:c>
      <x:c r="AN204" s="1" t="n">
        <x:f>MAX(2,ROUNDUP('損益分岐設定'!C38*AJ204/('損益分岐設定'!$B$23*'損益分岐設定'!$B$24*3600*'損益分岐設定'!$B$25),0))</x:f>
        <x:v>2</x:v>
      </x:c>
      <x:c r="AO204" s="1" t="n">
        <x:f>MAX(2,ROUNDUP('損益分岐設定'!C39*AJ204/('損益分岐設定'!$B$23*'損益分岐設定'!$B$24*3600*'損益分岐設定'!$B$25),0))</x:f>
        <x:v>2</x:v>
      </x:c>
      <x:c r="AP204" s="1" t="n">
        <x:f>MAX(2,ROUNDUP('損益分岐設定'!C40*AJ204/('損益分岐設定'!$B$23*'損益分岐設定'!$B$24*3600*'損益分岐設定'!$B$25),0))</x:f>
        <x:v>2</x:v>
      </x:c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 ht="23" customHeight="1">
      <x:c r="A205" s="1" t="str">
        <x:v>Hybrid</x:v>
      </x:c>
      <x:c r="B205" s="1" t="str">
        <x:v>Business</x:v>
      </x:c>
      <x:c r="C205" s="1" t="str">
        <x:v>低位</x:v>
      </x:c>
      <x:c r="D205" s="21" t="n">
        <x:v>0</x:v>
      </x:c>
      <x:c r="E205" s="1" t="n">
        <x:v>0</x:v>
      </x:c>
      <x:c r="F205" s="7" t="n">
        <x:f>AD205*'損益分岐設定'!$B$5+AE205*'損益分岐設定'!$B$6+AF205*'損益分岐設定'!$B$7</x:f>
        <x:v>5000</x:v>
      </x:c>
      <x:c r="G205" s="7" t="n">
        <x:f>AG205+(AH205+AI205)*('損益分岐設定'!$B$29+0.5*'損益分岐設定'!$B$30)+AK205*'損益分岐設定'!$B$33</x:f>
        <x:v>115.63136067223303</x:v>
      </x:c>
      <x:c r="H205" s="7" t="n">
        <x:f>AL205*E205</x:f>
        <x:v>0</x:v>
      </x:c>
      <x:c r="I205" s="7" t="n">
        <x:f>F205*(1-D205-'損益分岐設定'!$B$10)-G205-H205</x:f>
        <x:v>4704.368639327767</x:v>
      </x:c>
      <x:c r="J205" s="1" t="n">
        <x:f>IF(MIN(V205:Y205)&gt;1000,"範囲内なし",MIN(V205:Y205))</x:f>
        <x:v>8</x:v>
      </x:c>
      <x:c r="K205" s="1" t="n">
        <x:f>IF(MAX(Z205:AC205)&gt;=1000,"範囲内なし",MAX(1,MAX(Z205:AC205)+1))</x:f>
        <x:v>8</x:v>
      </x:c>
      <x:c r="L205" s="7" t="n">
        <x:f>10*I205-R205</x:f>
        <x:v>11603.889702972352</x:v>
      </x:c>
      <x:c r="M205" s="7" t="n">
        <x:f>30*I205-S205</x:f>
        <x:v>90751.46579922238</x:v>
      </x:c>
      <x:c r="N205" s="7" t="n">
        <x:f>50*I205-S205</x:f>
        <x:v>184838.8385857777</x:v>
      </x:c>
      <x:c r="O205" s="7" t="n">
        <x:f>100*I205-S205</x:f>
        <x:v>420057.27055216604</x:v>
      </x:c>
      <x:c r="P205" s="7" t="n">
        <x:f>300*I205-T205</x:f>
        <x:v>1338930.9984177193</x:v>
      </x:c>
      <x:c r="Q205" s="7" t="n">
        <x:f>1000*I205-U205</x:f>
        <x:v>4601989.045947156</x:v>
      </x:c>
      <x:c r="R205" s="7" t="n">
        <x:f>'損益分岐設定'!$B$18+'損益分岐設定'!$B$19+'損益分岐設定'!$B$20+'損益分岐設定'!E37+'損益分岐設定'!D37+AM205*('損益分岐設定'!$B$15+'損益分岐設定'!$B$16)+'損益分岐設定'!$B$17+E205*('損益分岐設定'!$B$13+(AM205-1)*'損益分岐設定'!$B$14)*'損益分岐設定'!$B$11</x:f>
        <x:v>35439.79669030532</x:v>
      </x:c>
      <x:c r="S205" s="7" t="n">
        <x:f>'損益分岐設定'!$B$18+'損益分岐設定'!$B$19+'損益分岐設定'!$B$20+'損益分岐設定'!E38+'損益分岐設定'!D38+AN205*('損益分岐設定'!$B$15+'損益分岐設定'!$B$16)+'損益分岐設定'!$B$17+E205*('損益分岐設定'!$B$13+(AN205-1)*'損益分岐設定'!$B$14)*'損益分岐設定'!$B$11</x:f>
        <x:v>50379.59338061063</x:v>
      </x:c>
      <x:c r="T205" s="7" t="n">
        <x:f>'損益分岐設定'!$B$18+'損益分岐設定'!$B$19+'損益分岐設定'!$B$20+'損益分岐設定'!E39+'損益分岐設定'!D39+AO205*('損益分岐設定'!$B$15+'損益分岐設定'!$B$16)+'損益分岐設定'!$B$17+E205*('損益分岐設定'!$B$13+(AO205-1)*'損益分岐設定'!$B$14)*'損益分岐設定'!$B$11</x:f>
        <x:v>72379.59338061063</x:v>
      </x:c>
      <x:c r="U205" s="7" t="n">
        <x:f>'損益分岐設定'!$B$18+'損益分岐設定'!$B$19+'損益分岐設定'!$B$20+'損益分岐設定'!E40+'損益分岐設定'!D40+AP205*('損益分岐設定'!$B$15+'損益分岐設定'!$B$16)+'損益分岐設定'!$B$17+E205*('損益分岐設定'!$B$13+(AP205-1)*'損益分岐設定'!$B$14)*'損益分岐設定'!$B$11</x:f>
        <x:v>102379.59338061063</x:v>
      </x:c>
      <x:c r="V205" s="1" t="n">
        <x:f>IF(I205&lt;=0,1001,IF(MAX('損益分岐設定'!B37,ROUNDUP(R205/I205,0))&lt;='損益分岐設定'!C37,MAX('損益分岐設定'!B37,ROUNDUP(R205/I205,0)),1001))</x:f>
        <x:v>8</x:v>
      </x:c>
      <x:c r="W205" s="1" t="n">
        <x:f>IF(I205&lt;=0,1001,IF(MAX('損益分岐設定'!B38,ROUNDUP(S205/I205,0))&lt;='損益分岐設定'!C38,MAX('損益分岐設定'!B38,ROUNDUP(S205/I205,0)),1001))</x:f>
        <x:v>11</x:v>
      </x:c>
      <x:c r="X205" s="1" t="n">
        <x:f>IF(I205&lt;=0,1001,IF(MAX('損益分岐設定'!B39,ROUNDUP(T205/I205,0))&lt;='損益分岐設定'!C39,MAX('損益分岐設定'!B39,ROUNDUP(T205/I205,0)),1001))</x:f>
        <x:v>101</x:v>
      </x:c>
      <x:c r="Y205" s="1" t="n">
        <x:f>IF(I205&lt;=0,1001,IF(MAX('損益分岐設定'!B40,ROUNDUP(U205/I205,0))&lt;='損益分岐設定'!C40,MAX('損益分岐設定'!B40,ROUNDUP(U205/I205,0)),1001))</x:f>
        <x:v>501</x:v>
      </x:c>
      <x:c r="Z205" s="1" t="n">
        <x:f>IF(I205&lt;=0,'損益分岐設定'!C37,IF('損益分岐設定'!C37*I205-R205&lt;0,'損益分岐設定'!C37,IF('損益分岐設定'!B37*I205-R205&gt;=0,0,ROUNDUP(R205/I205,0)-1)))</x:f>
        <x:v>7</x:v>
      </x:c>
      <x:c r="AA205" s="1" t="n">
        <x:f>IF(I205&lt;=0,'損益分岐設定'!C38,IF('損益分岐設定'!C38*I205-S205&lt;0,'損益分岐設定'!C38,IF('損益分岐設定'!B38*I205-S205&gt;=0,0,ROUNDUP(S205/I205,0)-1)))</x:f>
        <x:v>0</x:v>
      </x:c>
      <x:c r="AB205" s="1" t="n">
        <x:f>IF(I205&lt;=0,'損益分岐設定'!C39,IF('損益分岐設定'!C39*I205-T205&lt;0,'損益分岐設定'!C39,IF('損益分岐設定'!B39*I205-T205&gt;=0,0,ROUNDUP(T205/I205,0)-1)))</x:f>
        <x:v>0</x:v>
      </x:c>
      <x:c r="AC205" s="1" t="n">
        <x:f>IF(I205&lt;=0,'損益分岐設定'!C40,IF('損益分岐設定'!C40*I205-U205&lt;0,'損益分岐設定'!C40,IF('損益分岐設定'!B40*I205-U205&gt;=0,0,ROUNDUP(U205/I205,0)-1)))</x:f>
        <x:v>0</x:v>
      </x:c>
      <x:c r="AD205" s="1" t="n">
        <x:v>0</x:v>
      </x:c>
      <x:c r="AE205" s="1" t="n">
        <x:v>1</x:v>
      </x:c>
      <x:c r="AF205" s="1" t="n">
        <x:v>0</x:v>
      </x:c>
      <x:c r="AG205" s="1" t="n">
        <x:f>AD205*'損益分岐設定'!$C$56+AE205*'損益分岐設定'!$C$59+AF205*'損益分岐設定'!$C$62</x:f>
        <x:v>115.42604943847657</x:v>
      </x:c>
      <x:c r="AH205" s="1" t="n">
        <x:f>AD205*'損益分岐設定'!$D$56+AE205*'損益分岐設定'!$D$59+AF205*'損益分岐設定'!$D$62</x:f>
        <x:v>30</x:v>
      </x:c>
      <x:c r="AI205" s="1" t="n">
        <x:f>AD205*'損益分岐設定'!$E$56+AE205*'損益分岐設定'!$E$59+AF205*'損益分岐設定'!$E$62</x:f>
        <x:v>20</x:v>
      </x:c>
      <x:c r="AJ205" s="1" t="n">
        <x:f>(AD205*'損益分岐設定'!$F$56+AE205*'損益分岐設定'!$F$59+AF205*'損益分岐設定'!$F$62*1)*'損益分岐設定'!$B$22</x:f>
        <x:v>30</x:v>
      </x:c>
      <x:c r="AK205" s="1" t="n">
        <x:f>AD205*'損益分岐設定'!$G$56+AE205*'損益分岐設定'!$G$59+AF205*'損益分岐設定'!$G$62</x:f>
        <x:v>100</x:v>
      </x:c>
      <x:c r="AL205" s="1" t="n">
        <x:f>AD205*'損益分岐設定'!$H$56+AE205*'損益分岐設定'!$H$59+AF205*'損益分岐設定'!$H$62</x:f>
        <x:v>333.3333333333333</x:v>
      </x:c>
      <x:c r="AM205" s="1" t="n">
        <x:f>MAX(1,ROUNDUP('損益分岐設定'!C37*AJ205/('損益分岐設定'!$B$23*'損益分岐設定'!$B$24*3600*'損益分岐設定'!$B$25),0))</x:f>
        <x:v>1</x:v>
      </x:c>
      <x:c r="AN205" s="1" t="n">
        <x:f>MAX(2,ROUNDUP('損益分岐設定'!C38*AJ205/('損益分岐設定'!$B$23*'損益分岐設定'!$B$24*3600*'損益分岐設定'!$B$25),0))</x:f>
        <x:v>2</x:v>
      </x:c>
      <x:c r="AO205" s="1" t="n">
        <x:f>MAX(2,ROUNDUP('損益分岐設定'!C39*AJ205/('損益分岐設定'!$B$23*'損益分岐設定'!$B$24*3600*'損益分岐設定'!$B$25),0))</x:f>
        <x:v>2</x:v>
      </x:c>
      <x:c r="AP205" s="1" t="n">
        <x:f>MAX(2,ROUNDUP('損益分岐設定'!C40*AJ205/('損益分岐設定'!$B$23*'損益分岐設定'!$B$24*3600*'損益分岐設定'!$B$25),0))</x:f>
        <x:v>2</x:v>
      </x:c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 ht="23" customHeight="1">
      <x:c r="A206" s="1" t="str">
        <x:v>Hybrid</x:v>
      </x:c>
      <x:c r="B206" s="1" t="str">
        <x:v>Business</x:v>
      </x:c>
      <x:c r="C206" s="1" t="str">
        <x:v>低位</x:v>
      </x:c>
      <x:c r="D206" s="21" t="n">
        <x:v>0</x:v>
      </x:c>
      <x:c r="E206" s="1" t="n">
        <x:v>1</x:v>
      </x:c>
      <x:c r="F206" s="7" t="n">
        <x:f>AD206*'損益分岐設定'!$B$5+AE206*'損益分岐設定'!$B$6+AF206*'損益分岐設定'!$B$7</x:f>
        <x:v>5000</x:v>
      </x:c>
      <x:c r="G206" s="7" t="n">
        <x:f>AG206+(AH206+AI206)*('損益分岐設定'!$B$29+0.5*'損益分岐設定'!$B$30)+AK206*'損益分岐設定'!$B$33</x:f>
        <x:v>115.63136067223303</x:v>
      </x:c>
      <x:c r="H206" s="7" t="n">
        <x:f>AL206*E206</x:f>
        <x:v>333.3333333333333</x:v>
      </x:c>
      <x:c r="I206" s="7" t="n">
        <x:f>F206*(1-D206-'損益分岐設定'!$B$10)-G206-H206</x:f>
        <x:v>4371.035305994434</x:v>
      </x:c>
      <x:c r="J206" s="1" t="n">
        <x:f>IF(MIN(V206:Y206)&gt;1000,"範囲内なし",MIN(V206:Y206))</x:f>
        <x:v>16</x:v>
      </x:c>
      <x:c r="K206" s="1" t="n">
        <x:f>IF(MAX(Z206:AC206)&gt;=1000,"範囲内なし",MAX(1,MAX(Z206:AC206)+1))</x:f>
        <x:v>16</x:v>
      </x:c>
      <x:c r="L206" s="7" t="n">
        <x:f>10*I206-R206</x:f>
        <x:v>-7729.443630360984</x:v>
      </x:c>
      <x:c r="M206" s="7" t="n">
        <x:f>30*I206-S206</x:f>
        <x:v>62751.46579922238</x:v>
      </x:c>
      <x:c r="N206" s="7" t="n">
        <x:f>50*I206-S206</x:f>
        <x:v>150172.17191911105</x:v>
      </x:c>
      <x:c r="O206" s="7" t="n">
        <x:f>100*I206-S206</x:f>
        <x:v>368723.9372188327</x:v>
      </x:c>
      <x:c r="P206" s="7" t="n">
        <x:f>300*I206-T206</x:f>
        <x:v>1220930.9984177195</x:v>
      </x:c>
      <x:c r="Q206" s="7" t="n">
        <x:f>1000*I206-U206</x:f>
        <x:v>4250655.712613823</x:v>
      </x:c>
      <x:c r="R206" s="7" t="n">
        <x:f>'損益分岐設定'!$B$18+'損益分岐設定'!$B$19+'損益分岐設定'!$B$20+'損益分岐設定'!E37+'損益分岐設定'!D37+AM206*('損益分岐設定'!$B$15+'損益分岐設定'!$B$16)+'損益分岐設定'!$B$17+E206*('損益分岐設定'!$B$13+(AM206-1)*'損益分岐設定'!$B$14)*'損益分岐設定'!$B$11</x:f>
        <x:v>51439.79669030532</x:v>
      </x:c>
      <x:c r="S206" s="7" t="n">
        <x:f>'損益分岐設定'!$B$18+'損益分岐設定'!$B$19+'損益分岐設定'!$B$20+'損益分岐設定'!E38+'損益分岐設定'!D38+AN206*('損益分岐設定'!$B$15+'損益分岐設定'!$B$16)+'損益分岐設定'!$B$17+E206*('損益分岐設定'!$B$13+(AN206-1)*'損益分岐設定'!$B$14)*'損益分岐設定'!$B$11</x:f>
        <x:v>68379.59338061063</x:v>
      </x:c>
      <x:c r="T206" s="7" t="n">
        <x:f>'損益分岐設定'!$B$18+'損益分岐設定'!$B$19+'損益分岐設定'!$B$20+'損益分岐設定'!E39+'損益分岐設定'!D39+AO206*('損益分岐設定'!$B$15+'損益分岐設定'!$B$16)+'損益分岐設定'!$B$17+E206*('損益分岐設定'!$B$13+(AO206-1)*'損益分岐設定'!$B$14)*'損益分岐設定'!$B$11</x:f>
        <x:v>90379.59338061063</x:v>
      </x:c>
      <x:c r="U206" s="7" t="n">
        <x:f>'損益分岐設定'!$B$18+'損益分岐設定'!$B$19+'損益分岐設定'!$B$20+'損益分岐設定'!E40+'損益分岐設定'!D40+AP206*('損益分岐設定'!$B$15+'損益分岐設定'!$B$16)+'損益分岐設定'!$B$17+E206*('損益分岐設定'!$B$13+(AP206-1)*'損益分岐設定'!$B$14)*'損益分岐設定'!$B$11</x:f>
        <x:v>120379.59338061063</x:v>
      </x:c>
      <x:c r="V206" s="1" t="n">
        <x:f>IF(I206&lt;=0,1001,IF(MAX('損益分岐設定'!B37,ROUNDUP(R206/I206,0))&lt;='損益分岐設定'!C37,MAX('損益分岐設定'!B37,ROUNDUP(R206/I206,0)),1001))</x:f>
        <x:v>1001</x:v>
      </x:c>
      <x:c r="W206" s="1" t="n">
        <x:f>IF(I206&lt;=0,1001,IF(MAX('損益分岐設定'!B38,ROUNDUP(S206/I206,0))&lt;='損益分岐設定'!C38,MAX('損益分岐設定'!B38,ROUNDUP(S206/I206,0)),1001))</x:f>
        <x:v>16</x:v>
      </x:c>
      <x:c r="X206" s="1" t="n">
        <x:f>IF(I206&lt;=0,1001,IF(MAX('損益分岐設定'!B39,ROUNDUP(T206/I206,0))&lt;='損益分岐設定'!C39,MAX('損益分岐設定'!B39,ROUNDUP(T206/I206,0)),1001))</x:f>
        <x:v>101</x:v>
      </x:c>
      <x:c r="Y206" s="1" t="n">
        <x:f>IF(I206&lt;=0,1001,IF(MAX('損益分岐設定'!B40,ROUNDUP(U206/I206,0))&lt;='損益分岐設定'!C40,MAX('損益分岐設定'!B40,ROUNDUP(U206/I206,0)),1001))</x:f>
        <x:v>501</x:v>
      </x:c>
      <x:c r="Z206" s="1" t="n">
        <x:f>IF(I206&lt;=0,'損益分岐設定'!C37,IF('損益分岐設定'!C37*I206-R206&lt;0,'損益分岐設定'!C37,IF('損益分岐設定'!B37*I206-R206&gt;=0,0,ROUNDUP(R206/I206,0)-1)))</x:f>
        <x:v>10</x:v>
      </x:c>
      <x:c r="AA206" s="1" t="n">
        <x:f>IF(I206&lt;=0,'損益分岐設定'!C38,IF('損益分岐設定'!C38*I206-S206&lt;0,'損益分岐設定'!C38,IF('損益分岐設定'!B38*I206-S206&gt;=0,0,ROUNDUP(S206/I206,0)-1)))</x:f>
        <x:v>15</x:v>
      </x:c>
      <x:c r="AB206" s="1" t="n">
        <x:f>IF(I206&lt;=0,'損益分岐設定'!C39,IF('損益分岐設定'!C39*I206-T206&lt;0,'損益分岐設定'!C39,IF('損益分岐設定'!B39*I206-T206&gt;=0,0,ROUNDUP(T206/I206,0)-1)))</x:f>
        <x:v>0</x:v>
      </x:c>
      <x:c r="AC206" s="1" t="n">
        <x:f>IF(I206&lt;=0,'損益分岐設定'!C40,IF('損益分岐設定'!C40*I206-U206&lt;0,'損益分岐設定'!C40,IF('損益分岐設定'!B40*I206-U206&gt;=0,0,ROUNDUP(U206/I206,0)-1)))</x:f>
        <x:v>0</x:v>
      </x:c>
      <x:c r="AD206" s="1" t="n">
        <x:v>0</x:v>
      </x:c>
      <x:c r="AE206" s="1" t="n">
        <x:v>1</x:v>
      </x:c>
      <x:c r="AF206" s="1" t="n">
        <x:v>0</x:v>
      </x:c>
      <x:c r="AG206" s="1" t="n">
        <x:f>AD206*'損益分岐設定'!$C$56+AE206*'損益分岐設定'!$C$59+AF206*'損益分岐設定'!$C$62</x:f>
        <x:v>115.42604943847657</x:v>
      </x:c>
      <x:c r="AH206" s="1" t="n">
        <x:f>AD206*'損益分岐設定'!$D$56+AE206*'損益分岐設定'!$D$59+AF206*'損益分岐設定'!$D$62</x:f>
        <x:v>30</x:v>
      </x:c>
      <x:c r="AI206" s="1" t="n">
        <x:f>AD206*'損益分岐設定'!$E$56+AE206*'損益分岐設定'!$E$59+AF206*'損益分岐設定'!$E$62</x:f>
        <x:v>20</x:v>
      </x:c>
      <x:c r="AJ206" s="1" t="n">
        <x:f>(AD206*'損益分岐設定'!$F$56+AE206*'損益分岐設定'!$F$59+AF206*'損益分岐設定'!$F$62*1)*'損益分岐設定'!$B$22</x:f>
        <x:v>30</x:v>
      </x:c>
      <x:c r="AK206" s="1" t="n">
        <x:f>AD206*'損益分岐設定'!$G$56+AE206*'損益分岐設定'!$G$59+AF206*'損益分岐設定'!$G$62</x:f>
        <x:v>100</x:v>
      </x:c>
      <x:c r="AL206" s="1" t="n">
        <x:f>AD206*'損益分岐設定'!$H$56+AE206*'損益分岐設定'!$H$59+AF206*'損益分岐設定'!$H$62</x:f>
        <x:v>333.3333333333333</x:v>
      </x:c>
      <x:c r="AM206" s="1" t="n">
        <x:f>MAX(1,ROUNDUP('損益分岐設定'!C37*AJ206/('損益分岐設定'!$B$23*'損益分岐設定'!$B$24*3600*'損益分岐設定'!$B$25),0))</x:f>
        <x:v>1</x:v>
      </x:c>
      <x:c r="AN206" s="1" t="n">
        <x:f>MAX(2,ROUNDUP('損益分岐設定'!C38*AJ206/('損益分岐設定'!$B$23*'損益分岐設定'!$B$24*3600*'損益分岐設定'!$B$25),0))</x:f>
        <x:v>2</x:v>
      </x:c>
      <x:c r="AO206" s="1" t="n">
        <x:f>MAX(2,ROUNDUP('損益分岐設定'!C39*AJ206/('損益分岐設定'!$B$23*'損益分岐設定'!$B$24*3600*'損益分岐設定'!$B$25),0))</x:f>
        <x:v>2</x:v>
      </x:c>
      <x:c r="AP206" s="1" t="n">
        <x:f>MAX(2,ROUNDUP('損益分岐設定'!C40*AJ206/('損益分岐設定'!$B$23*'損益分岐設定'!$B$24*3600*'損益分岐設定'!$B$25),0))</x:f>
        <x:v>2</x:v>
      </x:c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 ht="23" customHeight="1">
      <x:c r="A207" s="1" t="str">
        <x:v>Hybrid</x:v>
      </x:c>
      <x:c r="B207" s="1" t="str">
        <x:v>Business</x:v>
      </x:c>
      <x:c r="C207" s="1" t="str">
        <x:v>低位</x:v>
      </x:c>
      <x:c r="D207" s="21" t="n">
        <x:v>0.2</x:v>
      </x:c>
      <x:c r="E207" s="1" t="n">
        <x:v>0</x:v>
      </x:c>
      <x:c r="F207" s="7" t="n">
        <x:f>AD207*'損益分岐設定'!$B$5+AE207*'損益分岐設定'!$B$6+AF207*'損益分岐設定'!$B$7</x:f>
        <x:v>5000</x:v>
      </x:c>
      <x:c r="G207" s="7" t="n">
        <x:f>AG207+(AH207+AI207)*('損益分岐設定'!$B$29+0.5*'損益分岐設定'!$B$30)+AK207*'損益分岐設定'!$B$33</x:f>
        <x:v>115.63136067223303</x:v>
      </x:c>
      <x:c r="H207" s="7" t="n">
        <x:f>AL207*E207</x:f>
        <x:v>0</x:v>
      </x:c>
      <x:c r="I207" s="7" t="n">
        <x:f>F207*(1-D207-'損益分岐設定'!$B$10)-G207-H207</x:f>
        <x:v>3704.368639327767</x:v>
      </x:c>
      <x:c r="J207" s="1" t="n">
        <x:f>IF(MIN(V207:Y207)&gt;1000,"範囲内なし",MIN(V207:Y207))</x:f>
        <x:v>10</x:v>
      </x:c>
      <x:c r="K207" s="1" t="n">
        <x:f>IF(MAX(Z207:AC207)&gt;=1000,"範囲内なし",MAX(1,MAX(Z207:AC207)+1))</x:f>
        <x:v>14</x:v>
      </x:c>
      <x:c r="L207" s="7" t="n">
        <x:f>10*I207-R207</x:f>
        <x:v>1603.889702972352</x:v>
      </x:c>
      <x:c r="M207" s="7" t="n">
        <x:f>30*I207-S207</x:f>
        <x:v>60751.46579922238</x:v>
      </x:c>
      <x:c r="N207" s="7" t="n">
        <x:f>50*I207-S207</x:f>
        <x:v>134838.83858577773</x:v>
      </x:c>
      <x:c r="O207" s="7" t="n">
        <x:f>100*I207-S207</x:f>
        <x:v>320057.2705521661</x:v>
      </x:c>
      <x:c r="P207" s="7" t="n">
        <x:f>300*I207-T207</x:f>
        <x:v>1038930.9984177195</x:v>
      </x:c>
      <x:c r="Q207" s="7" t="n">
        <x:f>1000*I207-U207</x:f>
        <x:v>3601989.045947157</x:v>
      </x:c>
      <x:c r="R207" s="7" t="n">
        <x:f>'損益分岐設定'!$B$18+'損益分岐設定'!$B$19+'損益分岐設定'!$B$20+'損益分岐設定'!E37+'損益分岐設定'!D37+AM207*('損益分岐設定'!$B$15+'損益分岐設定'!$B$16)+'損益分岐設定'!$B$17+E207*('損益分岐設定'!$B$13+(AM207-1)*'損益分岐設定'!$B$14)*'損益分岐設定'!$B$11</x:f>
        <x:v>35439.79669030532</x:v>
      </x:c>
      <x:c r="S207" s="7" t="n">
        <x:f>'損益分岐設定'!$B$18+'損益分岐設定'!$B$19+'損益分岐設定'!$B$20+'損益分岐設定'!E38+'損益分岐設定'!D38+AN207*('損益分岐設定'!$B$15+'損益分岐設定'!$B$16)+'損益分岐設定'!$B$17+E207*('損益分岐設定'!$B$13+(AN207-1)*'損益分岐設定'!$B$14)*'損益分岐設定'!$B$11</x:f>
        <x:v>50379.59338061063</x:v>
      </x:c>
      <x:c r="T207" s="7" t="n">
        <x:f>'損益分岐設定'!$B$18+'損益分岐設定'!$B$19+'損益分岐設定'!$B$20+'損益分岐設定'!E39+'損益分岐設定'!D39+AO207*('損益分岐設定'!$B$15+'損益分岐設定'!$B$16)+'損益分岐設定'!$B$17+E207*('損益分岐設定'!$B$13+(AO207-1)*'損益分岐設定'!$B$14)*'損益分岐設定'!$B$11</x:f>
        <x:v>72379.59338061063</x:v>
      </x:c>
      <x:c r="U207" s="7" t="n">
        <x:f>'損益分岐設定'!$B$18+'損益分岐設定'!$B$19+'損益分岐設定'!$B$20+'損益分岐設定'!E40+'損益分岐設定'!D40+AP207*('損益分岐設定'!$B$15+'損益分岐設定'!$B$16)+'損益分岐設定'!$B$17+E207*('損益分岐設定'!$B$13+(AP207-1)*'損益分岐設定'!$B$14)*'損益分岐設定'!$B$11</x:f>
        <x:v>102379.59338061063</x:v>
      </x:c>
      <x:c r="V207" s="1" t="n">
        <x:f>IF(I207&lt;=0,1001,IF(MAX('損益分岐設定'!B37,ROUNDUP(R207/I207,0))&lt;='損益分岐設定'!C37,MAX('損益分岐設定'!B37,ROUNDUP(R207/I207,0)),1001))</x:f>
        <x:v>10</x:v>
      </x:c>
      <x:c r="W207" s="1" t="n">
        <x:f>IF(I207&lt;=0,1001,IF(MAX('損益分岐設定'!B38,ROUNDUP(S207/I207,0))&lt;='損益分岐設定'!C38,MAX('損益分岐設定'!B38,ROUNDUP(S207/I207,0)),1001))</x:f>
        <x:v>14</x:v>
      </x:c>
      <x:c r="X207" s="1" t="n">
        <x:f>IF(I207&lt;=0,1001,IF(MAX('損益分岐設定'!B39,ROUNDUP(T207/I207,0))&lt;='損益分岐設定'!C39,MAX('損益分岐設定'!B39,ROUNDUP(T207/I207,0)),1001))</x:f>
        <x:v>101</x:v>
      </x:c>
      <x:c r="Y207" s="1" t="n">
        <x:f>IF(I207&lt;=0,1001,IF(MAX('損益分岐設定'!B40,ROUNDUP(U207/I207,0))&lt;='損益分岐設定'!C40,MAX('損益分岐設定'!B40,ROUNDUP(U207/I207,0)),1001))</x:f>
        <x:v>501</x:v>
      </x:c>
      <x:c r="Z207" s="1" t="n">
        <x:f>IF(I207&lt;=0,'損益分岐設定'!C37,IF('損益分岐設定'!C37*I207-R207&lt;0,'損益分岐設定'!C37,IF('損益分岐設定'!B37*I207-R207&gt;=0,0,ROUNDUP(R207/I207,0)-1)))</x:f>
        <x:v>9</x:v>
      </x:c>
      <x:c r="AA207" s="1" t="n">
        <x:f>IF(I207&lt;=0,'損益分岐設定'!C38,IF('損益分岐設定'!C38*I207-S207&lt;0,'損益分岐設定'!C38,IF('損益分岐設定'!B38*I207-S207&gt;=0,0,ROUNDUP(S207/I207,0)-1)))</x:f>
        <x:v>13</x:v>
      </x:c>
      <x:c r="AB207" s="1" t="n">
        <x:f>IF(I207&lt;=0,'損益分岐設定'!C39,IF('損益分岐設定'!C39*I207-T207&lt;0,'損益分岐設定'!C39,IF('損益分岐設定'!B39*I207-T207&gt;=0,0,ROUNDUP(T207/I207,0)-1)))</x:f>
        <x:v>0</x:v>
      </x:c>
      <x:c r="AC207" s="1" t="n">
        <x:f>IF(I207&lt;=0,'損益分岐設定'!C40,IF('損益分岐設定'!C40*I207-U207&lt;0,'損益分岐設定'!C40,IF('損益分岐設定'!B40*I207-U207&gt;=0,0,ROUNDUP(U207/I207,0)-1)))</x:f>
        <x:v>0</x:v>
      </x:c>
      <x:c r="AD207" s="1" t="n">
        <x:v>0</x:v>
      </x:c>
      <x:c r="AE207" s="1" t="n">
        <x:v>1</x:v>
      </x:c>
      <x:c r="AF207" s="1" t="n">
        <x:v>0</x:v>
      </x:c>
      <x:c r="AG207" s="1" t="n">
        <x:f>AD207*'損益分岐設定'!$C$56+AE207*'損益分岐設定'!$C$59+AF207*'損益分岐設定'!$C$62</x:f>
        <x:v>115.42604943847657</x:v>
      </x:c>
      <x:c r="AH207" s="1" t="n">
        <x:f>AD207*'損益分岐設定'!$D$56+AE207*'損益分岐設定'!$D$59+AF207*'損益分岐設定'!$D$62</x:f>
        <x:v>30</x:v>
      </x:c>
      <x:c r="AI207" s="1" t="n">
        <x:f>AD207*'損益分岐設定'!$E$56+AE207*'損益分岐設定'!$E$59+AF207*'損益分岐設定'!$E$62</x:f>
        <x:v>20</x:v>
      </x:c>
      <x:c r="AJ207" s="1" t="n">
        <x:f>(AD207*'損益分岐設定'!$F$56+AE207*'損益分岐設定'!$F$59+AF207*'損益分岐設定'!$F$62*1)*'損益分岐設定'!$B$22</x:f>
        <x:v>30</x:v>
      </x:c>
      <x:c r="AK207" s="1" t="n">
        <x:f>AD207*'損益分岐設定'!$G$56+AE207*'損益分岐設定'!$G$59+AF207*'損益分岐設定'!$G$62</x:f>
        <x:v>100</x:v>
      </x:c>
      <x:c r="AL207" s="1" t="n">
        <x:f>AD207*'損益分岐設定'!$H$56+AE207*'損益分岐設定'!$H$59+AF207*'損益分岐設定'!$H$62</x:f>
        <x:v>333.3333333333333</x:v>
      </x:c>
      <x:c r="AM207" s="1" t="n">
        <x:f>MAX(1,ROUNDUP('損益分岐設定'!C37*AJ207/('損益分岐設定'!$B$23*'損益分岐設定'!$B$24*3600*'損益分岐設定'!$B$25),0))</x:f>
        <x:v>1</x:v>
      </x:c>
      <x:c r="AN207" s="1" t="n">
        <x:f>MAX(2,ROUNDUP('損益分岐設定'!C38*AJ207/('損益分岐設定'!$B$23*'損益分岐設定'!$B$24*3600*'損益分岐設定'!$B$25),0))</x:f>
        <x:v>2</x:v>
      </x:c>
      <x:c r="AO207" s="1" t="n">
        <x:f>MAX(2,ROUNDUP('損益分岐設定'!C39*AJ207/('損益分岐設定'!$B$23*'損益分岐設定'!$B$24*3600*'損益分岐設定'!$B$25),0))</x:f>
        <x:v>2</x:v>
      </x:c>
      <x:c r="AP207" s="1" t="n">
        <x:f>MAX(2,ROUNDUP('損益分岐設定'!C40*AJ207/('損益分岐設定'!$B$23*'損益分岐設定'!$B$24*3600*'損益分岐設定'!$B$25),0))</x:f>
        <x:v>2</x:v>
      </x:c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 ht="23" customHeight="1">
      <x:c r="A208" s="1" t="str">
        <x:v>Hybrid</x:v>
      </x:c>
      <x:c r="B208" s="1" t="str">
        <x:v>Business</x:v>
      </x:c>
      <x:c r="C208" s="1" t="str">
        <x:v>低位</x:v>
      </x:c>
      <x:c r="D208" s="21" t="n">
        <x:v>0.2</x:v>
      </x:c>
      <x:c r="E208" s="1" t="n">
        <x:v>1</x:v>
      </x:c>
      <x:c r="F208" s="7" t="n">
        <x:f>AD208*'損益分岐設定'!$B$5+AE208*'損益分岐設定'!$B$6+AF208*'損益分岐設定'!$B$7</x:f>
        <x:v>5000</x:v>
      </x:c>
      <x:c r="G208" s="7" t="n">
        <x:f>AG208+(AH208+AI208)*('損益分岐設定'!$B$29+0.5*'損益分岐設定'!$B$30)+AK208*'損益分岐設定'!$B$33</x:f>
        <x:v>115.63136067223303</x:v>
      </x:c>
      <x:c r="H208" s="7" t="n">
        <x:f>AL208*E208</x:f>
        <x:v>333.3333333333333</x:v>
      </x:c>
      <x:c r="I208" s="7" t="n">
        <x:f>F208*(1-D208-'損益分岐設定'!$B$10)-G208-H208</x:f>
        <x:v>3371.0353059944337</x:v>
      </x:c>
      <x:c r="J208" s="1" t="n">
        <x:f>IF(MIN(V208:Y208)&gt;1000,"範囲内なし",MIN(V208:Y208))</x:f>
        <x:v>21</x:v>
      </x:c>
      <x:c r="K208" s="1" t="n">
        <x:f>IF(MAX(Z208:AC208)&gt;=1000,"範囲内なし",MAX(1,MAX(Z208:AC208)+1))</x:f>
        <x:v>21</x:v>
      </x:c>
      <x:c r="L208" s="7" t="n">
        <x:f>10*I208-R208</x:f>
        <x:v>-17729.443630360984</x:v>
      </x:c>
      <x:c r="M208" s="7" t="n">
        <x:f>30*I208-S208</x:f>
        <x:v>32751.46579922238</x:v>
      </x:c>
      <x:c r="N208" s="7" t="n">
        <x:f>50*I208-S208</x:f>
        <x:v>100172.17191911105</x:v>
      </x:c>
      <x:c r="O208" s="7" t="n">
        <x:f>100*I208-S208</x:f>
        <x:v>268723.9372188327</x:v>
      </x:c>
      <x:c r="P208" s="7" t="n">
        <x:f>300*I208-T208</x:f>
        <x:v>920930.9984177195</x:v>
      </x:c>
      <x:c r="Q208" s="7" t="n">
        <x:f>1000*I208-U208</x:f>
        <x:v>3250655.7126138234</x:v>
      </x:c>
      <x:c r="R208" s="7" t="n">
        <x:f>'損益分岐設定'!$B$18+'損益分岐設定'!$B$19+'損益分岐設定'!$B$20+'損益分岐設定'!E37+'損益分岐設定'!D37+AM208*('損益分岐設定'!$B$15+'損益分岐設定'!$B$16)+'損益分岐設定'!$B$17+E208*('損益分岐設定'!$B$13+(AM208-1)*'損益分岐設定'!$B$14)*'損益分岐設定'!$B$11</x:f>
        <x:v>51439.79669030532</x:v>
      </x:c>
      <x:c r="S208" s="7" t="n">
        <x:f>'損益分岐設定'!$B$18+'損益分岐設定'!$B$19+'損益分岐設定'!$B$20+'損益分岐設定'!E38+'損益分岐設定'!D38+AN208*('損益分岐設定'!$B$15+'損益分岐設定'!$B$16)+'損益分岐設定'!$B$17+E208*('損益分岐設定'!$B$13+(AN208-1)*'損益分岐設定'!$B$14)*'損益分岐設定'!$B$11</x:f>
        <x:v>68379.59338061063</x:v>
      </x:c>
      <x:c r="T208" s="7" t="n">
        <x:f>'損益分岐設定'!$B$18+'損益分岐設定'!$B$19+'損益分岐設定'!$B$20+'損益分岐設定'!E39+'損益分岐設定'!D39+AO208*('損益分岐設定'!$B$15+'損益分岐設定'!$B$16)+'損益分岐設定'!$B$17+E208*('損益分岐設定'!$B$13+(AO208-1)*'損益分岐設定'!$B$14)*'損益分岐設定'!$B$11</x:f>
        <x:v>90379.59338061063</x:v>
      </x:c>
      <x:c r="U208" s="7" t="n">
        <x:f>'損益分岐設定'!$B$18+'損益分岐設定'!$B$19+'損益分岐設定'!$B$20+'損益分岐設定'!E40+'損益分岐設定'!D40+AP208*('損益分岐設定'!$B$15+'損益分岐設定'!$B$16)+'損益分岐設定'!$B$17+E208*('損益分岐設定'!$B$13+(AP208-1)*'損益分岐設定'!$B$14)*'損益分岐設定'!$B$11</x:f>
        <x:v>120379.59338061063</x:v>
      </x:c>
      <x:c r="V208" s="1" t="n">
        <x:f>IF(I208&lt;=0,1001,IF(MAX('損益分岐設定'!B37,ROUNDUP(R208/I208,0))&lt;='損益分岐設定'!C37,MAX('損益分岐設定'!B37,ROUNDUP(R208/I208,0)),1001))</x:f>
        <x:v>1001</x:v>
      </x:c>
      <x:c r="W208" s="1" t="n">
        <x:f>IF(I208&lt;=0,1001,IF(MAX('損益分岐設定'!B38,ROUNDUP(S208/I208,0))&lt;='損益分岐設定'!C38,MAX('損益分岐設定'!B38,ROUNDUP(S208/I208,0)),1001))</x:f>
        <x:v>21</x:v>
      </x:c>
      <x:c r="X208" s="1" t="n">
        <x:f>IF(I208&lt;=0,1001,IF(MAX('損益分岐設定'!B39,ROUNDUP(T208/I208,0))&lt;='損益分岐設定'!C39,MAX('損益分岐設定'!B39,ROUNDUP(T208/I208,0)),1001))</x:f>
        <x:v>101</x:v>
      </x:c>
      <x:c r="Y208" s="1" t="n">
        <x:f>IF(I208&lt;=0,1001,IF(MAX('損益分岐設定'!B40,ROUNDUP(U208/I208,0))&lt;='損益分岐設定'!C40,MAX('損益分岐設定'!B40,ROUNDUP(U208/I208,0)),1001))</x:f>
        <x:v>501</x:v>
      </x:c>
      <x:c r="Z208" s="1" t="n">
        <x:f>IF(I208&lt;=0,'損益分岐設定'!C37,IF('損益分岐設定'!C37*I208-R208&lt;0,'損益分岐設定'!C37,IF('損益分岐設定'!B37*I208-R208&gt;=0,0,ROUNDUP(R208/I208,0)-1)))</x:f>
        <x:v>10</x:v>
      </x:c>
      <x:c r="AA208" s="1" t="n">
        <x:f>IF(I208&lt;=0,'損益分岐設定'!C38,IF('損益分岐設定'!C38*I208-S208&lt;0,'損益分岐設定'!C38,IF('損益分岐設定'!B38*I208-S208&gt;=0,0,ROUNDUP(S208/I208,0)-1)))</x:f>
        <x:v>20</x:v>
      </x:c>
      <x:c r="AB208" s="1" t="n">
        <x:f>IF(I208&lt;=0,'損益分岐設定'!C39,IF('損益分岐設定'!C39*I208-T208&lt;0,'損益分岐設定'!C39,IF('損益分岐設定'!B39*I208-T208&gt;=0,0,ROUNDUP(T208/I208,0)-1)))</x:f>
        <x:v>0</x:v>
      </x:c>
      <x:c r="AC208" s="1" t="n">
        <x:f>IF(I208&lt;=0,'損益分岐設定'!C40,IF('損益分岐設定'!C40*I208-U208&lt;0,'損益分岐設定'!C40,IF('損益分岐設定'!B40*I208-U208&gt;=0,0,ROUNDUP(U208/I208,0)-1)))</x:f>
        <x:v>0</x:v>
      </x:c>
      <x:c r="AD208" s="1" t="n">
        <x:v>0</x:v>
      </x:c>
      <x:c r="AE208" s="1" t="n">
        <x:v>1</x:v>
      </x:c>
      <x:c r="AF208" s="1" t="n">
        <x:v>0</x:v>
      </x:c>
      <x:c r="AG208" s="1" t="n">
        <x:f>AD208*'損益分岐設定'!$C$56+AE208*'損益分岐設定'!$C$59+AF208*'損益分岐設定'!$C$62</x:f>
        <x:v>115.42604943847657</x:v>
      </x:c>
      <x:c r="AH208" s="1" t="n">
        <x:f>AD208*'損益分岐設定'!$D$56+AE208*'損益分岐設定'!$D$59+AF208*'損益分岐設定'!$D$62</x:f>
        <x:v>30</x:v>
      </x:c>
      <x:c r="AI208" s="1" t="n">
        <x:f>AD208*'損益分岐設定'!$E$56+AE208*'損益分岐設定'!$E$59+AF208*'損益分岐設定'!$E$62</x:f>
        <x:v>20</x:v>
      </x:c>
      <x:c r="AJ208" s="1" t="n">
        <x:f>(AD208*'損益分岐設定'!$F$56+AE208*'損益分岐設定'!$F$59+AF208*'損益分岐設定'!$F$62*1)*'損益分岐設定'!$B$22</x:f>
        <x:v>30</x:v>
      </x:c>
      <x:c r="AK208" s="1" t="n">
        <x:f>AD208*'損益分岐設定'!$G$56+AE208*'損益分岐設定'!$G$59+AF208*'損益分岐設定'!$G$62</x:f>
        <x:v>100</x:v>
      </x:c>
      <x:c r="AL208" s="1" t="n">
        <x:f>AD208*'損益分岐設定'!$H$56+AE208*'損益分岐設定'!$H$59+AF208*'損益分岐設定'!$H$62</x:f>
        <x:v>333.3333333333333</x:v>
      </x:c>
      <x:c r="AM208" s="1" t="n">
        <x:f>MAX(1,ROUNDUP('損益分岐設定'!C37*AJ208/('損益分岐設定'!$B$23*'損益分岐設定'!$B$24*3600*'損益分岐設定'!$B$25),0))</x:f>
        <x:v>1</x:v>
      </x:c>
      <x:c r="AN208" s="1" t="n">
        <x:f>MAX(2,ROUNDUP('損益分岐設定'!C38*AJ208/('損益分岐設定'!$B$23*'損益分岐設定'!$B$24*3600*'損益分岐設定'!$B$25),0))</x:f>
        <x:v>2</x:v>
      </x:c>
      <x:c r="AO208" s="1" t="n">
        <x:f>MAX(2,ROUNDUP('損益分岐設定'!C39*AJ208/('損益分岐設定'!$B$23*'損益分岐設定'!$B$24*3600*'損益分岐設定'!$B$25),0))</x:f>
        <x:v>2</x:v>
      </x:c>
      <x:c r="AP208" s="1" t="n">
        <x:f>MAX(2,ROUNDUP('損益分岐設定'!C40*AJ208/('損益分岐設定'!$B$23*'損益分岐設定'!$B$24*3600*'損益分岐設定'!$B$25),0))</x:f>
        <x:v>2</x:v>
      </x:c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 ht="23" customHeight="1">
      <x:c r="A209" s="1" t="str">
        <x:v>Hybrid</x:v>
      </x:c>
      <x:c r="B209" s="1" t="str">
        <x:v>Business</x:v>
      </x:c>
      <x:c r="C209" s="1" t="str">
        <x:v>低位</x:v>
      </x:c>
      <x:c r="D209" s="21" t="n">
        <x:v>0.3</x:v>
      </x:c>
      <x:c r="E209" s="1" t="n">
        <x:v>0</x:v>
      </x:c>
      <x:c r="F209" s="7" t="n">
        <x:f>AD209*'損益分岐設定'!$B$5+AE209*'損益分岐設定'!$B$6+AF209*'損益分岐設定'!$B$7</x:f>
        <x:v>5000</x:v>
      </x:c>
      <x:c r="G209" s="7" t="n">
        <x:f>AG209+(AH209+AI209)*('損益分岐設定'!$B$29+0.5*'損益分岐設定'!$B$30)+AK209*'損益分岐設定'!$B$33</x:f>
        <x:v>115.63136067223303</x:v>
      </x:c>
      <x:c r="H209" s="7" t="n">
        <x:f>AL209*E209</x:f>
        <x:v>0</x:v>
      </x:c>
      <x:c r="I209" s="7" t="n">
        <x:f>F209*(1-D209-'損益分岐設定'!$B$10)-G209-H209</x:f>
        <x:v>3204.3686393277667</x:v>
      </x:c>
      <x:c r="J209" s="1" t="n">
        <x:f>IF(MIN(V209:Y209)&gt;1000,"範囲内なし",MIN(V209:Y209))</x:f>
        <x:v>16</x:v>
      </x:c>
      <x:c r="K209" s="1" t="n">
        <x:f>IF(MAX(Z209:AC209)&gt;=1000,"範囲内なし",MAX(1,MAX(Z209:AC209)+1))</x:f>
        <x:v>16</x:v>
      </x:c>
      <x:c r="L209" s="7" t="n">
        <x:f>10*I209-R209</x:f>
        <x:v>-3396.110297027648</x:v>
      </x:c>
      <x:c r="M209" s="7" t="n">
        <x:f>30*I209-S209</x:f>
        <x:v>45751.465799222366</x:v>
      </x:c>
      <x:c r="N209" s="7" t="n">
        <x:f>50*I209-S209</x:f>
        <x:v>109838.8385857777</x:v>
      </x:c>
      <x:c r="O209" s="7" t="n">
        <x:f>100*I209-S209</x:f>
        <x:v>270057.27055216604</x:v>
      </x:c>
      <x:c r="P209" s="7" t="n">
        <x:f>300*I209-T209</x:f>
        <x:v>888930.9984177193</x:v>
      </x:c>
      <x:c r="Q209" s="7" t="n">
        <x:f>1000*I209-U209</x:f>
        <x:v>3101989.0459471564</x:v>
      </x:c>
      <x:c r="R209" s="7" t="n">
        <x:f>'損益分岐設定'!$B$18+'損益分岐設定'!$B$19+'損益分岐設定'!$B$20+'損益分岐設定'!E37+'損益分岐設定'!D37+AM209*('損益分岐設定'!$B$15+'損益分岐設定'!$B$16)+'損益分岐設定'!$B$17+E209*('損益分岐設定'!$B$13+(AM209-1)*'損益分岐設定'!$B$14)*'損益分岐設定'!$B$11</x:f>
        <x:v>35439.79669030532</x:v>
      </x:c>
      <x:c r="S209" s="7" t="n">
        <x:f>'損益分岐設定'!$B$18+'損益分岐設定'!$B$19+'損益分岐設定'!$B$20+'損益分岐設定'!E38+'損益分岐設定'!D38+AN209*('損益分岐設定'!$B$15+'損益分岐設定'!$B$16)+'損益分岐設定'!$B$17+E209*('損益分岐設定'!$B$13+(AN209-1)*'損益分岐設定'!$B$14)*'損益分岐設定'!$B$11</x:f>
        <x:v>50379.59338061063</x:v>
      </x:c>
      <x:c r="T209" s="7" t="n">
        <x:f>'損益分岐設定'!$B$18+'損益分岐設定'!$B$19+'損益分岐設定'!$B$20+'損益分岐設定'!E39+'損益分岐設定'!D39+AO209*('損益分岐設定'!$B$15+'損益分岐設定'!$B$16)+'損益分岐設定'!$B$17+E209*('損益分岐設定'!$B$13+(AO209-1)*'損益分岐設定'!$B$14)*'損益分岐設定'!$B$11</x:f>
        <x:v>72379.59338061063</x:v>
      </x:c>
      <x:c r="U209" s="7" t="n">
        <x:f>'損益分岐設定'!$B$18+'損益分岐設定'!$B$19+'損益分岐設定'!$B$20+'損益分岐設定'!E40+'損益分岐設定'!D40+AP209*('損益分岐設定'!$B$15+'損益分岐設定'!$B$16)+'損益分岐設定'!$B$17+E209*('損益分岐設定'!$B$13+(AP209-1)*'損益分岐設定'!$B$14)*'損益分岐設定'!$B$11</x:f>
        <x:v>102379.59338061063</x:v>
      </x:c>
      <x:c r="V209" s="1" t="n">
        <x:f>IF(I209&lt;=0,1001,IF(MAX('損益分岐設定'!B37,ROUNDUP(R209/I209,0))&lt;='損益分岐設定'!C37,MAX('損益分岐設定'!B37,ROUNDUP(R209/I209,0)),1001))</x:f>
        <x:v>1001</x:v>
      </x:c>
      <x:c r="W209" s="1" t="n">
        <x:f>IF(I209&lt;=0,1001,IF(MAX('損益分岐設定'!B38,ROUNDUP(S209/I209,0))&lt;='損益分岐設定'!C38,MAX('損益分岐設定'!B38,ROUNDUP(S209/I209,0)),1001))</x:f>
        <x:v>16</x:v>
      </x:c>
      <x:c r="X209" s="1" t="n">
        <x:f>IF(I209&lt;=0,1001,IF(MAX('損益分岐設定'!B39,ROUNDUP(T209/I209,0))&lt;='損益分岐設定'!C39,MAX('損益分岐設定'!B39,ROUNDUP(T209/I209,0)),1001))</x:f>
        <x:v>101</x:v>
      </x:c>
      <x:c r="Y209" s="1" t="n">
        <x:f>IF(I209&lt;=0,1001,IF(MAX('損益分岐設定'!B40,ROUNDUP(U209/I209,0))&lt;='損益分岐設定'!C40,MAX('損益分岐設定'!B40,ROUNDUP(U209/I209,0)),1001))</x:f>
        <x:v>501</x:v>
      </x:c>
      <x:c r="Z209" s="1" t="n">
        <x:f>IF(I209&lt;=0,'損益分岐設定'!C37,IF('損益分岐設定'!C37*I209-R209&lt;0,'損益分岐設定'!C37,IF('損益分岐設定'!B37*I209-R209&gt;=0,0,ROUNDUP(R209/I209,0)-1)))</x:f>
        <x:v>10</x:v>
      </x:c>
      <x:c r="AA209" s="1" t="n">
        <x:f>IF(I209&lt;=0,'損益分岐設定'!C38,IF('損益分岐設定'!C38*I209-S209&lt;0,'損益分岐設定'!C38,IF('損益分岐設定'!B38*I209-S209&gt;=0,0,ROUNDUP(S209/I209,0)-1)))</x:f>
        <x:v>15</x:v>
      </x:c>
      <x:c r="AB209" s="1" t="n">
        <x:f>IF(I209&lt;=0,'損益分岐設定'!C39,IF('損益分岐設定'!C39*I209-T209&lt;0,'損益分岐設定'!C39,IF('損益分岐設定'!B39*I209-T209&gt;=0,0,ROUNDUP(T209/I209,0)-1)))</x:f>
        <x:v>0</x:v>
      </x:c>
      <x:c r="AC209" s="1" t="n">
        <x:f>IF(I209&lt;=0,'損益分岐設定'!C40,IF('損益分岐設定'!C40*I209-U209&lt;0,'損益分岐設定'!C40,IF('損益分岐設定'!B40*I209-U209&gt;=0,0,ROUNDUP(U209/I209,0)-1)))</x:f>
        <x:v>0</x:v>
      </x:c>
      <x:c r="AD209" s="1" t="n">
        <x:v>0</x:v>
      </x:c>
      <x:c r="AE209" s="1" t="n">
        <x:v>1</x:v>
      </x:c>
      <x:c r="AF209" s="1" t="n">
        <x:v>0</x:v>
      </x:c>
      <x:c r="AG209" s="1" t="n">
        <x:f>AD209*'損益分岐設定'!$C$56+AE209*'損益分岐設定'!$C$59+AF209*'損益分岐設定'!$C$62</x:f>
        <x:v>115.42604943847657</x:v>
      </x:c>
      <x:c r="AH209" s="1" t="n">
        <x:f>AD209*'損益分岐設定'!$D$56+AE209*'損益分岐設定'!$D$59+AF209*'損益分岐設定'!$D$62</x:f>
        <x:v>30</x:v>
      </x:c>
      <x:c r="AI209" s="1" t="n">
        <x:f>AD209*'損益分岐設定'!$E$56+AE209*'損益分岐設定'!$E$59+AF209*'損益分岐設定'!$E$62</x:f>
        <x:v>20</x:v>
      </x:c>
      <x:c r="AJ209" s="1" t="n">
        <x:f>(AD209*'損益分岐設定'!$F$56+AE209*'損益分岐設定'!$F$59+AF209*'損益分岐設定'!$F$62*1)*'損益分岐設定'!$B$22</x:f>
        <x:v>30</x:v>
      </x:c>
      <x:c r="AK209" s="1" t="n">
        <x:f>AD209*'損益分岐設定'!$G$56+AE209*'損益分岐設定'!$G$59+AF209*'損益分岐設定'!$G$62</x:f>
        <x:v>100</x:v>
      </x:c>
      <x:c r="AL209" s="1" t="n">
        <x:f>AD209*'損益分岐設定'!$H$56+AE209*'損益分岐設定'!$H$59+AF209*'損益分岐設定'!$H$62</x:f>
        <x:v>333.3333333333333</x:v>
      </x:c>
      <x:c r="AM209" s="1" t="n">
        <x:f>MAX(1,ROUNDUP('損益分岐設定'!C37*AJ209/('損益分岐設定'!$B$23*'損益分岐設定'!$B$24*3600*'損益分岐設定'!$B$25),0))</x:f>
        <x:v>1</x:v>
      </x:c>
      <x:c r="AN209" s="1" t="n">
        <x:f>MAX(2,ROUNDUP('損益分岐設定'!C38*AJ209/('損益分岐設定'!$B$23*'損益分岐設定'!$B$24*3600*'損益分岐設定'!$B$25),0))</x:f>
        <x:v>2</x:v>
      </x:c>
      <x:c r="AO209" s="1" t="n">
        <x:f>MAX(2,ROUNDUP('損益分岐設定'!C39*AJ209/('損益分岐設定'!$B$23*'損益分岐設定'!$B$24*3600*'損益分岐設定'!$B$25),0))</x:f>
        <x:v>2</x:v>
      </x:c>
      <x:c r="AP209" s="1" t="n">
        <x:f>MAX(2,ROUNDUP('損益分岐設定'!C40*AJ209/('損益分岐設定'!$B$23*'損益分岐設定'!$B$24*3600*'損益分岐設定'!$B$25),0))</x:f>
        <x:v>2</x:v>
      </x:c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 ht="23" customHeight="1">
      <x:c r="A210" s="1" t="str">
        <x:v>Hybrid</x:v>
      </x:c>
      <x:c r="B210" s="1" t="str">
        <x:v>Business</x:v>
      </x:c>
      <x:c r="C210" s="1" t="str">
        <x:v>低位</x:v>
      </x:c>
      <x:c r="D210" s="21" t="n">
        <x:v>0.3</x:v>
      </x:c>
      <x:c r="E210" s="1" t="n">
        <x:v>1</x:v>
      </x:c>
      <x:c r="F210" s="7" t="n">
        <x:f>AD210*'損益分岐設定'!$B$5+AE210*'損益分岐設定'!$B$6+AF210*'損益分岐設定'!$B$7</x:f>
        <x:v>5000</x:v>
      </x:c>
      <x:c r="G210" s="7" t="n">
        <x:f>AG210+(AH210+AI210)*('損益分岐設定'!$B$29+0.5*'損益分岐設定'!$B$30)+AK210*'損益分岐設定'!$B$33</x:f>
        <x:v>115.63136067223303</x:v>
      </x:c>
      <x:c r="H210" s="7" t="n">
        <x:f>AL210*E210</x:f>
        <x:v>333.3333333333333</x:v>
      </x:c>
      <x:c r="I210" s="7" t="n">
        <x:f>F210*(1-D210-'損益分岐設定'!$B$10)-G210-H210</x:f>
        <x:v>2871.035305994433</x:v>
      </x:c>
      <x:c r="J210" s="1" t="n">
        <x:f>IF(MIN(V210:Y210)&gt;1000,"範囲内なし",MIN(V210:Y210))</x:f>
        <x:v>24</x:v>
      </x:c>
      <x:c r="K210" s="1" t="n">
        <x:f>IF(MAX(Z210:AC210)&gt;=1000,"範囲内なし",MAX(1,MAX(Z210:AC210)+1))</x:f>
        <x:v>24</x:v>
      </x:c>
      <x:c r="L210" s="7" t="n">
        <x:f>10*I210-R210</x:f>
        <x:v>-22729.443630360984</x:v>
      </x:c>
      <x:c r="M210" s="7" t="n">
        <x:f>30*I210-S210</x:f>
        <x:v>17751.465799222366</x:v>
      </x:c>
      <x:c r="N210" s="7" t="n">
        <x:f>50*I210-S210</x:f>
        <x:v>75172.17191911102</x:v>
      </x:c>
      <x:c r="O210" s="7" t="n">
        <x:f>100*I210-S210</x:f>
        <x:v>218723.93721883267</x:v>
      </x:c>
      <x:c r="P210" s="7" t="n">
        <x:f>300*I210-T210</x:f>
        <x:v>770930.9984177193</x:v>
      </x:c>
      <x:c r="Q210" s="7" t="n">
        <x:f>1000*I210-U210</x:f>
        <x:v>2750655.712613823</x:v>
      </x:c>
      <x:c r="R210" s="7" t="n">
        <x:f>'損益分岐設定'!$B$18+'損益分岐設定'!$B$19+'損益分岐設定'!$B$20+'損益分岐設定'!E37+'損益分岐設定'!D37+AM210*('損益分岐設定'!$B$15+'損益分岐設定'!$B$16)+'損益分岐設定'!$B$17+E210*('損益分岐設定'!$B$13+(AM210-1)*'損益分岐設定'!$B$14)*'損益分岐設定'!$B$11</x:f>
        <x:v>51439.79669030532</x:v>
      </x:c>
      <x:c r="S210" s="7" t="n">
        <x:f>'損益分岐設定'!$B$18+'損益分岐設定'!$B$19+'損益分岐設定'!$B$20+'損益分岐設定'!E38+'損益分岐設定'!D38+AN210*('損益分岐設定'!$B$15+'損益分岐設定'!$B$16)+'損益分岐設定'!$B$17+E210*('損益分岐設定'!$B$13+(AN210-1)*'損益分岐設定'!$B$14)*'損益分岐設定'!$B$11</x:f>
        <x:v>68379.59338061063</x:v>
      </x:c>
      <x:c r="T210" s="7" t="n">
        <x:f>'損益分岐設定'!$B$18+'損益分岐設定'!$B$19+'損益分岐設定'!$B$20+'損益分岐設定'!E39+'損益分岐設定'!D39+AO210*('損益分岐設定'!$B$15+'損益分岐設定'!$B$16)+'損益分岐設定'!$B$17+E210*('損益分岐設定'!$B$13+(AO210-1)*'損益分岐設定'!$B$14)*'損益分岐設定'!$B$11</x:f>
        <x:v>90379.59338061063</x:v>
      </x:c>
      <x:c r="U210" s="7" t="n">
        <x:f>'損益分岐設定'!$B$18+'損益分岐設定'!$B$19+'損益分岐設定'!$B$20+'損益分岐設定'!E40+'損益分岐設定'!D40+AP210*('損益分岐設定'!$B$15+'損益分岐設定'!$B$16)+'損益分岐設定'!$B$17+E210*('損益分岐設定'!$B$13+(AP210-1)*'損益分岐設定'!$B$14)*'損益分岐設定'!$B$11</x:f>
        <x:v>120379.59338061063</x:v>
      </x:c>
      <x:c r="V210" s="1" t="n">
        <x:f>IF(I210&lt;=0,1001,IF(MAX('損益分岐設定'!B37,ROUNDUP(R210/I210,0))&lt;='損益分岐設定'!C37,MAX('損益分岐設定'!B37,ROUNDUP(R210/I210,0)),1001))</x:f>
        <x:v>1001</x:v>
      </x:c>
      <x:c r="W210" s="1" t="n">
        <x:f>IF(I210&lt;=0,1001,IF(MAX('損益分岐設定'!B38,ROUNDUP(S210/I210,0))&lt;='損益分岐設定'!C38,MAX('損益分岐設定'!B38,ROUNDUP(S210/I210,0)),1001))</x:f>
        <x:v>24</x:v>
      </x:c>
      <x:c r="X210" s="1" t="n">
        <x:f>IF(I210&lt;=0,1001,IF(MAX('損益分岐設定'!B39,ROUNDUP(T210/I210,0))&lt;='損益分岐設定'!C39,MAX('損益分岐設定'!B39,ROUNDUP(T210/I210,0)),1001))</x:f>
        <x:v>101</x:v>
      </x:c>
      <x:c r="Y210" s="1" t="n">
        <x:f>IF(I210&lt;=0,1001,IF(MAX('損益分岐設定'!B40,ROUNDUP(U210/I210,0))&lt;='損益分岐設定'!C40,MAX('損益分岐設定'!B40,ROUNDUP(U210/I210,0)),1001))</x:f>
        <x:v>501</x:v>
      </x:c>
      <x:c r="Z210" s="1" t="n">
        <x:f>IF(I210&lt;=0,'損益分岐設定'!C37,IF('損益分岐設定'!C37*I210-R210&lt;0,'損益分岐設定'!C37,IF('損益分岐設定'!B37*I210-R210&gt;=0,0,ROUNDUP(R210/I210,0)-1)))</x:f>
        <x:v>10</x:v>
      </x:c>
      <x:c r="AA210" s="1" t="n">
        <x:f>IF(I210&lt;=0,'損益分岐設定'!C38,IF('損益分岐設定'!C38*I210-S210&lt;0,'損益分岐設定'!C38,IF('損益分岐設定'!B38*I210-S210&gt;=0,0,ROUNDUP(S210/I210,0)-1)))</x:f>
        <x:v>23</x:v>
      </x:c>
      <x:c r="AB210" s="1" t="n">
        <x:f>IF(I210&lt;=0,'損益分岐設定'!C39,IF('損益分岐設定'!C39*I210-T210&lt;0,'損益分岐設定'!C39,IF('損益分岐設定'!B39*I210-T210&gt;=0,0,ROUNDUP(T210/I210,0)-1)))</x:f>
        <x:v>0</x:v>
      </x:c>
      <x:c r="AC210" s="1" t="n">
        <x:f>IF(I210&lt;=0,'損益分岐設定'!C40,IF('損益分岐設定'!C40*I210-U210&lt;0,'損益分岐設定'!C40,IF('損益分岐設定'!B40*I210-U210&gt;=0,0,ROUNDUP(U210/I210,0)-1)))</x:f>
        <x:v>0</x:v>
      </x:c>
      <x:c r="AD210" s="1" t="n">
        <x:v>0</x:v>
      </x:c>
      <x:c r="AE210" s="1" t="n">
        <x:v>1</x:v>
      </x:c>
      <x:c r="AF210" s="1" t="n">
        <x:v>0</x:v>
      </x:c>
      <x:c r="AG210" s="1" t="n">
        <x:f>AD210*'損益分岐設定'!$C$56+AE210*'損益分岐設定'!$C$59+AF210*'損益分岐設定'!$C$62</x:f>
        <x:v>115.42604943847657</x:v>
      </x:c>
      <x:c r="AH210" s="1" t="n">
        <x:f>AD210*'損益分岐設定'!$D$56+AE210*'損益分岐設定'!$D$59+AF210*'損益分岐設定'!$D$62</x:f>
        <x:v>30</x:v>
      </x:c>
      <x:c r="AI210" s="1" t="n">
        <x:f>AD210*'損益分岐設定'!$E$56+AE210*'損益分岐設定'!$E$59+AF210*'損益分岐設定'!$E$62</x:f>
        <x:v>20</x:v>
      </x:c>
      <x:c r="AJ210" s="1" t="n">
        <x:f>(AD210*'損益分岐設定'!$F$56+AE210*'損益分岐設定'!$F$59+AF210*'損益分岐設定'!$F$62*1)*'損益分岐設定'!$B$22</x:f>
        <x:v>30</x:v>
      </x:c>
      <x:c r="AK210" s="1" t="n">
        <x:f>AD210*'損益分岐設定'!$G$56+AE210*'損益分岐設定'!$G$59+AF210*'損益分岐設定'!$G$62</x:f>
        <x:v>100</x:v>
      </x:c>
      <x:c r="AL210" s="1" t="n">
        <x:f>AD210*'損益分岐設定'!$H$56+AE210*'損益分岐設定'!$H$59+AF210*'損益分岐設定'!$H$62</x:f>
        <x:v>333.3333333333333</x:v>
      </x:c>
      <x:c r="AM210" s="1" t="n">
        <x:f>MAX(1,ROUNDUP('損益分岐設定'!C37*AJ210/('損益分岐設定'!$B$23*'損益分岐設定'!$B$24*3600*'損益分岐設定'!$B$25),0))</x:f>
        <x:v>1</x:v>
      </x:c>
      <x:c r="AN210" s="1" t="n">
        <x:f>MAX(2,ROUNDUP('損益分岐設定'!C38*AJ210/('損益分岐設定'!$B$23*'損益分岐設定'!$B$24*3600*'損益分岐設定'!$B$25),0))</x:f>
        <x:v>2</x:v>
      </x:c>
      <x:c r="AO210" s="1" t="n">
        <x:f>MAX(2,ROUNDUP('損益分岐設定'!C39*AJ210/('損益分岐設定'!$B$23*'損益分岐設定'!$B$24*3600*'損益分岐設定'!$B$25),0))</x:f>
        <x:v>2</x:v>
      </x:c>
      <x:c r="AP210" s="1" t="n">
        <x:f>MAX(2,ROUNDUP('損益分岐設定'!C40*AJ210/('損益分岐設定'!$B$23*'損益分岐設定'!$B$24*3600*'損益分岐設定'!$B$25),0))</x:f>
        <x:v>2</x:v>
      </x:c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 ht="23" customHeight="1">
      <x:c r="A211" s="1" t="str">
        <x:v>Hybrid</x:v>
      </x:c>
      <x:c r="B211" s="1" t="str">
        <x:v>Business</x:v>
      </x:c>
      <x:c r="C211" s="1" t="str">
        <x:v>低位</x:v>
      </x:c>
      <x:c r="D211" s="21" t="n">
        <x:v>0.4</x:v>
      </x:c>
      <x:c r="E211" s="1" t="n">
        <x:v>0</x:v>
      </x:c>
      <x:c r="F211" s="7" t="n">
        <x:f>AD211*'損益分岐設定'!$B$5+AE211*'損益分岐設定'!$B$6+AF211*'損益分岐設定'!$B$7</x:f>
        <x:v>5000</x:v>
      </x:c>
      <x:c r="G211" s="7" t="n">
        <x:f>AG211+(AH211+AI211)*('損益分岐設定'!$B$29+0.5*'損益分岐設定'!$B$30)+AK211*'損益分岐設定'!$B$33</x:f>
        <x:v>115.63136067223303</x:v>
      </x:c>
      <x:c r="H211" s="7" t="n">
        <x:f>AL211*E211</x:f>
        <x:v>0</x:v>
      </x:c>
      <x:c r="I211" s="7" t="n">
        <x:f>F211*(1-D211-'損益分岐設定'!$B$10)-G211-H211</x:f>
        <x:v>2704.3686393277667</x:v>
      </x:c>
      <x:c r="J211" s="1" t="n">
        <x:f>IF(MIN(V211:Y211)&gt;1000,"範囲内なし",MIN(V211:Y211))</x:f>
        <x:v>19</x:v>
      </x:c>
      <x:c r="K211" s="1" t="n">
        <x:f>IF(MAX(Z211:AC211)&gt;=1000,"範囲内なし",MAX(1,MAX(Z211:AC211)+1))</x:f>
        <x:v>19</x:v>
      </x:c>
      <x:c r="L211" s="7" t="n">
        <x:f>10*I211-R211</x:f>
        <x:v>-8396.110297027648</x:v>
      </x:c>
      <x:c r="M211" s="7" t="n">
        <x:f>30*I211-S211</x:f>
        <x:v>30751.465799222366</x:v>
      </x:c>
      <x:c r="N211" s="7" t="n">
        <x:f>50*I211-S211</x:f>
        <x:v>84838.8385857777</x:v>
      </x:c>
      <x:c r="O211" s="7" t="n">
        <x:f>100*I211-S211</x:f>
        <x:v>220057.27055216604</x:v>
      </x:c>
      <x:c r="P211" s="7" t="n">
        <x:f>300*I211-T211</x:f>
        <x:v>738930.9984177193</x:v>
      </x:c>
      <x:c r="Q211" s="7" t="n">
        <x:f>1000*I211-U211</x:f>
        <x:v>2601989.0459471564</x:v>
      </x:c>
      <x:c r="R211" s="7" t="n">
        <x:f>'損益分岐設定'!$B$18+'損益分岐設定'!$B$19+'損益分岐設定'!$B$20+'損益分岐設定'!E37+'損益分岐設定'!D37+AM211*('損益分岐設定'!$B$15+'損益分岐設定'!$B$16)+'損益分岐設定'!$B$17+E211*('損益分岐設定'!$B$13+(AM211-1)*'損益分岐設定'!$B$14)*'損益分岐設定'!$B$11</x:f>
        <x:v>35439.79669030532</x:v>
      </x:c>
      <x:c r="S211" s="7" t="n">
        <x:f>'損益分岐設定'!$B$18+'損益分岐設定'!$B$19+'損益分岐設定'!$B$20+'損益分岐設定'!E38+'損益分岐設定'!D38+AN211*('損益分岐設定'!$B$15+'損益分岐設定'!$B$16)+'損益分岐設定'!$B$17+E211*('損益分岐設定'!$B$13+(AN211-1)*'損益分岐設定'!$B$14)*'損益分岐設定'!$B$11</x:f>
        <x:v>50379.59338061063</x:v>
      </x:c>
      <x:c r="T211" s="7" t="n">
        <x:f>'損益分岐設定'!$B$18+'損益分岐設定'!$B$19+'損益分岐設定'!$B$20+'損益分岐設定'!E39+'損益分岐設定'!D39+AO211*('損益分岐設定'!$B$15+'損益分岐設定'!$B$16)+'損益分岐設定'!$B$17+E211*('損益分岐設定'!$B$13+(AO211-1)*'損益分岐設定'!$B$14)*'損益分岐設定'!$B$11</x:f>
        <x:v>72379.59338061063</x:v>
      </x:c>
      <x:c r="U211" s="7" t="n">
        <x:f>'損益分岐設定'!$B$18+'損益分岐設定'!$B$19+'損益分岐設定'!$B$20+'損益分岐設定'!E40+'損益分岐設定'!D40+AP211*('損益分岐設定'!$B$15+'損益分岐設定'!$B$16)+'損益分岐設定'!$B$17+E211*('損益分岐設定'!$B$13+(AP211-1)*'損益分岐設定'!$B$14)*'損益分岐設定'!$B$11</x:f>
        <x:v>102379.59338061063</x:v>
      </x:c>
      <x:c r="V211" s="1" t="n">
        <x:f>IF(I211&lt;=0,1001,IF(MAX('損益分岐設定'!B37,ROUNDUP(R211/I211,0))&lt;='損益分岐設定'!C37,MAX('損益分岐設定'!B37,ROUNDUP(R211/I211,0)),1001))</x:f>
        <x:v>1001</x:v>
      </x:c>
      <x:c r="W211" s="1" t="n">
        <x:f>IF(I211&lt;=0,1001,IF(MAX('損益分岐設定'!B38,ROUNDUP(S211/I211,0))&lt;='損益分岐設定'!C38,MAX('損益分岐設定'!B38,ROUNDUP(S211/I211,0)),1001))</x:f>
        <x:v>19</x:v>
      </x:c>
      <x:c r="X211" s="1" t="n">
        <x:f>IF(I211&lt;=0,1001,IF(MAX('損益分岐設定'!B39,ROUNDUP(T211/I211,0))&lt;='損益分岐設定'!C39,MAX('損益分岐設定'!B39,ROUNDUP(T211/I211,0)),1001))</x:f>
        <x:v>101</x:v>
      </x:c>
      <x:c r="Y211" s="1" t="n">
        <x:f>IF(I211&lt;=0,1001,IF(MAX('損益分岐設定'!B40,ROUNDUP(U211/I211,0))&lt;='損益分岐設定'!C40,MAX('損益分岐設定'!B40,ROUNDUP(U211/I211,0)),1001))</x:f>
        <x:v>501</x:v>
      </x:c>
      <x:c r="Z211" s="1" t="n">
        <x:f>IF(I211&lt;=0,'損益分岐設定'!C37,IF('損益分岐設定'!C37*I211-R211&lt;0,'損益分岐設定'!C37,IF('損益分岐設定'!B37*I211-R211&gt;=0,0,ROUNDUP(R211/I211,0)-1)))</x:f>
        <x:v>10</x:v>
      </x:c>
      <x:c r="AA211" s="1" t="n">
        <x:f>IF(I211&lt;=0,'損益分岐設定'!C38,IF('損益分岐設定'!C38*I211-S211&lt;0,'損益分岐設定'!C38,IF('損益分岐設定'!B38*I211-S211&gt;=0,0,ROUNDUP(S211/I211,0)-1)))</x:f>
        <x:v>18</x:v>
      </x:c>
      <x:c r="AB211" s="1" t="n">
        <x:f>IF(I211&lt;=0,'損益分岐設定'!C39,IF('損益分岐設定'!C39*I211-T211&lt;0,'損益分岐設定'!C39,IF('損益分岐設定'!B39*I211-T211&gt;=0,0,ROUNDUP(T211/I211,0)-1)))</x:f>
        <x:v>0</x:v>
      </x:c>
      <x:c r="AC211" s="1" t="n">
        <x:f>IF(I211&lt;=0,'損益分岐設定'!C40,IF('損益分岐設定'!C40*I211-U211&lt;0,'損益分岐設定'!C40,IF('損益分岐設定'!B40*I211-U211&gt;=0,0,ROUNDUP(U211/I211,0)-1)))</x:f>
        <x:v>0</x:v>
      </x:c>
      <x:c r="AD211" s="1" t="n">
        <x:v>0</x:v>
      </x:c>
      <x:c r="AE211" s="1" t="n">
        <x:v>1</x:v>
      </x:c>
      <x:c r="AF211" s="1" t="n">
        <x:v>0</x:v>
      </x:c>
      <x:c r="AG211" s="1" t="n">
        <x:f>AD211*'損益分岐設定'!$C$56+AE211*'損益分岐設定'!$C$59+AF211*'損益分岐設定'!$C$62</x:f>
        <x:v>115.42604943847657</x:v>
      </x:c>
      <x:c r="AH211" s="1" t="n">
        <x:f>AD211*'損益分岐設定'!$D$56+AE211*'損益分岐設定'!$D$59+AF211*'損益分岐設定'!$D$62</x:f>
        <x:v>30</x:v>
      </x:c>
      <x:c r="AI211" s="1" t="n">
        <x:f>AD211*'損益分岐設定'!$E$56+AE211*'損益分岐設定'!$E$59+AF211*'損益分岐設定'!$E$62</x:f>
        <x:v>20</x:v>
      </x:c>
      <x:c r="AJ211" s="1" t="n">
        <x:f>(AD211*'損益分岐設定'!$F$56+AE211*'損益分岐設定'!$F$59+AF211*'損益分岐設定'!$F$62*1)*'損益分岐設定'!$B$22</x:f>
        <x:v>30</x:v>
      </x:c>
      <x:c r="AK211" s="1" t="n">
        <x:f>AD211*'損益分岐設定'!$G$56+AE211*'損益分岐設定'!$G$59+AF211*'損益分岐設定'!$G$62</x:f>
        <x:v>100</x:v>
      </x:c>
      <x:c r="AL211" s="1" t="n">
        <x:f>AD211*'損益分岐設定'!$H$56+AE211*'損益分岐設定'!$H$59+AF211*'損益分岐設定'!$H$62</x:f>
        <x:v>333.3333333333333</x:v>
      </x:c>
      <x:c r="AM211" s="1" t="n">
        <x:f>MAX(1,ROUNDUP('損益分岐設定'!C37*AJ211/('損益分岐設定'!$B$23*'損益分岐設定'!$B$24*3600*'損益分岐設定'!$B$25),0))</x:f>
        <x:v>1</x:v>
      </x:c>
      <x:c r="AN211" s="1" t="n">
        <x:f>MAX(2,ROUNDUP('損益分岐設定'!C38*AJ211/('損益分岐設定'!$B$23*'損益分岐設定'!$B$24*3600*'損益分岐設定'!$B$25),0))</x:f>
        <x:v>2</x:v>
      </x:c>
      <x:c r="AO211" s="1" t="n">
        <x:f>MAX(2,ROUNDUP('損益分岐設定'!C39*AJ211/('損益分岐設定'!$B$23*'損益分岐設定'!$B$24*3600*'損益分岐設定'!$B$25),0))</x:f>
        <x:v>2</x:v>
      </x:c>
      <x:c r="AP211" s="1" t="n">
        <x:f>MAX(2,ROUNDUP('損益分岐設定'!C40*AJ211/('損益分岐設定'!$B$23*'損益分岐設定'!$B$24*3600*'損益分岐設定'!$B$25),0))</x:f>
        <x:v>2</x:v>
      </x:c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 ht="23" customHeight="1">
      <x:c r="A212" s="1" t="str">
        <x:v>Hybrid</x:v>
      </x:c>
      <x:c r="B212" s="1" t="str">
        <x:v>Business</x:v>
      </x:c>
      <x:c r="C212" s="1" t="str">
        <x:v>低位</x:v>
      </x:c>
      <x:c r="D212" s="21" t="n">
        <x:v>0.4</x:v>
      </x:c>
      <x:c r="E212" s="1" t="n">
        <x:v>1</x:v>
      </x:c>
      <x:c r="F212" s="7" t="n">
        <x:f>AD212*'損益分岐設定'!$B$5+AE212*'損益分岐設定'!$B$6+AF212*'損益分岐設定'!$B$7</x:f>
        <x:v>5000</x:v>
      </x:c>
      <x:c r="G212" s="7" t="n">
        <x:f>AG212+(AH212+AI212)*('損益分岐設定'!$B$29+0.5*'損益分岐設定'!$B$30)+AK212*'損益分岐設定'!$B$33</x:f>
        <x:v>115.63136067223303</x:v>
      </x:c>
      <x:c r="H212" s="7" t="n">
        <x:f>AL212*E212</x:f>
        <x:v>333.3333333333333</x:v>
      </x:c>
      <x:c r="I212" s="7" t="n">
        <x:f>F212*(1-D212-'損益分岐設定'!$B$10)-G212-H212</x:f>
        <x:v>2371.035305994433</x:v>
      </x:c>
      <x:c r="J212" s="1" t="n">
        <x:f>IF(MIN(V212:Y212)&gt;1000,"範囲内なし",MIN(V212:Y212))</x:f>
        <x:v>29</x:v>
      </x:c>
      <x:c r="K212" s="1" t="n">
        <x:f>IF(MAX(Z212:AC212)&gt;=1000,"範囲内なし",MAX(1,MAX(Z212:AC212)+1))</x:f>
        <x:v>29</x:v>
      </x:c>
      <x:c r="L212" s="7" t="n">
        <x:f>10*I212-R212</x:f>
        <x:v>-27729.443630360984</x:v>
      </x:c>
      <x:c r="M212" s="7" t="n">
        <x:f>30*I212-S212</x:f>
        <x:v>2751.4657992223656</x:v>
      </x:c>
      <x:c r="N212" s="7" t="n">
        <x:f>50*I212-S212</x:f>
        <x:v>50172.17191911103</x:v>
      </x:c>
      <x:c r="O212" s="7" t="n">
        <x:f>100*I212-S212</x:f>
        <x:v>168723.9372188327</x:v>
      </x:c>
      <x:c r="P212" s="7" t="n">
        <x:f>300*I212-T212</x:f>
        <x:v>620930.9984177193</x:v>
      </x:c>
      <x:c r="Q212" s="7" t="n">
        <x:f>1000*I212-U212</x:f>
        <x:v>2250655.712613823</x:v>
      </x:c>
      <x:c r="R212" s="7" t="n">
        <x:f>'損益分岐設定'!$B$18+'損益分岐設定'!$B$19+'損益分岐設定'!$B$20+'損益分岐設定'!E37+'損益分岐設定'!D37+AM212*('損益分岐設定'!$B$15+'損益分岐設定'!$B$16)+'損益分岐設定'!$B$17+E212*('損益分岐設定'!$B$13+(AM212-1)*'損益分岐設定'!$B$14)*'損益分岐設定'!$B$11</x:f>
        <x:v>51439.79669030532</x:v>
      </x:c>
      <x:c r="S212" s="7" t="n">
        <x:f>'損益分岐設定'!$B$18+'損益分岐設定'!$B$19+'損益分岐設定'!$B$20+'損益分岐設定'!E38+'損益分岐設定'!D38+AN212*('損益分岐設定'!$B$15+'損益分岐設定'!$B$16)+'損益分岐設定'!$B$17+E212*('損益分岐設定'!$B$13+(AN212-1)*'損益分岐設定'!$B$14)*'損益分岐設定'!$B$11</x:f>
        <x:v>68379.59338061063</x:v>
      </x:c>
      <x:c r="T212" s="7" t="n">
        <x:f>'損益分岐設定'!$B$18+'損益分岐設定'!$B$19+'損益分岐設定'!$B$20+'損益分岐設定'!E39+'損益分岐設定'!D39+AO212*('損益分岐設定'!$B$15+'損益分岐設定'!$B$16)+'損益分岐設定'!$B$17+E212*('損益分岐設定'!$B$13+(AO212-1)*'損益分岐設定'!$B$14)*'損益分岐設定'!$B$11</x:f>
        <x:v>90379.59338061063</x:v>
      </x:c>
      <x:c r="U212" s="7" t="n">
        <x:f>'損益分岐設定'!$B$18+'損益分岐設定'!$B$19+'損益分岐設定'!$B$20+'損益分岐設定'!E40+'損益分岐設定'!D40+AP212*('損益分岐設定'!$B$15+'損益分岐設定'!$B$16)+'損益分岐設定'!$B$17+E212*('損益分岐設定'!$B$13+(AP212-1)*'損益分岐設定'!$B$14)*'損益分岐設定'!$B$11</x:f>
        <x:v>120379.59338061063</x:v>
      </x:c>
      <x:c r="V212" s="1" t="n">
        <x:f>IF(I212&lt;=0,1001,IF(MAX('損益分岐設定'!B37,ROUNDUP(R212/I212,0))&lt;='損益分岐設定'!C37,MAX('損益分岐設定'!B37,ROUNDUP(R212/I212,0)),1001))</x:f>
        <x:v>1001</x:v>
      </x:c>
      <x:c r="W212" s="1" t="n">
        <x:f>IF(I212&lt;=0,1001,IF(MAX('損益分岐設定'!B38,ROUNDUP(S212/I212,0))&lt;='損益分岐設定'!C38,MAX('損益分岐設定'!B38,ROUNDUP(S212/I212,0)),1001))</x:f>
        <x:v>29</x:v>
      </x:c>
      <x:c r="X212" s="1" t="n">
        <x:f>IF(I212&lt;=0,1001,IF(MAX('損益分岐設定'!B39,ROUNDUP(T212/I212,0))&lt;='損益分岐設定'!C39,MAX('損益分岐設定'!B39,ROUNDUP(T212/I212,0)),1001))</x:f>
        <x:v>101</x:v>
      </x:c>
      <x:c r="Y212" s="1" t="n">
        <x:f>IF(I212&lt;=0,1001,IF(MAX('損益分岐設定'!B40,ROUNDUP(U212/I212,0))&lt;='損益分岐設定'!C40,MAX('損益分岐設定'!B40,ROUNDUP(U212/I212,0)),1001))</x:f>
        <x:v>501</x:v>
      </x:c>
      <x:c r="Z212" s="1" t="n">
        <x:f>IF(I212&lt;=0,'損益分岐設定'!C37,IF('損益分岐設定'!C37*I212-R212&lt;0,'損益分岐設定'!C37,IF('損益分岐設定'!B37*I212-R212&gt;=0,0,ROUNDUP(R212/I212,0)-1)))</x:f>
        <x:v>10</x:v>
      </x:c>
      <x:c r="AA212" s="1" t="n">
        <x:f>IF(I212&lt;=0,'損益分岐設定'!C38,IF('損益分岐設定'!C38*I212-S212&lt;0,'損益分岐設定'!C38,IF('損益分岐設定'!B38*I212-S212&gt;=0,0,ROUNDUP(S212/I212,0)-1)))</x:f>
        <x:v>28</x:v>
      </x:c>
      <x:c r="AB212" s="1" t="n">
        <x:f>IF(I212&lt;=0,'損益分岐設定'!C39,IF('損益分岐設定'!C39*I212-T212&lt;0,'損益分岐設定'!C39,IF('損益分岐設定'!B39*I212-T212&gt;=0,0,ROUNDUP(T212/I212,0)-1)))</x:f>
        <x:v>0</x:v>
      </x:c>
      <x:c r="AC212" s="1" t="n">
        <x:f>IF(I212&lt;=0,'損益分岐設定'!C40,IF('損益分岐設定'!C40*I212-U212&lt;0,'損益分岐設定'!C40,IF('損益分岐設定'!B40*I212-U212&gt;=0,0,ROUNDUP(U212/I212,0)-1)))</x:f>
        <x:v>0</x:v>
      </x:c>
      <x:c r="AD212" s="1" t="n">
        <x:v>0</x:v>
      </x:c>
      <x:c r="AE212" s="1" t="n">
        <x:v>1</x:v>
      </x:c>
      <x:c r="AF212" s="1" t="n">
        <x:v>0</x:v>
      </x:c>
      <x:c r="AG212" s="1" t="n">
        <x:f>AD212*'損益分岐設定'!$C$56+AE212*'損益分岐設定'!$C$59+AF212*'損益分岐設定'!$C$62</x:f>
        <x:v>115.42604943847657</x:v>
      </x:c>
      <x:c r="AH212" s="1" t="n">
        <x:f>AD212*'損益分岐設定'!$D$56+AE212*'損益分岐設定'!$D$59+AF212*'損益分岐設定'!$D$62</x:f>
        <x:v>30</x:v>
      </x:c>
      <x:c r="AI212" s="1" t="n">
        <x:f>AD212*'損益分岐設定'!$E$56+AE212*'損益分岐設定'!$E$59+AF212*'損益分岐設定'!$E$62</x:f>
        <x:v>20</x:v>
      </x:c>
      <x:c r="AJ212" s="1" t="n">
        <x:f>(AD212*'損益分岐設定'!$F$56+AE212*'損益分岐設定'!$F$59+AF212*'損益分岐設定'!$F$62*1)*'損益分岐設定'!$B$22</x:f>
        <x:v>30</x:v>
      </x:c>
      <x:c r="AK212" s="1" t="n">
        <x:f>AD212*'損益分岐設定'!$G$56+AE212*'損益分岐設定'!$G$59+AF212*'損益分岐設定'!$G$62</x:f>
        <x:v>100</x:v>
      </x:c>
      <x:c r="AL212" s="1" t="n">
        <x:f>AD212*'損益分岐設定'!$H$56+AE212*'損益分岐設定'!$H$59+AF212*'損益分岐設定'!$H$62</x:f>
        <x:v>333.3333333333333</x:v>
      </x:c>
      <x:c r="AM212" s="1" t="n">
        <x:f>MAX(1,ROUNDUP('損益分岐設定'!C37*AJ212/('損益分岐設定'!$B$23*'損益分岐設定'!$B$24*3600*'損益分岐設定'!$B$25),0))</x:f>
        <x:v>1</x:v>
      </x:c>
      <x:c r="AN212" s="1" t="n">
        <x:f>MAX(2,ROUNDUP('損益分岐設定'!C38*AJ212/('損益分岐設定'!$B$23*'損益分岐設定'!$B$24*3600*'損益分岐設定'!$B$25),0))</x:f>
        <x:v>2</x:v>
      </x:c>
      <x:c r="AO212" s="1" t="n">
        <x:f>MAX(2,ROUNDUP('損益分岐設定'!C39*AJ212/('損益分岐設定'!$B$23*'損益分岐設定'!$B$24*3600*'損益分岐設定'!$B$25),0))</x:f>
        <x:v>2</x:v>
      </x:c>
      <x:c r="AP212" s="1" t="n">
        <x:f>MAX(2,ROUNDUP('損益分岐設定'!C40*AJ212/('損益分岐設定'!$B$23*'損益分岐設定'!$B$24*3600*'損益分岐設定'!$B$25),0))</x:f>
        <x:v>2</x:v>
      </x:c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 ht="23" customHeight="1">
      <x:c r="A213" s="1" t="str">
        <x:v>Hybrid</x:v>
      </x:c>
      <x:c r="B213" s="1" t="str">
        <x:v>Business</x:v>
      </x:c>
      <x:c r="C213" s="1" t="str">
        <x:v>低位</x:v>
      </x:c>
      <x:c r="D213" s="21" t="n">
        <x:v>0.5</x:v>
      </x:c>
      <x:c r="E213" s="1" t="n">
        <x:v>0</x:v>
      </x:c>
      <x:c r="F213" s="7" t="n">
        <x:f>AD213*'損益分岐設定'!$B$5+AE213*'損益分岐設定'!$B$6+AF213*'損益分岐設定'!$B$7</x:f>
        <x:v>5000</x:v>
      </x:c>
      <x:c r="G213" s="7" t="n">
        <x:f>AG213+(AH213+AI213)*('損益分岐設定'!$B$29+0.5*'損益分岐設定'!$B$30)+AK213*'損益分岐設定'!$B$33</x:f>
        <x:v>115.63136067223303</x:v>
      </x:c>
      <x:c r="H213" s="7" t="n">
        <x:f>AL213*E213</x:f>
        <x:v>0</x:v>
      </x:c>
      <x:c r="I213" s="7" t="n">
        <x:f>F213*(1-D213-'損益分岐設定'!$B$10)-G213-H213</x:f>
        <x:v>2204.368639327767</x:v>
      </x:c>
      <x:c r="J213" s="1" t="n">
        <x:f>IF(MIN(V213:Y213)&gt;1000,"範囲内なし",MIN(V213:Y213))</x:f>
        <x:v>23</x:v>
      </x:c>
      <x:c r="K213" s="1" t="n">
        <x:f>IF(MAX(Z213:AC213)&gt;=1000,"範囲内なし",MAX(1,MAX(Z213:AC213)+1))</x:f>
        <x:v>23</x:v>
      </x:c>
      <x:c r="L213" s="7" t="n">
        <x:f>10*I213-R213</x:f>
        <x:v>-13396.110297027644</x:v>
      </x:c>
      <x:c r="M213" s="7" t="n">
        <x:f>30*I213-S213</x:f>
        <x:v>15751.46579922238</x:v>
      </x:c>
      <x:c r="N213" s="7" t="n">
        <x:f>50*I213-S213</x:f>
        <x:v>59838.83858577772</x:v>
      </x:c>
      <x:c r="O213" s="7" t="n">
        <x:f>100*I213-S213</x:f>
        <x:v>170057.27055216607</x:v>
      </x:c>
      <x:c r="P213" s="7" t="n">
        <x:f>300*I213-T213</x:f>
        <x:v>588930.9984177195</x:v>
      </x:c>
      <x:c r="Q213" s="7" t="n">
        <x:f>1000*I213-U213</x:f>
        <x:v>2101989.045947157</x:v>
      </x:c>
      <x:c r="R213" s="7" t="n">
        <x:f>'損益分岐設定'!$B$18+'損益分岐設定'!$B$19+'損益分岐設定'!$B$20+'損益分岐設定'!E37+'損益分岐設定'!D37+AM213*('損益分岐設定'!$B$15+'損益分岐設定'!$B$16)+'損益分岐設定'!$B$17+E213*('損益分岐設定'!$B$13+(AM213-1)*'損益分岐設定'!$B$14)*'損益分岐設定'!$B$11</x:f>
        <x:v>35439.79669030532</x:v>
      </x:c>
      <x:c r="S213" s="7" t="n">
        <x:f>'損益分岐設定'!$B$18+'損益分岐設定'!$B$19+'損益分岐設定'!$B$20+'損益分岐設定'!E38+'損益分岐設定'!D38+AN213*('損益分岐設定'!$B$15+'損益分岐設定'!$B$16)+'損益分岐設定'!$B$17+E213*('損益分岐設定'!$B$13+(AN213-1)*'損益分岐設定'!$B$14)*'損益分岐設定'!$B$11</x:f>
        <x:v>50379.59338061063</x:v>
      </x:c>
      <x:c r="T213" s="7" t="n">
        <x:f>'損益分岐設定'!$B$18+'損益分岐設定'!$B$19+'損益分岐設定'!$B$20+'損益分岐設定'!E39+'損益分岐設定'!D39+AO213*('損益分岐設定'!$B$15+'損益分岐設定'!$B$16)+'損益分岐設定'!$B$17+E213*('損益分岐設定'!$B$13+(AO213-1)*'損益分岐設定'!$B$14)*'損益分岐設定'!$B$11</x:f>
        <x:v>72379.59338061063</x:v>
      </x:c>
      <x:c r="U213" s="7" t="n">
        <x:f>'損益分岐設定'!$B$18+'損益分岐設定'!$B$19+'損益分岐設定'!$B$20+'損益分岐設定'!E40+'損益分岐設定'!D40+AP213*('損益分岐設定'!$B$15+'損益分岐設定'!$B$16)+'損益分岐設定'!$B$17+E213*('損益分岐設定'!$B$13+(AP213-1)*'損益分岐設定'!$B$14)*'損益分岐設定'!$B$11</x:f>
        <x:v>102379.59338061063</x:v>
      </x:c>
      <x:c r="V213" s="1" t="n">
        <x:f>IF(I213&lt;=0,1001,IF(MAX('損益分岐設定'!B37,ROUNDUP(R213/I213,0))&lt;='損益分岐設定'!C37,MAX('損益分岐設定'!B37,ROUNDUP(R213/I213,0)),1001))</x:f>
        <x:v>1001</x:v>
      </x:c>
      <x:c r="W213" s="1" t="n">
        <x:f>IF(I213&lt;=0,1001,IF(MAX('損益分岐設定'!B38,ROUNDUP(S213/I213,0))&lt;='損益分岐設定'!C38,MAX('損益分岐設定'!B38,ROUNDUP(S213/I213,0)),1001))</x:f>
        <x:v>23</x:v>
      </x:c>
      <x:c r="X213" s="1" t="n">
        <x:f>IF(I213&lt;=0,1001,IF(MAX('損益分岐設定'!B39,ROUNDUP(T213/I213,0))&lt;='損益分岐設定'!C39,MAX('損益分岐設定'!B39,ROUNDUP(T213/I213,0)),1001))</x:f>
        <x:v>101</x:v>
      </x:c>
      <x:c r="Y213" s="1" t="n">
        <x:f>IF(I213&lt;=0,1001,IF(MAX('損益分岐設定'!B40,ROUNDUP(U213/I213,0))&lt;='損益分岐設定'!C40,MAX('損益分岐設定'!B40,ROUNDUP(U213/I213,0)),1001))</x:f>
        <x:v>501</x:v>
      </x:c>
      <x:c r="Z213" s="1" t="n">
        <x:f>IF(I213&lt;=0,'損益分岐設定'!C37,IF('損益分岐設定'!C37*I213-R213&lt;0,'損益分岐設定'!C37,IF('損益分岐設定'!B37*I213-R213&gt;=0,0,ROUNDUP(R213/I213,0)-1)))</x:f>
        <x:v>10</x:v>
      </x:c>
      <x:c r="AA213" s="1" t="n">
        <x:f>IF(I213&lt;=0,'損益分岐設定'!C38,IF('損益分岐設定'!C38*I213-S213&lt;0,'損益分岐設定'!C38,IF('損益分岐設定'!B38*I213-S213&gt;=0,0,ROUNDUP(S213/I213,0)-1)))</x:f>
        <x:v>22</x:v>
      </x:c>
      <x:c r="AB213" s="1" t="n">
        <x:f>IF(I213&lt;=0,'損益分岐設定'!C39,IF('損益分岐設定'!C39*I213-T213&lt;0,'損益分岐設定'!C39,IF('損益分岐設定'!B39*I213-T213&gt;=0,0,ROUNDUP(T213/I213,0)-1)))</x:f>
        <x:v>0</x:v>
      </x:c>
      <x:c r="AC213" s="1" t="n">
        <x:f>IF(I213&lt;=0,'損益分岐設定'!C40,IF('損益分岐設定'!C40*I213-U213&lt;0,'損益分岐設定'!C40,IF('損益分岐設定'!B40*I213-U213&gt;=0,0,ROUNDUP(U213/I213,0)-1)))</x:f>
        <x:v>0</x:v>
      </x:c>
      <x:c r="AD213" s="1" t="n">
        <x:v>0</x:v>
      </x:c>
      <x:c r="AE213" s="1" t="n">
        <x:v>1</x:v>
      </x:c>
      <x:c r="AF213" s="1" t="n">
        <x:v>0</x:v>
      </x:c>
      <x:c r="AG213" s="1" t="n">
        <x:f>AD213*'損益分岐設定'!$C$56+AE213*'損益分岐設定'!$C$59+AF213*'損益分岐設定'!$C$62</x:f>
        <x:v>115.42604943847657</x:v>
      </x:c>
      <x:c r="AH213" s="1" t="n">
        <x:f>AD213*'損益分岐設定'!$D$56+AE213*'損益分岐設定'!$D$59+AF213*'損益分岐設定'!$D$62</x:f>
        <x:v>30</x:v>
      </x:c>
      <x:c r="AI213" s="1" t="n">
        <x:f>AD213*'損益分岐設定'!$E$56+AE213*'損益分岐設定'!$E$59+AF213*'損益分岐設定'!$E$62</x:f>
        <x:v>20</x:v>
      </x:c>
      <x:c r="AJ213" s="1" t="n">
        <x:f>(AD213*'損益分岐設定'!$F$56+AE213*'損益分岐設定'!$F$59+AF213*'損益分岐設定'!$F$62*1)*'損益分岐設定'!$B$22</x:f>
        <x:v>30</x:v>
      </x:c>
      <x:c r="AK213" s="1" t="n">
        <x:f>AD213*'損益分岐設定'!$G$56+AE213*'損益分岐設定'!$G$59+AF213*'損益分岐設定'!$G$62</x:f>
        <x:v>100</x:v>
      </x:c>
      <x:c r="AL213" s="1" t="n">
        <x:f>AD213*'損益分岐設定'!$H$56+AE213*'損益分岐設定'!$H$59+AF213*'損益分岐設定'!$H$62</x:f>
        <x:v>333.3333333333333</x:v>
      </x:c>
      <x:c r="AM213" s="1" t="n">
        <x:f>MAX(1,ROUNDUP('損益分岐設定'!C37*AJ213/('損益分岐設定'!$B$23*'損益分岐設定'!$B$24*3600*'損益分岐設定'!$B$25),0))</x:f>
        <x:v>1</x:v>
      </x:c>
      <x:c r="AN213" s="1" t="n">
        <x:f>MAX(2,ROUNDUP('損益分岐設定'!C38*AJ213/('損益分岐設定'!$B$23*'損益分岐設定'!$B$24*3600*'損益分岐設定'!$B$25),0))</x:f>
        <x:v>2</x:v>
      </x:c>
      <x:c r="AO213" s="1" t="n">
        <x:f>MAX(2,ROUNDUP('損益分岐設定'!C39*AJ213/('損益分岐設定'!$B$23*'損益分岐設定'!$B$24*3600*'損益分岐設定'!$B$25),0))</x:f>
        <x:v>2</x:v>
      </x:c>
      <x:c r="AP213" s="1" t="n">
        <x:f>MAX(2,ROUNDUP('損益分岐設定'!C40*AJ213/('損益分岐設定'!$B$23*'損益分岐設定'!$B$24*3600*'損益分岐設定'!$B$25),0))</x:f>
        <x:v>2</x:v>
      </x:c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 ht="23" customHeight="1">
      <x:c r="A214" s="1" t="str">
        <x:v>Hybrid</x:v>
      </x:c>
      <x:c r="B214" s="1" t="str">
        <x:v>Business</x:v>
      </x:c>
      <x:c r="C214" s="1" t="str">
        <x:v>低位</x:v>
      </x:c>
      <x:c r="D214" s="21" t="n">
        <x:v>0.5</x:v>
      </x:c>
      <x:c r="E214" s="1" t="n">
        <x:v>1</x:v>
      </x:c>
      <x:c r="F214" s="7" t="n">
        <x:f>AD214*'損益分岐設定'!$B$5+AE214*'損益分岐設定'!$B$6+AF214*'損益分岐設定'!$B$7</x:f>
        <x:v>5000</x:v>
      </x:c>
      <x:c r="G214" s="7" t="n">
        <x:f>AG214+(AH214+AI214)*('損益分岐設定'!$B$29+0.5*'損益分岐設定'!$B$30)+AK214*'損益分岐設定'!$B$33</x:f>
        <x:v>115.63136067223303</x:v>
      </x:c>
      <x:c r="H214" s="7" t="n">
        <x:f>AL214*E214</x:f>
        <x:v>333.3333333333333</x:v>
      </x:c>
      <x:c r="I214" s="7" t="n">
        <x:f>F214*(1-D214-'損益分岐設定'!$B$10)-G214-H214</x:f>
        <x:v>1871.0353059944339</x:v>
      </x:c>
      <x:c r="J214" s="1" t="n">
        <x:f>IF(MIN(V214:Y214)&gt;1000,"範囲内なし",MIN(V214:Y214))</x:f>
        <x:v>37</x:v>
      </x:c>
      <x:c r="K214" s="1" t="n">
        <x:f>IF(MAX(Z214:AC214)&gt;=1000,"範囲内なし",MAX(1,MAX(Z214:AC214)+1))</x:f>
        <x:v>37</x:v>
      </x:c>
      <x:c r="L214" s="7" t="n">
        <x:f>10*I214-R214</x:f>
        <x:v>-32729.443630360976</x:v>
      </x:c>
      <x:c r="M214" s="7" t="n">
        <x:f>30*I214-S214</x:f>
        <x:v>-12248.53420077762</x:v>
      </x:c>
      <x:c r="N214" s="7" t="n">
        <x:f>50*I214-S214</x:f>
        <x:v>25172.17191911106</x:v>
      </x:c>
      <x:c r="O214" s="7" t="n">
        <x:f>100*I214-S214</x:f>
        <x:v>118723.93721883275</x:v>
      </x:c>
      <x:c r="P214" s="7" t="n">
        <x:f>300*I214-T214</x:f>
        <x:v>470930.99841771956</x:v>
      </x:c>
      <x:c r="Q214" s="7" t="n">
        <x:f>1000*I214-U214</x:f>
        <x:v>1750655.7126138231</x:v>
      </x:c>
      <x:c r="R214" s="7" t="n">
        <x:f>'損益分岐設定'!$B$18+'損益分岐設定'!$B$19+'損益分岐設定'!$B$20+'損益分岐設定'!E37+'損益分岐設定'!D37+AM214*('損益分岐設定'!$B$15+'損益分岐設定'!$B$16)+'損益分岐設定'!$B$17+E214*('損益分岐設定'!$B$13+(AM214-1)*'損益分岐設定'!$B$14)*'損益分岐設定'!$B$11</x:f>
        <x:v>51439.79669030532</x:v>
      </x:c>
      <x:c r="S214" s="7" t="n">
        <x:f>'損益分岐設定'!$B$18+'損益分岐設定'!$B$19+'損益分岐設定'!$B$20+'損益分岐設定'!E38+'損益分岐設定'!D38+AN214*('損益分岐設定'!$B$15+'損益分岐設定'!$B$16)+'損益分岐設定'!$B$17+E214*('損益分岐設定'!$B$13+(AN214-1)*'損益分岐設定'!$B$14)*'損益分岐設定'!$B$11</x:f>
        <x:v>68379.59338061063</x:v>
      </x:c>
      <x:c r="T214" s="7" t="n">
        <x:f>'損益分岐設定'!$B$18+'損益分岐設定'!$B$19+'損益分岐設定'!$B$20+'損益分岐設定'!E39+'損益分岐設定'!D39+AO214*('損益分岐設定'!$B$15+'損益分岐設定'!$B$16)+'損益分岐設定'!$B$17+E214*('損益分岐設定'!$B$13+(AO214-1)*'損益分岐設定'!$B$14)*'損益分岐設定'!$B$11</x:f>
        <x:v>90379.59338061063</x:v>
      </x:c>
      <x:c r="U214" s="7" t="n">
        <x:f>'損益分岐設定'!$B$18+'損益分岐設定'!$B$19+'損益分岐設定'!$B$20+'損益分岐設定'!E40+'損益分岐設定'!D40+AP214*('損益分岐設定'!$B$15+'損益分岐設定'!$B$16)+'損益分岐設定'!$B$17+E214*('損益分岐設定'!$B$13+(AP214-1)*'損益分岐設定'!$B$14)*'損益分岐設定'!$B$11</x:f>
        <x:v>120379.59338061063</x:v>
      </x:c>
      <x:c r="V214" s="1" t="n">
        <x:f>IF(I214&lt;=0,1001,IF(MAX('損益分岐設定'!B37,ROUNDUP(R214/I214,0))&lt;='損益分岐設定'!C37,MAX('損益分岐設定'!B37,ROUNDUP(R214/I214,0)),1001))</x:f>
        <x:v>1001</x:v>
      </x:c>
      <x:c r="W214" s="1" t="n">
        <x:f>IF(I214&lt;=0,1001,IF(MAX('損益分岐設定'!B38,ROUNDUP(S214/I214,0))&lt;='損益分岐設定'!C38,MAX('損益分岐設定'!B38,ROUNDUP(S214/I214,0)),1001))</x:f>
        <x:v>37</x:v>
      </x:c>
      <x:c r="X214" s="1" t="n">
        <x:f>IF(I214&lt;=0,1001,IF(MAX('損益分岐設定'!B39,ROUNDUP(T214/I214,0))&lt;='損益分岐設定'!C39,MAX('損益分岐設定'!B39,ROUNDUP(T214/I214,0)),1001))</x:f>
        <x:v>101</x:v>
      </x:c>
      <x:c r="Y214" s="1" t="n">
        <x:f>IF(I214&lt;=0,1001,IF(MAX('損益分岐設定'!B40,ROUNDUP(U214/I214,0))&lt;='損益分岐設定'!C40,MAX('損益分岐設定'!B40,ROUNDUP(U214/I214,0)),1001))</x:f>
        <x:v>501</x:v>
      </x:c>
      <x:c r="Z214" s="1" t="n">
        <x:f>IF(I214&lt;=0,'損益分岐設定'!C37,IF('損益分岐設定'!C37*I214-R214&lt;0,'損益分岐設定'!C37,IF('損益分岐設定'!B37*I214-R214&gt;=0,0,ROUNDUP(R214/I214,0)-1)))</x:f>
        <x:v>10</x:v>
      </x:c>
      <x:c r="AA214" s="1" t="n">
        <x:f>IF(I214&lt;=0,'損益分岐設定'!C38,IF('損益分岐設定'!C38*I214-S214&lt;0,'損益分岐設定'!C38,IF('損益分岐設定'!B38*I214-S214&gt;=0,0,ROUNDUP(S214/I214,0)-1)))</x:f>
        <x:v>36</x:v>
      </x:c>
      <x:c r="AB214" s="1" t="n">
        <x:f>IF(I214&lt;=0,'損益分岐設定'!C39,IF('損益分岐設定'!C39*I214-T214&lt;0,'損益分岐設定'!C39,IF('損益分岐設定'!B39*I214-T214&gt;=0,0,ROUNDUP(T214/I214,0)-1)))</x:f>
        <x:v>0</x:v>
      </x:c>
      <x:c r="AC214" s="1" t="n">
        <x:f>IF(I214&lt;=0,'損益分岐設定'!C40,IF('損益分岐設定'!C40*I214-U214&lt;0,'損益分岐設定'!C40,IF('損益分岐設定'!B40*I214-U214&gt;=0,0,ROUNDUP(U214/I214,0)-1)))</x:f>
        <x:v>0</x:v>
      </x:c>
      <x:c r="AD214" s="1" t="n">
        <x:v>0</x:v>
      </x:c>
      <x:c r="AE214" s="1" t="n">
        <x:v>1</x:v>
      </x:c>
      <x:c r="AF214" s="1" t="n">
        <x:v>0</x:v>
      </x:c>
      <x:c r="AG214" s="1" t="n">
        <x:f>AD214*'損益分岐設定'!$C$56+AE214*'損益分岐設定'!$C$59+AF214*'損益分岐設定'!$C$62</x:f>
        <x:v>115.42604943847657</x:v>
      </x:c>
      <x:c r="AH214" s="1" t="n">
        <x:f>AD214*'損益分岐設定'!$D$56+AE214*'損益分岐設定'!$D$59+AF214*'損益分岐設定'!$D$62</x:f>
        <x:v>30</x:v>
      </x:c>
      <x:c r="AI214" s="1" t="n">
        <x:f>AD214*'損益分岐設定'!$E$56+AE214*'損益分岐設定'!$E$59+AF214*'損益分岐設定'!$E$62</x:f>
        <x:v>20</x:v>
      </x:c>
      <x:c r="AJ214" s="1" t="n">
        <x:f>(AD214*'損益分岐設定'!$F$56+AE214*'損益分岐設定'!$F$59+AF214*'損益分岐設定'!$F$62*1)*'損益分岐設定'!$B$22</x:f>
        <x:v>30</x:v>
      </x:c>
      <x:c r="AK214" s="1" t="n">
        <x:f>AD214*'損益分岐設定'!$G$56+AE214*'損益分岐設定'!$G$59+AF214*'損益分岐設定'!$G$62</x:f>
        <x:v>100</x:v>
      </x:c>
      <x:c r="AL214" s="1" t="n">
        <x:f>AD214*'損益分岐設定'!$H$56+AE214*'損益分岐設定'!$H$59+AF214*'損益分岐設定'!$H$62</x:f>
        <x:v>333.3333333333333</x:v>
      </x:c>
      <x:c r="AM214" s="1" t="n">
        <x:f>MAX(1,ROUNDUP('損益分岐設定'!C37*AJ214/('損益分岐設定'!$B$23*'損益分岐設定'!$B$24*3600*'損益分岐設定'!$B$25),0))</x:f>
        <x:v>1</x:v>
      </x:c>
      <x:c r="AN214" s="1" t="n">
        <x:f>MAX(2,ROUNDUP('損益分岐設定'!C38*AJ214/('損益分岐設定'!$B$23*'損益分岐設定'!$B$24*3600*'損益分岐設定'!$B$25),0))</x:f>
        <x:v>2</x:v>
      </x:c>
      <x:c r="AO214" s="1" t="n">
        <x:f>MAX(2,ROUNDUP('損益分岐設定'!C39*AJ214/('損益分岐設定'!$B$23*'損益分岐設定'!$B$24*3600*'損益分岐設定'!$B$25),0))</x:f>
        <x:v>2</x:v>
      </x:c>
      <x:c r="AP214" s="1" t="n">
        <x:f>MAX(2,ROUNDUP('損益分岐設定'!C40*AJ214/('損益分岐設定'!$B$23*'損益分岐設定'!$B$24*3600*'損益分岐設定'!$B$25),0))</x:f>
        <x:v>2</x:v>
      </x:c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 ht="23" customHeight="1">
      <x:c r="A215" s="1" t="str">
        <x:v>Hybrid</x:v>
      </x:c>
      <x:c r="B215" s="1" t="str">
        <x:v>Business</x:v>
      </x:c>
      <x:c r="C215" s="1" t="str">
        <x:v>標準</x:v>
      </x:c>
      <x:c r="D215" s="21" t="n">
        <x:v>0</x:v>
      </x:c>
      <x:c r="E215" s="1" t="n">
        <x:v>0</x:v>
      </x:c>
      <x:c r="F215" s="7" t="n">
        <x:f>AD215*'損益分岐設定'!$B$5+AE215*'損益分岐設定'!$B$6+AF215*'損益分岐設定'!$B$7</x:f>
        <x:v>5000</x:v>
      </x:c>
      <x:c r="G215" s="7" t="n">
        <x:f>AG215+(AH215+AI215)*('損益分岐設定'!$B$29+0.5*'損益分岐設定'!$B$30)+AK215*'損益分岐設定'!$B$33</x:f>
        <x:v>442.5736429546238</x:v>
      </x:c>
      <x:c r="H215" s="7" t="n">
        <x:f>AL215*E215</x:f>
        <x:v>0</x:v>
      </x:c>
      <x:c r="I215" s="7" t="n">
        <x:f>F215*(1-D215-'損益分岐設定'!$B$10)-G215-H215</x:f>
        <x:v>4377.426357045376</x:v>
      </x:c>
      <x:c r="J215" s="1" t="n">
        <x:f>IF(MIN(V215:Y215)&gt;1000,"範囲内なし",MIN(V215:Y215))</x:f>
        <x:v>9</x:v>
      </x:c>
      <x:c r="K215" s="1" t="n">
        <x:f>IF(MAX(Z215:AC215)&gt;=1000,"範囲内なし",MAX(1,MAX(Z215:AC215)+1))</x:f>
        <x:v>12</x:v>
      </x:c>
      <x:c r="L215" s="7" t="n">
        <x:f>10*I215-R215</x:f>
        <x:v>8334.466880148444</x:v>
      </x:c>
      <x:c r="M215" s="7" t="n">
        <x:f>30*I215-S215</x:f>
        <x:v>80943.19733075064</x:v>
      </x:c>
      <x:c r="N215" s="7" t="n">
        <x:f>50*I215-S215</x:f>
        <x:v>168491.72447165815</x:v>
      </x:c>
      <x:c r="O215" s="7" t="n">
        <x:f>100*I215-S215</x:f>
        <x:v>387363.04232392693</x:v>
      </x:c>
      <x:c r="P215" s="7" t="n">
        <x:f>300*I215-T215</x:f>
        <x:v>1240848.3137330022</x:v>
      </x:c>
      <x:c r="Q215" s="7" t="n">
        <x:f>1000*I215-U215</x:f>
        <x:v>4275046.763664765</x:v>
      </x:c>
      <x:c r="R215" s="7" t="n">
        <x:f>'損益分岐設定'!$B$18+'損益分岐設定'!$B$19+'損益分岐設定'!$B$20+'損益分岐設定'!E37+'損益分岐設定'!D37+AM215*('損益分岐設定'!$B$15+'損益分岐設定'!$B$16)+'損益分岐設定'!$B$17+E215*('損益分岐設定'!$B$13+(AM215-1)*'損益分岐設定'!$B$14)*'損益分岐設定'!$B$11</x:f>
        <x:v>35439.79669030532</x:v>
      </x:c>
      <x:c r="S215" s="7" t="n">
        <x:f>'損益分岐設定'!$B$18+'損益分岐設定'!$B$19+'損益分岐設定'!$B$20+'損益分岐設定'!E38+'損益分岐設定'!D38+AN215*('損益分岐設定'!$B$15+'損益分岐設定'!$B$16)+'損益分岐設定'!$B$17+E215*('損益分岐設定'!$B$13+(AN215-1)*'損益分岐設定'!$B$14)*'損益分岐設定'!$B$11</x:f>
        <x:v>50379.59338061063</x:v>
      </x:c>
      <x:c r="T215" s="7" t="n">
        <x:f>'損益分岐設定'!$B$18+'損益分岐設定'!$B$19+'損益分岐設定'!$B$20+'損益分岐設定'!E39+'損益分岐設定'!D39+AO215*('損益分岐設定'!$B$15+'損益分岐設定'!$B$16)+'損益分岐設定'!$B$17+E215*('損益分岐設定'!$B$13+(AO215-1)*'損益分岐設定'!$B$14)*'損益分岐設定'!$B$11</x:f>
        <x:v>72379.59338061063</x:v>
      </x:c>
      <x:c r="U215" s="7" t="n">
        <x:f>'損益分岐設定'!$B$18+'損益分岐設定'!$B$19+'損益分岐設定'!$B$20+'損益分岐設定'!E40+'損益分岐設定'!D40+AP215*('損益分岐設定'!$B$15+'損益分岐設定'!$B$16)+'損益分岐設定'!$B$17+E215*('損益分岐設定'!$B$13+(AP215-1)*'損益分岐設定'!$B$14)*'損益分岐設定'!$B$11</x:f>
        <x:v>102379.59338061063</x:v>
      </x:c>
      <x:c r="V215" s="1" t="n">
        <x:f>IF(I215&lt;=0,1001,IF(MAX('損益分岐設定'!B37,ROUNDUP(R215/I215,0))&lt;='損益分岐設定'!C37,MAX('損益分岐設定'!B37,ROUNDUP(R215/I215,0)),1001))</x:f>
        <x:v>9</x:v>
      </x:c>
      <x:c r="W215" s="1" t="n">
        <x:f>IF(I215&lt;=0,1001,IF(MAX('損益分岐設定'!B38,ROUNDUP(S215/I215,0))&lt;='損益分岐設定'!C38,MAX('損益分岐設定'!B38,ROUNDUP(S215/I215,0)),1001))</x:f>
        <x:v>12</x:v>
      </x:c>
      <x:c r="X215" s="1" t="n">
        <x:f>IF(I215&lt;=0,1001,IF(MAX('損益分岐設定'!B39,ROUNDUP(T215/I215,0))&lt;='損益分岐設定'!C39,MAX('損益分岐設定'!B39,ROUNDUP(T215/I215,0)),1001))</x:f>
        <x:v>101</x:v>
      </x:c>
      <x:c r="Y215" s="1" t="n">
        <x:f>IF(I215&lt;=0,1001,IF(MAX('損益分岐設定'!B40,ROUNDUP(U215/I215,0))&lt;='損益分岐設定'!C40,MAX('損益分岐設定'!B40,ROUNDUP(U215/I215,0)),1001))</x:f>
        <x:v>501</x:v>
      </x:c>
      <x:c r="Z215" s="1" t="n">
        <x:f>IF(I215&lt;=0,'損益分岐設定'!C37,IF('損益分岐設定'!C37*I215-R215&lt;0,'損益分岐設定'!C37,IF('損益分岐設定'!B37*I215-R215&gt;=0,0,ROUNDUP(R215/I215,0)-1)))</x:f>
        <x:v>8</x:v>
      </x:c>
      <x:c r="AA215" s="1" t="n">
        <x:f>IF(I215&lt;=0,'損益分岐設定'!C38,IF('損益分岐設定'!C38*I215-S215&lt;0,'損益分岐設定'!C38,IF('損益分岐設定'!B38*I215-S215&gt;=0,0,ROUNDUP(S215/I215,0)-1)))</x:f>
        <x:v>11</x:v>
      </x:c>
      <x:c r="AB215" s="1" t="n">
        <x:f>IF(I215&lt;=0,'損益分岐設定'!C39,IF('損益分岐設定'!C39*I215-T215&lt;0,'損益分岐設定'!C39,IF('損益分岐設定'!B39*I215-T215&gt;=0,0,ROUNDUP(T215/I215,0)-1)))</x:f>
        <x:v>0</x:v>
      </x:c>
      <x:c r="AC215" s="1" t="n">
        <x:f>IF(I215&lt;=0,'損益分岐設定'!C40,IF('損益分岐設定'!C40*I215-U215&lt;0,'損益分岐設定'!C40,IF('損益分岐設定'!B40*I215-U215&gt;=0,0,ROUNDUP(U215/I215,0)-1)))</x:f>
        <x:v>0</x:v>
      </x:c>
      <x:c r="AD215" s="1" t="n">
        <x:v>0</x:v>
      </x:c>
      <x:c r="AE215" s="1" t="n">
        <x:v>1</x:v>
      </x:c>
      <x:c r="AF215" s="1" t="n">
        <x:v>0</x:v>
      </x:c>
      <x:c r="AG215" s="1" t="n">
        <x:f>AD215*'損益分岐設定'!$C$57+AE215*'損益分岐設定'!$C$60+AF215*'損益分岐設定'!$C$63</x:f>
        <x:v>441.58457275390623</x:v>
      </x:c>
      <x:c r="AH215" s="1" t="n">
        <x:f>AD215*'損益分岐設定'!$D$57+AE215*'損益分岐設定'!$D$60+AF215*'損益分岐設定'!$D$63</x:f>
        <x:v>120</x:v>
      </x:c>
      <x:c r="AI215" s="1" t="n">
        <x:f>AD215*'損益分岐設定'!$E$57+AE215*'損益分岐設定'!$E$60+AF215*'損益分岐設定'!$E$63</x:f>
        <x:v>120</x:v>
      </x:c>
      <x:c r="AJ215" s="1" t="n">
        <x:f>(AD215*'損益分岐設定'!$F$57+AE215*'損益分岐設定'!$F$60+AF215*'損益分岐設定'!$F$63*1)*'損益分岐設定'!$B$22</x:f>
        <x:v>480</x:v>
      </x:c>
      <x:c r="AK215" s="1" t="n">
        <x:f>AD215*'損益分岐設定'!$G$57+AE215*'損益分岐設定'!$G$60+AF215*'損益分岐設定'!$G$63</x:f>
        <x:v>800</x:v>
      </x:c>
      <x:c r="AL215" s="1" t="n">
        <x:f>AD215*'損益分岐設定'!$H$57+AE215*'損益分岐設定'!$H$60+AF215*'損益分岐設定'!$H$63</x:f>
        <x:v>666.6666666666666</x:v>
      </x:c>
      <x:c r="AM215" s="1" t="n">
        <x:f>MAX(1,ROUNDUP('損益分岐設定'!C37*AJ215/('損益分岐設定'!$B$23*'損益分岐設定'!$B$24*3600*'損益分岐設定'!$B$25),0))</x:f>
        <x:v>1</x:v>
      </x:c>
      <x:c r="AN215" s="1" t="n">
        <x:f>MAX(2,ROUNDUP('損益分岐設定'!C38*AJ215/('損益分岐設定'!$B$23*'損益分岐設定'!$B$24*3600*'損益分岐設定'!$B$25),0))</x:f>
        <x:v>2</x:v>
      </x:c>
      <x:c r="AO215" s="1" t="n">
        <x:f>MAX(2,ROUNDUP('損益分岐設定'!C39*AJ215/('損益分岐設定'!$B$23*'損益分岐設定'!$B$24*3600*'損益分岐設定'!$B$25),0))</x:f>
        <x:v>2</x:v>
      </x:c>
      <x:c r="AP215" s="1" t="n">
        <x:f>MAX(2,ROUNDUP('損益分岐設定'!C40*AJ215/('損益分岐設定'!$B$23*'損益分岐設定'!$B$24*3600*'損益分岐設定'!$B$25),0))</x:f>
        <x:v>2</x:v>
      </x:c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 ht="23" customHeight="1">
      <x:c r="A216" s="1" t="str">
        <x:v>Hybrid</x:v>
      </x:c>
      <x:c r="B216" s="1" t="str">
        <x:v>Business</x:v>
      </x:c>
      <x:c r="C216" s="1" t="str">
        <x:v>標準</x:v>
      </x:c>
      <x:c r="D216" s="21" t="n">
        <x:v>0</x:v>
      </x:c>
      <x:c r="E216" s="1" t="n">
        <x:v>1</x:v>
      </x:c>
      <x:c r="F216" s="7" t="n">
        <x:f>AD216*'損益分岐設定'!$B$5+AE216*'損益分岐設定'!$B$6+AF216*'損益分岐設定'!$B$7</x:f>
        <x:v>5000</x:v>
      </x:c>
      <x:c r="G216" s="7" t="n">
        <x:f>AG216+(AH216+AI216)*('損益分岐設定'!$B$29+0.5*'損益分岐設定'!$B$30)+AK216*'損益分岐設定'!$B$33</x:f>
        <x:v>442.5736429546238</x:v>
      </x:c>
      <x:c r="H216" s="7" t="n">
        <x:f>AL216*E216</x:f>
        <x:v>666.6666666666666</x:v>
      </x:c>
      <x:c r="I216" s="7" t="n">
        <x:f>F216*(1-D216-'損益分岐設定'!$B$10)-G216-H216</x:f>
        <x:v>3710.7596903787094</x:v>
      </x:c>
      <x:c r="J216" s="1" t="n">
        <x:f>IF(MIN(V216:Y216)&gt;1000,"範囲内なし",MIN(V216:Y216))</x:f>
        <x:v>19</x:v>
      </x:c>
      <x:c r="K216" s="1" t="n">
        <x:f>IF(MAX(Z216:AC216)&gt;=1000,"範囲内なし",MAX(1,MAX(Z216:AC216)+1))</x:f>
        <x:v>19</x:v>
      </x:c>
      <x:c r="L216" s="7" t="n">
        <x:f>10*I216-R216</x:f>
        <x:v>-14332.19978651822</x:v>
      </x:c>
      <x:c r="M216" s="7" t="n">
        <x:f>30*I216-S216</x:f>
        <x:v>42943.19733075064</x:v>
      </x:c>
      <x:c r="N216" s="7" t="n">
        <x:f>50*I216-S216</x:f>
        <x:v>117158.39113832483</x:v>
      </x:c>
      <x:c r="O216" s="7" t="n">
        <x:f>100*I216-S216</x:f>
        <x:v>302696.3756572603</x:v>
      </x:c>
      <x:c r="P216" s="7" t="n">
        <x:f>300*I216-T216</x:f>
        <x:v>1022848.3137330022</x:v>
      </x:c>
      <x:c r="Q216" s="7" t="n">
        <x:f>1000*I216-U216</x:f>
        <x:v>3590380.096998099</x:v>
      </x:c>
      <x:c r="R216" s="7" t="n">
        <x:f>'損益分岐設定'!$B$18+'損益分岐設定'!$B$19+'損益分岐設定'!$B$20+'損益分岐設定'!E37+'損益分岐設定'!D37+AM216*('損益分岐設定'!$B$15+'損益分岐設定'!$B$16)+'損益分岐設定'!$B$17+E216*('損益分岐設定'!$B$13+(AM216-1)*'損益分岐設定'!$B$14)*'損益分岐設定'!$B$11</x:f>
        <x:v>51439.79669030532</x:v>
      </x:c>
      <x:c r="S216" s="7" t="n">
        <x:f>'損益分岐設定'!$B$18+'損益分岐設定'!$B$19+'損益分岐設定'!$B$20+'損益分岐設定'!E38+'損益分岐設定'!D38+AN216*('損益分岐設定'!$B$15+'損益分岐設定'!$B$16)+'損益分岐設定'!$B$17+E216*('損益分岐設定'!$B$13+(AN216-1)*'損益分岐設定'!$B$14)*'損益分岐設定'!$B$11</x:f>
        <x:v>68379.59338061063</x:v>
      </x:c>
      <x:c r="T216" s="7" t="n">
        <x:f>'損益分岐設定'!$B$18+'損益分岐設定'!$B$19+'損益分岐設定'!$B$20+'損益分岐設定'!E39+'損益分岐設定'!D39+AO216*('損益分岐設定'!$B$15+'損益分岐設定'!$B$16)+'損益分岐設定'!$B$17+E216*('損益分岐設定'!$B$13+(AO216-1)*'損益分岐設定'!$B$14)*'損益分岐設定'!$B$11</x:f>
        <x:v>90379.59338061063</x:v>
      </x:c>
      <x:c r="U216" s="7" t="n">
        <x:f>'損益分岐設定'!$B$18+'損益分岐設定'!$B$19+'損益分岐設定'!$B$20+'損益分岐設定'!E40+'損益分岐設定'!D40+AP216*('損益分岐設定'!$B$15+'損益分岐設定'!$B$16)+'損益分岐設定'!$B$17+E216*('損益分岐設定'!$B$13+(AP216-1)*'損益分岐設定'!$B$14)*'損益分岐設定'!$B$11</x:f>
        <x:v>120379.59338061063</x:v>
      </x:c>
      <x:c r="V216" s="1" t="n">
        <x:f>IF(I216&lt;=0,1001,IF(MAX('損益分岐設定'!B37,ROUNDUP(R216/I216,0))&lt;='損益分岐設定'!C37,MAX('損益分岐設定'!B37,ROUNDUP(R216/I216,0)),1001))</x:f>
        <x:v>1001</x:v>
      </x:c>
      <x:c r="W216" s="1" t="n">
        <x:f>IF(I216&lt;=0,1001,IF(MAX('損益分岐設定'!B38,ROUNDUP(S216/I216,0))&lt;='損益分岐設定'!C38,MAX('損益分岐設定'!B38,ROUNDUP(S216/I216,0)),1001))</x:f>
        <x:v>19</x:v>
      </x:c>
      <x:c r="X216" s="1" t="n">
        <x:f>IF(I216&lt;=0,1001,IF(MAX('損益分岐設定'!B39,ROUNDUP(T216/I216,0))&lt;='損益分岐設定'!C39,MAX('損益分岐設定'!B39,ROUNDUP(T216/I216,0)),1001))</x:f>
        <x:v>101</x:v>
      </x:c>
      <x:c r="Y216" s="1" t="n">
        <x:f>IF(I216&lt;=0,1001,IF(MAX('損益分岐設定'!B40,ROUNDUP(U216/I216,0))&lt;='損益分岐設定'!C40,MAX('損益分岐設定'!B40,ROUNDUP(U216/I216,0)),1001))</x:f>
        <x:v>501</x:v>
      </x:c>
      <x:c r="Z216" s="1" t="n">
        <x:f>IF(I216&lt;=0,'損益分岐設定'!C37,IF('損益分岐設定'!C37*I216-R216&lt;0,'損益分岐設定'!C37,IF('損益分岐設定'!B37*I216-R216&gt;=0,0,ROUNDUP(R216/I216,0)-1)))</x:f>
        <x:v>10</x:v>
      </x:c>
      <x:c r="AA216" s="1" t="n">
        <x:f>IF(I216&lt;=0,'損益分岐設定'!C38,IF('損益分岐設定'!C38*I216-S216&lt;0,'損益分岐設定'!C38,IF('損益分岐設定'!B38*I216-S216&gt;=0,0,ROUNDUP(S216/I216,0)-1)))</x:f>
        <x:v>18</x:v>
      </x:c>
      <x:c r="AB216" s="1" t="n">
        <x:f>IF(I216&lt;=0,'損益分岐設定'!C39,IF('損益分岐設定'!C39*I216-T216&lt;0,'損益分岐設定'!C39,IF('損益分岐設定'!B39*I216-T216&gt;=0,0,ROUNDUP(T216/I216,0)-1)))</x:f>
        <x:v>0</x:v>
      </x:c>
      <x:c r="AC216" s="1" t="n">
        <x:f>IF(I216&lt;=0,'損益分岐設定'!C40,IF('損益分岐設定'!C40*I216-U216&lt;0,'損益分岐設定'!C40,IF('損益分岐設定'!B40*I216-U216&gt;=0,0,ROUNDUP(U216/I216,0)-1)))</x:f>
        <x:v>0</x:v>
      </x:c>
      <x:c r="AD216" s="1" t="n">
        <x:v>0</x:v>
      </x:c>
      <x:c r="AE216" s="1" t="n">
        <x:v>1</x:v>
      </x:c>
      <x:c r="AF216" s="1" t="n">
        <x:v>0</x:v>
      </x:c>
      <x:c r="AG216" s="1" t="n">
        <x:f>AD216*'損益分岐設定'!$C$57+AE216*'損益分岐設定'!$C$60+AF216*'損益分岐設定'!$C$63</x:f>
        <x:v>441.58457275390623</x:v>
      </x:c>
      <x:c r="AH216" s="1" t="n">
        <x:f>AD216*'損益分岐設定'!$D$57+AE216*'損益分岐設定'!$D$60+AF216*'損益分岐設定'!$D$63</x:f>
        <x:v>120</x:v>
      </x:c>
      <x:c r="AI216" s="1" t="n">
        <x:f>AD216*'損益分岐設定'!$E$57+AE216*'損益分岐設定'!$E$60+AF216*'損益分岐設定'!$E$63</x:f>
        <x:v>120</x:v>
      </x:c>
      <x:c r="AJ216" s="1" t="n">
        <x:f>(AD216*'損益分岐設定'!$F$57+AE216*'損益分岐設定'!$F$60+AF216*'損益分岐設定'!$F$63*1)*'損益分岐設定'!$B$22</x:f>
        <x:v>480</x:v>
      </x:c>
      <x:c r="AK216" s="1" t="n">
        <x:f>AD216*'損益分岐設定'!$G$57+AE216*'損益分岐設定'!$G$60+AF216*'損益分岐設定'!$G$63</x:f>
        <x:v>800</x:v>
      </x:c>
      <x:c r="AL216" s="1" t="n">
        <x:f>AD216*'損益分岐設定'!$H$57+AE216*'損益分岐設定'!$H$60+AF216*'損益分岐設定'!$H$63</x:f>
        <x:v>666.6666666666666</x:v>
      </x:c>
      <x:c r="AM216" s="1" t="n">
        <x:f>MAX(1,ROUNDUP('損益分岐設定'!C37*AJ216/('損益分岐設定'!$B$23*'損益分岐設定'!$B$24*3600*'損益分岐設定'!$B$25),0))</x:f>
        <x:v>1</x:v>
      </x:c>
      <x:c r="AN216" s="1" t="n">
        <x:f>MAX(2,ROUNDUP('損益分岐設定'!C38*AJ216/('損益分岐設定'!$B$23*'損益分岐設定'!$B$24*3600*'損益分岐設定'!$B$25),0))</x:f>
        <x:v>2</x:v>
      </x:c>
      <x:c r="AO216" s="1" t="n">
        <x:f>MAX(2,ROUNDUP('損益分岐設定'!C39*AJ216/('損益分岐設定'!$B$23*'損益分岐設定'!$B$24*3600*'損益分岐設定'!$B$25),0))</x:f>
        <x:v>2</x:v>
      </x:c>
      <x:c r="AP216" s="1" t="n">
        <x:f>MAX(2,ROUNDUP('損益分岐設定'!C40*AJ216/('損益分岐設定'!$B$23*'損益分岐設定'!$B$24*3600*'損益分岐設定'!$B$25),0))</x:f>
        <x:v>2</x:v>
      </x:c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 ht="23" customHeight="1">
      <x:c r="A217" s="1" t="str">
        <x:v>Hybrid</x:v>
      </x:c>
      <x:c r="B217" s="1" t="str">
        <x:v>Business</x:v>
      </x:c>
      <x:c r="C217" s="1" t="str">
        <x:v>標準</x:v>
      </x:c>
      <x:c r="D217" s="21" t="n">
        <x:v>0.2</x:v>
      </x:c>
      <x:c r="E217" s="1" t="n">
        <x:v>0</x:v>
      </x:c>
      <x:c r="F217" s="7" t="n">
        <x:f>AD217*'損益分岐設定'!$B$5+AE217*'損益分岐設定'!$B$6+AF217*'損益分岐設定'!$B$7</x:f>
        <x:v>5000</x:v>
      </x:c>
      <x:c r="G217" s="7" t="n">
        <x:f>AG217+(AH217+AI217)*('損益分岐設定'!$B$29+0.5*'損益分岐設定'!$B$30)+AK217*'損益分岐設定'!$B$33</x:f>
        <x:v>442.5736429546238</x:v>
      </x:c>
      <x:c r="H217" s="7" t="n">
        <x:f>AL217*E217</x:f>
        <x:v>0</x:v>
      </x:c>
      <x:c r="I217" s="7" t="n">
        <x:f>F217*(1-D217-'損益分岐設定'!$B$10)-G217-H217</x:f>
        <x:v>3377.4263570453763</x:v>
      </x:c>
      <x:c r="J217" s="1" t="n">
        <x:f>IF(MIN(V217:Y217)&gt;1000,"範囲内なし",MIN(V217:Y217))</x:f>
        <x:v>15</x:v>
      </x:c>
      <x:c r="K217" s="1" t="n">
        <x:f>IF(MAX(Z217:AC217)&gt;=1000,"範囲内なし",MAX(1,MAX(Z217:AC217)+1))</x:f>
        <x:v>15</x:v>
      </x:c>
      <x:c r="L217" s="7" t="n">
        <x:f>10*I217-R217</x:f>
        <x:v>-1665.533119851556</x:v>
      </x:c>
      <x:c r="M217" s="7" t="n">
        <x:f>30*I217-S217</x:f>
        <x:v>50943.197330750656</x:v>
      </x:c>
      <x:c r="N217" s="7" t="n">
        <x:f>50*I217-S217</x:f>
        <x:v>118491.72447165818</x:v>
      </x:c>
      <x:c r="O217" s="7" t="n">
        <x:f>100*I217-S217</x:f>
        <x:v>287363.042323927</x:v>
      </x:c>
      <x:c r="P217" s="7" t="n">
        <x:f>300*I217-T217</x:f>
        <x:v>940848.3137330022</x:v>
      </x:c>
      <x:c r="Q217" s="7" t="n">
        <x:f>1000*I217-U217</x:f>
        <x:v>3275046.7636647657</x:v>
      </x:c>
      <x:c r="R217" s="7" t="n">
        <x:f>'損益分岐設定'!$B$18+'損益分岐設定'!$B$19+'損益分岐設定'!$B$20+'損益分岐設定'!E37+'損益分岐設定'!D37+AM217*('損益分岐設定'!$B$15+'損益分岐設定'!$B$16)+'損益分岐設定'!$B$17+E217*('損益分岐設定'!$B$13+(AM217-1)*'損益分岐設定'!$B$14)*'損益分岐設定'!$B$11</x:f>
        <x:v>35439.79669030532</x:v>
      </x:c>
      <x:c r="S217" s="7" t="n">
        <x:f>'損益分岐設定'!$B$18+'損益分岐設定'!$B$19+'損益分岐設定'!$B$20+'損益分岐設定'!E38+'損益分岐設定'!D38+AN217*('損益分岐設定'!$B$15+'損益分岐設定'!$B$16)+'損益分岐設定'!$B$17+E217*('損益分岐設定'!$B$13+(AN217-1)*'損益分岐設定'!$B$14)*'損益分岐設定'!$B$11</x:f>
        <x:v>50379.59338061063</x:v>
      </x:c>
      <x:c r="T217" s="7" t="n">
        <x:f>'損益分岐設定'!$B$18+'損益分岐設定'!$B$19+'損益分岐設定'!$B$20+'損益分岐設定'!E39+'損益分岐設定'!D39+AO217*('損益分岐設定'!$B$15+'損益分岐設定'!$B$16)+'損益分岐設定'!$B$17+E217*('損益分岐設定'!$B$13+(AO217-1)*'損益分岐設定'!$B$14)*'損益分岐設定'!$B$11</x:f>
        <x:v>72379.59338061063</x:v>
      </x:c>
      <x:c r="U217" s="7" t="n">
        <x:f>'損益分岐設定'!$B$18+'損益分岐設定'!$B$19+'損益分岐設定'!$B$20+'損益分岐設定'!E40+'損益分岐設定'!D40+AP217*('損益分岐設定'!$B$15+'損益分岐設定'!$B$16)+'損益分岐設定'!$B$17+E217*('損益分岐設定'!$B$13+(AP217-1)*'損益分岐設定'!$B$14)*'損益分岐設定'!$B$11</x:f>
        <x:v>102379.59338061063</x:v>
      </x:c>
      <x:c r="V217" s="1" t="n">
        <x:f>IF(I217&lt;=0,1001,IF(MAX('損益分岐設定'!B37,ROUNDUP(R217/I217,0))&lt;='損益分岐設定'!C37,MAX('損益分岐設定'!B37,ROUNDUP(R217/I217,0)),1001))</x:f>
        <x:v>1001</x:v>
      </x:c>
      <x:c r="W217" s="1" t="n">
        <x:f>IF(I217&lt;=0,1001,IF(MAX('損益分岐設定'!B38,ROUNDUP(S217/I217,0))&lt;='損益分岐設定'!C38,MAX('損益分岐設定'!B38,ROUNDUP(S217/I217,0)),1001))</x:f>
        <x:v>15</x:v>
      </x:c>
      <x:c r="X217" s="1" t="n">
        <x:f>IF(I217&lt;=0,1001,IF(MAX('損益分岐設定'!B39,ROUNDUP(T217/I217,0))&lt;='損益分岐設定'!C39,MAX('損益分岐設定'!B39,ROUNDUP(T217/I217,0)),1001))</x:f>
        <x:v>101</x:v>
      </x:c>
      <x:c r="Y217" s="1" t="n">
        <x:f>IF(I217&lt;=0,1001,IF(MAX('損益分岐設定'!B40,ROUNDUP(U217/I217,0))&lt;='損益分岐設定'!C40,MAX('損益分岐設定'!B40,ROUNDUP(U217/I217,0)),1001))</x:f>
        <x:v>501</x:v>
      </x:c>
      <x:c r="Z217" s="1" t="n">
        <x:f>IF(I217&lt;=0,'損益分岐設定'!C37,IF('損益分岐設定'!C37*I217-R217&lt;0,'損益分岐設定'!C37,IF('損益分岐設定'!B37*I217-R217&gt;=0,0,ROUNDUP(R217/I217,0)-1)))</x:f>
        <x:v>10</x:v>
      </x:c>
      <x:c r="AA217" s="1" t="n">
        <x:f>IF(I217&lt;=0,'損益分岐設定'!C38,IF('損益分岐設定'!C38*I217-S217&lt;0,'損益分岐設定'!C38,IF('損益分岐設定'!B38*I217-S217&gt;=0,0,ROUNDUP(S217/I217,0)-1)))</x:f>
        <x:v>14</x:v>
      </x:c>
      <x:c r="AB217" s="1" t="n">
        <x:f>IF(I217&lt;=0,'損益分岐設定'!C39,IF('損益分岐設定'!C39*I217-T217&lt;0,'損益分岐設定'!C39,IF('損益分岐設定'!B39*I217-T217&gt;=0,0,ROUNDUP(T217/I217,0)-1)))</x:f>
        <x:v>0</x:v>
      </x:c>
      <x:c r="AC217" s="1" t="n">
        <x:f>IF(I217&lt;=0,'損益分岐設定'!C40,IF('損益分岐設定'!C40*I217-U217&lt;0,'損益分岐設定'!C40,IF('損益分岐設定'!B40*I217-U217&gt;=0,0,ROUNDUP(U217/I217,0)-1)))</x:f>
        <x:v>0</x:v>
      </x:c>
      <x:c r="AD217" s="1" t="n">
        <x:v>0</x:v>
      </x:c>
      <x:c r="AE217" s="1" t="n">
        <x:v>1</x:v>
      </x:c>
      <x:c r="AF217" s="1" t="n">
        <x:v>0</x:v>
      </x:c>
      <x:c r="AG217" s="1" t="n">
        <x:f>AD217*'損益分岐設定'!$C$57+AE217*'損益分岐設定'!$C$60+AF217*'損益分岐設定'!$C$63</x:f>
        <x:v>441.58457275390623</x:v>
      </x:c>
      <x:c r="AH217" s="1" t="n">
        <x:f>AD217*'損益分岐設定'!$D$57+AE217*'損益分岐設定'!$D$60+AF217*'損益分岐設定'!$D$63</x:f>
        <x:v>120</x:v>
      </x:c>
      <x:c r="AI217" s="1" t="n">
        <x:f>AD217*'損益分岐設定'!$E$57+AE217*'損益分岐設定'!$E$60+AF217*'損益分岐設定'!$E$63</x:f>
        <x:v>120</x:v>
      </x:c>
      <x:c r="AJ217" s="1" t="n">
        <x:f>(AD217*'損益分岐設定'!$F$57+AE217*'損益分岐設定'!$F$60+AF217*'損益分岐設定'!$F$63*1)*'損益分岐設定'!$B$22</x:f>
        <x:v>480</x:v>
      </x:c>
      <x:c r="AK217" s="1" t="n">
        <x:f>AD217*'損益分岐設定'!$G$57+AE217*'損益分岐設定'!$G$60+AF217*'損益分岐設定'!$G$63</x:f>
        <x:v>800</x:v>
      </x:c>
      <x:c r="AL217" s="1" t="n">
        <x:f>AD217*'損益分岐設定'!$H$57+AE217*'損益分岐設定'!$H$60+AF217*'損益分岐設定'!$H$63</x:f>
        <x:v>666.6666666666666</x:v>
      </x:c>
      <x:c r="AM217" s="1" t="n">
        <x:f>MAX(1,ROUNDUP('損益分岐設定'!C37*AJ217/('損益分岐設定'!$B$23*'損益分岐設定'!$B$24*3600*'損益分岐設定'!$B$25),0))</x:f>
        <x:v>1</x:v>
      </x:c>
      <x:c r="AN217" s="1" t="n">
        <x:f>MAX(2,ROUNDUP('損益分岐設定'!C38*AJ217/('損益分岐設定'!$B$23*'損益分岐設定'!$B$24*3600*'損益分岐設定'!$B$25),0))</x:f>
        <x:v>2</x:v>
      </x:c>
      <x:c r="AO217" s="1" t="n">
        <x:f>MAX(2,ROUNDUP('損益分岐設定'!C39*AJ217/('損益分岐設定'!$B$23*'損益分岐設定'!$B$24*3600*'損益分岐設定'!$B$25),0))</x:f>
        <x:v>2</x:v>
      </x:c>
      <x:c r="AP217" s="1" t="n">
        <x:f>MAX(2,ROUNDUP('損益分岐設定'!C40*AJ217/('損益分岐設定'!$B$23*'損益分岐設定'!$B$24*3600*'損益分岐設定'!$B$25),0))</x:f>
        <x:v>2</x:v>
      </x:c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 ht="23" customHeight="1">
      <x:c r="A218" s="1" t="str">
        <x:v>Hybrid</x:v>
      </x:c>
      <x:c r="B218" s="1" t="str">
        <x:v>Business</x:v>
      </x:c>
      <x:c r="C218" s="1" t="str">
        <x:v>標準</x:v>
      </x:c>
      <x:c r="D218" s="21" t="n">
        <x:v>0.2</x:v>
      </x:c>
      <x:c r="E218" s="1" t="n">
        <x:v>1</x:v>
      </x:c>
      <x:c r="F218" s="7" t="n">
        <x:f>AD218*'損益分岐設定'!$B$5+AE218*'損益分岐設定'!$B$6+AF218*'損益分岐設定'!$B$7</x:f>
        <x:v>5000</x:v>
      </x:c>
      <x:c r="G218" s="7" t="n">
        <x:f>AG218+(AH218+AI218)*('損益分岐設定'!$B$29+0.5*'損益分岐設定'!$B$30)+AK218*'損益分岐設定'!$B$33</x:f>
        <x:v>442.5736429546238</x:v>
      </x:c>
      <x:c r="H218" s="7" t="n">
        <x:f>AL218*E218</x:f>
        <x:v>666.6666666666666</x:v>
      </x:c>
      <x:c r="I218" s="7" t="n">
        <x:f>F218*(1-D218-'損益分岐設定'!$B$10)-G218-H218</x:f>
        <x:v>2710.75969037871</x:v>
      </x:c>
      <x:c r="J218" s="1" t="n">
        <x:f>IF(MIN(V218:Y218)&gt;1000,"範囲内なし",MIN(V218:Y218))</x:f>
        <x:v>26</x:v>
      </x:c>
      <x:c r="K218" s="1" t="n">
        <x:f>IF(MAX(Z218:AC218)&gt;=1000,"範囲内なし",MAX(1,MAX(Z218:AC218)+1))</x:f>
        <x:v>26</x:v>
      </x:c>
      <x:c r="L218" s="7" t="n">
        <x:f>10*I218-R218</x:f>
        <x:v>-24332.19978651822</x:v>
      </x:c>
      <x:c r="M218" s="7" t="n">
        <x:f>30*I218-S218</x:f>
        <x:v>12943.197330750656</x:v>
      </x:c>
      <x:c r="N218" s="7" t="n">
        <x:f>50*I218-S218</x:f>
        <x:v>67158.39113832486</x:v>
      </x:c>
      <x:c r="O218" s="7" t="n">
        <x:f>100*I218-S218</x:f>
        <x:v>202696.37565726036</x:v>
      </x:c>
      <x:c r="P218" s="7" t="n">
        <x:f>300*I218-T218</x:f>
        <x:v>722848.3137330024</x:v>
      </x:c>
      <x:c r="Q218" s="7" t="n">
        <x:f>1000*I218-U218</x:f>
        <x:v>2590380.0969980992</x:v>
      </x:c>
      <x:c r="R218" s="7" t="n">
        <x:f>'損益分岐設定'!$B$18+'損益分岐設定'!$B$19+'損益分岐設定'!$B$20+'損益分岐設定'!E37+'損益分岐設定'!D37+AM218*('損益分岐設定'!$B$15+'損益分岐設定'!$B$16)+'損益分岐設定'!$B$17+E218*('損益分岐設定'!$B$13+(AM218-1)*'損益分岐設定'!$B$14)*'損益分岐設定'!$B$11</x:f>
        <x:v>51439.79669030532</x:v>
      </x:c>
      <x:c r="S218" s="7" t="n">
        <x:f>'損益分岐設定'!$B$18+'損益分岐設定'!$B$19+'損益分岐設定'!$B$20+'損益分岐設定'!E38+'損益分岐設定'!D38+AN218*('損益分岐設定'!$B$15+'損益分岐設定'!$B$16)+'損益分岐設定'!$B$17+E218*('損益分岐設定'!$B$13+(AN218-1)*'損益分岐設定'!$B$14)*'損益分岐設定'!$B$11</x:f>
        <x:v>68379.59338061063</x:v>
      </x:c>
      <x:c r="T218" s="7" t="n">
        <x:f>'損益分岐設定'!$B$18+'損益分岐設定'!$B$19+'損益分岐設定'!$B$20+'損益分岐設定'!E39+'損益分岐設定'!D39+AO218*('損益分岐設定'!$B$15+'損益分岐設定'!$B$16)+'損益分岐設定'!$B$17+E218*('損益分岐設定'!$B$13+(AO218-1)*'損益分岐設定'!$B$14)*'損益分岐設定'!$B$11</x:f>
        <x:v>90379.59338061063</x:v>
      </x:c>
      <x:c r="U218" s="7" t="n">
        <x:f>'損益分岐設定'!$B$18+'損益分岐設定'!$B$19+'損益分岐設定'!$B$20+'損益分岐設定'!E40+'損益分岐設定'!D40+AP218*('損益分岐設定'!$B$15+'損益分岐設定'!$B$16)+'損益分岐設定'!$B$17+E218*('損益分岐設定'!$B$13+(AP218-1)*'損益分岐設定'!$B$14)*'損益分岐設定'!$B$11</x:f>
        <x:v>120379.59338061063</x:v>
      </x:c>
      <x:c r="V218" s="1" t="n">
        <x:f>IF(I218&lt;=0,1001,IF(MAX('損益分岐設定'!B37,ROUNDUP(R218/I218,0))&lt;='損益分岐設定'!C37,MAX('損益分岐設定'!B37,ROUNDUP(R218/I218,0)),1001))</x:f>
        <x:v>1001</x:v>
      </x:c>
      <x:c r="W218" s="1" t="n">
        <x:f>IF(I218&lt;=0,1001,IF(MAX('損益分岐設定'!B38,ROUNDUP(S218/I218,0))&lt;='損益分岐設定'!C38,MAX('損益分岐設定'!B38,ROUNDUP(S218/I218,0)),1001))</x:f>
        <x:v>26</x:v>
      </x:c>
      <x:c r="X218" s="1" t="n">
        <x:f>IF(I218&lt;=0,1001,IF(MAX('損益分岐設定'!B39,ROUNDUP(T218/I218,0))&lt;='損益分岐設定'!C39,MAX('損益分岐設定'!B39,ROUNDUP(T218/I218,0)),1001))</x:f>
        <x:v>101</x:v>
      </x:c>
      <x:c r="Y218" s="1" t="n">
        <x:f>IF(I218&lt;=0,1001,IF(MAX('損益分岐設定'!B40,ROUNDUP(U218/I218,0))&lt;='損益分岐設定'!C40,MAX('損益分岐設定'!B40,ROUNDUP(U218/I218,0)),1001))</x:f>
        <x:v>501</x:v>
      </x:c>
      <x:c r="Z218" s="1" t="n">
        <x:f>IF(I218&lt;=0,'損益分岐設定'!C37,IF('損益分岐設定'!C37*I218-R218&lt;0,'損益分岐設定'!C37,IF('損益分岐設定'!B37*I218-R218&gt;=0,0,ROUNDUP(R218/I218,0)-1)))</x:f>
        <x:v>10</x:v>
      </x:c>
      <x:c r="AA218" s="1" t="n">
        <x:f>IF(I218&lt;=0,'損益分岐設定'!C38,IF('損益分岐設定'!C38*I218-S218&lt;0,'損益分岐設定'!C38,IF('損益分岐設定'!B38*I218-S218&gt;=0,0,ROUNDUP(S218/I218,0)-1)))</x:f>
        <x:v>25</x:v>
      </x:c>
      <x:c r="AB218" s="1" t="n">
        <x:f>IF(I218&lt;=0,'損益分岐設定'!C39,IF('損益分岐設定'!C39*I218-T218&lt;0,'損益分岐設定'!C39,IF('損益分岐設定'!B39*I218-T218&gt;=0,0,ROUNDUP(T218/I218,0)-1)))</x:f>
        <x:v>0</x:v>
      </x:c>
      <x:c r="AC218" s="1" t="n">
        <x:f>IF(I218&lt;=0,'損益分岐設定'!C40,IF('損益分岐設定'!C40*I218-U218&lt;0,'損益分岐設定'!C40,IF('損益分岐設定'!B40*I218-U218&gt;=0,0,ROUNDUP(U218/I218,0)-1)))</x:f>
        <x:v>0</x:v>
      </x:c>
      <x:c r="AD218" s="1" t="n">
        <x:v>0</x:v>
      </x:c>
      <x:c r="AE218" s="1" t="n">
        <x:v>1</x:v>
      </x:c>
      <x:c r="AF218" s="1" t="n">
        <x:v>0</x:v>
      </x:c>
      <x:c r="AG218" s="1" t="n">
        <x:f>AD218*'損益分岐設定'!$C$57+AE218*'損益分岐設定'!$C$60+AF218*'損益分岐設定'!$C$63</x:f>
        <x:v>441.58457275390623</x:v>
      </x:c>
      <x:c r="AH218" s="1" t="n">
        <x:f>AD218*'損益分岐設定'!$D$57+AE218*'損益分岐設定'!$D$60+AF218*'損益分岐設定'!$D$63</x:f>
        <x:v>120</x:v>
      </x:c>
      <x:c r="AI218" s="1" t="n">
        <x:f>AD218*'損益分岐設定'!$E$57+AE218*'損益分岐設定'!$E$60+AF218*'損益分岐設定'!$E$63</x:f>
        <x:v>120</x:v>
      </x:c>
      <x:c r="AJ218" s="1" t="n">
        <x:f>(AD218*'損益分岐設定'!$F$57+AE218*'損益分岐設定'!$F$60+AF218*'損益分岐設定'!$F$63*1)*'損益分岐設定'!$B$22</x:f>
        <x:v>480</x:v>
      </x:c>
      <x:c r="AK218" s="1" t="n">
        <x:f>AD218*'損益分岐設定'!$G$57+AE218*'損益分岐設定'!$G$60+AF218*'損益分岐設定'!$G$63</x:f>
        <x:v>800</x:v>
      </x:c>
      <x:c r="AL218" s="1" t="n">
        <x:f>AD218*'損益分岐設定'!$H$57+AE218*'損益分岐設定'!$H$60+AF218*'損益分岐設定'!$H$63</x:f>
        <x:v>666.6666666666666</x:v>
      </x:c>
      <x:c r="AM218" s="1" t="n">
        <x:f>MAX(1,ROUNDUP('損益分岐設定'!C37*AJ218/('損益分岐設定'!$B$23*'損益分岐設定'!$B$24*3600*'損益分岐設定'!$B$25),0))</x:f>
        <x:v>1</x:v>
      </x:c>
      <x:c r="AN218" s="1" t="n">
        <x:f>MAX(2,ROUNDUP('損益分岐設定'!C38*AJ218/('損益分岐設定'!$B$23*'損益分岐設定'!$B$24*3600*'損益分岐設定'!$B$25),0))</x:f>
        <x:v>2</x:v>
      </x:c>
      <x:c r="AO218" s="1" t="n">
        <x:f>MAX(2,ROUNDUP('損益分岐設定'!C39*AJ218/('損益分岐設定'!$B$23*'損益分岐設定'!$B$24*3600*'損益分岐設定'!$B$25),0))</x:f>
        <x:v>2</x:v>
      </x:c>
      <x:c r="AP218" s="1" t="n">
        <x:f>MAX(2,ROUNDUP('損益分岐設定'!C40*AJ218/('損益分岐設定'!$B$23*'損益分岐設定'!$B$24*3600*'損益分岐設定'!$B$25),0))</x:f>
        <x:v>2</x:v>
      </x:c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 ht="23" customHeight="1">
      <x:c r="A219" s="1" t="str">
        <x:v>Hybrid</x:v>
      </x:c>
      <x:c r="B219" s="1" t="str">
        <x:v>Business</x:v>
      </x:c>
      <x:c r="C219" s="1" t="str">
        <x:v>標準</x:v>
      </x:c>
      <x:c r="D219" s="21" t="n">
        <x:v>0.3</x:v>
      </x:c>
      <x:c r="E219" s="1" t="n">
        <x:v>0</x:v>
      </x:c>
      <x:c r="F219" s="7" t="n">
        <x:f>AD219*'損益分岐設定'!$B$5+AE219*'損益分岐設定'!$B$6+AF219*'損益分岐設定'!$B$7</x:f>
        <x:v>5000</x:v>
      </x:c>
      <x:c r="G219" s="7" t="n">
        <x:f>AG219+(AH219+AI219)*('損益分岐設定'!$B$29+0.5*'損益分岐設定'!$B$30)+AK219*'損益分岐設定'!$B$33</x:f>
        <x:v>442.5736429546238</x:v>
      </x:c>
      <x:c r="H219" s="7" t="n">
        <x:f>AL219*E219</x:f>
        <x:v>0</x:v>
      </x:c>
      <x:c r="I219" s="7" t="n">
        <x:f>F219*(1-D219-'損益分岐設定'!$B$10)-G219-H219</x:f>
        <x:v>2877.426357045376</x:v>
      </x:c>
      <x:c r="J219" s="1" t="n">
        <x:f>IF(MIN(V219:Y219)&gt;1000,"範囲内なし",MIN(V219:Y219))</x:f>
        <x:v>18</x:v>
      </x:c>
      <x:c r="K219" s="1" t="n">
        <x:f>IF(MAX(Z219:AC219)&gt;=1000,"範囲内なし",MAX(1,MAX(Z219:AC219)+1))</x:f>
        <x:v>18</x:v>
      </x:c>
      <x:c r="L219" s="7" t="n">
        <x:f>10*I219-R219</x:f>
        <x:v>-6665.533119851556</x:v>
      </x:c>
      <x:c r="M219" s="7" t="n">
        <x:f>30*I219-S219</x:f>
        <x:v>35943.19733075064</x:v>
      </x:c>
      <x:c r="N219" s="7" t="n">
        <x:f>50*I219-S219</x:f>
        <x:v>93491.72447165815</x:v>
      </x:c>
      <x:c r="O219" s="7" t="n">
        <x:f>100*I219-S219</x:f>
        <x:v>237363.04232392693</x:v>
      </x:c>
      <x:c r="P219" s="7" t="n">
        <x:f>300*I219-T219</x:f>
        <x:v>790848.3137330022</x:v>
      </x:c>
      <x:c r="Q219" s="7" t="n">
        <x:f>1000*I219-U219</x:f>
        <x:v>2775046.7636647653</x:v>
      </x:c>
      <x:c r="R219" s="7" t="n">
        <x:f>'損益分岐設定'!$B$18+'損益分岐設定'!$B$19+'損益分岐設定'!$B$20+'損益分岐設定'!E37+'損益分岐設定'!D37+AM219*('損益分岐設定'!$B$15+'損益分岐設定'!$B$16)+'損益分岐設定'!$B$17+E219*('損益分岐設定'!$B$13+(AM219-1)*'損益分岐設定'!$B$14)*'損益分岐設定'!$B$11</x:f>
        <x:v>35439.79669030532</x:v>
      </x:c>
      <x:c r="S219" s="7" t="n">
        <x:f>'損益分岐設定'!$B$18+'損益分岐設定'!$B$19+'損益分岐設定'!$B$20+'損益分岐設定'!E38+'損益分岐設定'!D38+AN219*('損益分岐設定'!$B$15+'損益分岐設定'!$B$16)+'損益分岐設定'!$B$17+E219*('損益分岐設定'!$B$13+(AN219-1)*'損益分岐設定'!$B$14)*'損益分岐設定'!$B$11</x:f>
        <x:v>50379.59338061063</x:v>
      </x:c>
      <x:c r="T219" s="7" t="n">
        <x:f>'損益分岐設定'!$B$18+'損益分岐設定'!$B$19+'損益分岐設定'!$B$20+'損益分岐設定'!E39+'損益分岐設定'!D39+AO219*('損益分岐設定'!$B$15+'損益分岐設定'!$B$16)+'損益分岐設定'!$B$17+E219*('損益分岐設定'!$B$13+(AO219-1)*'損益分岐設定'!$B$14)*'損益分岐設定'!$B$11</x:f>
        <x:v>72379.59338061063</x:v>
      </x:c>
      <x:c r="U219" s="7" t="n">
        <x:f>'損益分岐設定'!$B$18+'損益分岐設定'!$B$19+'損益分岐設定'!$B$20+'損益分岐設定'!E40+'損益分岐設定'!D40+AP219*('損益分岐設定'!$B$15+'損益分岐設定'!$B$16)+'損益分岐設定'!$B$17+E219*('損益分岐設定'!$B$13+(AP219-1)*'損益分岐設定'!$B$14)*'損益分岐設定'!$B$11</x:f>
        <x:v>102379.59338061063</x:v>
      </x:c>
      <x:c r="V219" s="1" t="n">
        <x:f>IF(I219&lt;=0,1001,IF(MAX('損益分岐設定'!B37,ROUNDUP(R219/I219,0))&lt;='損益分岐設定'!C37,MAX('損益分岐設定'!B37,ROUNDUP(R219/I219,0)),1001))</x:f>
        <x:v>1001</x:v>
      </x:c>
      <x:c r="W219" s="1" t="n">
        <x:f>IF(I219&lt;=0,1001,IF(MAX('損益分岐設定'!B38,ROUNDUP(S219/I219,0))&lt;='損益分岐設定'!C38,MAX('損益分岐設定'!B38,ROUNDUP(S219/I219,0)),1001))</x:f>
        <x:v>18</x:v>
      </x:c>
      <x:c r="X219" s="1" t="n">
        <x:f>IF(I219&lt;=0,1001,IF(MAX('損益分岐設定'!B39,ROUNDUP(T219/I219,0))&lt;='損益分岐設定'!C39,MAX('損益分岐設定'!B39,ROUNDUP(T219/I219,0)),1001))</x:f>
        <x:v>101</x:v>
      </x:c>
      <x:c r="Y219" s="1" t="n">
        <x:f>IF(I219&lt;=0,1001,IF(MAX('損益分岐設定'!B40,ROUNDUP(U219/I219,0))&lt;='損益分岐設定'!C40,MAX('損益分岐設定'!B40,ROUNDUP(U219/I219,0)),1001))</x:f>
        <x:v>501</x:v>
      </x:c>
      <x:c r="Z219" s="1" t="n">
        <x:f>IF(I219&lt;=0,'損益分岐設定'!C37,IF('損益分岐設定'!C37*I219-R219&lt;0,'損益分岐設定'!C37,IF('損益分岐設定'!B37*I219-R219&gt;=0,0,ROUNDUP(R219/I219,0)-1)))</x:f>
        <x:v>10</x:v>
      </x:c>
      <x:c r="AA219" s="1" t="n">
        <x:f>IF(I219&lt;=0,'損益分岐設定'!C38,IF('損益分岐設定'!C38*I219-S219&lt;0,'損益分岐設定'!C38,IF('損益分岐設定'!B38*I219-S219&gt;=0,0,ROUNDUP(S219/I219,0)-1)))</x:f>
        <x:v>17</x:v>
      </x:c>
      <x:c r="AB219" s="1" t="n">
        <x:f>IF(I219&lt;=0,'損益分岐設定'!C39,IF('損益分岐設定'!C39*I219-T219&lt;0,'損益分岐設定'!C39,IF('損益分岐設定'!B39*I219-T219&gt;=0,0,ROUNDUP(T219/I219,0)-1)))</x:f>
        <x:v>0</x:v>
      </x:c>
      <x:c r="AC219" s="1" t="n">
        <x:f>IF(I219&lt;=0,'損益分岐設定'!C40,IF('損益分岐設定'!C40*I219-U219&lt;0,'損益分岐設定'!C40,IF('損益分岐設定'!B40*I219-U219&gt;=0,0,ROUNDUP(U219/I219,0)-1)))</x:f>
        <x:v>0</x:v>
      </x:c>
      <x:c r="AD219" s="1" t="n">
        <x:v>0</x:v>
      </x:c>
      <x:c r="AE219" s="1" t="n">
        <x:v>1</x:v>
      </x:c>
      <x:c r="AF219" s="1" t="n">
        <x:v>0</x:v>
      </x:c>
      <x:c r="AG219" s="1" t="n">
        <x:f>AD219*'損益分岐設定'!$C$57+AE219*'損益分岐設定'!$C$60+AF219*'損益分岐設定'!$C$63</x:f>
        <x:v>441.58457275390623</x:v>
      </x:c>
      <x:c r="AH219" s="1" t="n">
        <x:f>AD219*'損益分岐設定'!$D$57+AE219*'損益分岐設定'!$D$60+AF219*'損益分岐設定'!$D$63</x:f>
        <x:v>120</x:v>
      </x:c>
      <x:c r="AI219" s="1" t="n">
        <x:f>AD219*'損益分岐設定'!$E$57+AE219*'損益分岐設定'!$E$60+AF219*'損益分岐設定'!$E$63</x:f>
        <x:v>120</x:v>
      </x:c>
      <x:c r="AJ219" s="1" t="n">
        <x:f>(AD219*'損益分岐設定'!$F$57+AE219*'損益分岐設定'!$F$60+AF219*'損益分岐設定'!$F$63*1)*'損益分岐設定'!$B$22</x:f>
        <x:v>480</x:v>
      </x:c>
      <x:c r="AK219" s="1" t="n">
        <x:f>AD219*'損益分岐設定'!$G$57+AE219*'損益分岐設定'!$G$60+AF219*'損益分岐設定'!$G$63</x:f>
        <x:v>800</x:v>
      </x:c>
      <x:c r="AL219" s="1" t="n">
        <x:f>AD219*'損益分岐設定'!$H$57+AE219*'損益分岐設定'!$H$60+AF219*'損益分岐設定'!$H$63</x:f>
        <x:v>666.6666666666666</x:v>
      </x:c>
      <x:c r="AM219" s="1" t="n">
        <x:f>MAX(1,ROUNDUP('損益分岐設定'!C37*AJ219/('損益分岐設定'!$B$23*'損益分岐設定'!$B$24*3600*'損益分岐設定'!$B$25),0))</x:f>
        <x:v>1</x:v>
      </x:c>
      <x:c r="AN219" s="1" t="n">
        <x:f>MAX(2,ROUNDUP('損益分岐設定'!C38*AJ219/('損益分岐設定'!$B$23*'損益分岐設定'!$B$24*3600*'損益分岐設定'!$B$25),0))</x:f>
        <x:v>2</x:v>
      </x:c>
      <x:c r="AO219" s="1" t="n">
        <x:f>MAX(2,ROUNDUP('損益分岐設定'!C39*AJ219/('損益分岐設定'!$B$23*'損益分岐設定'!$B$24*3600*'損益分岐設定'!$B$25),0))</x:f>
        <x:v>2</x:v>
      </x:c>
      <x:c r="AP219" s="1" t="n">
        <x:f>MAX(2,ROUNDUP('損益分岐設定'!C40*AJ219/('損益分岐設定'!$B$23*'損益分岐設定'!$B$24*3600*'損益分岐設定'!$B$25),0))</x:f>
        <x:v>2</x:v>
      </x:c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 ht="23" customHeight="1">
      <x:c r="A220" s="1" t="str">
        <x:v>Hybrid</x:v>
      </x:c>
      <x:c r="B220" s="1" t="str">
        <x:v>Business</x:v>
      </x:c>
      <x:c r="C220" s="1" t="str">
        <x:v>標準</x:v>
      </x:c>
      <x:c r="D220" s="21" t="n">
        <x:v>0.3</x:v>
      </x:c>
      <x:c r="E220" s="1" t="n">
        <x:v>1</x:v>
      </x:c>
      <x:c r="F220" s="7" t="n">
        <x:f>AD220*'損益分岐設定'!$B$5+AE220*'損益分岐設定'!$B$6+AF220*'損益分岐設定'!$B$7</x:f>
        <x:v>5000</x:v>
      </x:c>
      <x:c r="G220" s="7" t="n">
        <x:f>AG220+(AH220+AI220)*('損益分岐設定'!$B$29+0.5*'損益分岐設定'!$B$30)+AK220*'損益分岐設定'!$B$33</x:f>
        <x:v>442.5736429546238</x:v>
      </x:c>
      <x:c r="H220" s="7" t="n">
        <x:f>AL220*E220</x:f>
        <x:v>666.6666666666666</x:v>
      </x:c>
      <x:c r="I220" s="7" t="n">
        <x:f>F220*(1-D220-'損益分岐設定'!$B$10)-G220-H220</x:f>
        <x:v>2210.7596903787094</x:v>
      </x:c>
      <x:c r="J220" s="1" t="n">
        <x:f>IF(MIN(V220:Y220)&gt;1000,"範囲内なし",MIN(V220:Y220))</x:f>
        <x:v>31</x:v>
      </x:c>
      <x:c r="K220" s="1" t="n">
        <x:f>IF(MAX(Z220:AC220)&gt;=1000,"範囲内なし",MAX(1,MAX(Z220:AC220)+1))</x:f>
        <x:v>31</x:v>
      </x:c>
      <x:c r="L220" s="7" t="n">
        <x:f>10*I220-R220</x:f>
        <x:v>-29332.199786518224</x:v>
      </x:c>
      <x:c r="M220" s="7" t="n">
        <x:f>30*I220-S220</x:f>
        <x:v>-2056.8026692493586</x:v>
      </x:c>
      <x:c r="N220" s="7" t="n">
        <x:f>50*I220-S220</x:f>
        <x:v>42158.391138324834</x:v>
      </x:c>
      <x:c r="O220" s="7" t="n">
        <x:f>100*I220-S220</x:f>
        <x:v>152696.3756572603</x:v>
      </x:c>
      <x:c r="P220" s="7" t="n">
        <x:f>300*I220-T220</x:f>
        <x:v>572848.3137330022</x:v>
      </x:c>
      <x:c r="Q220" s="7" t="n">
        <x:f>1000*I220-U220</x:f>
        <x:v>2090380.0969980985</x:v>
      </x:c>
      <x:c r="R220" s="7" t="n">
        <x:f>'損益分岐設定'!$B$18+'損益分岐設定'!$B$19+'損益分岐設定'!$B$20+'損益分岐設定'!E37+'損益分岐設定'!D37+AM220*('損益分岐設定'!$B$15+'損益分岐設定'!$B$16)+'損益分岐設定'!$B$17+E220*('損益分岐設定'!$B$13+(AM220-1)*'損益分岐設定'!$B$14)*'損益分岐設定'!$B$11</x:f>
        <x:v>51439.79669030532</x:v>
      </x:c>
      <x:c r="S220" s="7" t="n">
        <x:f>'損益分岐設定'!$B$18+'損益分岐設定'!$B$19+'損益分岐設定'!$B$20+'損益分岐設定'!E38+'損益分岐設定'!D38+AN220*('損益分岐設定'!$B$15+'損益分岐設定'!$B$16)+'損益分岐設定'!$B$17+E220*('損益分岐設定'!$B$13+(AN220-1)*'損益分岐設定'!$B$14)*'損益分岐設定'!$B$11</x:f>
        <x:v>68379.59338061063</x:v>
      </x:c>
      <x:c r="T220" s="7" t="n">
        <x:f>'損益分岐設定'!$B$18+'損益分岐設定'!$B$19+'損益分岐設定'!$B$20+'損益分岐設定'!E39+'損益分岐設定'!D39+AO220*('損益分岐設定'!$B$15+'損益分岐設定'!$B$16)+'損益分岐設定'!$B$17+E220*('損益分岐設定'!$B$13+(AO220-1)*'損益分岐設定'!$B$14)*'損益分岐設定'!$B$11</x:f>
        <x:v>90379.59338061063</x:v>
      </x:c>
      <x:c r="U220" s="7" t="n">
        <x:f>'損益分岐設定'!$B$18+'損益分岐設定'!$B$19+'損益分岐設定'!$B$20+'損益分岐設定'!E40+'損益分岐設定'!D40+AP220*('損益分岐設定'!$B$15+'損益分岐設定'!$B$16)+'損益分岐設定'!$B$17+E220*('損益分岐設定'!$B$13+(AP220-1)*'損益分岐設定'!$B$14)*'損益分岐設定'!$B$11</x:f>
        <x:v>120379.59338061063</x:v>
      </x:c>
      <x:c r="V220" s="1" t="n">
        <x:f>IF(I220&lt;=0,1001,IF(MAX('損益分岐設定'!B37,ROUNDUP(R220/I220,0))&lt;='損益分岐設定'!C37,MAX('損益分岐設定'!B37,ROUNDUP(R220/I220,0)),1001))</x:f>
        <x:v>1001</x:v>
      </x:c>
      <x:c r="W220" s="1" t="n">
        <x:f>IF(I220&lt;=0,1001,IF(MAX('損益分岐設定'!B38,ROUNDUP(S220/I220,0))&lt;='損益分岐設定'!C38,MAX('損益分岐設定'!B38,ROUNDUP(S220/I220,0)),1001))</x:f>
        <x:v>31</x:v>
      </x:c>
      <x:c r="X220" s="1" t="n">
        <x:f>IF(I220&lt;=0,1001,IF(MAX('損益分岐設定'!B39,ROUNDUP(T220/I220,0))&lt;='損益分岐設定'!C39,MAX('損益分岐設定'!B39,ROUNDUP(T220/I220,0)),1001))</x:f>
        <x:v>101</x:v>
      </x:c>
      <x:c r="Y220" s="1" t="n">
        <x:f>IF(I220&lt;=0,1001,IF(MAX('損益分岐設定'!B40,ROUNDUP(U220/I220,0))&lt;='損益分岐設定'!C40,MAX('損益分岐設定'!B40,ROUNDUP(U220/I220,0)),1001))</x:f>
        <x:v>501</x:v>
      </x:c>
      <x:c r="Z220" s="1" t="n">
        <x:f>IF(I220&lt;=0,'損益分岐設定'!C37,IF('損益分岐設定'!C37*I220-R220&lt;0,'損益分岐設定'!C37,IF('損益分岐設定'!B37*I220-R220&gt;=0,0,ROUNDUP(R220/I220,0)-1)))</x:f>
        <x:v>10</x:v>
      </x:c>
      <x:c r="AA220" s="1" t="n">
        <x:f>IF(I220&lt;=0,'損益分岐設定'!C38,IF('損益分岐設定'!C38*I220-S220&lt;0,'損益分岐設定'!C38,IF('損益分岐設定'!B38*I220-S220&gt;=0,0,ROUNDUP(S220/I220,0)-1)))</x:f>
        <x:v>30</x:v>
      </x:c>
      <x:c r="AB220" s="1" t="n">
        <x:f>IF(I220&lt;=0,'損益分岐設定'!C39,IF('損益分岐設定'!C39*I220-T220&lt;0,'損益分岐設定'!C39,IF('損益分岐設定'!B39*I220-T220&gt;=0,0,ROUNDUP(T220/I220,0)-1)))</x:f>
        <x:v>0</x:v>
      </x:c>
      <x:c r="AC220" s="1" t="n">
        <x:f>IF(I220&lt;=0,'損益分岐設定'!C40,IF('損益分岐設定'!C40*I220-U220&lt;0,'損益分岐設定'!C40,IF('損益分岐設定'!B40*I220-U220&gt;=0,0,ROUNDUP(U220/I220,0)-1)))</x:f>
        <x:v>0</x:v>
      </x:c>
      <x:c r="AD220" s="1" t="n">
        <x:v>0</x:v>
      </x:c>
      <x:c r="AE220" s="1" t="n">
        <x:v>1</x:v>
      </x:c>
      <x:c r="AF220" s="1" t="n">
        <x:v>0</x:v>
      </x:c>
      <x:c r="AG220" s="1" t="n">
        <x:f>AD220*'損益分岐設定'!$C$57+AE220*'損益分岐設定'!$C$60+AF220*'損益分岐設定'!$C$63</x:f>
        <x:v>441.58457275390623</x:v>
      </x:c>
      <x:c r="AH220" s="1" t="n">
        <x:f>AD220*'損益分岐設定'!$D$57+AE220*'損益分岐設定'!$D$60+AF220*'損益分岐設定'!$D$63</x:f>
        <x:v>120</x:v>
      </x:c>
      <x:c r="AI220" s="1" t="n">
        <x:f>AD220*'損益分岐設定'!$E$57+AE220*'損益分岐設定'!$E$60+AF220*'損益分岐設定'!$E$63</x:f>
        <x:v>120</x:v>
      </x:c>
      <x:c r="AJ220" s="1" t="n">
        <x:f>(AD220*'損益分岐設定'!$F$57+AE220*'損益分岐設定'!$F$60+AF220*'損益分岐設定'!$F$63*1)*'損益分岐設定'!$B$22</x:f>
        <x:v>480</x:v>
      </x:c>
      <x:c r="AK220" s="1" t="n">
        <x:f>AD220*'損益分岐設定'!$G$57+AE220*'損益分岐設定'!$G$60+AF220*'損益分岐設定'!$G$63</x:f>
        <x:v>800</x:v>
      </x:c>
      <x:c r="AL220" s="1" t="n">
        <x:f>AD220*'損益分岐設定'!$H$57+AE220*'損益分岐設定'!$H$60+AF220*'損益分岐設定'!$H$63</x:f>
        <x:v>666.6666666666666</x:v>
      </x:c>
      <x:c r="AM220" s="1" t="n">
        <x:f>MAX(1,ROUNDUP('損益分岐設定'!C37*AJ220/('損益分岐設定'!$B$23*'損益分岐設定'!$B$24*3600*'損益分岐設定'!$B$25),0))</x:f>
        <x:v>1</x:v>
      </x:c>
      <x:c r="AN220" s="1" t="n">
        <x:f>MAX(2,ROUNDUP('損益分岐設定'!C38*AJ220/('損益分岐設定'!$B$23*'損益分岐設定'!$B$24*3600*'損益分岐設定'!$B$25),0))</x:f>
        <x:v>2</x:v>
      </x:c>
      <x:c r="AO220" s="1" t="n">
        <x:f>MAX(2,ROUNDUP('損益分岐設定'!C39*AJ220/('損益分岐設定'!$B$23*'損益分岐設定'!$B$24*3600*'損益分岐設定'!$B$25),0))</x:f>
        <x:v>2</x:v>
      </x:c>
      <x:c r="AP220" s="1" t="n">
        <x:f>MAX(2,ROUNDUP('損益分岐設定'!C40*AJ220/('損益分岐設定'!$B$23*'損益分岐設定'!$B$24*3600*'損益分岐設定'!$B$25),0))</x:f>
        <x:v>2</x:v>
      </x:c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 ht="23" customHeight="1">
      <x:c r="A221" s="1" t="str">
        <x:v>Hybrid</x:v>
      </x:c>
      <x:c r="B221" s="1" t="str">
        <x:v>Business</x:v>
      </x:c>
      <x:c r="C221" s="1" t="str">
        <x:v>標準</x:v>
      </x:c>
      <x:c r="D221" s="21" t="n">
        <x:v>0.4</x:v>
      </x:c>
      <x:c r="E221" s="1" t="n">
        <x:v>0</x:v>
      </x:c>
      <x:c r="F221" s="7" t="n">
        <x:f>AD221*'損益分岐設定'!$B$5+AE221*'損益分岐設定'!$B$6+AF221*'損益分岐設定'!$B$7</x:f>
        <x:v>5000</x:v>
      </x:c>
      <x:c r="G221" s="7" t="n">
        <x:f>AG221+(AH221+AI221)*('損益分岐設定'!$B$29+0.5*'損益分岐設定'!$B$30)+AK221*'損益分岐設定'!$B$33</x:f>
        <x:v>442.5736429546238</x:v>
      </x:c>
      <x:c r="H221" s="7" t="n">
        <x:f>AL221*E221</x:f>
        <x:v>0</x:v>
      </x:c>
      <x:c r="I221" s="7" t="n">
        <x:f>F221*(1-D221-'損益分岐設定'!$B$10)-G221-H221</x:f>
        <x:v>2377.426357045376</x:v>
      </x:c>
      <x:c r="J221" s="1" t="n">
        <x:f>IF(MIN(V221:Y221)&gt;1000,"範囲内なし",MIN(V221:Y221))</x:f>
        <x:v>22</x:v>
      </x:c>
      <x:c r="K221" s="1" t="n">
        <x:f>IF(MAX(Z221:AC221)&gt;=1000,"範囲内なし",MAX(1,MAX(Z221:AC221)+1))</x:f>
        <x:v>22</x:v>
      </x:c>
      <x:c r="L221" s="7" t="n">
        <x:f>10*I221-R221</x:f>
        <x:v>-11665.533119851556</x:v>
      </x:c>
      <x:c r="M221" s="7" t="n">
        <x:f>30*I221-S221</x:f>
        <x:v>20943.19733075064</x:v>
      </x:c>
      <x:c r="N221" s="7" t="n">
        <x:f>50*I221-S221</x:f>
        <x:v>68491.72447165816</x:v>
      </x:c>
      <x:c r="O221" s="7" t="n">
        <x:f>100*I221-S221</x:f>
        <x:v>187363.04232392696</x:v>
      </x:c>
      <x:c r="P221" s="7" t="n">
        <x:f>300*I221-T221</x:f>
        <x:v>640848.3137330022</x:v>
      </x:c>
      <x:c r="Q221" s="7" t="n">
        <x:f>1000*I221-U221</x:f>
        <x:v>2275046.7636647653</x:v>
      </x:c>
      <x:c r="R221" s="7" t="n">
        <x:f>'損益分岐設定'!$B$18+'損益分岐設定'!$B$19+'損益分岐設定'!$B$20+'損益分岐設定'!E37+'損益分岐設定'!D37+AM221*('損益分岐設定'!$B$15+'損益分岐設定'!$B$16)+'損益分岐設定'!$B$17+E221*('損益分岐設定'!$B$13+(AM221-1)*'損益分岐設定'!$B$14)*'損益分岐設定'!$B$11</x:f>
        <x:v>35439.79669030532</x:v>
      </x:c>
      <x:c r="S221" s="7" t="n">
        <x:f>'損益分岐設定'!$B$18+'損益分岐設定'!$B$19+'損益分岐設定'!$B$20+'損益分岐設定'!E38+'損益分岐設定'!D38+AN221*('損益分岐設定'!$B$15+'損益分岐設定'!$B$16)+'損益分岐設定'!$B$17+E221*('損益分岐設定'!$B$13+(AN221-1)*'損益分岐設定'!$B$14)*'損益分岐設定'!$B$11</x:f>
        <x:v>50379.59338061063</x:v>
      </x:c>
      <x:c r="T221" s="7" t="n">
        <x:f>'損益分岐設定'!$B$18+'損益分岐設定'!$B$19+'損益分岐設定'!$B$20+'損益分岐設定'!E39+'損益分岐設定'!D39+AO221*('損益分岐設定'!$B$15+'損益分岐設定'!$B$16)+'損益分岐設定'!$B$17+E221*('損益分岐設定'!$B$13+(AO221-1)*'損益分岐設定'!$B$14)*'損益分岐設定'!$B$11</x:f>
        <x:v>72379.59338061063</x:v>
      </x:c>
      <x:c r="U221" s="7" t="n">
        <x:f>'損益分岐設定'!$B$18+'損益分岐設定'!$B$19+'損益分岐設定'!$B$20+'損益分岐設定'!E40+'損益分岐設定'!D40+AP221*('損益分岐設定'!$B$15+'損益分岐設定'!$B$16)+'損益分岐設定'!$B$17+E221*('損益分岐設定'!$B$13+(AP221-1)*'損益分岐設定'!$B$14)*'損益分岐設定'!$B$11</x:f>
        <x:v>102379.59338061063</x:v>
      </x:c>
      <x:c r="V221" s="1" t="n">
        <x:f>IF(I221&lt;=0,1001,IF(MAX('損益分岐設定'!B37,ROUNDUP(R221/I221,0))&lt;='損益分岐設定'!C37,MAX('損益分岐設定'!B37,ROUNDUP(R221/I221,0)),1001))</x:f>
        <x:v>1001</x:v>
      </x:c>
      <x:c r="W221" s="1" t="n">
        <x:f>IF(I221&lt;=0,1001,IF(MAX('損益分岐設定'!B38,ROUNDUP(S221/I221,0))&lt;='損益分岐設定'!C38,MAX('損益分岐設定'!B38,ROUNDUP(S221/I221,0)),1001))</x:f>
        <x:v>22</x:v>
      </x:c>
      <x:c r="X221" s="1" t="n">
        <x:f>IF(I221&lt;=0,1001,IF(MAX('損益分岐設定'!B39,ROUNDUP(T221/I221,0))&lt;='損益分岐設定'!C39,MAX('損益分岐設定'!B39,ROUNDUP(T221/I221,0)),1001))</x:f>
        <x:v>101</x:v>
      </x:c>
      <x:c r="Y221" s="1" t="n">
        <x:f>IF(I221&lt;=0,1001,IF(MAX('損益分岐設定'!B40,ROUNDUP(U221/I221,0))&lt;='損益分岐設定'!C40,MAX('損益分岐設定'!B40,ROUNDUP(U221/I221,0)),1001))</x:f>
        <x:v>501</x:v>
      </x:c>
      <x:c r="Z221" s="1" t="n">
        <x:f>IF(I221&lt;=0,'損益分岐設定'!C37,IF('損益分岐設定'!C37*I221-R221&lt;0,'損益分岐設定'!C37,IF('損益分岐設定'!B37*I221-R221&gt;=0,0,ROUNDUP(R221/I221,0)-1)))</x:f>
        <x:v>10</x:v>
      </x:c>
      <x:c r="AA221" s="1" t="n">
        <x:f>IF(I221&lt;=0,'損益分岐設定'!C38,IF('損益分岐設定'!C38*I221-S221&lt;0,'損益分岐設定'!C38,IF('損益分岐設定'!B38*I221-S221&gt;=0,0,ROUNDUP(S221/I221,0)-1)))</x:f>
        <x:v>21</x:v>
      </x:c>
      <x:c r="AB221" s="1" t="n">
        <x:f>IF(I221&lt;=0,'損益分岐設定'!C39,IF('損益分岐設定'!C39*I221-T221&lt;0,'損益分岐設定'!C39,IF('損益分岐設定'!B39*I221-T221&gt;=0,0,ROUNDUP(T221/I221,0)-1)))</x:f>
        <x:v>0</x:v>
      </x:c>
      <x:c r="AC221" s="1" t="n">
        <x:f>IF(I221&lt;=0,'損益分岐設定'!C40,IF('損益分岐設定'!C40*I221-U221&lt;0,'損益分岐設定'!C40,IF('損益分岐設定'!B40*I221-U221&gt;=0,0,ROUNDUP(U221/I221,0)-1)))</x:f>
        <x:v>0</x:v>
      </x:c>
      <x:c r="AD221" s="1" t="n">
        <x:v>0</x:v>
      </x:c>
      <x:c r="AE221" s="1" t="n">
        <x:v>1</x:v>
      </x:c>
      <x:c r="AF221" s="1" t="n">
        <x:v>0</x:v>
      </x:c>
      <x:c r="AG221" s="1" t="n">
        <x:f>AD221*'損益分岐設定'!$C$57+AE221*'損益分岐設定'!$C$60+AF221*'損益分岐設定'!$C$63</x:f>
        <x:v>441.58457275390623</x:v>
      </x:c>
      <x:c r="AH221" s="1" t="n">
        <x:f>AD221*'損益分岐設定'!$D$57+AE221*'損益分岐設定'!$D$60+AF221*'損益分岐設定'!$D$63</x:f>
        <x:v>120</x:v>
      </x:c>
      <x:c r="AI221" s="1" t="n">
        <x:f>AD221*'損益分岐設定'!$E$57+AE221*'損益分岐設定'!$E$60+AF221*'損益分岐設定'!$E$63</x:f>
        <x:v>120</x:v>
      </x:c>
      <x:c r="AJ221" s="1" t="n">
        <x:f>(AD221*'損益分岐設定'!$F$57+AE221*'損益分岐設定'!$F$60+AF221*'損益分岐設定'!$F$63*1)*'損益分岐設定'!$B$22</x:f>
        <x:v>480</x:v>
      </x:c>
      <x:c r="AK221" s="1" t="n">
        <x:f>AD221*'損益分岐設定'!$G$57+AE221*'損益分岐設定'!$G$60+AF221*'損益分岐設定'!$G$63</x:f>
        <x:v>800</x:v>
      </x:c>
      <x:c r="AL221" s="1" t="n">
        <x:f>AD221*'損益分岐設定'!$H$57+AE221*'損益分岐設定'!$H$60+AF221*'損益分岐設定'!$H$63</x:f>
        <x:v>666.6666666666666</x:v>
      </x:c>
      <x:c r="AM221" s="1" t="n">
        <x:f>MAX(1,ROUNDUP('損益分岐設定'!C37*AJ221/('損益分岐設定'!$B$23*'損益分岐設定'!$B$24*3600*'損益分岐設定'!$B$25),0))</x:f>
        <x:v>1</x:v>
      </x:c>
      <x:c r="AN221" s="1" t="n">
        <x:f>MAX(2,ROUNDUP('損益分岐設定'!C38*AJ221/('損益分岐設定'!$B$23*'損益分岐設定'!$B$24*3600*'損益分岐設定'!$B$25),0))</x:f>
        <x:v>2</x:v>
      </x:c>
      <x:c r="AO221" s="1" t="n">
        <x:f>MAX(2,ROUNDUP('損益分岐設定'!C39*AJ221/('損益分岐設定'!$B$23*'損益分岐設定'!$B$24*3600*'損益分岐設定'!$B$25),0))</x:f>
        <x:v>2</x:v>
      </x:c>
      <x:c r="AP221" s="1" t="n">
        <x:f>MAX(2,ROUNDUP('損益分岐設定'!C40*AJ221/('損益分岐設定'!$B$23*'損益分岐設定'!$B$24*3600*'損益分岐設定'!$B$25),0))</x:f>
        <x:v>2</x:v>
      </x:c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 ht="23" customHeight="1">
      <x:c r="A222" s="1" t="str">
        <x:v>Hybrid</x:v>
      </x:c>
      <x:c r="B222" s="1" t="str">
        <x:v>Business</x:v>
      </x:c>
      <x:c r="C222" s="1" t="str">
        <x:v>標準</x:v>
      </x:c>
      <x:c r="D222" s="21" t="n">
        <x:v>0.4</x:v>
      </x:c>
      <x:c r="E222" s="1" t="n">
        <x:v>1</x:v>
      </x:c>
      <x:c r="F222" s="7" t="n">
        <x:f>AD222*'損益分岐設定'!$B$5+AE222*'損益分岐設定'!$B$6+AF222*'損益分岐設定'!$B$7</x:f>
        <x:v>5000</x:v>
      </x:c>
      <x:c r="G222" s="7" t="n">
        <x:f>AG222+(AH222+AI222)*('損益分岐設定'!$B$29+0.5*'損益分岐設定'!$B$30)+AK222*'損益分岐設定'!$B$33</x:f>
        <x:v>442.5736429546238</x:v>
      </x:c>
      <x:c r="H222" s="7" t="n">
        <x:f>AL222*E222</x:f>
        <x:v>666.6666666666666</x:v>
      </x:c>
      <x:c r="I222" s="7" t="n">
        <x:f>F222*(1-D222-'損益分岐設定'!$B$10)-G222-H222</x:f>
        <x:v>1710.7596903787094</x:v>
      </x:c>
      <x:c r="J222" s="1" t="n">
        <x:f>IF(MIN(V222:Y222)&gt;1000,"範囲内なし",MIN(V222:Y222))</x:f>
        <x:v>40</x:v>
      </x:c>
      <x:c r="K222" s="1" t="n">
        <x:f>IF(MAX(Z222:AC222)&gt;=1000,"範囲内なし",MAX(1,MAX(Z222:AC222)+1))</x:f>
        <x:v>40</x:v>
      </x:c>
      <x:c r="L222" s="7" t="n">
        <x:f>10*I222-R222</x:f>
        <x:v>-34332.19978651822</x:v>
      </x:c>
      <x:c r="M222" s="7" t="n">
        <x:f>30*I222-S222</x:f>
        <x:v>-17056.80266924935</x:v>
      </x:c>
      <x:c r="N222" s="7" t="n">
        <x:f>50*I222-S222</x:f>
        <x:v>17158.391138324834</x:v>
      </x:c>
      <x:c r="O222" s="7" t="n">
        <x:f>100*I222-S222</x:f>
        <x:v>102696.3756572603</x:v>
      </x:c>
      <x:c r="P222" s="7" t="n">
        <x:f>300*I222-T222</x:f>
        <x:v>422848.3137330022</x:v>
      </x:c>
      <x:c r="Q222" s="7" t="n">
        <x:f>1000*I222-U222</x:f>
        <x:v>1590380.0969980988</x:v>
      </x:c>
      <x:c r="R222" s="7" t="n">
        <x:f>'損益分岐設定'!$B$18+'損益分岐設定'!$B$19+'損益分岐設定'!$B$20+'損益分岐設定'!E37+'損益分岐設定'!D37+AM222*('損益分岐設定'!$B$15+'損益分岐設定'!$B$16)+'損益分岐設定'!$B$17+E222*('損益分岐設定'!$B$13+(AM222-1)*'損益分岐設定'!$B$14)*'損益分岐設定'!$B$11</x:f>
        <x:v>51439.79669030532</x:v>
      </x:c>
      <x:c r="S222" s="7" t="n">
        <x:f>'損益分岐設定'!$B$18+'損益分岐設定'!$B$19+'損益分岐設定'!$B$20+'損益分岐設定'!E38+'損益分岐設定'!D38+AN222*('損益分岐設定'!$B$15+'損益分岐設定'!$B$16)+'損益分岐設定'!$B$17+E222*('損益分岐設定'!$B$13+(AN222-1)*'損益分岐設定'!$B$14)*'損益分岐設定'!$B$11</x:f>
        <x:v>68379.59338061063</x:v>
      </x:c>
      <x:c r="T222" s="7" t="n">
        <x:f>'損益分岐設定'!$B$18+'損益分岐設定'!$B$19+'損益分岐設定'!$B$20+'損益分岐設定'!E39+'損益分岐設定'!D39+AO222*('損益分岐設定'!$B$15+'損益分岐設定'!$B$16)+'損益分岐設定'!$B$17+E222*('損益分岐設定'!$B$13+(AO222-1)*'損益分岐設定'!$B$14)*'損益分岐設定'!$B$11</x:f>
        <x:v>90379.59338061063</x:v>
      </x:c>
      <x:c r="U222" s="7" t="n">
        <x:f>'損益分岐設定'!$B$18+'損益分岐設定'!$B$19+'損益分岐設定'!$B$20+'損益分岐設定'!E40+'損益分岐設定'!D40+AP222*('損益分岐設定'!$B$15+'損益分岐設定'!$B$16)+'損益分岐設定'!$B$17+E222*('損益分岐設定'!$B$13+(AP222-1)*'損益分岐設定'!$B$14)*'損益分岐設定'!$B$11</x:f>
        <x:v>120379.59338061063</x:v>
      </x:c>
      <x:c r="V222" s="1" t="n">
        <x:f>IF(I222&lt;=0,1001,IF(MAX('損益分岐設定'!B37,ROUNDUP(R222/I222,0))&lt;='損益分岐設定'!C37,MAX('損益分岐設定'!B37,ROUNDUP(R222/I222,0)),1001))</x:f>
        <x:v>1001</x:v>
      </x:c>
      <x:c r="W222" s="1" t="n">
        <x:f>IF(I222&lt;=0,1001,IF(MAX('損益分岐設定'!B38,ROUNDUP(S222/I222,0))&lt;='損益分岐設定'!C38,MAX('損益分岐設定'!B38,ROUNDUP(S222/I222,0)),1001))</x:f>
        <x:v>40</x:v>
      </x:c>
      <x:c r="X222" s="1" t="n">
        <x:f>IF(I222&lt;=0,1001,IF(MAX('損益分岐設定'!B39,ROUNDUP(T222/I222,0))&lt;='損益分岐設定'!C39,MAX('損益分岐設定'!B39,ROUNDUP(T222/I222,0)),1001))</x:f>
        <x:v>101</x:v>
      </x:c>
      <x:c r="Y222" s="1" t="n">
        <x:f>IF(I222&lt;=0,1001,IF(MAX('損益分岐設定'!B40,ROUNDUP(U222/I222,0))&lt;='損益分岐設定'!C40,MAX('損益分岐設定'!B40,ROUNDUP(U222/I222,0)),1001))</x:f>
        <x:v>501</x:v>
      </x:c>
      <x:c r="Z222" s="1" t="n">
        <x:f>IF(I222&lt;=0,'損益分岐設定'!C37,IF('損益分岐設定'!C37*I222-R222&lt;0,'損益分岐設定'!C37,IF('損益分岐設定'!B37*I222-R222&gt;=0,0,ROUNDUP(R222/I222,0)-1)))</x:f>
        <x:v>10</x:v>
      </x:c>
      <x:c r="AA222" s="1" t="n">
        <x:f>IF(I222&lt;=0,'損益分岐設定'!C38,IF('損益分岐設定'!C38*I222-S222&lt;0,'損益分岐設定'!C38,IF('損益分岐設定'!B38*I222-S222&gt;=0,0,ROUNDUP(S222/I222,0)-1)))</x:f>
        <x:v>39</x:v>
      </x:c>
      <x:c r="AB222" s="1" t="n">
        <x:f>IF(I222&lt;=0,'損益分岐設定'!C39,IF('損益分岐設定'!C39*I222-T222&lt;0,'損益分岐設定'!C39,IF('損益分岐設定'!B39*I222-T222&gt;=0,0,ROUNDUP(T222/I222,0)-1)))</x:f>
        <x:v>0</x:v>
      </x:c>
      <x:c r="AC222" s="1" t="n">
        <x:f>IF(I222&lt;=0,'損益分岐設定'!C40,IF('損益分岐設定'!C40*I222-U222&lt;0,'損益分岐設定'!C40,IF('損益分岐設定'!B40*I222-U222&gt;=0,0,ROUNDUP(U222/I222,0)-1)))</x:f>
        <x:v>0</x:v>
      </x:c>
      <x:c r="AD222" s="1" t="n">
        <x:v>0</x:v>
      </x:c>
      <x:c r="AE222" s="1" t="n">
        <x:v>1</x:v>
      </x:c>
      <x:c r="AF222" s="1" t="n">
        <x:v>0</x:v>
      </x:c>
      <x:c r="AG222" s="1" t="n">
        <x:f>AD222*'損益分岐設定'!$C$57+AE222*'損益分岐設定'!$C$60+AF222*'損益分岐設定'!$C$63</x:f>
        <x:v>441.58457275390623</x:v>
      </x:c>
      <x:c r="AH222" s="1" t="n">
        <x:f>AD222*'損益分岐設定'!$D$57+AE222*'損益分岐設定'!$D$60+AF222*'損益分岐設定'!$D$63</x:f>
        <x:v>120</x:v>
      </x:c>
      <x:c r="AI222" s="1" t="n">
        <x:f>AD222*'損益分岐設定'!$E$57+AE222*'損益分岐設定'!$E$60+AF222*'損益分岐設定'!$E$63</x:f>
        <x:v>120</x:v>
      </x:c>
      <x:c r="AJ222" s="1" t="n">
        <x:f>(AD222*'損益分岐設定'!$F$57+AE222*'損益分岐設定'!$F$60+AF222*'損益分岐設定'!$F$63*1)*'損益分岐設定'!$B$22</x:f>
        <x:v>480</x:v>
      </x:c>
      <x:c r="AK222" s="1" t="n">
        <x:f>AD222*'損益分岐設定'!$G$57+AE222*'損益分岐設定'!$G$60+AF222*'損益分岐設定'!$G$63</x:f>
        <x:v>800</x:v>
      </x:c>
      <x:c r="AL222" s="1" t="n">
        <x:f>AD222*'損益分岐設定'!$H$57+AE222*'損益分岐設定'!$H$60+AF222*'損益分岐設定'!$H$63</x:f>
        <x:v>666.6666666666666</x:v>
      </x:c>
      <x:c r="AM222" s="1" t="n">
        <x:f>MAX(1,ROUNDUP('損益分岐設定'!C37*AJ222/('損益分岐設定'!$B$23*'損益分岐設定'!$B$24*3600*'損益分岐設定'!$B$25),0))</x:f>
        <x:v>1</x:v>
      </x:c>
      <x:c r="AN222" s="1" t="n">
        <x:f>MAX(2,ROUNDUP('損益分岐設定'!C38*AJ222/('損益分岐設定'!$B$23*'損益分岐設定'!$B$24*3600*'損益分岐設定'!$B$25),0))</x:f>
        <x:v>2</x:v>
      </x:c>
      <x:c r="AO222" s="1" t="n">
        <x:f>MAX(2,ROUNDUP('損益分岐設定'!C39*AJ222/('損益分岐設定'!$B$23*'損益分岐設定'!$B$24*3600*'損益分岐設定'!$B$25),0))</x:f>
        <x:v>2</x:v>
      </x:c>
      <x:c r="AP222" s="1" t="n">
        <x:f>MAX(2,ROUNDUP('損益分岐設定'!C40*AJ222/('損益分岐設定'!$B$23*'損益分岐設定'!$B$24*3600*'損益分岐設定'!$B$25),0))</x:f>
        <x:v>2</x:v>
      </x:c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 ht="23" customHeight="1">
      <x:c r="A223" s="1" t="str">
        <x:v>Hybrid</x:v>
      </x:c>
      <x:c r="B223" s="1" t="str">
        <x:v>Business</x:v>
      </x:c>
      <x:c r="C223" s="1" t="str">
        <x:v>標準</x:v>
      </x:c>
      <x:c r="D223" s="21" t="n">
        <x:v>0.5</x:v>
      </x:c>
      <x:c r="E223" s="1" t="n">
        <x:v>0</x:v>
      </x:c>
      <x:c r="F223" s="7" t="n">
        <x:f>AD223*'損益分岐設定'!$B$5+AE223*'損益分岐設定'!$B$6+AF223*'損益分岐設定'!$B$7</x:f>
        <x:v>5000</x:v>
      </x:c>
      <x:c r="G223" s="7" t="n">
        <x:f>AG223+(AH223+AI223)*('損益分岐設定'!$B$29+0.5*'損益分岐設定'!$B$30)+AK223*'損益分岐設定'!$B$33</x:f>
        <x:v>442.5736429546238</x:v>
      </x:c>
      <x:c r="H223" s="7" t="n">
        <x:f>AL223*E223</x:f>
        <x:v>0</x:v>
      </x:c>
      <x:c r="I223" s="7" t="n">
        <x:f>F223*(1-D223-'損益分岐設定'!$B$10)-G223-H223</x:f>
        <x:v>1877.4263570453763</x:v>
      </x:c>
      <x:c r="J223" s="1" t="n">
        <x:f>IF(MIN(V223:Y223)&gt;1000,"範囲内なし",MIN(V223:Y223))</x:f>
        <x:v>27</x:v>
      </x:c>
      <x:c r="K223" s="1" t="n">
        <x:f>IF(MAX(Z223:AC223)&gt;=1000,"範囲内なし",MAX(1,MAX(Z223:AC223)+1))</x:f>
        <x:v>27</x:v>
      </x:c>
      <x:c r="L223" s="7" t="n">
        <x:f>10*I223-R223</x:f>
        <x:v>-16665.533119851552</x:v>
      </x:c>
      <x:c r="M223" s="7" t="n">
        <x:f>30*I223-S223</x:f>
        <x:v>5943.197330750656</x:v>
      </x:c>
      <x:c r="N223" s="7" t="n">
        <x:f>50*I223-S223</x:f>
        <x:v>43491.72447165818</x:v>
      </x:c>
      <x:c r="O223" s="7" t="n">
        <x:f>100*I223-S223</x:f>
        <x:v>137363.042323927</x:v>
      </x:c>
      <x:c r="P223" s="7" t="n">
        <x:f>300*I223-T223</x:f>
        <x:v>490848.31373300223</x:v>
      </x:c>
      <x:c r="Q223" s="7" t="n">
        <x:f>1000*I223-U223</x:f>
        <x:v>1775046.7636647657</x:v>
      </x:c>
      <x:c r="R223" s="7" t="n">
        <x:f>'損益分岐設定'!$B$18+'損益分岐設定'!$B$19+'損益分岐設定'!$B$20+'損益分岐設定'!E37+'損益分岐設定'!D37+AM223*('損益分岐設定'!$B$15+'損益分岐設定'!$B$16)+'損益分岐設定'!$B$17+E223*('損益分岐設定'!$B$13+(AM223-1)*'損益分岐設定'!$B$14)*'損益分岐設定'!$B$11</x:f>
        <x:v>35439.79669030532</x:v>
      </x:c>
      <x:c r="S223" s="7" t="n">
        <x:f>'損益分岐設定'!$B$18+'損益分岐設定'!$B$19+'損益分岐設定'!$B$20+'損益分岐設定'!E38+'損益分岐設定'!D38+AN223*('損益分岐設定'!$B$15+'損益分岐設定'!$B$16)+'損益分岐設定'!$B$17+E223*('損益分岐設定'!$B$13+(AN223-1)*'損益分岐設定'!$B$14)*'損益分岐設定'!$B$11</x:f>
        <x:v>50379.59338061063</x:v>
      </x:c>
      <x:c r="T223" s="7" t="n">
        <x:f>'損益分岐設定'!$B$18+'損益分岐設定'!$B$19+'損益分岐設定'!$B$20+'損益分岐設定'!E39+'損益分岐設定'!D39+AO223*('損益分岐設定'!$B$15+'損益分岐設定'!$B$16)+'損益分岐設定'!$B$17+E223*('損益分岐設定'!$B$13+(AO223-1)*'損益分岐設定'!$B$14)*'損益分岐設定'!$B$11</x:f>
        <x:v>72379.59338061063</x:v>
      </x:c>
      <x:c r="U223" s="7" t="n">
        <x:f>'損益分岐設定'!$B$18+'損益分岐設定'!$B$19+'損益分岐設定'!$B$20+'損益分岐設定'!E40+'損益分岐設定'!D40+AP223*('損益分岐設定'!$B$15+'損益分岐設定'!$B$16)+'損益分岐設定'!$B$17+E223*('損益分岐設定'!$B$13+(AP223-1)*'損益分岐設定'!$B$14)*'損益分岐設定'!$B$11</x:f>
        <x:v>102379.59338061063</x:v>
      </x:c>
      <x:c r="V223" s="1" t="n">
        <x:f>IF(I223&lt;=0,1001,IF(MAX('損益分岐設定'!B37,ROUNDUP(R223/I223,0))&lt;='損益分岐設定'!C37,MAX('損益分岐設定'!B37,ROUNDUP(R223/I223,0)),1001))</x:f>
        <x:v>1001</x:v>
      </x:c>
      <x:c r="W223" s="1" t="n">
        <x:f>IF(I223&lt;=0,1001,IF(MAX('損益分岐設定'!B38,ROUNDUP(S223/I223,0))&lt;='損益分岐設定'!C38,MAX('損益分岐設定'!B38,ROUNDUP(S223/I223,0)),1001))</x:f>
        <x:v>27</x:v>
      </x:c>
      <x:c r="X223" s="1" t="n">
        <x:f>IF(I223&lt;=0,1001,IF(MAX('損益分岐設定'!B39,ROUNDUP(T223/I223,0))&lt;='損益分岐設定'!C39,MAX('損益分岐設定'!B39,ROUNDUP(T223/I223,0)),1001))</x:f>
        <x:v>101</x:v>
      </x:c>
      <x:c r="Y223" s="1" t="n">
        <x:f>IF(I223&lt;=0,1001,IF(MAX('損益分岐設定'!B40,ROUNDUP(U223/I223,0))&lt;='損益分岐設定'!C40,MAX('損益分岐設定'!B40,ROUNDUP(U223/I223,0)),1001))</x:f>
        <x:v>501</x:v>
      </x:c>
      <x:c r="Z223" s="1" t="n">
        <x:f>IF(I223&lt;=0,'損益分岐設定'!C37,IF('損益分岐設定'!C37*I223-R223&lt;0,'損益分岐設定'!C37,IF('損益分岐設定'!B37*I223-R223&gt;=0,0,ROUNDUP(R223/I223,0)-1)))</x:f>
        <x:v>10</x:v>
      </x:c>
      <x:c r="AA223" s="1" t="n">
        <x:f>IF(I223&lt;=0,'損益分岐設定'!C38,IF('損益分岐設定'!C38*I223-S223&lt;0,'損益分岐設定'!C38,IF('損益分岐設定'!B38*I223-S223&gt;=0,0,ROUNDUP(S223/I223,0)-1)))</x:f>
        <x:v>26</x:v>
      </x:c>
      <x:c r="AB223" s="1" t="n">
        <x:f>IF(I223&lt;=0,'損益分岐設定'!C39,IF('損益分岐設定'!C39*I223-T223&lt;0,'損益分岐設定'!C39,IF('損益分岐設定'!B39*I223-T223&gt;=0,0,ROUNDUP(T223/I223,0)-1)))</x:f>
        <x:v>0</x:v>
      </x:c>
      <x:c r="AC223" s="1" t="n">
        <x:f>IF(I223&lt;=0,'損益分岐設定'!C40,IF('損益分岐設定'!C40*I223-U223&lt;0,'損益分岐設定'!C40,IF('損益分岐設定'!B40*I223-U223&gt;=0,0,ROUNDUP(U223/I223,0)-1)))</x:f>
        <x:v>0</x:v>
      </x:c>
      <x:c r="AD223" s="1" t="n">
        <x:v>0</x:v>
      </x:c>
      <x:c r="AE223" s="1" t="n">
        <x:v>1</x:v>
      </x:c>
      <x:c r="AF223" s="1" t="n">
        <x:v>0</x:v>
      </x:c>
      <x:c r="AG223" s="1" t="n">
        <x:f>AD223*'損益分岐設定'!$C$57+AE223*'損益分岐設定'!$C$60+AF223*'損益分岐設定'!$C$63</x:f>
        <x:v>441.58457275390623</x:v>
      </x:c>
      <x:c r="AH223" s="1" t="n">
        <x:f>AD223*'損益分岐設定'!$D$57+AE223*'損益分岐設定'!$D$60+AF223*'損益分岐設定'!$D$63</x:f>
        <x:v>120</x:v>
      </x:c>
      <x:c r="AI223" s="1" t="n">
        <x:f>AD223*'損益分岐設定'!$E$57+AE223*'損益分岐設定'!$E$60+AF223*'損益分岐設定'!$E$63</x:f>
        <x:v>120</x:v>
      </x:c>
      <x:c r="AJ223" s="1" t="n">
        <x:f>(AD223*'損益分岐設定'!$F$57+AE223*'損益分岐設定'!$F$60+AF223*'損益分岐設定'!$F$63*1)*'損益分岐設定'!$B$22</x:f>
        <x:v>480</x:v>
      </x:c>
      <x:c r="AK223" s="1" t="n">
        <x:f>AD223*'損益分岐設定'!$G$57+AE223*'損益分岐設定'!$G$60+AF223*'損益分岐設定'!$G$63</x:f>
        <x:v>800</x:v>
      </x:c>
      <x:c r="AL223" s="1" t="n">
        <x:f>AD223*'損益分岐設定'!$H$57+AE223*'損益分岐設定'!$H$60+AF223*'損益分岐設定'!$H$63</x:f>
        <x:v>666.6666666666666</x:v>
      </x:c>
      <x:c r="AM223" s="1" t="n">
        <x:f>MAX(1,ROUNDUP('損益分岐設定'!C37*AJ223/('損益分岐設定'!$B$23*'損益分岐設定'!$B$24*3600*'損益分岐設定'!$B$25),0))</x:f>
        <x:v>1</x:v>
      </x:c>
      <x:c r="AN223" s="1" t="n">
        <x:f>MAX(2,ROUNDUP('損益分岐設定'!C38*AJ223/('損益分岐設定'!$B$23*'損益分岐設定'!$B$24*3600*'損益分岐設定'!$B$25),0))</x:f>
        <x:v>2</x:v>
      </x:c>
      <x:c r="AO223" s="1" t="n">
        <x:f>MAX(2,ROUNDUP('損益分岐設定'!C39*AJ223/('損益分岐設定'!$B$23*'損益分岐設定'!$B$24*3600*'損益分岐設定'!$B$25),0))</x:f>
        <x:v>2</x:v>
      </x:c>
      <x:c r="AP223" s="1" t="n">
        <x:f>MAX(2,ROUNDUP('損益分岐設定'!C40*AJ223/('損益分岐設定'!$B$23*'損益分岐設定'!$B$24*3600*'損益分岐設定'!$B$25),0))</x:f>
        <x:v>2</x:v>
      </x:c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 ht="23" customHeight="1">
      <x:c r="A224" s="1" t="str">
        <x:v>Hybrid</x:v>
      </x:c>
      <x:c r="B224" s="1" t="str">
        <x:v>Business</x:v>
      </x:c>
      <x:c r="C224" s="1" t="str">
        <x:v>標準</x:v>
      </x:c>
      <x:c r="D224" s="21" t="n">
        <x:v>0.5</x:v>
      </x:c>
      <x:c r="E224" s="1" t="n">
        <x:v>1</x:v>
      </x:c>
      <x:c r="F224" s="7" t="n">
        <x:f>AD224*'損益分岐設定'!$B$5+AE224*'損益分岐設定'!$B$6+AF224*'損益分岐設定'!$B$7</x:f>
        <x:v>5000</x:v>
      </x:c>
      <x:c r="G224" s="7" t="n">
        <x:f>AG224+(AH224+AI224)*('損益分岐設定'!$B$29+0.5*'損益分岐設定'!$B$30)+AK224*'損益分岐設定'!$B$33</x:f>
        <x:v>442.5736429546238</x:v>
      </x:c>
      <x:c r="H224" s="7" t="n">
        <x:f>AL224*E224</x:f>
        <x:v>666.6666666666666</x:v>
      </x:c>
      <x:c r="I224" s="7" t="n">
        <x:f>F224*(1-D224-'損益分岐設定'!$B$10)-G224-H224</x:f>
        <x:v>1210.7596903787098</x:v>
      </x:c>
      <x:c r="J224" s="1" t="n">
        <x:f>IF(MIN(V224:Y224)&gt;1000,"範囲内なし",MIN(V224:Y224))</x:f>
        <x:v>57</x:v>
      </x:c>
      <x:c r="K224" s="1" t="n">
        <x:f>IF(MAX(Z224:AC224)&gt;=1000,"範囲内なし",MAX(1,MAX(Z224:AC224)+1))</x:f>
        <x:v>57</x:v>
      </x:c>
      <x:c r="L224" s="7" t="n">
        <x:f>10*I224-R224</x:f>
        <x:v>-39332.19978651822</x:v>
      </x:c>
      <x:c r="M224" s="7" t="n">
        <x:f>30*I224-S224</x:f>
        <x:v>-32056.802669249337</x:v>
      </x:c>
      <x:c r="N224" s="7" t="n">
        <x:f>50*I224-S224</x:f>
        <x:v>-7841.608861675144</x:v>
      </x:c>
      <x:c r="O224" s="7" t="n">
        <x:f>100*I224-S224</x:f>
        <x:v>52696.375657260345</x:v>
      </x:c>
      <x:c r="P224" s="7" t="n">
        <x:f>300*I224-T224</x:f>
        <x:v>272848.3137330023</x:v>
      </x:c>
      <x:c r="Q224" s="7" t="n">
        <x:f>1000*I224-U224</x:f>
        <x:v>1090380.0969980992</x:v>
      </x:c>
      <x:c r="R224" s="7" t="n">
        <x:f>'損益分岐設定'!$B$18+'損益分岐設定'!$B$19+'損益分岐設定'!$B$20+'損益分岐設定'!E37+'損益分岐設定'!D37+AM224*('損益分岐設定'!$B$15+'損益分岐設定'!$B$16)+'損益分岐設定'!$B$17+E224*('損益分岐設定'!$B$13+(AM224-1)*'損益分岐設定'!$B$14)*'損益分岐設定'!$B$11</x:f>
        <x:v>51439.79669030532</x:v>
      </x:c>
      <x:c r="S224" s="7" t="n">
        <x:f>'損益分岐設定'!$B$18+'損益分岐設定'!$B$19+'損益分岐設定'!$B$20+'損益分岐設定'!E38+'損益分岐設定'!D38+AN224*('損益分岐設定'!$B$15+'損益分岐設定'!$B$16)+'損益分岐設定'!$B$17+E224*('損益分岐設定'!$B$13+(AN224-1)*'損益分岐設定'!$B$14)*'損益分岐設定'!$B$11</x:f>
        <x:v>68379.59338061063</x:v>
      </x:c>
      <x:c r="T224" s="7" t="n">
        <x:f>'損益分岐設定'!$B$18+'損益分岐設定'!$B$19+'損益分岐設定'!$B$20+'損益分岐設定'!E39+'損益分岐設定'!D39+AO224*('損益分岐設定'!$B$15+'損益分岐設定'!$B$16)+'損益分岐設定'!$B$17+E224*('損益分岐設定'!$B$13+(AO224-1)*'損益分岐設定'!$B$14)*'損益分岐設定'!$B$11</x:f>
        <x:v>90379.59338061063</x:v>
      </x:c>
      <x:c r="U224" s="7" t="n">
        <x:f>'損益分岐設定'!$B$18+'損益分岐設定'!$B$19+'損益分岐設定'!$B$20+'損益分岐設定'!E40+'損益分岐設定'!D40+AP224*('損益分岐設定'!$B$15+'損益分岐設定'!$B$16)+'損益分岐設定'!$B$17+E224*('損益分岐設定'!$B$13+(AP224-1)*'損益分岐設定'!$B$14)*'損益分岐設定'!$B$11</x:f>
        <x:v>120379.59338061063</x:v>
      </x:c>
      <x:c r="V224" s="1" t="n">
        <x:f>IF(I224&lt;=0,1001,IF(MAX('損益分岐設定'!B37,ROUNDUP(R224/I224,0))&lt;='損益分岐設定'!C37,MAX('損益分岐設定'!B37,ROUNDUP(R224/I224,0)),1001))</x:f>
        <x:v>1001</x:v>
      </x:c>
      <x:c r="W224" s="1" t="n">
        <x:f>IF(I224&lt;=0,1001,IF(MAX('損益分岐設定'!B38,ROUNDUP(S224/I224,0))&lt;='損益分岐設定'!C38,MAX('損益分岐設定'!B38,ROUNDUP(S224/I224,0)),1001))</x:f>
        <x:v>57</x:v>
      </x:c>
      <x:c r="X224" s="1" t="n">
        <x:f>IF(I224&lt;=0,1001,IF(MAX('損益分岐設定'!B39,ROUNDUP(T224/I224,0))&lt;='損益分岐設定'!C39,MAX('損益分岐設定'!B39,ROUNDUP(T224/I224,0)),1001))</x:f>
        <x:v>101</x:v>
      </x:c>
      <x:c r="Y224" s="1" t="n">
        <x:f>IF(I224&lt;=0,1001,IF(MAX('損益分岐設定'!B40,ROUNDUP(U224/I224,0))&lt;='損益分岐設定'!C40,MAX('損益分岐設定'!B40,ROUNDUP(U224/I224,0)),1001))</x:f>
        <x:v>501</x:v>
      </x:c>
      <x:c r="Z224" s="1" t="n">
        <x:f>IF(I224&lt;=0,'損益分岐設定'!C37,IF('損益分岐設定'!C37*I224-R224&lt;0,'損益分岐設定'!C37,IF('損益分岐設定'!B37*I224-R224&gt;=0,0,ROUNDUP(R224/I224,0)-1)))</x:f>
        <x:v>10</x:v>
      </x:c>
      <x:c r="AA224" s="1" t="n">
        <x:f>IF(I224&lt;=0,'損益分岐設定'!C38,IF('損益分岐設定'!C38*I224-S224&lt;0,'損益分岐設定'!C38,IF('損益分岐設定'!B38*I224-S224&gt;=0,0,ROUNDUP(S224/I224,0)-1)))</x:f>
        <x:v>56</x:v>
      </x:c>
      <x:c r="AB224" s="1" t="n">
        <x:f>IF(I224&lt;=0,'損益分岐設定'!C39,IF('損益分岐設定'!C39*I224-T224&lt;0,'損益分岐設定'!C39,IF('損益分岐設定'!B39*I224-T224&gt;=0,0,ROUNDUP(T224/I224,0)-1)))</x:f>
        <x:v>0</x:v>
      </x:c>
      <x:c r="AC224" s="1" t="n">
        <x:f>IF(I224&lt;=0,'損益分岐設定'!C40,IF('損益分岐設定'!C40*I224-U224&lt;0,'損益分岐設定'!C40,IF('損益分岐設定'!B40*I224-U224&gt;=0,0,ROUNDUP(U224/I224,0)-1)))</x:f>
        <x:v>0</x:v>
      </x:c>
      <x:c r="AD224" s="1" t="n">
        <x:v>0</x:v>
      </x:c>
      <x:c r="AE224" s="1" t="n">
        <x:v>1</x:v>
      </x:c>
      <x:c r="AF224" s="1" t="n">
        <x:v>0</x:v>
      </x:c>
      <x:c r="AG224" s="1" t="n">
        <x:f>AD224*'損益分岐設定'!$C$57+AE224*'損益分岐設定'!$C$60+AF224*'損益分岐設定'!$C$63</x:f>
        <x:v>441.58457275390623</x:v>
      </x:c>
      <x:c r="AH224" s="1" t="n">
        <x:f>AD224*'損益分岐設定'!$D$57+AE224*'損益分岐設定'!$D$60+AF224*'損益分岐設定'!$D$63</x:f>
        <x:v>120</x:v>
      </x:c>
      <x:c r="AI224" s="1" t="n">
        <x:f>AD224*'損益分岐設定'!$E$57+AE224*'損益分岐設定'!$E$60+AF224*'損益分岐設定'!$E$63</x:f>
        <x:v>120</x:v>
      </x:c>
      <x:c r="AJ224" s="1" t="n">
        <x:f>(AD224*'損益分岐設定'!$F$57+AE224*'損益分岐設定'!$F$60+AF224*'損益分岐設定'!$F$63*1)*'損益分岐設定'!$B$22</x:f>
        <x:v>480</x:v>
      </x:c>
      <x:c r="AK224" s="1" t="n">
        <x:f>AD224*'損益分岐設定'!$G$57+AE224*'損益分岐設定'!$G$60+AF224*'損益分岐設定'!$G$63</x:f>
        <x:v>800</x:v>
      </x:c>
      <x:c r="AL224" s="1" t="n">
        <x:f>AD224*'損益分岐設定'!$H$57+AE224*'損益分岐設定'!$H$60+AF224*'損益分岐設定'!$H$63</x:f>
        <x:v>666.6666666666666</x:v>
      </x:c>
      <x:c r="AM224" s="1" t="n">
        <x:f>MAX(1,ROUNDUP('損益分岐設定'!C37*AJ224/('損益分岐設定'!$B$23*'損益分岐設定'!$B$24*3600*'損益分岐設定'!$B$25),0))</x:f>
        <x:v>1</x:v>
      </x:c>
      <x:c r="AN224" s="1" t="n">
        <x:f>MAX(2,ROUNDUP('損益分岐設定'!C38*AJ224/('損益分岐設定'!$B$23*'損益分岐設定'!$B$24*3600*'損益分岐設定'!$B$25),0))</x:f>
        <x:v>2</x:v>
      </x:c>
      <x:c r="AO224" s="1" t="n">
        <x:f>MAX(2,ROUNDUP('損益分岐設定'!C39*AJ224/('損益分岐設定'!$B$23*'損益分岐設定'!$B$24*3600*'損益分岐設定'!$B$25),0))</x:f>
        <x:v>2</x:v>
      </x:c>
      <x:c r="AP224" s="1" t="n">
        <x:f>MAX(2,ROUNDUP('損益分岐設定'!C40*AJ224/('損益分岐設定'!$B$23*'損益分岐設定'!$B$24*3600*'損益分岐設定'!$B$25),0))</x:f>
        <x:v>2</x:v>
      </x:c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 ht="23" customHeight="1">
      <x:c r="A225" s="1" t="str">
        <x:v>Hybrid</x:v>
      </x:c>
      <x:c r="B225" s="1" t="str">
        <x:v>Business</x:v>
      </x:c>
      <x:c r="C225" s="1" t="str">
        <x:v>高位</x:v>
      </x:c>
      <x:c r="D225" s="21" t="n">
        <x:v>0</x:v>
      </x:c>
      <x:c r="E225" s="1" t="n">
        <x:v>0</x:v>
      </x:c>
      <x:c r="F225" s="7" t="n">
        <x:f>AD225*'損益分岐設定'!$B$5+AE225*'損益分岐設定'!$B$6+AF225*'損益分岐設定'!$B$7</x:f>
        <x:v>5000</x:v>
      </x:c>
      <x:c r="G225" s="7" t="n">
        <x:f>AG225+(AH225+AI225)*('損益分岐設定'!$B$29+0.5*'損益分岐設定'!$B$30)+AK225*'損益分岐設定'!$B$33</x:f>
        <x:v>9919.333372881263</x:v>
      </x:c>
      <x:c r="H225" s="7" t="n">
        <x:f>AL225*E225</x:f>
        <x:v>0</x:v>
      </x:c>
      <x:c r="I225" s="7" t="n">
        <x:f>F225*(1-D225-'損益分岐設定'!$B$10)-G225-H225</x:f>
        <x:v>-5099.333372881263</x:v>
      </x:c>
      <x:c r="J225" s="1" t="str">
        <x:f>IF(MIN(V225:Y225)&gt;1000,"範囲内なし",MIN(V225:Y225))</x:f>
        <x:v>範囲内なし</x:v>
      </x:c>
      <x:c r="K225" s="1" t="str">
        <x:f>IF(MAX(Z225:AC225)&gt;=1000,"範囲内なし",MAX(1,MAX(Z225:AC225)+1))</x:f>
        <x:v>範囲内なし</x:v>
      </x:c>
      <x:c r="L225" s="7" t="n">
        <x:f>10*I225-R225</x:f>
        <x:v>-86433.13041911795</x:v>
      </x:c>
      <x:c r="M225" s="7" t="n">
        <x:f>30*I225-S225</x:f>
        <x:v>-203359.59456704854</x:v>
      </x:c>
      <x:c r="N225" s="7" t="n">
        <x:f>50*I225-S225</x:f>
        <x:v>-305346.26202467375</x:v>
      </x:c>
      <x:c r="O225" s="7" t="n">
        <x:f>100*I225-S225</x:f>
        <x:v>-560312.9306687369</x:v>
      </x:c>
      <x:c r="P225" s="7" t="n">
        <x:f>300*I225-T225</x:f>
        <x:v>-1664818.3853868216</x:v>
      </x:c>
      <x:c r="Q225" s="7" t="n">
        <x:f>1000*I225-U225</x:f>
        <x:v>-5337430.323235843</x:v>
      </x:c>
      <x:c r="R225" s="7" t="n">
        <x:f>'損益分岐設定'!$B$18+'損益分岐設定'!$B$19+'損益分岐設定'!$B$20+'損益分岐設定'!E37+'損益分岐設定'!D37+AM225*('損益分岐設定'!$B$15+'損益分岐設定'!$B$16)+'損益分岐設定'!$B$17+E225*('損益分岐設定'!$B$13+(AM225-1)*'損益分岐設定'!$B$14)*'損益分岐設定'!$B$11</x:f>
        <x:v>35439.79669030532</x:v>
      </x:c>
      <x:c r="S225" s="7" t="n">
        <x:f>'損益分岐設定'!$B$18+'損益分岐設定'!$B$19+'損益分岐設定'!$B$20+'損益分岐設定'!E38+'損益分岐設定'!D38+AN225*('損益分岐設定'!$B$15+'損益分岐設定'!$B$16)+'損益分岐設定'!$B$17+E225*('損益分岐設定'!$B$13+(AN225-1)*'損益分岐設定'!$B$14)*'損益分岐設定'!$B$11</x:f>
        <x:v>50379.59338061063</x:v>
      </x:c>
      <x:c r="T225" s="7" t="n">
        <x:f>'損益分岐設定'!$B$18+'損益分岐設定'!$B$19+'損益分岐設定'!$B$20+'損益分岐設定'!E39+'損益分岐設定'!D39+AO225*('損益分岐設定'!$B$15+'損益分岐設定'!$B$16)+'損益分岐設定'!$B$17+E225*('損益分岐設定'!$B$13+(AO225-1)*'損益分岐設定'!$B$14)*'損益分岐設定'!$B$11</x:f>
        <x:v>135018.37352244253</x:v>
      </x:c>
      <x:c r="U225" s="7" t="n">
        <x:f>'損益分岐設定'!$B$18+'損益分岐設定'!$B$19+'損益分岐設定'!$B$20+'損益分岐設定'!E40+'損益分岐設定'!D40+AP225*('損益分岐設定'!$B$15+'損益分岐設定'!$B$16)+'損益分岐設定'!$B$17+E225*('損益分岐設定'!$B$13+(AP225-1)*'損益分岐設定'!$B$14)*'損益分岐設定'!$B$11</x:f>
        <x:v>238096.95035457978</x:v>
      </x:c>
      <x:c r="V225" s="1" t="n">
        <x:f>IF(I225&lt;=0,1001,IF(MAX('損益分岐設定'!B37,ROUNDUP(R225/I225,0))&lt;='損益分岐設定'!C37,MAX('損益分岐設定'!B37,ROUNDUP(R225/I225,0)),1001))</x:f>
        <x:v>1001</x:v>
      </x:c>
      <x:c r="W225" s="1" t="n">
        <x:f>IF(I225&lt;=0,1001,IF(MAX('損益分岐設定'!B38,ROUNDUP(S225/I225,0))&lt;='損益分岐設定'!C38,MAX('損益分岐設定'!B38,ROUNDUP(S225/I225,0)),1001))</x:f>
        <x:v>1001</x:v>
      </x:c>
      <x:c r="X225" s="1" t="n">
        <x:f>IF(I225&lt;=0,1001,IF(MAX('損益分岐設定'!B39,ROUNDUP(T225/I225,0))&lt;='損益分岐設定'!C39,MAX('損益分岐設定'!B39,ROUNDUP(T225/I225,0)),1001))</x:f>
        <x:v>1001</x:v>
      </x:c>
      <x:c r="Y225" s="1" t="n">
        <x:f>IF(I225&lt;=0,1001,IF(MAX('損益分岐設定'!B40,ROUNDUP(U225/I225,0))&lt;='損益分岐設定'!C40,MAX('損益分岐設定'!B40,ROUNDUP(U225/I225,0)),1001))</x:f>
        <x:v>1001</x:v>
      </x:c>
      <x:c r="Z225" s="1" t="n">
        <x:f>IF(I225&lt;=0,'損益分岐設定'!C37,IF('損益分岐設定'!C37*I225-R225&lt;0,'損益分岐設定'!C37,IF('損益分岐設定'!B37*I225-R225&gt;=0,0,ROUNDUP(R225/I225,0)-1)))</x:f>
        <x:v>10</x:v>
      </x:c>
      <x:c r="AA225" s="1" t="n">
        <x:f>IF(I225&lt;=0,'損益分岐設定'!C38,IF('損益分岐設定'!C38*I225-S225&lt;0,'損益分岐設定'!C38,IF('損益分岐設定'!B38*I225-S225&gt;=0,0,ROUNDUP(S225/I225,0)-1)))</x:f>
        <x:v>100</x:v>
      </x:c>
      <x:c r="AB225" s="1" t="n">
        <x:f>IF(I225&lt;=0,'損益分岐設定'!C39,IF('損益分岐設定'!C39*I225-T225&lt;0,'損益分岐設定'!C39,IF('損益分岐設定'!B39*I225-T225&gt;=0,0,ROUNDUP(T225/I225,0)-1)))</x:f>
        <x:v>500</x:v>
      </x:c>
      <x:c r="AC225" s="1" t="n">
        <x:f>IF(I225&lt;=0,'損益分岐設定'!C40,IF('損益分岐設定'!C40*I225-U225&lt;0,'損益分岐設定'!C40,IF('損益分岐設定'!B40*I225-U225&gt;=0,0,ROUNDUP(U225/I225,0)-1)))</x:f>
        <x:v>1000</x:v>
      </x:c>
      <x:c r="AD225" s="1" t="n">
        <x:v>0</x:v>
      </x:c>
      <x:c r="AE225" s="1" t="n">
        <x:v>1</x:v>
      </x:c>
      <x:c r="AF225" s="1" t="n">
        <x:v>0</x:v>
      </x:c>
      <x:c r="AG225" s="1" t="n">
        <x:f>AD225*'損益分岐設定'!$C$58+AE225*'損益分岐設定'!$C$61+AF225*'損益分岐設定'!$C$64</x:f>
        <x:v>9914.705791015625</x:v>
      </x:c>
      <x:c r="AH225" s="1" t="n">
        <x:f>AD225*'損益分岐設定'!$D$58+AE225*'損益分岐設定'!$D$61+AF225*'損益分岐設定'!$D$64</x:f>
        <x:v>480</x:v>
      </x:c>
      <x:c r="AI225" s="1" t="n">
        <x:f>AD225*'損益分岐設定'!$E$58+AE225*'損益分岐設定'!$E$61+AF225*'損益分岐設定'!$E$64</x:f>
        <x:v>640</x:v>
      </x:c>
      <x:c r="AJ225" s="1" t="n">
        <x:f>(AD225*'損益分岐設定'!$F$58+AE225*'損益分岐設定'!$F$61+AF225*'損益分岐設定'!$F$64*1)*'損益分岐設定'!$B$22</x:f>
        <x:v>7200</x:v>
      </x:c>
      <x:c r="AK225" s="1" t="n">
        <x:f>AD225*'損益分岐設定'!$G$58+AE225*'損益分岐設定'!$G$61+AF225*'損益分岐設定'!$G$64</x:f>
        <x:v>4800</x:v>
      </x:c>
      <x:c r="AL225" s="1" t="n">
        <x:f>AD225*'損益分岐設定'!$H$58+AE225*'損益分岐設定'!$H$61+AF225*'損益分岐設定'!$H$64</x:f>
        <x:v>1466.6666666666665</x:v>
      </x:c>
      <x:c r="AM225" s="1" t="n">
        <x:f>MAX(1,ROUNDUP('損益分岐設定'!C37*AJ225/('損益分岐設定'!$B$23*'損益分岐設定'!$B$24*3600*'損益分岐設定'!$B$25),0))</x:f>
        <x:v>1</x:v>
      </x:c>
      <x:c r="AN225" s="1" t="n">
        <x:f>MAX(2,ROUNDUP('損益分岐設定'!C38*AJ225/('損益分岐設定'!$B$23*'損益分岐設定'!$B$24*3600*'損益分岐設定'!$B$25),0))</x:f>
        <x:v>2</x:v>
      </x:c>
      <x:c r="AO225" s="1" t="n">
        <x:f>MAX(2,ROUNDUP('損益分岐設定'!C39*AJ225/('損益分岐設定'!$B$23*'損益分岐設定'!$B$24*3600*'損益分岐設定'!$B$25),0))</x:f>
        <x:v>8</x:v>
      </x:c>
      <x:c r="AP225" s="1" t="n">
        <x:f>MAX(2,ROUNDUP('損益分岐設定'!C40*AJ225/('損益分岐設定'!$B$23*'損益分岐設定'!$B$24*3600*'損益分岐設定'!$B$25),0))</x:f>
        <x:v>15</x:v>
      </x:c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 ht="23" customHeight="1">
      <x:c r="A226" s="1" t="str">
        <x:v>Hybrid</x:v>
      </x:c>
      <x:c r="B226" s="1" t="str">
        <x:v>Business</x:v>
      </x:c>
      <x:c r="C226" s="1" t="str">
        <x:v>高位</x:v>
      </x:c>
      <x:c r="D226" s="21" t="n">
        <x:v>0</x:v>
      </x:c>
      <x:c r="E226" s="1" t="n">
        <x:v>1</x:v>
      </x:c>
      <x:c r="F226" s="7" t="n">
        <x:f>AD226*'損益分岐設定'!$B$5+AE226*'損益分岐設定'!$B$6+AF226*'損益分岐設定'!$B$7</x:f>
        <x:v>5000</x:v>
      </x:c>
      <x:c r="G226" s="7" t="n">
        <x:f>AG226+(AH226+AI226)*('損益分岐設定'!$B$29+0.5*'損益分岐設定'!$B$30)+AK226*'損益分岐設定'!$B$33</x:f>
        <x:v>9919.333372881263</x:v>
      </x:c>
      <x:c r="H226" s="7" t="n">
        <x:f>AL226*E226</x:f>
        <x:v>1466.6666666666665</x:v>
      </x:c>
      <x:c r="I226" s="7" t="n">
        <x:f>F226*(1-D226-'損益分岐設定'!$B$10)-G226-H226</x:f>
        <x:v>-6566.000039547929</x:v>
      </x:c>
      <x:c r="J226" s="1" t="str">
        <x:f>IF(MIN(V226:Y226)&gt;1000,"範囲内なし",MIN(V226:Y226))</x:f>
        <x:v>範囲内なし</x:v>
      </x:c>
      <x:c r="K226" s="1" t="str">
        <x:f>IF(MAX(Z226:AC226)&gt;=1000,"範囲内なし",MAX(1,MAX(Z226:AC226)+1))</x:f>
        <x:v>範囲内なし</x:v>
      </x:c>
      <x:c r="L226" s="7" t="n">
        <x:f>10*I226-R226</x:f>
        <x:v>-117099.79708578461</x:v>
      </x:c>
      <x:c r="M226" s="7" t="n">
        <x:f>30*I226-S226</x:f>
        <x:v>-265359.5945670485</x:v>
      </x:c>
      <x:c r="N226" s="7" t="n">
        <x:f>50*I226-S226</x:f>
        <x:v>-396679.59535800706</x:v>
      </x:c>
      <x:c r="O226" s="7" t="n">
        <x:f>100*I226-S226</x:f>
        <x:v>-724979.5973354036</x:v>
      </x:c>
      <x:c r="P226" s="7" t="n">
        <x:f>300*I226-T226</x:f>
        <x:v>-2134818.3853868213</x:v>
      </x:c>
      <x:c r="Q226" s="7" t="n">
        <x:f>1000*I226-U226</x:f>
        <x:v>-6848096.989902509</x:v>
      </x:c>
      <x:c r="R226" s="7" t="n">
        <x:f>'損益分岐設定'!$B$18+'損益分岐設定'!$B$19+'損益分岐設定'!$B$20+'損益分岐設定'!E37+'損益分岐設定'!D37+AM226*('損益分岐設定'!$B$15+'損益分岐設定'!$B$16)+'損益分岐設定'!$B$17+E226*('損益分岐設定'!$B$13+(AM226-1)*'損益分岐設定'!$B$14)*'損益分岐設定'!$B$11</x:f>
        <x:v>51439.79669030532</x:v>
      </x:c>
      <x:c r="S226" s="7" t="n">
        <x:f>'損益分岐設定'!$B$18+'損益分岐設定'!$B$19+'損益分岐設定'!$B$20+'損益分岐設定'!E38+'損益分岐設定'!D38+AN226*('損益分岐設定'!$B$15+'損益分岐設定'!$B$16)+'損益分岐設定'!$B$17+E226*('損益分岐設定'!$B$13+(AN226-1)*'損益分岐設定'!$B$14)*'損益分岐設定'!$B$11</x:f>
        <x:v>68379.59338061063</x:v>
      </x:c>
      <x:c r="T226" s="7" t="n">
        <x:f>'損益分岐設定'!$B$18+'損益分岐設定'!$B$19+'損益分岐設定'!$B$20+'損益分岐設定'!E39+'損益分岐設定'!D39+AO226*('損益分岐設定'!$B$15+'損益分岐設定'!$B$16)+'損益分岐設定'!$B$17+E226*('損益分岐設定'!$B$13+(AO226-1)*'損益分岐設定'!$B$14)*'損益分岐設定'!$B$11</x:f>
        <x:v>165018.37352244253</x:v>
      </x:c>
      <x:c r="U226" s="7" t="n">
        <x:f>'損益分岐設定'!$B$18+'損益分岐設定'!$B$19+'損益分岐設定'!$B$20+'損益分岐設定'!E40+'損益分岐設定'!D40+AP226*('損益分岐設定'!$B$15+'損益分岐設定'!$B$16)+'損益分岐設定'!$B$17+E226*('損益分岐設定'!$B$13+(AP226-1)*'損益分岐設定'!$B$14)*'損益分岐設定'!$B$11</x:f>
        <x:v>282096.9503545798</x:v>
      </x:c>
      <x:c r="V226" s="1" t="n">
        <x:f>IF(I226&lt;=0,1001,IF(MAX('損益分岐設定'!B37,ROUNDUP(R226/I226,0))&lt;='損益分岐設定'!C37,MAX('損益分岐設定'!B37,ROUNDUP(R226/I226,0)),1001))</x:f>
        <x:v>1001</x:v>
      </x:c>
      <x:c r="W226" s="1" t="n">
        <x:f>IF(I226&lt;=0,1001,IF(MAX('損益分岐設定'!B38,ROUNDUP(S226/I226,0))&lt;='損益分岐設定'!C38,MAX('損益分岐設定'!B38,ROUNDUP(S226/I226,0)),1001))</x:f>
        <x:v>1001</x:v>
      </x:c>
      <x:c r="X226" s="1" t="n">
        <x:f>IF(I226&lt;=0,1001,IF(MAX('損益分岐設定'!B39,ROUNDUP(T226/I226,0))&lt;='損益分岐設定'!C39,MAX('損益分岐設定'!B39,ROUNDUP(T226/I226,0)),1001))</x:f>
        <x:v>1001</x:v>
      </x:c>
      <x:c r="Y226" s="1" t="n">
        <x:f>IF(I226&lt;=0,1001,IF(MAX('損益分岐設定'!B40,ROUNDUP(U226/I226,0))&lt;='損益分岐設定'!C40,MAX('損益分岐設定'!B40,ROUNDUP(U226/I226,0)),1001))</x:f>
        <x:v>1001</x:v>
      </x:c>
      <x:c r="Z226" s="1" t="n">
        <x:f>IF(I226&lt;=0,'損益分岐設定'!C37,IF('損益分岐設定'!C37*I226-R226&lt;0,'損益分岐設定'!C37,IF('損益分岐設定'!B37*I226-R226&gt;=0,0,ROUNDUP(R226/I226,0)-1)))</x:f>
        <x:v>10</x:v>
      </x:c>
      <x:c r="AA226" s="1" t="n">
        <x:f>IF(I226&lt;=0,'損益分岐設定'!C38,IF('損益分岐設定'!C38*I226-S226&lt;0,'損益分岐設定'!C38,IF('損益分岐設定'!B38*I226-S226&gt;=0,0,ROUNDUP(S226/I226,0)-1)))</x:f>
        <x:v>100</x:v>
      </x:c>
      <x:c r="AB226" s="1" t="n">
        <x:f>IF(I226&lt;=0,'損益分岐設定'!C39,IF('損益分岐設定'!C39*I226-T226&lt;0,'損益分岐設定'!C39,IF('損益分岐設定'!B39*I226-T226&gt;=0,0,ROUNDUP(T226/I226,0)-1)))</x:f>
        <x:v>500</x:v>
      </x:c>
      <x:c r="AC226" s="1" t="n">
        <x:f>IF(I226&lt;=0,'損益分岐設定'!C40,IF('損益分岐設定'!C40*I226-U226&lt;0,'損益分岐設定'!C40,IF('損益分岐設定'!B40*I226-U226&gt;=0,0,ROUNDUP(U226/I226,0)-1)))</x:f>
        <x:v>1000</x:v>
      </x:c>
      <x:c r="AD226" s="1" t="n">
        <x:v>0</x:v>
      </x:c>
      <x:c r="AE226" s="1" t="n">
        <x:v>1</x:v>
      </x:c>
      <x:c r="AF226" s="1" t="n">
        <x:v>0</x:v>
      </x:c>
      <x:c r="AG226" s="1" t="n">
        <x:f>AD226*'損益分岐設定'!$C$58+AE226*'損益分岐設定'!$C$61+AF226*'損益分岐設定'!$C$64</x:f>
        <x:v>9914.705791015625</x:v>
      </x:c>
      <x:c r="AH226" s="1" t="n">
        <x:f>AD226*'損益分岐設定'!$D$58+AE226*'損益分岐設定'!$D$61+AF226*'損益分岐設定'!$D$64</x:f>
        <x:v>480</x:v>
      </x:c>
      <x:c r="AI226" s="1" t="n">
        <x:f>AD226*'損益分岐設定'!$E$58+AE226*'損益分岐設定'!$E$61+AF226*'損益分岐設定'!$E$64</x:f>
        <x:v>640</x:v>
      </x:c>
      <x:c r="AJ226" s="1" t="n">
        <x:f>(AD226*'損益分岐設定'!$F$58+AE226*'損益分岐設定'!$F$61+AF226*'損益分岐設定'!$F$64*1)*'損益分岐設定'!$B$22</x:f>
        <x:v>7200</x:v>
      </x:c>
      <x:c r="AK226" s="1" t="n">
        <x:f>AD226*'損益分岐設定'!$G$58+AE226*'損益分岐設定'!$G$61+AF226*'損益分岐設定'!$G$64</x:f>
        <x:v>4800</x:v>
      </x:c>
      <x:c r="AL226" s="1" t="n">
        <x:f>AD226*'損益分岐設定'!$H$58+AE226*'損益分岐設定'!$H$61+AF226*'損益分岐設定'!$H$64</x:f>
        <x:v>1466.6666666666665</x:v>
      </x:c>
      <x:c r="AM226" s="1" t="n">
        <x:f>MAX(1,ROUNDUP('損益分岐設定'!C37*AJ226/('損益分岐設定'!$B$23*'損益分岐設定'!$B$24*3600*'損益分岐設定'!$B$25),0))</x:f>
        <x:v>1</x:v>
      </x:c>
      <x:c r="AN226" s="1" t="n">
        <x:f>MAX(2,ROUNDUP('損益分岐設定'!C38*AJ226/('損益分岐設定'!$B$23*'損益分岐設定'!$B$24*3600*'損益分岐設定'!$B$25),0))</x:f>
        <x:v>2</x:v>
      </x:c>
      <x:c r="AO226" s="1" t="n">
        <x:f>MAX(2,ROUNDUP('損益分岐設定'!C39*AJ226/('損益分岐設定'!$B$23*'損益分岐設定'!$B$24*3600*'損益分岐設定'!$B$25),0))</x:f>
        <x:v>8</x:v>
      </x:c>
      <x:c r="AP226" s="1" t="n">
        <x:f>MAX(2,ROUNDUP('損益分岐設定'!C40*AJ226/('損益分岐設定'!$B$23*'損益分岐設定'!$B$24*3600*'損益分岐設定'!$B$25),0))</x:f>
        <x:v>15</x:v>
      </x:c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 ht="23" customHeight="1">
      <x:c r="A227" s="1" t="str">
        <x:v>Hybrid</x:v>
      </x:c>
      <x:c r="B227" s="1" t="str">
        <x:v>Business</x:v>
      </x:c>
      <x:c r="C227" s="1" t="str">
        <x:v>高位</x:v>
      </x:c>
      <x:c r="D227" s="21" t="n">
        <x:v>0.2</x:v>
      </x:c>
      <x:c r="E227" s="1" t="n">
        <x:v>0</x:v>
      </x:c>
      <x:c r="F227" s="7" t="n">
        <x:f>AD227*'損益分岐設定'!$B$5+AE227*'損益分岐設定'!$B$6+AF227*'損益分岐設定'!$B$7</x:f>
        <x:v>5000</x:v>
      </x:c>
      <x:c r="G227" s="7" t="n">
        <x:f>AG227+(AH227+AI227)*('損益分岐設定'!$B$29+0.5*'損益分岐設定'!$B$30)+AK227*'損益分岐設定'!$B$33</x:f>
        <x:v>9919.333372881263</x:v>
      </x:c>
      <x:c r="H227" s="7" t="n">
        <x:f>AL227*E227</x:f>
        <x:v>0</x:v>
      </x:c>
      <x:c r="I227" s="7" t="n">
        <x:f>F227*(1-D227-'損益分岐設定'!$B$10)-G227-H227</x:f>
        <x:v>-6099.333372881263</x:v>
      </x:c>
      <x:c r="J227" s="1" t="str">
        <x:f>IF(MIN(V227:Y227)&gt;1000,"範囲内なし",MIN(V227:Y227))</x:f>
        <x:v>範囲内なし</x:v>
      </x:c>
      <x:c r="K227" s="1" t="str">
        <x:f>IF(MAX(Z227:AC227)&gt;=1000,"範囲内なし",MAX(1,MAX(Z227:AC227)+1))</x:f>
        <x:v>範囲内なし</x:v>
      </x:c>
      <x:c r="L227" s="7" t="n">
        <x:f>10*I227-R227</x:f>
        <x:v>-96433.13041911795</x:v>
      </x:c>
      <x:c r="M227" s="7" t="n">
        <x:f>30*I227-S227</x:f>
        <x:v>-233359.59456704854</x:v>
      </x:c>
      <x:c r="N227" s="7" t="n">
        <x:f>50*I227-S227</x:f>
        <x:v>-355346.2620246738</x:v>
      </x:c>
      <x:c r="O227" s="7" t="n">
        <x:f>100*I227-S227</x:f>
        <x:v>-660312.930668737</x:v>
      </x:c>
      <x:c r="P227" s="7" t="n">
        <x:f>300*I227-T227</x:f>
        <x:v>-1964818.3853868216</x:v>
      </x:c>
      <x:c r="Q227" s="7" t="n">
        <x:f>1000*I227-U227</x:f>
        <x:v>-6337430.323235843</x:v>
      </x:c>
      <x:c r="R227" s="7" t="n">
        <x:f>'損益分岐設定'!$B$18+'損益分岐設定'!$B$19+'損益分岐設定'!$B$20+'損益分岐設定'!E37+'損益分岐設定'!D37+AM227*('損益分岐設定'!$B$15+'損益分岐設定'!$B$16)+'損益分岐設定'!$B$17+E227*('損益分岐設定'!$B$13+(AM227-1)*'損益分岐設定'!$B$14)*'損益分岐設定'!$B$11</x:f>
        <x:v>35439.79669030532</x:v>
      </x:c>
      <x:c r="S227" s="7" t="n">
        <x:f>'損益分岐設定'!$B$18+'損益分岐設定'!$B$19+'損益分岐設定'!$B$20+'損益分岐設定'!E38+'損益分岐設定'!D38+AN227*('損益分岐設定'!$B$15+'損益分岐設定'!$B$16)+'損益分岐設定'!$B$17+E227*('損益分岐設定'!$B$13+(AN227-1)*'損益分岐設定'!$B$14)*'損益分岐設定'!$B$11</x:f>
        <x:v>50379.59338061063</x:v>
      </x:c>
      <x:c r="T227" s="7" t="n">
        <x:f>'損益分岐設定'!$B$18+'損益分岐設定'!$B$19+'損益分岐設定'!$B$20+'損益分岐設定'!E39+'損益分岐設定'!D39+AO227*('損益分岐設定'!$B$15+'損益分岐設定'!$B$16)+'損益分岐設定'!$B$17+E227*('損益分岐設定'!$B$13+(AO227-1)*'損益分岐設定'!$B$14)*'損益分岐設定'!$B$11</x:f>
        <x:v>135018.37352244253</x:v>
      </x:c>
      <x:c r="U227" s="7" t="n">
        <x:f>'損益分岐設定'!$B$18+'損益分岐設定'!$B$19+'損益分岐設定'!$B$20+'損益分岐設定'!E40+'損益分岐設定'!D40+AP227*('損益分岐設定'!$B$15+'損益分岐設定'!$B$16)+'損益分岐設定'!$B$17+E227*('損益分岐設定'!$B$13+(AP227-1)*'損益分岐設定'!$B$14)*'損益分岐設定'!$B$11</x:f>
        <x:v>238096.95035457978</x:v>
      </x:c>
      <x:c r="V227" s="1" t="n">
        <x:f>IF(I227&lt;=0,1001,IF(MAX('損益分岐設定'!B37,ROUNDUP(R227/I227,0))&lt;='損益分岐設定'!C37,MAX('損益分岐設定'!B37,ROUNDUP(R227/I227,0)),1001))</x:f>
        <x:v>1001</x:v>
      </x:c>
      <x:c r="W227" s="1" t="n">
        <x:f>IF(I227&lt;=0,1001,IF(MAX('損益分岐設定'!B38,ROUNDUP(S227/I227,0))&lt;='損益分岐設定'!C38,MAX('損益分岐設定'!B38,ROUNDUP(S227/I227,0)),1001))</x:f>
        <x:v>1001</x:v>
      </x:c>
      <x:c r="X227" s="1" t="n">
        <x:f>IF(I227&lt;=0,1001,IF(MAX('損益分岐設定'!B39,ROUNDUP(T227/I227,0))&lt;='損益分岐設定'!C39,MAX('損益分岐設定'!B39,ROUNDUP(T227/I227,0)),1001))</x:f>
        <x:v>1001</x:v>
      </x:c>
      <x:c r="Y227" s="1" t="n">
        <x:f>IF(I227&lt;=0,1001,IF(MAX('損益分岐設定'!B40,ROUNDUP(U227/I227,0))&lt;='損益分岐設定'!C40,MAX('損益分岐設定'!B40,ROUNDUP(U227/I227,0)),1001))</x:f>
        <x:v>1001</x:v>
      </x:c>
      <x:c r="Z227" s="1" t="n">
        <x:f>IF(I227&lt;=0,'損益分岐設定'!C37,IF('損益分岐設定'!C37*I227-R227&lt;0,'損益分岐設定'!C37,IF('損益分岐設定'!B37*I227-R227&gt;=0,0,ROUNDUP(R227/I227,0)-1)))</x:f>
        <x:v>10</x:v>
      </x:c>
      <x:c r="AA227" s="1" t="n">
        <x:f>IF(I227&lt;=0,'損益分岐設定'!C38,IF('損益分岐設定'!C38*I227-S227&lt;0,'損益分岐設定'!C38,IF('損益分岐設定'!B38*I227-S227&gt;=0,0,ROUNDUP(S227/I227,0)-1)))</x:f>
        <x:v>100</x:v>
      </x:c>
      <x:c r="AB227" s="1" t="n">
        <x:f>IF(I227&lt;=0,'損益分岐設定'!C39,IF('損益分岐設定'!C39*I227-T227&lt;0,'損益分岐設定'!C39,IF('損益分岐設定'!B39*I227-T227&gt;=0,0,ROUNDUP(T227/I227,0)-1)))</x:f>
        <x:v>500</x:v>
      </x:c>
      <x:c r="AC227" s="1" t="n">
        <x:f>IF(I227&lt;=0,'損益分岐設定'!C40,IF('損益分岐設定'!C40*I227-U227&lt;0,'損益分岐設定'!C40,IF('損益分岐設定'!B40*I227-U227&gt;=0,0,ROUNDUP(U227/I227,0)-1)))</x:f>
        <x:v>1000</x:v>
      </x:c>
      <x:c r="AD227" s="1" t="n">
        <x:v>0</x:v>
      </x:c>
      <x:c r="AE227" s="1" t="n">
        <x:v>1</x:v>
      </x:c>
      <x:c r="AF227" s="1" t="n">
        <x:v>0</x:v>
      </x:c>
      <x:c r="AG227" s="1" t="n">
        <x:f>AD227*'損益分岐設定'!$C$58+AE227*'損益分岐設定'!$C$61+AF227*'損益分岐設定'!$C$64</x:f>
        <x:v>9914.705791015625</x:v>
      </x:c>
      <x:c r="AH227" s="1" t="n">
        <x:f>AD227*'損益分岐設定'!$D$58+AE227*'損益分岐設定'!$D$61+AF227*'損益分岐設定'!$D$64</x:f>
        <x:v>480</x:v>
      </x:c>
      <x:c r="AI227" s="1" t="n">
        <x:f>AD227*'損益分岐設定'!$E$58+AE227*'損益分岐設定'!$E$61+AF227*'損益分岐設定'!$E$64</x:f>
        <x:v>640</x:v>
      </x:c>
      <x:c r="AJ227" s="1" t="n">
        <x:f>(AD227*'損益分岐設定'!$F$58+AE227*'損益分岐設定'!$F$61+AF227*'損益分岐設定'!$F$64*1)*'損益分岐設定'!$B$22</x:f>
        <x:v>7200</x:v>
      </x:c>
      <x:c r="AK227" s="1" t="n">
        <x:f>AD227*'損益分岐設定'!$G$58+AE227*'損益分岐設定'!$G$61+AF227*'損益分岐設定'!$G$64</x:f>
        <x:v>4800</x:v>
      </x:c>
      <x:c r="AL227" s="1" t="n">
        <x:f>AD227*'損益分岐設定'!$H$58+AE227*'損益分岐設定'!$H$61+AF227*'損益分岐設定'!$H$64</x:f>
        <x:v>1466.6666666666665</x:v>
      </x:c>
      <x:c r="AM227" s="1" t="n">
        <x:f>MAX(1,ROUNDUP('損益分岐設定'!C37*AJ227/('損益分岐設定'!$B$23*'損益分岐設定'!$B$24*3600*'損益分岐設定'!$B$25),0))</x:f>
        <x:v>1</x:v>
      </x:c>
      <x:c r="AN227" s="1" t="n">
        <x:f>MAX(2,ROUNDUP('損益分岐設定'!C38*AJ227/('損益分岐設定'!$B$23*'損益分岐設定'!$B$24*3600*'損益分岐設定'!$B$25),0))</x:f>
        <x:v>2</x:v>
      </x:c>
      <x:c r="AO227" s="1" t="n">
        <x:f>MAX(2,ROUNDUP('損益分岐設定'!C39*AJ227/('損益分岐設定'!$B$23*'損益分岐設定'!$B$24*3600*'損益分岐設定'!$B$25),0))</x:f>
        <x:v>8</x:v>
      </x:c>
      <x:c r="AP227" s="1" t="n">
        <x:f>MAX(2,ROUNDUP('損益分岐設定'!C40*AJ227/('損益分岐設定'!$B$23*'損益分岐設定'!$B$24*3600*'損益分岐設定'!$B$25),0))</x:f>
        <x:v>15</x:v>
      </x:c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 ht="23" customHeight="1">
      <x:c r="A228" s="1" t="str">
        <x:v>Hybrid</x:v>
      </x:c>
      <x:c r="B228" s="1" t="str">
        <x:v>Business</x:v>
      </x:c>
      <x:c r="C228" s="1" t="str">
        <x:v>高位</x:v>
      </x:c>
      <x:c r="D228" s="21" t="n">
        <x:v>0.2</x:v>
      </x:c>
      <x:c r="E228" s="1" t="n">
        <x:v>1</x:v>
      </x:c>
      <x:c r="F228" s="7" t="n">
        <x:f>AD228*'損益分岐設定'!$B$5+AE228*'損益分岐設定'!$B$6+AF228*'損益分岐設定'!$B$7</x:f>
        <x:v>5000</x:v>
      </x:c>
      <x:c r="G228" s="7" t="n">
        <x:f>AG228+(AH228+AI228)*('損益分岐設定'!$B$29+0.5*'損益分岐設定'!$B$30)+AK228*'損益分岐設定'!$B$33</x:f>
        <x:v>9919.333372881263</x:v>
      </x:c>
      <x:c r="H228" s="7" t="n">
        <x:f>AL228*E228</x:f>
        <x:v>1466.6666666666665</x:v>
      </x:c>
      <x:c r="I228" s="7" t="n">
        <x:f>F228*(1-D228-'損益分岐設定'!$B$10)-G228-H228</x:f>
        <x:v>-7566.000039547929</x:v>
      </x:c>
      <x:c r="J228" s="1" t="str">
        <x:f>IF(MIN(V228:Y228)&gt;1000,"範囲内なし",MIN(V228:Y228))</x:f>
        <x:v>範囲内なし</x:v>
      </x:c>
      <x:c r="K228" s="1" t="str">
        <x:f>IF(MAX(Z228:AC228)&gt;=1000,"範囲内なし",MAX(1,MAX(Z228:AC228)+1))</x:f>
        <x:v>範囲内なし</x:v>
      </x:c>
      <x:c r="L228" s="7" t="n">
        <x:f>10*I228-R228</x:f>
        <x:v>-127099.79708578461</x:v>
      </x:c>
      <x:c r="M228" s="7" t="n">
        <x:f>30*I228-S228</x:f>
        <x:v>-295359.5945670485</x:v>
      </x:c>
      <x:c r="N228" s="7" t="n">
        <x:f>50*I228-S228</x:f>
        <x:v>-446679.59535800706</x:v>
      </x:c>
      <x:c r="O228" s="7" t="n">
        <x:f>100*I228-S228</x:f>
        <x:v>-824979.5973354036</x:v>
      </x:c>
      <x:c r="P228" s="7" t="n">
        <x:f>300*I228-T228</x:f>
        <x:v>-2434818.385386821</x:v>
      </x:c>
      <x:c r="Q228" s="7" t="n">
        <x:f>1000*I228-U228</x:f>
        <x:v>-7848096.989902509</x:v>
      </x:c>
      <x:c r="R228" s="7" t="n">
        <x:f>'損益分岐設定'!$B$18+'損益分岐設定'!$B$19+'損益分岐設定'!$B$20+'損益分岐設定'!E37+'損益分岐設定'!D37+AM228*('損益分岐設定'!$B$15+'損益分岐設定'!$B$16)+'損益分岐設定'!$B$17+E228*('損益分岐設定'!$B$13+(AM228-1)*'損益分岐設定'!$B$14)*'損益分岐設定'!$B$11</x:f>
        <x:v>51439.79669030532</x:v>
      </x:c>
      <x:c r="S228" s="7" t="n">
        <x:f>'損益分岐設定'!$B$18+'損益分岐設定'!$B$19+'損益分岐設定'!$B$20+'損益分岐設定'!E38+'損益分岐設定'!D38+AN228*('損益分岐設定'!$B$15+'損益分岐設定'!$B$16)+'損益分岐設定'!$B$17+E228*('損益分岐設定'!$B$13+(AN228-1)*'損益分岐設定'!$B$14)*'損益分岐設定'!$B$11</x:f>
        <x:v>68379.59338061063</x:v>
      </x:c>
      <x:c r="T228" s="7" t="n">
        <x:f>'損益分岐設定'!$B$18+'損益分岐設定'!$B$19+'損益分岐設定'!$B$20+'損益分岐設定'!E39+'損益分岐設定'!D39+AO228*('損益分岐設定'!$B$15+'損益分岐設定'!$B$16)+'損益分岐設定'!$B$17+E228*('損益分岐設定'!$B$13+(AO228-1)*'損益分岐設定'!$B$14)*'損益分岐設定'!$B$11</x:f>
        <x:v>165018.37352244253</x:v>
      </x:c>
      <x:c r="U228" s="7" t="n">
        <x:f>'損益分岐設定'!$B$18+'損益分岐設定'!$B$19+'損益分岐設定'!$B$20+'損益分岐設定'!E40+'損益分岐設定'!D40+AP228*('損益分岐設定'!$B$15+'損益分岐設定'!$B$16)+'損益分岐設定'!$B$17+E228*('損益分岐設定'!$B$13+(AP228-1)*'損益分岐設定'!$B$14)*'損益分岐設定'!$B$11</x:f>
        <x:v>282096.9503545798</x:v>
      </x:c>
      <x:c r="V228" s="1" t="n">
        <x:f>IF(I228&lt;=0,1001,IF(MAX('損益分岐設定'!B37,ROUNDUP(R228/I228,0))&lt;='損益分岐設定'!C37,MAX('損益分岐設定'!B37,ROUNDUP(R228/I228,0)),1001))</x:f>
        <x:v>1001</x:v>
      </x:c>
      <x:c r="W228" s="1" t="n">
        <x:f>IF(I228&lt;=0,1001,IF(MAX('損益分岐設定'!B38,ROUNDUP(S228/I228,0))&lt;='損益分岐設定'!C38,MAX('損益分岐設定'!B38,ROUNDUP(S228/I228,0)),1001))</x:f>
        <x:v>1001</x:v>
      </x:c>
      <x:c r="X228" s="1" t="n">
        <x:f>IF(I228&lt;=0,1001,IF(MAX('損益分岐設定'!B39,ROUNDUP(T228/I228,0))&lt;='損益分岐設定'!C39,MAX('損益分岐設定'!B39,ROUNDUP(T228/I228,0)),1001))</x:f>
        <x:v>1001</x:v>
      </x:c>
      <x:c r="Y228" s="1" t="n">
        <x:f>IF(I228&lt;=0,1001,IF(MAX('損益分岐設定'!B40,ROUNDUP(U228/I228,0))&lt;='損益分岐設定'!C40,MAX('損益分岐設定'!B40,ROUNDUP(U228/I228,0)),1001))</x:f>
        <x:v>1001</x:v>
      </x:c>
      <x:c r="Z228" s="1" t="n">
        <x:f>IF(I228&lt;=0,'損益分岐設定'!C37,IF('損益分岐設定'!C37*I228-R228&lt;0,'損益分岐設定'!C37,IF('損益分岐設定'!B37*I228-R228&gt;=0,0,ROUNDUP(R228/I228,0)-1)))</x:f>
        <x:v>10</x:v>
      </x:c>
      <x:c r="AA228" s="1" t="n">
        <x:f>IF(I228&lt;=0,'損益分岐設定'!C38,IF('損益分岐設定'!C38*I228-S228&lt;0,'損益分岐設定'!C38,IF('損益分岐設定'!B38*I228-S228&gt;=0,0,ROUNDUP(S228/I228,0)-1)))</x:f>
        <x:v>100</x:v>
      </x:c>
      <x:c r="AB228" s="1" t="n">
        <x:f>IF(I228&lt;=0,'損益分岐設定'!C39,IF('損益分岐設定'!C39*I228-T228&lt;0,'損益分岐設定'!C39,IF('損益分岐設定'!B39*I228-T228&gt;=0,0,ROUNDUP(T228/I228,0)-1)))</x:f>
        <x:v>500</x:v>
      </x:c>
      <x:c r="AC228" s="1" t="n">
        <x:f>IF(I228&lt;=0,'損益分岐設定'!C40,IF('損益分岐設定'!C40*I228-U228&lt;0,'損益分岐設定'!C40,IF('損益分岐設定'!B40*I228-U228&gt;=0,0,ROUNDUP(U228/I228,0)-1)))</x:f>
        <x:v>1000</x:v>
      </x:c>
      <x:c r="AD228" s="1" t="n">
        <x:v>0</x:v>
      </x:c>
      <x:c r="AE228" s="1" t="n">
        <x:v>1</x:v>
      </x:c>
      <x:c r="AF228" s="1" t="n">
        <x:v>0</x:v>
      </x:c>
      <x:c r="AG228" s="1" t="n">
        <x:f>AD228*'損益分岐設定'!$C$58+AE228*'損益分岐設定'!$C$61+AF228*'損益分岐設定'!$C$64</x:f>
        <x:v>9914.705791015625</x:v>
      </x:c>
      <x:c r="AH228" s="1" t="n">
        <x:f>AD228*'損益分岐設定'!$D$58+AE228*'損益分岐設定'!$D$61+AF228*'損益分岐設定'!$D$64</x:f>
        <x:v>480</x:v>
      </x:c>
      <x:c r="AI228" s="1" t="n">
        <x:f>AD228*'損益分岐設定'!$E$58+AE228*'損益分岐設定'!$E$61+AF228*'損益分岐設定'!$E$64</x:f>
        <x:v>640</x:v>
      </x:c>
      <x:c r="AJ228" s="1" t="n">
        <x:f>(AD228*'損益分岐設定'!$F$58+AE228*'損益分岐設定'!$F$61+AF228*'損益分岐設定'!$F$64*1)*'損益分岐設定'!$B$22</x:f>
        <x:v>7200</x:v>
      </x:c>
      <x:c r="AK228" s="1" t="n">
        <x:f>AD228*'損益分岐設定'!$G$58+AE228*'損益分岐設定'!$G$61+AF228*'損益分岐設定'!$G$64</x:f>
        <x:v>4800</x:v>
      </x:c>
      <x:c r="AL228" s="1" t="n">
        <x:f>AD228*'損益分岐設定'!$H$58+AE228*'損益分岐設定'!$H$61+AF228*'損益分岐設定'!$H$64</x:f>
        <x:v>1466.6666666666665</x:v>
      </x:c>
      <x:c r="AM228" s="1" t="n">
        <x:f>MAX(1,ROUNDUP('損益分岐設定'!C37*AJ228/('損益分岐設定'!$B$23*'損益分岐設定'!$B$24*3600*'損益分岐設定'!$B$25),0))</x:f>
        <x:v>1</x:v>
      </x:c>
      <x:c r="AN228" s="1" t="n">
        <x:f>MAX(2,ROUNDUP('損益分岐設定'!C38*AJ228/('損益分岐設定'!$B$23*'損益分岐設定'!$B$24*3600*'損益分岐設定'!$B$25),0))</x:f>
        <x:v>2</x:v>
      </x:c>
      <x:c r="AO228" s="1" t="n">
        <x:f>MAX(2,ROUNDUP('損益分岐設定'!C39*AJ228/('損益分岐設定'!$B$23*'損益分岐設定'!$B$24*3600*'損益分岐設定'!$B$25),0))</x:f>
        <x:v>8</x:v>
      </x:c>
      <x:c r="AP228" s="1" t="n">
        <x:f>MAX(2,ROUNDUP('損益分岐設定'!C40*AJ228/('損益分岐設定'!$B$23*'損益分岐設定'!$B$24*3600*'損益分岐設定'!$B$25),0))</x:f>
        <x:v>15</x:v>
      </x:c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 ht="23" customHeight="1">
      <x:c r="A229" s="1" t="str">
        <x:v>Hybrid</x:v>
      </x:c>
      <x:c r="B229" s="1" t="str">
        <x:v>Business</x:v>
      </x:c>
      <x:c r="C229" s="1" t="str">
        <x:v>高位</x:v>
      </x:c>
      <x:c r="D229" s="21" t="n">
        <x:v>0.3</x:v>
      </x:c>
      <x:c r="E229" s="1" t="n">
        <x:v>0</x:v>
      </x:c>
      <x:c r="F229" s="7" t="n">
        <x:f>AD229*'損益分岐設定'!$B$5+AE229*'損益分岐設定'!$B$6+AF229*'損益分岐設定'!$B$7</x:f>
        <x:v>5000</x:v>
      </x:c>
      <x:c r="G229" s="7" t="n">
        <x:f>AG229+(AH229+AI229)*('損益分岐設定'!$B$29+0.5*'損益分岐設定'!$B$30)+AK229*'損益分岐設定'!$B$33</x:f>
        <x:v>9919.333372881263</x:v>
      </x:c>
      <x:c r="H229" s="7" t="n">
        <x:f>AL229*E229</x:f>
        <x:v>0</x:v>
      </x:c>
      <x:c r="I229" s="7" t="n">
        <x:f>F229*(1-D229-'損益分岐設定'!$B$10)-G229-H229</x:f>
        <x:v>-6599.333372881263</x:v>
      </x:c>
      <x:c r="J229" s="1" t="str">
        <x:f>IF(MIN(V229:Y229)&gt;1000,"範囲内なし",MIN(V229:Y229))</x:f>
        <x:v>範囲内なし</x:v>
      </x:c>
      <x:c r="K229" s="1" t="str">
        <x:f>IF(MAX(Z229:AC229)&gt;=1000,"範囲内なし",MAX(1,MAX(Z229:AC229)+1))</x:f>
        <x:v>範囲内なし</x:v>
      </x:c>
      <x:c r="L229" s="7" t="n">
        <x:f>10*I229-R229</x:f>
        <x:v>-101433.13041911795</x:v>
      </x:c>
      <x:c r="M229" s="7" t="n">
        <x:f>30*I229-S229</x:f>
        <x:v>-248359.59456704854</x:v>
      </x:c>
      <x:c r="N229" s="7" t="n">
        <x:f>50*I229-S229</x:f>
        <x:v>-380346.2620246738</x:v>
      </x:c>
      <x:c r="O229" s="7" t="n">
        <x:f>100*I229-S229</x:f>
        <x:v>-710312.930668737</x:v>
      </x:c>
      <x:c r="P229" s="7" t="n">
        <x:f>300*I229-T229</x:f>
        <x:v>-2114818.385386822</x:v>
      </x:c>
      <x:c r="Q229" s="7" t="n">
        <x:f>1000*I229-U229</x:f>
        <x:v>-6837430.323235843</x:v>
      </x:c>
      <x:c r="R229" s="7" t="n">
        <x:f>'損益分岐設定'!$B$18+'損益分岐設定'!$B$19+'損益分岐設定'!$B$20+'損益分岐設定'!E37+'損益分岐設定'!D37+AM229*('損益分岐設定'!$B$15+'損益分岐設定'!$B$16)+'損益分岐設定'!$B$17+E229*('損益分岐設定'!$B$13+(AM229-1)*'損益分岐設定'!$B$14)*'損益分岐設定'!$B$11</x:f>
        <x:v>35439.79669030532</x:v>
      </x:c>
      <x:c r="S229" s="7" t="n">
        <x:f>'損益分岐設定'!$B$18+'損益分岐設定'!$B$19+'損益分岐設定'!$B$20+'損益分岐設定'!E38+'損益分岐設定'!D38+AN229*('損益分岐設定'!$B$15+'損益分岐設定'!$B$16)+'損益分岐設定'!$B$17+E229*('損益分岐設定'!$B$13+(AN229-1)*'損益分岐設定'!$B$14)*'損益分岐設定'!$B$11</x:f>
        <x:v>50379.59338061063</x:v>
      </x:c>
      <x:c r="T229" s="7" t="n">
        <x:f>'損益分岐設定'!$B$18+'損益分岐設定'!$B$19+'損益分岐設定'!$B$20+'損益分岐設定'!E39+'損益分岐設定'!D39+AO229*('損益分岐設定'!$B$15+'損益分岐設定'!$B$16)+'損益分岐設定'!$B$17+E229*('損益分岐設定'!$B$13+(AO229-1)*'損益分岐設定'!$B$14)*'損益分岐設定'!$B$11</x:f>
        <x:v>135018.37352244253</x:v>
      </x:c>
      <x:c r="U229" s="7" t="n">
        <x:f>'損益分岐設定'!$B$18+'損益分岐設定'!$B$19+'損益分岐設定'!$B$20+'損益分岐設定'!E40+'損益分岐設定'!D40+AP229*('損益分岐設定'!$B$15+'損益分岐設定'!$B$16)+'損益分岐設定'!$B$17+E229*('損益分岐設定'!$B$13+(AP229-1)*'損益分岐設定'!$B$14)*'損益分岐設定'!$B$11</x:f>
        <x:v>238096.95035457978</x:v>
      </x:c>
      <x:c r="V229" s="1" t="n">
        <x:f>IF(I229&lt;=0,1001,IF(MAX('損益分岐設定'!B37,ROUNDUP(R229/I229,0))&lt;='損益分岐設定'!C37,MAX('損益分岐設定'!B37,ROUNDUP(R229/I229,0)),1001))</x:f>
        <x:v>1001</x:v>
      </x:c>
      <x:c r="W229" s="1" t="n">
        <x:f>IF(I229&lt;=0,1001,IF(MAX('損益分岐設定'!B38,ROUNDUP(S229/I229,0))&lt;='損益分岐設定'!C38,MAX('損益分岐設定'!B38,ROUNDUP(S229/I229,0)),1001))</x:f>
        <x:v>1001</x:v>
      </x:c>
      <x:c r="X229" s="1" t="n">
        <x:f>IF(I229&lt;=0,1001,IF(MAX('損益分岐設定'!B39,ROUNDUP(T229/I229,0))&lt;='損益分岐設定'!C39,MAX('損益分岐設定'!B39,ROUNDUP(T229/I229,0)),1001))</x:f>
        <x:v>1001</x:v>
      </x:c>
      <x:c r="Y229" s="1" t="n">
        <x:f>IF(I229&lt;=0,1001,IF(MAX('損益分岐設定'!B40,ROUNDUP(U229/I229,0))&lt;='損益分岐設定'!C40,MAX('損益分岐設定'!B40,ROUNDUP(U229/I229,0)),1001))</x:f>
        <x:v>1001</x:v>
      </x:c>
      <x:c r="Z229" s="1" t="n">
        <x:f>IF(I229&lt;=0,'損益分岐設定'!C37,IF('損益分岐設定'!C37*I229-R229&lt;0,'損益分岐設定'!C37,IF('損益分岐設定'!B37*I229-R229&gt;=0,0,ROUNDUP(R229/I229,0)-1)))</x:f>
        <x:v>10</x:v>
      </x:c>
      <x:c r="AA229" s="1" t="n">
        <x:f>IF(I229&lt;=0,'損益分岐設定'!C38,IF('損益分岐設定'!C38*I229-S229&lt;0,'損益分岐設定'!C38,IF('損益分岐設定'!B38*I229-S229&gt;=0,0,ROUNDUP(S229/I229,0)-1)))</x:f>
        <x:v>100</x:v>
      </x:c>
      <x:c r="AB229" s="1" t="n">
        <x:f>IF(I229&lt;=0,'損益分岐設定'!C39,IF('損益分岐設定'!C39*I229-T229&lt;0,'損益分岐設定'!C39,IF('損益分岐設定'!B39*I229-T229&gt;=0,0,ROUNDUP(T229/I229,0)-1)))</x:f>
        <x:v>500</x:v>
      </x:c>
      <x:c r="AC229" s="1" t="n">
        <x:f>IF(I229&lt;=0,'損益分岐設定'!C40,IF('損益分岐設定'!C40*I229-U229&lt;0,'損益分岐設定'!C40,IF('損益分岐設定'!B40*I229-U229&gt;=0,0,ROUNDUP(U229/I229,0)-1)))</x:f>
        <x:v>1000</x:v>
      </x:c>
      <x:c r="AD229" s="1" t="n">
        <x:v>0</x:v>
      </x:c>
      <x:c r="AE229" s="1" t="n">
        <x:v>1</x:v>
      </x:c>
      <x:c r="AF229" s="1" t="n">
        <x:v>0</x:v>
      </x:c>
      <x:c r="AG229" s="1" t="n">
        <x:f>AD229*'損益分岐設定'!$C$58+AE229*'損益分岐設定'!$C$61+AF229*'損益分岐設定'!$C$64</x:f>
        <x:v>9914.705791015625</x:v>
      </x:c>
      <x:c r="AH229" s="1" t="n">
        <x:f>AD229*'損益分岐設定'!$D$58+AE229*'損益分岐設定'!$D$61+AF229*'損益分岐設定'!$D$64</x:f>
        <x:v>480</x:v>
      </x:c>
      <x:c r="AI229" s="1" t="n">
        <x:f>AD229*'損益分岐設定'!$E$58+AE229*'損益分岐設定'!$E$61+AF229*'損益分岐設定'!$E$64</x:f>
        <x:v>640</x:v>
      </x:c>
      <x:c r="AJ229" s="1" t="n">
        <x:f>(AD229*'損益分岐設定'!$F$58+AE229*'損益分岐設定'!$F$61+AF229*'損益分岐設定'!$F$64*1)*'損益分岐設定'!$B$22</x:f>
        <x:v>7200</x:v>
      </x:c>
      <x:c r="AK229" s="1" t="n">
        <x:f>AD229*'損益分岐設定'!$G$58+AE229*'損益分岐設定'!$G$61+AF229*'損益分岐設定'!$G$64</x:f>
        <x:v>4800</x:v>
      </x:c>
      <x:c r="AL229" s="1" t="n">
        <x:f>AD229*'損益分岐設定'!$H$58+AE229*'損益分岐設定'!$H$61+AF229*'損益分岐設定'!$H$64</x:f>
        <x:v>1466.6666666666665</x:v>
      </x:c>
      <x:c r="AM229" s="1" t="n">
        <x:f>MAX(1,ROUNDUP('損益分岐設定'!C37*AJ229/('損益分岐設定'!$B$23*'損益分岐設定'!$B$24*3600*'損益分岐設定'!$B$25),0))</x:f>
        <x:v>1</x:v>
      </x:c>
      <x:c r="AN229" s="1" t="n">
        <x:f>MAX(2,ROUNDUP('損益分岐設定'!C38*AJ229/('損益分岐設定'!$B$23*'損益分岐設定'!$B$24*3600*'損益分岐設定'!$B$25),0))</x:f>
        <x:v>2</x:v>
      </x:c>
      <x:c r="AO229" s="1" t="n">
        <x:f>MAX(2,ROUNDUP('損益分岐設定'!C39*AJ229/('損益分岐設定'!$B$23*'損益分岐設定'!$B$24*3600*'損益分岐設定'!$B$25),0))</x:f>
        <x:v>8</x:v>
      </x:c>
      <x:c r="AP229" s="1" t="n">
        <x:f>MAX(2,ROUNDUP('損益分岐設定'!C40*AJ229/('損益分岐設定'!$B$23*'損益分岐設定'!$B$24*3600*'損益分岐設定'!$B$25),0))</x:f>
        <x:v>15</x:v>
      </x:c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 ht="23" customHeight="1">
      <x:c r="A230" s="1" t="str">
        <x:v>Hybrid</x:v>
      </x:c>
      <x:c r="B230" s="1" t="str">
        <x:v>Business</x:v>
      </x:c>
      <x:c r="C230" s="1" t="str">
        <x:v>高位</x:v>
      </x:c>
      <x:c r="D230" s="21" t="n">
        <x:v>0.3</x:v>
      </x:c>
      <x:c r="E230" s="1" t="n">
        <x:v>1</x:v>
      </x:c>
      <x:c r="F230" s="7" t="n">
        <x:f>AD230*'損益分岐設定'!$B$5+AE230*'損益分岐設定'!$B$6+AF230*'損益分岐設定'!$B$7</x:f>
        <x:v>5000</x:v>
      </x:c>
      <x:c r="G230" s="7" t="n">
        <x:f>AG230+(AH230+AI230)*('損益分岐設定'!$B$29+0.5*'損益分岐設定'!$B$30)+AK230*'損益分岐設定'!$B$33</x:f>
        <x:v>9919.333372881263</x:v>
      </x:c>
      <x:c r="H230" s="7" t="n">
        <x:f>AL230*E230</x:f>
        <x:v>1466.6666666666665</x:v>
      </x:c>
      <x:c r="I230" s="7" t="n">
        <x:f>F230*(1-D230-'損益分岐設定'!$B$10)-G230-H230</x:f>
        <x:v>-8066.000039547929</x:v>
      </x:c>
      <x:c r="J230" s="1" t="str">
        <x:f>IF(MIN(V230:Y230)&gt;1000,"範囲内なし",MIN(V230:Y230))</x:f>
        <x:v>範囲内なし</x:v>
      </x:c>
      <x:c r="K230" s="1" t="str">
        <x:f>IF(MAX(Z230:AC230)&gt;=1000,"範囲内なし",MAX(1,MAX(Z230:AC230)+1))</x:f>
        <x:v>範囲内なし</x:v>
      </x:c>
      <x:c r="L230" s="7" t="n">
        <x:f>10*I230-R230</x:f>
        <x:v>-132099.7970857846</x:v>
      </x:c>
      <x:c r="M230" s="7" t="n">
        <x:f>30*I230-S230</x:f>
        <x:v>-310359.5945670485</x:v>
      </x:c>
      <x:c r="N230" s="7" t="n">
        <x:f>50*I230-S230</x:f>
        <x:v>-471679.59535800706</x:v>
      </x:c>
      <x:c r="O230" s="7" t="n">
        <x:f>100*I230-S230</x:f>
        <x:v>-874979.5973354036</x:v>
      </x:c>
      <x:c r="P230" s="7" t="n">
        <x:f>300*I230-T230</x:f>
        <x:v>-2584818.385386821</x:v>
      </x:c>
      <x:c r="Q230" s="7" t="n">
        <x:f>1000*I230-U230</x:f>
        <x:v>-8348096.989902509</x:v>
      </x:c>
      <x:c r="R230" s="7" t="n">
        <x:f>'損益分岐設定'!$B$18+'損益分岐設定'!$B$19+'損益分岐設定'!$B$20+'損益分岐設定'!E37+'損益分岐設定'!D37+AM230*('損益分岐設定'!$B$15+'損益分岐設定'!$B$16)+'損益分岐設定'!$B$17+E230*('損益分岐設定'!$B$13+(AM230-1)*'損益分岐設定'!$B$14)*'損益分岐設定'!$B$11</x:f>
        <x:v>51439.79669030532</x:v>
      </x:c>
      <x:c r="S230" s="7" t="n">
        <x:f>'損益分岐設定'!$B$18+'損益分岐設定'!$B$19+'損益分岐設定'!$B$20+'損益分岐設定'!E38+'損益分岐設定'!D38+AN230*('損益分岐設定'!$B$15+'損益分岐設定'!$B$16)+'損益分岐設定'!$B$17+E230*('損益分岐設定'!$B$13+(AN230-1)*'損益分岐設定'!$B$14)*'損益分岐設定'!$B$11</x:f>
        <x:v>68379.59338061063</x:v>
      </x:c>
      <x:c r="T230" s="7" t="n">
        <x:f>'損益分岐設定'!$B$18+'損益分岐設定'!$B$19+'損益分岐設定'!$B$20+'損益分岐設定'!E39+'損益分岐設定'!D39+AO230*('損益分岐設定'!$B$15+'損益分岐設定'!$B$16)+'損益分岐設定'!$B$17+E230*('損益分岐設定'!$B$13+(AO230-1)*'損益分岐設定'!$B$14)*'損益分岐設定'!$B$11</x:f>
        <x:v>165018.37352244253</x:v>
      </x:c>
      <x:c r="U230" s="7" t="n">
        <x:f>'損益分岐設定'!$B$18+'損益分岐設定'!$B$19+'損益分岐設定'!$B$20+'損益分岐設定'!E40+'損益分岐設定'!D40+AP230*('損益分岐設定'!$B$15+'損益分岐設定'!$B$16)+'損益分岐設定'!$B$17+E230*('損益分岐設定'!$B$13+(AP230-1)*'損益分岐設定'!$B$14)*'損益分岐設定'!$B$11</x:f>
        <x:v>282096.9503545798</x:v>
      </x:c>
      <x:c r="V230" s="1" t="n">
        <x:f>IF(I230&lt;=0,1001,IF(MAX('損益分岐設定'!B37,ROUNDUP(R230/I230,0))&lt;='損益分岐設定'!C37,MAX('損益分岐設定'!B37,ROUNDUP(R230/I230,0)),1001))</x:f>
        <x:v>1001</x:v>
      </x:c>
      <x:c r="W230" s="1" t="n">
        <x:f>IF(I230&lt;=0,1001,IF(MAX('損益分岐設定'!B38,ROUNDUP(S230/I230,0))&lt;='損益分岐設定'!C38,MAX('損益分岐設定'!B38,ROUNDUP(S230/I230,0)),1001))</x:f>
        <x:v>1001</x:v>
      </x:c>
      <x:c r="X230" s="1" t="n">
        <x:f>IF(I230&lt;=0,1001,IF(MAX('損益分岐設定'!B39,ROUNDUP(T230/I230,0))&lt;='損益分岐設定'!C39,MAX('損益分岐設定'!B39,ROUNDUP(T230/I230,0)),1001))</x:f>
        <x:v>1001</x:v>
      </x:c>
      <x:c r="Y230" s="1" t="n">
        <x:f>IF(I230&lt;=0,1001,IF(MAX('損益分岐設定'!B40,ROUNDUP(U230/I230,0))&lt;='損益分岐設定'!C40,MAX('損益分岐設定'!B40,ROUNDUP(U230/I230,0)),1001))</x:f>
        <x:v>1001</x:v>
      </x:c>
      <x:c r="Z230" s="1" t="n">
        <x:f>IF(I230&lt;=0,'損益分岐設定'!C37,IF('損益分岐設定'!C37*I230-R230&lt;0,'損益分岐設定'!C37,IF('損益分岐設定'!B37*I230-R230&gt;=0,0,ROUNDUP(R230/I230,0)-1)))</x:f>
        <x:v>10</x:v>
      </x:c>
      <x:c r="AA230" s="1" t="n">
        <x:f>IF(I230&lt;=0,'損益分岐設定'!C38,IF('損益分岐設定'!C38*I230-S230&lt;0,'損益分岐設定'!C38,IF('損益分岐設定'!B38*I230-S230&gt;=0,0,ROUNDUP(S230/I230,0)-1)))</x:f>
        <x:v>100</x:v>
      </x:c>
      <x:c r="AB230" s="1" t="n">
        <x:f>IF(I230&lt;=0,'損益分岐設定'!C39,IF('損益分岐設定'!C39*I230-T230&lt;0,'損益分岐設定'!C39,IF('損益分岐設定'!B39*I230-T230&gt;=0,0,ROUNDUP(T230/I230,0)-1)))</x:f>
        <x:v>500</x:v>
      </x:c>
      <x:c r="AC230" s="1" t="n">
        <x:f>IF(I230&lt;=0,'損益分岐設定'!C40,IF('損益分岐設定'!C40*I230-U230&lt;0,'損益分岐設定'!C40,IF('損益分岐設定'!B40*I230-U230&gt;=0,0,ROUNDUP(U230/I230,0)-1)))</x:f>
        <x:v>1000</x:v>
      </x:c>
      <x:c r="AD230" s="1" t="n">
        <x:v>0</x:v>
      </x:c>
      <x:c r="AE230" s="1" t="n">
        <x:v>1</x:v>
      </x:c>
      <x:c r="AF230" s="1" t="n">
        <x:v>0</x:v>
      </x:c>
      <x:c r="AG230" s="1" t="n">
        <x:f>AD230*'損益分岐設定'!$C$58+AE230*'損益分岐設定'!$C$61+AF230*'損益分岐設定'!$C$64</x:f>
        <x:v>9914.705791015625</x:v>
      </x:c>
      <x:c r="AH230" s="1" t="n">
        <x:f>AD230*'損益分岐設定'!$D$58+AE230*'損益分岐設定'!$D$61+AF230*'損益分岐設定'!$D$64</x:f>
        <x:v>480</x:v>
      </x:c>
      <x:c r="AI230" s="1" t="n">
        <x:f>AD230*'損益分岐設定'!$E$58+AE230*'損益分岐設定'!$E$61+AF230*'損益分岐設定'!$E$64</x:f>
        <x:v>640</x:v>
      </x:c>
      <x:c r="AJ230" s="1" t="n">
        <x:f>(AD230*'損益分岐設定'!$F$58+AE230*'損益分岐設定'!$F$61+AF230*'損益分岐設定'!$F$64*1)*'損益分岐設定'!$B$22</x:f>
        <x:v>7200</x:v>
      </x:c>
      <x:c r="AK230" s="1" t="n">
        <x:f>AD230*'損益分岐設定'!$G$58+AE230*'損益分岐設定'!$G$61+AF230*'損益分岐設定'!$G$64</x:f>
        <x:v>4800</x:v>
      </x:c>
      <x:c r="AL230" s="1" t="n">
        <x:f>AD230*'損益分岐設定'!$H$58+AE230*'損益分岐設定'!$H$61+AF230*'損益分岐設定'!$H$64</x:f>
        <x:v>1466.6666666666665</x:v>
      </x:c>
      <x:c r="AM230" s="1" t="n">
        <x:f>MAX(1,ROUNDUP('損益分岐設定'!C37*AJ230/('損益分岐設定'!$B$23*'損益分岐設定'!$B$24*3600*'損益分岐設定'!$B$25),0))</x:f>
        <x:v>1</x:v>
      </x:c>
      <x:c r="AN230" s="1" t="n">
        <x:f>MAX(2,ROUNDUP('損益分岐設定'!C38*AJ230/('損益分岐設定'!$B$23*'損益分岐設定'!$B$24*3600*'損益分岐設定'!$B$25),0))</x:f>
        <x:v>2</x:v>
      </x:c>
      <x:c r="AO230" s="1" t="n">
        <x:f>MAX(2,ROUNDUP('損益分岐設定'!C39*AJ230/('損益分岐設定'!$B$23*'損益分岐設定'!$B$24*3600*'損益分岐設定'!$B$25),0))</x:f>
        <x:v>8</x:v>
      </x:c>
      <x:c r="AP230" s="1" t="n">
        <x:f>MAX(2,ROUNDUP('損益分岐設定'!C40*AJ230/('損益分岐設定'!$B$23*'損益分岐設定'!$B$24*3600*'損益分岐設定'!$B$25),0))</x:f>
        <x:v>15</x:v>
      </x:c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 ht="23" customHeight="1">
      <x:c r="A231" s="1" t="str">
        <x:v>Hybrid</x:v>
      </x:c>
      <x:c r="B231" s="1" t="str">
        <x:v>Business</x:v>
      </x:c>
      <x:c r="C231" s="1" t="str">
        <x:v>高位</x:v>
      </x:c>
      <x:c r="D231" s="21" t="n">
        <x:v>0.4</x:v>
      </x:c>
      <x:c r="E231" s="1" t="n">
        <x:v>0</x:v>
      </x:c>
      <x:c r="F231" s="7" t="n">
        <x:f>AD231*'損益分岐設定'!$B$5+AE231*'損益分岐設定'!$B$6+AF231*'損益分岐設定'!$B$7</x:f>
        <x:v>5000</x:v>
      </x:c>
      <x:c r="G231" s="7" t="n">
        <x:f>AG231+(AH231+AI231)*('損益分岐設定'!$B$29+0.5*'損益分岐設定'!$B$30)+AK231*'損益分岐設定'!$B$33</x:f>
        <x:v>9919.333372881263</x:v>
      </x:c>
      <x:c r="H231" s="7" t="n">
        <x:f>AL231*E231</x:f>
        <x:v>0</x:v>
      </x:c>
      <x:c r="I231" s="7" t="n">
        <x:f>F231*(1-D231-'損益分岐設定'!$B$10)-G231-H231</x:f>
        <x:v>-7099.333372881263</x:v>
      </x:c>
      <x:c r="J231" s="1" t="str">
        <x:f>IF(MIN(V231:Y231)&gt;1000,"範囲内なし",MIN(V231:Y231))</x:f>
        <x:v>範囲内なし</x:v>
      </x:c>
      <x:c r="K231" s="1" t="str">
        <x:f>IF(MAX(Z231:AC231)&gt;=1000,"範囲内なし",MAX(1,MAX(Z231:AC231)+1))</x:f>
        <x:v>範囲内なし</x:v>
      </x:c>
      <x:c r="L231" s="7" t="n">
        <x:f>10*I231-R231</x:f>
        <x:v>-106433.13041911795</x:v>
      </x:c>
      <x:c r="M231" s="7" t="n">
        <x:f>30*I231-S231</x:f>
        <x:v>-263359.59456704854</x:v>
      </x:c>
      <x:c r="N231" s="7" t="n">
        <x:f>50*I231-S231</x:f>
        <x:v>-405346.2620246738</x:v>
      </x:c>
      <x:c r="O231" s="7" t="n">
        <x:f>100*I231-S231</x:f>
        <x:v>-760312.930668737</x:v>
      </x:c>
      <x:c r="P231" s="7" t="n">
        <x:f>300*I231-T231</x:f>
        <x:v>-2264818.385386822</x:v>
      </x:c>
      <x:c r="Q231" s="7" t="n">
        <x:f>1000*I231-U231</x:f>
        <x:v>-7337430.323235843</x:v>
      </x:c>
      <x:c r="R231" s="7" t="n">
        <x:f>'損益分岐設定'!$B$18+'損益分岐設定'!$B$19+'損益分岐設定'!$B$20+'損益分岐設定'!E37+'損益分岐設定'!D37+AM231*('損益分岐設定'!$B$15+'損益分岐設定'!$B$16)+'損益分岐設定'!$B$17+E231*('損益分岐設定'!$B$13+(AM231-1)*'損益分岐設定'!$B$14)*'損益分岐設定'!$B$11</x:f>
        <x:v>35439.79669030532</x:v>
      </x:c>
      <x:c r="S231" s="7" t="n">
        <x:f>'損益分岐設定'!$B$18+'損益分岐設定'!$B$19+'損益分岐設定'!$B$20+'損益分岐設定'!E38+'損益分岐設定'!D38+AN231*('損益分岐設定'!$B$15+'損益分岐設定'!$B$16)+'損益分岐設定'!$B$17+E231*('損益分岐設定'!$B$13+(AN231-1)*'損益分岐設定'!$B$14)*'損益分岐設定'!$B$11</x:f>
        <x:v>50379.59338061063</x:v>
      </x:c>
      <x:c r="T231" s="7" t="n">
        <x:f>'損益分岐設定'!$B$18+'損益分岐設定'!$B$19+'損益分岐設定'!$B$20+'損益分岐設定'!E39+'損益分岐設定'!D39+AO231*('損益分岐設定'!$B$15+'損益分岐設定'!$B$16)+'損益分岐設定'!$B$17+E231*('損益分岐設定'!$B$13+(AO231-1)*'損益分岐設定'!$B$14)*'損益分岐設定'!$B$11</x:f>
        <x:v>135018.37352244253</x:v>
      </x:c>
      <x:c r="U231" s="7" t="n">
        <x:f>'損益分岐設定'!$B$18+'損益分岐設定'!$B$19+'損益分岐設定'!$B$20+'損益分岐設定'!E40+'損益分岐設定'!D40+AP231*('損益分岐設定'!$B$15+'損益分岐設定'!$B$16)+'損益分岐設定'!$B$17+E231*('損益分岐設定'!$B$13+(AP231-1)*'損益分岐設定'!$B$14)*'損益分岐設定'!$B$11</x:f>
        <x:v>238096.95035457978</x:v>
      </x:c>
      <x:c r="V231" s="1" t="n">
        <x:f>IF(I231&lt;=0,1001,IF(MAX('損益分岐設定'!B37,ROUNDUP(R231/I231,0))&lt;='損益分岐設定'!C37,MAX('損益分岐設定'!B37,ROUNDUP(R231/I231,0)),1001))</x:f>
        <x:v>1001</x:v>
      </x:c>
      <x:c r="W231" s="1" t="n">
        <x:f>IF(I231&lt;=0,1001,IF(MAX('損益分岐設定'!B38,ROUNDUP(S231/I231,0))&lt;='損益分岐設定'!C38,MAX('損益分岐設定'!B38,ROUNDUP(S231/I231,0)),1001))</x:f>
        <x:v>1001</x:v>
      </x:c>
      <x:c r="X231" s="1" t="n">
        <x:f>IF(I231&lt;=0,1001,IF(MAX('損益分岐設定'!B39,ROUNDUP(T231/I231,0))&lt;='損益分岐設定'!C39,MAX('損益分岐設定'!B39,ROUNDUP(T231/I231,0)),1001))</x:f>
        <x:v>1001</x:v>
      </x:c>
      <x:c r="Y231" s="1" t="n">
        <x:f>IF(I231&lt;=0,1001,IF(MAX('損益分岐設定'!B40,ROUNDUP(U231/I231,0))&lt;='損益分岐設定'!C40,MAX('損益分岐設定'!B40,ROUNDUP(U231/I231,0)),1001))</x:f>
        <x:v>1001</x:v>
      </x:c>
      <x:c r="Z231" s="1" t="n">
        <x:f>IF(I231&lt;=0,'損益分岐設定'!C37,IF('損益分岐設定'!C37*I231-R231&lt;0,'損益分岐設定'!C37,IF('損益分岐設定'!B37*I231-R231&gt;=0,0,ROUNDUP(R231/I231,0)-1)))</x:f>
        <x:v>10</x:v>
      </x:c>
      <x:c r="AA231" s="1" t="n">
        <x:f>IF(I231&lt;=0,'損益分岐設定'!C38,IF('損益分岐設定'!C38*I231-S231&lt;0,'損益分岐設定'!C38,IF('損益分岐設定'!B38*I231-S231&gt;=0,0,ROUNDUP(S231/I231,0)-1)))</x:f>
        <x:v>100</x:v>
      </x:c>
      <x:c r="AB231" s="1" t="n">
        <x:f>IF(I231&lt;=0,'損益分岐設定'!C39,IF('損益分岐設定'!C39*I231-T231&lt;0,'損益分岐設定'!C39,IF('損益分岐設定'!B39*I231-T231&gt;=0,0,ROUNDUP(T231/I231,0)-1)))</x:f>
        <x:v>500</x:v>
      </x:c>
      <x:c r="AC231" s="1" t="n">
        <x:f>IF(I231&lt;=0,'損益分岐設定'!C40,IF('損益分岐設定'!C40*I231-U231&lt;0,'損益分岐設定'!C40,IF('損益分岐設定'!B40*I231-U231&gt;=0,0,ROUNDUP(U231/I231,0)-1)))</x:f>
        <x:v>1000</x:v>
      </x:c>
      <x:c r="AD231" s="1" t="n">
        <x:v>0</x:v>
      </x:c>
      <x:c r="AE231" s="1" t="n">
        <x:v>1</x:v>
      </x:c>
      <x:c r="AF231" s="1" t="n">
        <x:v>0</x:v>
      </x:c>
      <x:c r="AG231" s="1" t="n">
        <x:f>AD231*'損益分岐設定'!$C$58+AE231*'損益分岐設定'!$C$61+AF231*'損益分岐設定'!$C$64</x:f>
        <x:v>9914.705791015625</x:v>
      </x:c>
      <x:c r="AH231" s="1" t="n">
        <x:f>AD231*'損益分岐設定'!$D$58+AE231*'損益分岐設定'!$D$61+AF231*'損益分岐設定'!$D$64</x:f>
        <x:v>480</x:v>
      </x:c>
      <x:c r="AI231" s="1" t="n">
        <x:f>AD231*'損益分岐設定'!$E$58+AE231*'損益分岐設定'!$E$61+AF231*'損益分岐設定'!$E$64</x:f>
        <x:v>640</x:v>
      </x:c>
      <x:c r="AJ231" s="1" t="n">
        <x:f>(AD231*'損益分岐設定'!$F$58+AE231*'損益分岐設定'!$F$61+AF231*'損益分岐設定'!$F$64*1)*'損益分岐設定'!$B$22</x:f>
        <x:v>7200</x:v>
      </x:c>
      <x:c r="AK231" s="1" t="n">
        <x:f>AD231*'損益分岐設定'!$G$58+AE231*'損益分岐設定'!$G$61+AF231*'損益分岐設定'!$G$64</x:f>
        <x:v>4800</x:v>
      </x:c>
      <x:c r="AL231" s="1" t="n">
        <x:f>AD231*'損益分岐設定'!$H$58+AE231*'損益分岐設定'!$H$61+AF231*'損益分岐設定'!$H$64</x:f>
        <x:v>1466.6666666666665</x:v>
      </x:c>
      <x:c r="AM231" s="1" t="n">
        <x:f>MAX(1,ROUNDUP('損益分岐設定'!C37*AJ231/('損益分岐設定'!$B$23*'損益分岐設定'!$B$24*3600*'損益分岐設定'!$B$25),0))</x:f>
        <x:v>1</x:v>
      </x:c>
      <x:c r="AN231" s="1" t="n">
        <x:f>MAX(2,ROUNDUP('損益分岐設定'!C38*AJ231/('損益分岐設定'!$B$23*'損益分岐設定'!$B$24*3600*'損益分岐設定'!$B$25),0))</x:f>
        <x:v>2</x:v>
      </x:c>
      <x:c r="AO231" s="1" t="n">
        <x:f>MAX(2,ROUNDUP('損益分岐設定'!C39*AJ231/('損益分岐設定'!$B$23*'損益分岐設定'!$B$24*3600*'損益分岐設定'!$B$25),0))</x:f>
        <x:v>8</x:v>
      </x:c>
      <x:c r="AP231" s="1" t="n">
        <x:f>MAX(2,ROUNDUP('損益分岐設定'!C40*AJ231/('損益分岐設定'!$B$23*'損益分岐設定'!$B$24*3600*'損益分岐設定'!$B$25),0))</x:f>
        <x:v>15</x:v>
      </x:c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 ht="23" customHeight="1">
      <x:c r="A232" s="1" t="str">
        <x:v>Hybrid</x:v>
      </x:c>
      <x:c r="B232" s="1" t="str">
        <x:v>Business</x:v>
      </x:c>
      <x:c r="C232" s="1" t="str">
        <x:v>高位</x:v>
      </x:c>
      <x:c r="D232" s="21" t="n">
        <x:v>0.4</x:v>
      </x:c>
      <x:c r="E232" s="1" t="n">
        <x:v>1</x:v>
      </x:c>
      <x:c r="F232" s="7" t="n">
        <x:f>AD232*'損益分岐設定'!$B$5+AE232*'損益分岐設定'!$B$6+AF232*'損益分岐設定'!$B$7</x:f>
        <x:v>5000</x:v>
      </x:c>
      <x:c r="G232" s="7" t="n">
        <x:f>AG232+(AH232+AI232)*('損益分岐設定'!$B$29+0.5*'損益分岐設定'!$B$30)+AK232*'損益分岐設定'!$B$33</x:f>
        <x:v>9919.333372881263</x:v>
      </x:c>
      <x:c r="H232" s="7" t="n">
        <x:f>AL232*E232</x:f>
        <x:v>1466.6666666666665</x:v>
      </x:c>
      <x:c r="I232" s="7" t="n">
        <x:f>F232*(1-D232-'損益分岐設定'!$B$10)-G232-H232</x:f>
        <x:v>-8566.00003954793</x:v>
      </x:c>
      <x:c r="J232" s="1" t="str">
        <x:f>IF(MIN(V232:Y232)&gt;1000,"範囲内なし",MIN(V232:Y232))</x:f>
        <x:v>範囲内なし</x:v>
      </x:c>
      <x:c r="K232" s="1" t="str">
        <x:f>IF(MAX(Z232:AC232)&gt;=1000,"範囲内なし",MAX(1,MAX(Z232:AC232)+1))</x:f>
        <x:v>範囲内なし</x:v>
      </x:c>
      <x:c r="L232" s="7" t="n">
        <x:f>10*I232-R232</x:f>
        <x:v>-137099.7970857846</x:v>
      </x:c>
      <x:c r="M232" s="7" t="n">
        <x:f>30*I232-S232</x:f>
        <x:v>-325359.5945670485</x:v>
      </x:c>
      <x:c r="N232" s="7" t="n">
        <x:f>50*I232-S232</x:f>
        <x:v>-496679.59535800706</x:v>
      </x:c>
      <x:c r="O232" s="7" t="n">
        <x:f>100*I232-S232</x:f>
        <x:v>-924979.5973354036</x:v>
      </x:c>
      <x:c r="P232" s="7" t="n">
        <x:f>300*I232-T232</x:f>
        <x:v>-2734818.385386821</x:v>
      </x:c>
      <x:c r="Q232" s="7" t="n">
        <x:f>1000*I232-U232</x:f>
        <x:v>-8848096.98990251</x:v>
      </x:c>
      <x:c r="R232" s="7" t="n">
        <x:f>'損益分岐設定'!$B$18+'損益分岐設定'!$B$19+'損益分岐設定'!$B$20+'損益分岐設定'!E37+'損益分岐設定'!D37+AM232*('損益分岐設定'!$B$15+'損益分岐設定'!$B$16)+'損益分岐設定'!$B$17+E232*('損益分岐設定'!$B$13+(AM232-1)*'損益分岐設定'!$B$14)*'損益分岐設定'!$B$11</x:f>
        <x:v>51439.79669030532</x:v>
      </x:c>
      <x:c r="S232" s="7" t="n">
        <x:f>'損益分岐設定'!$B$18+'損益分岐設定'!$B$19+'損益分岐設定'!$B$20+'損益分岐設定'!E38+'損益分岐設定'!D38+AN232*('損益分岐設定'!$B$15+'損益分岐設定'!$B$16)+'損益分岐設定'!$B$17+E232*('損益分岐設定'!$B$13+(AN232-1)*'損益分岐設定'!$B$14)*'損益分岐設定'!$B$11</x:f>
        <x:v>68379.59338061063</x:v>
      </x:c>
      <x:c r="T232" s="7" t="n">
        <x:f>'損益分岐設定'!$B$18+'損益分岐設定'!$B$19+'損益分岐設定'!$B$20+'損益分岐設定'!E39+'損益分岐設定'!D39+AO232*('損益分岐設定'!$B$15+'損益分岐設定'!$B$16)+'損益分岐設定'!$B$17+E232*('損益分岐設定'!$B$13+(AO232-1)*'損益分岐設定'!$B$14)*'損益分岐設定'!$B$11</x:f>
        <x:v>165018.37352244253</x:v>
      </x:c>
      <x:c r="U232" s="7" t="n">
        <x:f>'損益分岐設定'!$B$18+'損益分岐設定'!$B$19+'損益分岐設定'!$B$20+'損益分岐設定'!E40+'損益分岐設定'!D40+AP232*('損益分岐設定'!$B$15+'損益分岐設定'!$B$16)+'損益分岐設定'!$B$17+E232*('損益分岐設定'!$B$13+(AP232-1)*'損益分岐設定'!$B$14)*'損益分岐設定'!$B$11</x:f>
        <x:v>282096.9503545798</x:v>
      </x:c>
      <x:c r="V232" s="1" t="n">
        <x:f>IF(I232&lt;=0,1001,IF(MAX('損益分岐設定'!B37,ROUNDUP(R232/I232,0))&lt;='損益分岐設定'!C37,MAX('損益分岐設定'!B37,ROUNDUP(R232/I232,0)),1001))</x:f>
        <x:v>1001</x:v>
      </x:c>
      <x:c r="W232" s="1" t="n">
        <x:f>IF(I232&lt;=0,1001,IF(MAX('損益分岐設定'!B38,ROUNDUP(S232/I232,0))&lt;='損益分岐設定'!C38,MAX('損益分岐設定'!B38,ROUNDUP(S232/I232,0)),1001))</x:f>
        <x:v>1001</x:v>
      </x:c>
      <x:c r="X232" s="1" t="n">
        <x:f>IF(I232&lt;=0,1001,IF(MAX('損益分岐設定'!B39,ROUNDUP(T232/I232,0))&lt;='損益分岐設定'!C39,MAX('損益分岐設定'!B39,ROUNDUP(T232/I232,0)),1001))</x:f>
        <x:v>1001</x:v>
      </x:c>
      <x:c r="Y232" s="1" t="n">
        <x:f>IF(I232&lt;=0,1001,IF(MAX('損益分岐設定'!B40,ROUNDUP(U232/I232,0))&lt;='損益分岐設定'!C40,MAX('損益分岐設定'!B40,ROUNDUP(U232/I232,0)),1001))</x:f>
        <x:v>1001</x:v>
      </x:c>
      <x:c r="Z232" s="1" t="n">
        <x:f>IF(I232&lt;=0,'損益分岐設定'!C37,IF('損益分岐設定'!C37*I232-R232&lt;0,'損益分岐設定'!C37,IF('損益分岐設定'!B37*I232-R232&gt;=0,0,ROUNDUP(R232/I232,0)-1)))</x:f>
        <x:v>10</x:v>
      </x:c>
      <x:c r="AA232" s="1" t="n">
        <x:f>IF(I232&lt;=0,'損益分岐設定'!C38,IF('損益分岐設定'!C38*I232-S232&lt;0,'損益分岐設定'!C38,IF('損益分岐設定'!B38*I232-S232&gt;=0,0,ROUNDUP(S232/I232,0)-1)))</x:f>
        <x:v>100</x:v>
      </x:c>
      <x:c r="AB232" s="1" t="n">
        <x:f>IF(I232&lt;=0,'損益分岐設定'!C39,IF('損益分岐設定'!C39*I232-T232&lt;0,'損益分岐設定'!C39,IF('損益分岐設定'!B39*I232-T232&gt;=0,0,ROUNDUP(T232/I232,0)-1)))</x:f>
        <x:v>500</x:v>
      </x:c>
      <x:c r="AC232" s="1" t="n">
        <x:f>IF(I232&lt;=0,'損益分岐設定'!C40,IF('損益分岐設定'!C40*I232-U232&lt;0,'損益分岐設定'!C40,IF('損益分岐設定'!B40*I232-U232&gt;=0,0,ROUNDUP(U232/I232,0)-1)))</x:f>
        <x:v>1000</x:v>
      </x:c>
      <x:c r="AD232" s="1" t="n">
        <x:v>0</x:v>
      </x:c>
      <x:c r="AE232" s="1" t="n">
        <x:v>1</x:v>
      </x:c>
      <x:c r="AF232" s="1" t="n">
        <x:v>0</x:v>
      </x:c>
      <x:c r="AG232" s="1" t="n">
        <x:f>AD232*'損益分岐設定'!$C$58+AE232*'損益分岐設定'!$C$61+AF232*'損益分岐設定'!$C$64</x:f>
        <x:v>9914.705791015625</x:v>
      </x:c>
      <x:c r="AH232" s="1" t="n">
        <x:f>AD232*'損益分岐設定'!$D$58+AE232*'損益分岐設定'!$D$61+AF232*'損益分岐設定'!$D$64</x:f>
        <x:v>480</x:v>
      </x:c>
      <x:c r="AI232" s="1" t="n">
        <x:f>AD232*'損益分岐設定'!$E$58+AE232*'損益分岐設定'!$E$61+AF232*'損益分岐設定'!$E$64</x:f>
        <x:v>640</x:v>
      </x:c>
      <x:c r="AJ232" s="1" t="n">
        <x:f>(AD232*'損益分岐設定'!$F$58+AE232*'損益分岐設定'!$F$61+AF232*'損益分岐設定'!$F$64*1)*'損益分岐設定'!$B$22</x:f>
        <x:v>7200</x:v>
      </x:c>
      <x:c r="AK232" s="1" t="n">
        <x:f>AD232*'損益分岐設定'!$G$58+AE232*'損益分岐設定'!$G$61+AF232*'損益分岐設定'!$G$64</x:f>
        <x:v>4800</x:v>
      </x:c>
      <x:c r="AL232" s="1" t="n">
        <x:f>AD232*'損益分岐設定'!$H$58+AE232*'損益分岐設定'!$H$61+AF232*'損益分岐設定'!$H$64</x:f>
        <x:v>1466.6666666666665</x:v>
      </x:c>
      <x:c r="AM232" s="1" t="n">
        <x:f>MAX(1,ROUNDUP('損益分岐設定'!C37*AJ232/('損益分岐設定'!$B$23*'損益分岐設定'!$B$24*3600*'損益分岐設定'!$B$25),0))</x:f>
        <x:v>1</x:v>
      </x:c>
      <x:c r="AN232" s="1" t="n">
        <x:f>MAX(2,ROUNDUP('損益分岐設定'!C38*AJ232/('損益分岐設定'!$B$23*'損益分岐設定'!$B$24*3600*'損益分岐設定'!$B$25),0))</x:f>
        <x:v>2</x:v>
      </x:c>
      <x:c r="AO232" s="1" t="n">
        <x:f>MAX(2,ROUNDUP('損益分岐設定'!C39*AJ232/('損益分岐設定'!$B$23*'損益分岐設定'!$B$24*3600*'損益分岐設定'!$B$25),0))</x:f>
        <x:v>8</x:v>
      </x:c>
      <x:c r="AP232" s="1" t="n">
        <x:f>MAX(2,ROUNDUP('損益分岐設定'!C40*AJ232/('損益分岐設定'!$B$23*'損益分岐設定'!$B$24*3600*'損益分岐設定'!$B$25),0))</x:f>
        <x:v>15</x:v>
      </x:c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 ht="23" customHeight="1">
      <x:c r="A233" s="1" t="str">
        <x:v>Hybrid</x:v>
      </x:c>
      <x:c r="B233" s="1" t="str">
        <x:v>Business</x:v>
      </x:c>
      <x:c r="C233" s="1" t="str">
        <x:v>高位</x:v>
      </x:c>
      <x:c r="D233" s="21" t="n">
        <x:v>0.5</x:v>
      </x:c>
      <x:c r="E233" s="1" t="n">
        <x:v>0</x:v>
      </x:c>
      <x:c r="F233" s="7" t="n">
        <x:f>AD233*'損益分岐設定'!$B$5+AE233*'損益分岐設定'!$B$6+AF233*'損益分岐設定'!$B$7</x:f>
        <x:v>5000</x:v>
      </x:c>
      <x:c r="G233" s="7" t="n">
        <x:f>AG233+(AH233+AI233)*('損益分岐設定'!$B$29+0.5*'損益分岐設定'!$B$30)+AK233*'損益分岐設定'!$B$33</x:f>
        <x:v>9919.333372881263</x:v>
      </x:c>
      <x:c r="H233" s="7" t="n">
        <x:f>AL233*E233</x:f>
        <x:v>0</x:v>
      </x:c>
      <x:c r="I233" s="7" t="n">
        <x:f>F233*(1-D233-'損益分岐設定'!$B$10)-G233-H233</x:f>
        <x:v>-7599.333372881263</x:v>
      </x:c>
      <x:c r="J233" s="1" t="str">
        <x:f>IF(MIN(V233:Y233)&gt;1000,"範囲内なし",MIN(V233:Y233))</x:f>
        <x:v>範囲内なし</x:v>
      </x:c>
      <x:c r="K233" s="1" t="str">
        <x:f>IF(MAX(Z233:AC233)&gt;=1000,"範囲内なし",MAX(1,MAX(Z233:AC233)+1))</x:f>
        <x:v>範囲内なし</x:v>
      </x:c>
      <x:c r="L233" s="7" t="n">
        <x:f>10*I233-R233</x:f>
        <x:v>-111433.13041911795</x:v>
      </x:c>
      <x:c r="M233" s="7" t="n">
        <x:f>30*I233-S233</x:f>
        <x:v>-278359.59456704854</x:v>
      </x:c>
      <x:c r="N233" s="7" t="n">
        <x:f>50*I233-S233</x:f>
        <x:v>-430346.2620246738</x:v>
      </x:c>
      <x:c r="O233" s="7" t="n">
        <x:f>100*I233-S233</x:f>
        <x:v>-810312.930668737</x:v>
      </x:c>
      <x:c r="P233" s="7" t="n">
        <x:f>300*I233-T233</x:f>
        <x:v>-2414818.385386822</x:v>
      </x:c>
      <x:c r="Q233" s="7" t="n">
        <x:f>1000*I233-U233</x:f>
        <x:v>-7837430.323235843</x:v>
      </x:c>
      <x:c r="R233" s="7" t="n">
        <x:f>'損益分岐設定'!$B$18+'損益分岐設定'!$B$19+'損益分岐設定'!$B$20+'損益分岐設定'!E37+'損益分岐設定'!D37+AM233*('損益分岐設定'!$B$15+'損益分岐設定'!$B$16)+'損益分岐設定'!$B$17+E233*('損益分岐設定'!$B$13+(AM233-1)*'損益分岐設定'!$B$14)*'損益分岐設定'!$B$11</x:f>
        <x:v>35439.79669030532</x:v>
      </x:c>
      <x:c r="S233" s="7" t="n">
        <x:f>'損益分岐設定'!$B$18+'損益分岐設定'!$B$19+'損益分岐設定'!$B$20+'損益分岐設定'!E38+'損益分岐設定'!D38+AN233*('損益分岐設定'!$B$15+'損益分岐設定'!$B$16)+'損益分岐設定'!$B$17+E233*('損益分岐設定'!$B$13+(AN233-1)*'損益分岐設定'!$B$14)*'損益分岐設定'!$B$11</x:f>
        <x:v>50379.59338061063</x:v>
      </x:c>
      <x:c r="T233" s="7" t="n">
        <x:f>'損益分岐設定'!$B$18+'損益分岐設定'!$B$19+'損益分岐設定'!$B$20+'損益分岐設定'!E39+'損益分岐設定'!D39+AO233*('損益分岐設定'!$B$15+'損益分岐設定'!$B$16)+'損益分岐設定'!$B$17+E233*('損益分岐設定'!$B$13+(AO233-1)*'損益分岐設定'!$B$14)*'損益分岐設定'!$B$11</x:f>
        <x:v>135018.37352244253</x:v>
      </x:c>
      <x:c r="U233" s="7" t="n">
        <x:f>'損益分岐設定'!$B$18+'損益分岐設定'!$B$19+'損益分岐設定'!$B$20+'損益分岐設定'!E40+'損益分岐設定'!D40+AP233*('損益分岐設定'!$B$15+'損益分岐設定'!$B$16)+'損益分岐設定'!$B$17+E233*('損益分岐設定'!$B$13+(AP233-1)*'損益分岐設定'!$B$14)*'損益分岐設定'!$B$11</x:f>
        <x:v>238096.95035457978</x:v>
      </x:c>
      <x:c r="V233" s="1" t="n">
        <x:f>IF(I233&lt;=0,1001,IF(MAX('損益分岐設定'!B37,ROUNDUP(R233/I233,0))&lt;='損益分岐設定'!C37,MAX('損益分岐設定'!B37,ROUNDUP(R233/I233,0)),1001))</x:f>
        <x:v>1001</x:v>
      </x:c>
      <x:c r="W233" s="1" t="n">
        <x:f>IF(I233&lt;=0,1001,IF(MAX('損益分岐設定'!B38,ROUNDUP(S233/I233,0))&lt;='損益分岐設定'!C38,MAX('損益分岐設定'!B38,ROUNDUP(S233/I233,0)),1001))</x:f>
        <x:v>1001</x:v>
      </x:c>
      <x:c r="X233" s="1" t="n">
        <x:f>IF(I233&lt;=0,1001,IF(MAX('損益分岐設定'!B39,ROUNDUP(T233/I233,0))&lt;='損益分岐設定'!C39,MAX('損益分岐設定'!B39,ROUNDUP(T233/I233,0)),1001))</x:f>
        <x:v>1001</x:v>
      </x:c>
      <x:c r="Y233" s="1" t="n">
        <x:f>IF(I233&lt;=0,1001,IF(MAX('損益分岐設定'!B40,ROUNDUP(U233/I233,0))&lt;='損益分岐設定'!C40,MAX('損益分岐設定'!B40,ROUNDUP(U233/I233,0)),1001))</x:f>
        <x:v>1001</x:v>
      </x:c>
      <x:c r="Z233" s="1" t="n">
        <x:f>IF(I233&lt;=0,'損益分岐設定'!C37,IF('損益分岐設定'!C37*I233-R233&lt;0,'損益分岐設定'!C37,IF('損益分岐設定'!B37*I233-R233&gt;=0,0,ROUNDUP(R233/I233,0)-1)))</x:f>
        <x:v>10</x:v>
      </x:c>
      <x:c r="AA233" s="1" t="n">
        <x:f>IF(I233&lt;=0,'損益分岐設定'!C38,IF('損益分岐設定'!C38*I233-S233&lt;0,'損益分岐設定'!C38,IF('損益分岐設定'!B38*I233-S233&gt;=0,0,ROUNDUP(S233/I233,0)-1)))</x:f>
        <x:v>100</x:v>
      </x:c>
      <x:c r="AB233" s="1" t="n">
        <x:f>IF(I233&lt;=0,'損益分岐設定'!C39,IF('損益分岐設定'!C39*I233-T233&lt;0,'損益分岐設定'!C39,IF('損益分岐設定'!B39*I233-T233&gt;=0,0,ROUNDUP(T233/I233,0)-1)))</x:f>
        <x:v>500</x:v>
      </x:c>
      <x:c r="AC233" s="1" t="n">
        <x:f>IF(I233&lt;=0,'損益分岐設定'!C40,IF('損益分岐設定'!C40*I233-U233&lt;0,'損益分岐設定'!C40,IF('損益分岐設定'!B40*I233-U233&gt;=0,0,ROUNDUP(U233/I233,0)-1)))</x:f>
        <x:v>1000</x:v>
      </x:c>
      <x:c r="AD233" s="1" t="n">
        <x:v>0</x:v>
      </x:c>
      <x:c r="AE233" s="1" t="n">
        <x:v>1</x:v>
      </x:c>
      <x:c r="AF233" s="1" t="n">
        <x:v>0</x:v>
      </x:c>
      <x:c r="AG233" s="1" t="n">
        <x:f>AD233*'損益分岐設定'!$C$58+AE233*'損益分岐設定'!$C$61+AF233*'損益分岐設定'!$C$64</x:f>
        <x:v>9914.705791015625</x:v>
      </x:c>
      <x:c r="AH233" s="1" t="n">
        <x:f>AD233*'損益分岐設定'!$D$58+AE233*'損益分岐設定'!$D$61+AF233*'損益分岐設定'!$D$64</x:f>
        <x:v>480</x:v>
      </x:c>
      <x:c r="AI233" s="1" t="n">
        <x:f>AD233*'損益分岐設定'!$E$58+AE233*'損益分岐設定'!$E$61+AF233*'損益分岐設定'!$E$64</x:f>
        <x:v>640</x:v>
      </x:c>
      <x:c r="AJ233" s="1" t="n">
        <x:f>(AD233*'損益分岐設定'!$F$58+AE233*'損益分岐設定'!$F$61+AF233*'損益分岐設定'!$F$64*1)*'損益分岐設定'!$B$22</x:f>
        <x:v>7200</x:v>
      </x:c>
      <x:c r="AK233" s="1" t="n">
        <x:f>AD233*'損益分岐設定'!$G$58+AE233*'損益分岐設定'!$G$61+AF233*'損益分岐設定'!$G$64</x:f>
        <x:v>4800</x:v>
      </x:c>
      <x:c r="AL233" s="1" t="n">
        <x:f>AD233*'損益分岐設定'!$H$58+AE233*'損益分岐設定'!$H$61+AF233*'損益分岐設定'!$H$64</x:f>
        <x:v>1466.6666666666665</x:v>
      </x:c>
      <x:c r="AM233" s="1" t="n">
        <x:f>MAX(1,ROUNDUP('損益分岐設定'!C37*AJ233/('損益分岐設定'!$B$23*'損益分岐設定'!$B$24*3600*'損益分岐設定'!$B$25),0))</x:f>
        <x:v>1</x:v>
      </x:c>
      <x:c r="AN233" s="1" t="n">
        <x:f>MAX(2,ROUNDUP('損益分岐設定'!C38*AJ233/('損益分岐設定'!$B$23*'損益分岐設定'!$B$24*3600*'損益分岐設定'!$B$25),0))</x:f>
        <x:v>2</x:v>
      </x:c>
      <x:c r="AO233" s="1" t="n">
        <x:f>MAX(2,ROUNDUP('損益分岐設定'!C39*AJ233/('損益分岐設定'!$B$23*'損益分岐設定'!$B$24*3600*'損益分岐設定'!$B$25),0))</x:f>
        <x:v>8</x:v>
      </x:c>
      <x:c r="AP233" s="1" t="n">
        <x:f>MAX(2,ROUNDUP('損益分岐設定'!C40*AJ233/('損益分岐設定'!$B$23*'損益分岐設定'!$B$24*3600*'損益分岐設定'!$B$25),0))</x:f>
        <x:v>15</x:v>
      </x:c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 ht="23" customHeight="1">
      <x:c r="A234" s="1" t="str">
        <x:v>Hybrid</x:v>
      </x:c>
      <x:c r="B234" s="1" t="str">
        <x:v>Business</x:v>
      </x:c>
      <x:c r="C234" s="1" t="str">
        <x:v>高位</x:v>
      </x:c>
      <x:c r="D234" s="21" t="n">
        <x:v>0.5</x:v>
      </x:c>
      <x:c r="E234" s="1" t="n">
        <x:v>1</x:v>
      </x:c>
      <x:c r="F234" s="7" t="n">
        <x:f>AD234*'損益分岐設定'!$B$5+AE234*'損益分岐設定'!$B$6+AF234*'損益分岐設定'!$B$7</x:f>
        <x:v>5000</x:v>
      </x:c>
      <x:c r="G234" s="7" t="n">
        <x:f>AG234+(AH234+AI234)*('損益分岐設定'!$B$29+0.5*'損益分岐設定'!$B$30)+AK234*'損益分岐設定'!$B$33</x:f>
        <x:v>9919.333372881263</x:v>
      </x:c>
      <x:c r="H234" s="7" t="n">
        <x:f>AL234*E234</x:f>
        <x:v>1466.6666666666665</x:v>
      </x:c>
      <x:c r="I234" s="7" t="n">
        <x:f>F234*(1-D234-'損益分岐設定'!$B$10)-G234-H234</x:f>
        <x:v>-9066.00003954793</x:v>
      </x:c>
      <x:c r="J234" s="1" t="str">
        <x:f>IF(MIN(V234:Y234)&gt;1000,"範囲内なし",MIN(V234:Y234))</x:f>
        <x:v>範囲内なし</x:v>
      </x:c>
      <x:c r="K234" s="1" t="str">
        <x:f>IF(MAX(Z234:AC234)&gt;=1000,"範囲内なし",MAX(1,MAX(Z234:AC234)+1))</x:f>
        <x:v>範囲内なし</x:v>
      </x:c>
      <x:c r="L234" s="7" t="n">
        <x:f>10*I234-R234</x:f>
        <x:v>-142099.7970857846</x:v>
      </x:c>
      <x:c r="M234" s="7" t="n">
        <x:f>30*I234-S234</x:f>
        <x:v>-340359.59456704854</x:v>
      </x:c>
      <x:c r="N234" s="7" t="n">
        <x:f>50*I234-S234</x:f>
        <x:v>-521679.59535800706</x:v>
      </x:c>
      <x:c r="O234" s="7" t="n">
        <x:f>100*I234-S234</x:f>
        <x:v>-974979.5973354036</x:v>
      </x:c>
      <x:c r="P234" s="7" t="n">
        <x:f>300*I234-T234</x:f>
        <x:v>-2884818.385386821</x:v>
      </x:c>
      <x:c r="Q234" s="7" t="n">
        <x:f>1000*I234-U234</x:f>
        <x:v>-9348096.98990251</x:v>
      </x:c>
      <x:c r="R234" s="7" t="n">
        <x:f>'損益分岐設定'!$B$18+'損益分岐設定'!$B$19+'損益分岐設定'!$B$20+'損益分岐設定'!E37+'損益分岐設定'!D37+AM234*('損益分岐設定'!$B$15+'損益分岐設定'!$B$16)+'損益分岐設定'!$B$17+E234*('損益分岐設定'!$B$13+(AM234-1)*'損益分岐設定'!$B$14)*'損益分岐設定'!$B$11</x:f>
        <x:v>51439.79669030532</x:v>
      </x:c>
      <x:c r="S234" s="7" t="n">
        <x:f>'損益分岐設定'!$B$18+'損益分岐設定'!$B$19+'損益分岐設定'!$B$20+'損益分岐設定'!E38+'損益分岐設定'!D38+AN234*('損益分岐設定'!$B$15+'損益分岐設定'!$B$16)+'損益分岐設定'!$B$17+E234*('損益分岐設定'!$B$13+(AN234-1)*'損益分岐設定'!$B$14)*'損益分岐設定'!$B$11</x:f>
        <x:v>68379.59338061063</x:v>
      </x:c>
      <x:c r="T234" s="7" t="n">
        <x:f>'損益分岐設定'!$B$18+'損益分岐設定'!$B$19+'損益分岐設定'!$B$20+'損益分岐設定'!E39+'損益分岐設定'!D39+AO234*('損益分岐設定'!$B$15+'損益分岐設定'!$B$16)+'損益分岐設定'!$B$17+E234*('損益分岐設定'!$B$13+(AO234-1)*'損益分岐設定'!$B$14)*'損益分岐設定'!$B$11</x:f>
        <x:v>165018.37352244253</x:v>
      </x:c>
      <x:c r="U234" s="7" t="n">
        <x:f>'損益分岐設定'!$B$18+'損益分岐設定'!$B$19+'損益分岐設定'!$B$20+'損益分岐設定'!E40+'損益分岐設定'!D40+AP234*('損益分岐設定'!$B$15+'損益分岐設定'!$B$16)+'損益分岐設定'!$B$17+E234*('損益分岐設定'!$B$13+(AP234-1)*'損益分岐設定'!$B$14)*'損益分岐設定'!$B$11</x:f>
        <x:v>282096.9503545798</x:v>
      </x:c>
      <x:c r="V234" s="1" t="n">
        <x:f>IF(I234&lt;=0,1001,IF(MAX('損益分岐設定'!B37,ROUNDUP(R234/I234,0))&lt;='損益分岐設定'!C37,MAX('損益分岐設定'!B37,ROUNDUP(R234/I234,0)),1001))</x:f>
        <x:v>1001</x:v>
      </x:c>
      <x:c r="W234" s="1" t="n">
        <x:f>IF(I234&lt;=0,1001,IF(MAX('損益分岐設定'!B38,ROUNDUP(S234/I234,0))&lt;='損益分岐設定'!C38,MAX('損益分岐設定'!B38,ROUNDUP(S234/I234,0)),1001))</x:f>
        <x:v>1001</x:v>
      </x:c>
      <x:c r="X234" s="1" t="n">
        <x:f>IF(I234&lt;=0,1001,IF(MAX('損益分岐設定'!B39,ROUNDUP(T234/I234,0))&lt;='損益分岐設定'!C39,MAX('損益分岐設定'!B39,ROUNDUP(T234/I234,0)),1001))</x:f>
        <x:v>1001</x:v>
      </x:c>
      <x:c r="Y234" s="1" t="n">
        <x:f>IF(I234&lt;=0,1001,IF(MAX('損益分岐設定'!B40,ROUNDUP(U234/I234,0))&lt;='損益分岐設定'!C40,MAX('損益分岐設定'!B40,ROUNDUP(U234/I234,0)),1001))</x:f>
        <x:v>1001</x:v>
      </x:c>
      <x:c r="Z234" s="1" t="n">
        <x:f>IF(I234&lt;=0,'損益分岐設定'!C37,IF('損益分岐設定'!C37*I234-R234&lt;0,'損益分岐設定'!C37,IF('損益分岐設定'!B37*I234-R234&gt;=0,0,ROUNDUP(R234/I234,0)-1)))</x:f>
        <x:v>10</x:v>
      </x:c>
      <x:c r="AA234" s="1" t="n">
        <x:f>IF(I234&lt;=0,'損益分岐設定'!C38,IF('損益分岐設定'!C38*I234-S234&lt;0,'損益分岐設定'!C38,IF('損益分岐設定'!B38*I234-S234&gt;=0,0,ROUNDUP(S234/I234,0)-1)))</x:f>
        <x:v>100</x:v>
      </x:c>
      <x:c r="AB234" s="1" t="n">
        <x:f>IF(I234&lt;=0,'損益分岐設定'!C39,IF('損益分岐設定'!C39*I234-T234&lt;0,'損益分岐設定'!C39,IF('損益分岐設定'!B39*I234-T234&gt;=0,0,ROUNDUP(T234/I234,0)-1)))</x:f>
        <x:v>500</x:v>
      </x:c>
      <x:c r="AC234" s="1" t="n">
        <x:f>IF(I234&lt;=0,'損益分岐設定'!C40,IF('損益分岐設定'!C40*I234-U234&lt;0,'損益分岐設定'!C40,IF('損益分岐設定'!B40*I234-U234&gt;=0,0,ROUNDUP(U234/I234,0)-1)))</x:f>
        <x:v>1000</x:v>
      </x:c>
      <x:c r="AD234" s="1" t="n">
        <x:v>0</x:v>
      </x:c>
      <x:c r="AE234" s="1" t="n">
        <x:v>1</x:v>
      </x:c>
      <x:c r="AF234" s="1" t="n">
        <x:v>0</x:v>
      </x:c>
      <x:c r="AG234" s="1" t="n">
        <x:f>AD234*'損益分岐設定'!$C$58+AE234*'損益分岐設定'!$C$61+AF234*'損益分岐設定'!$C$64</x:f>
        <x:v>9914.705791015625</x:v>
      </x:c>
      <x:c r="AH234" s="1" t="n">
        <x:f>AD234*'損益分岐設定'!$D$58+AE234*'損益分岐設定'!$D$61+AF234*'損益分岐設定'!$D$64</x:f>
        <x:v>480</x:v>
      </x:c>
      <x:c r="AI234" s="1" t="n">
        <x:f>AD234*'損益分岐設定'!$E$58+AE234*'損益分岐設定'!$E$61+AF234*'損益分岐設定'!$E$64</x:f>
        <x:v>640</x:v>
      </x:c>
      <x:c r="AJ234" s="1" t="n">
        <x:f>(AD234*'損益分岐設定'!$F$58+AE234*'損益分岐設定'!$F$61+AF234*'損益分岐設定'!$F$64*1)*'損益分岐設定'!$B$22</x:f>
        <x:v>7200</x:v>
      </x:c>
      <x:c r="AK234" s="1" t="n">
        <x:f>AD234*'損益分岐設定'!$G$58+AE234*'損益分岐設定'!$G$61+AF234*'損益分岐設定'!$G$64</x:f>
        <x:v>4800</x:v>
      </x:c>
      <x:c r="AL234" s="1" t="n">
        <x:f>AD234*'損益分岐設定'!$H$58+AE234*'損益分岐設定'!$H$61+AF234*'損益分岐設定'!$H$64</x:f>
        <x:v>1466.6666666666665</x:v>
      </x:c>
      <x:c r="AM234" s="1" t="n">
        <x:f>MAX(1,ROUNDUP('損益分岐設定'!C37*AJ234/('損益分岐設定'!$B$23*'損益分岐設定'!$B$24*3600*'損益分岐設定'!$B$25),0))</x:f>
        <x:v>1</x:v>
      </x:c>
      <x:c r="AN234" s="1" t="n">
        <x:f>MAX(2,ROUNDUP('損益分岐設定'!C38*AJ234/('損益分岐設定'!$B$23*'損益分岐設定'!$B$24*3600*'損益分岐設定'!$B$25),0))</x:f>
        <x:v>2</x:v>
      </x:c>
      <x:c r="AO234" s="1" t="n">
        <x:f>MAX(2,ROUNDUP('損益分岐設定'!C39*AJ234/('損益分岐設定'!$B$23*'損益分岐設定'!$B$24*3600*'損益分岐設定'!$B$25),0))</x:f>
        <x:v>8</x:v>
      </x:c>
      <x:c r="AP234" s="1" t="n">
        <x:f>MAX(2,ROUNDUP('損益分岐設定'!C40*AJ234/('損益分岐設定'!$B$23*'損益分岐設定'!$B$24*3600*'損益分岐設定'!$B$25),0))</x:f>
        <x:v>15</x:v>
      </x:c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 ht="23" customHeight="1">
      <x:c r="A235" s="1" t="str">
        <x:v>Hybrid</x:v>
      </x:c>
      <x:c r="B235" s="1" t="str">
        <x:v>Business</x:v>
      </x:c>
      <x:c r="C235" s="1" t="str">
        <x:v>標準+高位混在</x:v>
      </x:c>
      <x:c r="D235" s="21" t="n">
        <x:v>0</x:v>
      </x:c>
      <x:c r="E235" s="1" t="n">
        <x:v>0</x:v>
      </x:c>
      <x:c r="F235" s="7" t="n">
        <x:f>AD235*'損益分岐設定'!$B$5+AE235*'損益分岐設定'!$B$6+AF235*'損益分岐設定'!$B$7</x:f>
        <x:v>5000</x:v>
      </x:c>
      <x:c r="G235" s="7" t="n">
        <x:f>AG235+(AH235+AI235)*('損益分岐設定'!$B$29+0.5*'損益分岐設定'!$B$30)+AK235*'損益分岐設定'!$B$33</x:f>
        <x:v>2337.9255889399515</x:v>
      </x:c>
      <x:c r="H235" s="7" t="n">
        <x:f>AL235*E235</x:f>
        <x:v>0</x:v>
      </x:c>
      <x:c r="I235" s="7" t="n">
        <x:f>F235*(1-D235-'損益分岐設定'!$B$10)-G235-H235</x:f>
        <x:v>2482.0744110600485</x:v>
      </x:c>
      <x:c r="J235" s="1" t="n">
        <x:f>IF(MIN(V235:Y235)&gt;1000,"範囲内なし",MIN(V235:Y235))</x:f>
        <x:v>21</x:v>
      </x:c>
      <x:c r="K235" s="1" t="n">
        <x:f>IF(MAX(Z235:AC235)&gt;=1000,"範囲内なし",MAX(1,MAX(Z235:AC235)+1))</x:f>
        <x:v>21</x:v>
      </x:c>
      <x:c r="L235" s="7" t="n">
        <x:f>10*I235-R235</x:f>
        <x:v>-10619.052579704832</x:v>
      </x:c>
      <x:c r="M235" s="7" t="n">
        <x:f>30*I235-S235</x:f>
        <x:v>24082.63895119082</x:v>
      </x:c>
      <x:c r="N235" s="7" t="n">
        <x:f>50*I235-S235</x:f>
        <x:v>73724.12717239179</x:v>
      </x:c>
      <x:c r="O235" s="7" t="n">
        <x:f>100*I235-S235</x:f>
        <x:v>197827.8477253942</x:v>
      </x:c>
      <x:c r="P235" s="7" t="n">
        <x:f>300*I235-T235</x:f>
        <x:v>672242.7299374039</x:v>
      </x:c>
      <x:c r="Q235" s="7" t="n">
        <x:f>1000*I235-U235</x:f>
        <x:v>2358815.2242988274</x:v>
      </x:c>
      <x:c r="R235" s="7" t="n">
        <x:f>'損益分岐設定'!$B$18+'損益分岐設定'!$B$19+'損益分岐設定'!$B$20+'損益分岐設定'!E37+'損益分岐設定'!D37+AM235*('損益分岐設定'!$B$15+'損益分岐設定'!$B$16)+'損益分岐設定'!$B$17+E235*('損益分岐設定'!$B$13+(AM235-1)*'損益分岐設定'!$B$14)*'損益分岐設定'!$B$11</x:f>
        <x:v>35439.79669030532</x:v>
      </x:c>
      <x:c r="S235" s="7" t="n">
        <x:f>'損益分岐設定'!$B$18+'損益分岐設定'!$B$19+'損益分岐設定'!$B$20+'損益分岐設定'!E38+'損益分岐設定'!D38+AN235*('損益分岐設定'!$B$15+'損益分岐設定'!$B$16)+'損益分岐設定'!$B$17+E235*('損益分岐設定'!$B$13+(AN235-1)*'損益分岐設定'!$B$14)*'損益分岐設定'!$B$11</x:f>
        <x:v>50379.59338061063</x:v>
      </x:c>
      <x:c r="T235" s="7" t="n">
        <x:f>'損益分岐設定'!$B$18+'損益分岐設定'!$B$19+'損益分岐設定'!$B$20+'損益分岐設定'!E39+'損益分岐設定'!D39+AO235*('損益分岐設定'!$B$15+'損益分岐設定'!$B$16)+'損益分岐設定'!$B$17+E235*('損益分岐設定'!$B$13+(AO235-1)*'損益分岐設定'!$B$14)*'損益分岐設定'!$B$11</x:f>
        <x:v>72379.59338061063</x:v>
      </x:c>
      <x:c r="U235" s="7" t="n">
        <x:f>'損益分岐設定'!$B$18+'損益分岐設定'!$B$19+'損益分岐設定'!$B$20+'損益分岐設定'!E40+'損益分岐設定'!D40+AP235*('損益分岐設定'!$B$15+'損益分岐設定'!$B$16)+'損益分岐設定'!$B$17+E235*('損益分岐設定'!$B$13+(AP235-1)*'損益分岐設定'!$B$14)*'損益分岐設定'!$B$11</x:f>
        <x:v>123259.18676122127</x:v>
      </x:c>
      <x:c r="V235" s="1" t="n">
        <x:f>IF(I235&lt;=0,1001,IF(MAX('損益分岐設定'!B37,ROUNDUP(R235/I235,0))&lt;='損益分岐設定'!C37,MAX('損益分岐設定'!B37,ROUNDUP(R235/I235,0)),1001))</x:f>
        <x:v>1001</x:v>
      </x:c>
      <x:c r="W235" s="1" t="n">
        <x:f>IF(I235&lt;=0,1001,IF(MAX('損益分岐設定'!B38,ROUNDUP(S235/I235,0))&lt;='損益分岐設定'!C38,MAX('損益分岐設定'!B38,ROUNDUP(S235/I235,0)),1001))</x:f>
        <x:v>21</x:v>
      </x:c>
      <x:c r="X235" s="1" t="n">
        <x:f>IF(I235&lt;=0,1001,IF(MAX('損益分岐設定'!B39,ROUNDUP(T235/I235,0))&lt;='損益分岐設定'!C39,MAX('損益分岐設定'!B39,ROUNDUP(T235/I235,0)),1001))</x:f>
        <x:v>101</x:v>
      </x:c>
      <x:c r="Y235" s="1" t="n">
        <x:f>IF(I235&lt;=0,1001,IF(MAX('損益分岐設定'!B40,ROUNDUP(U235/I235,0))&lt;='損益分岐設定'!C40,MAX('損益分岐設定'!B40,ROUNDUP(U235/I235,0)),1001))</x:f>
        <x:v>501</x:v>
      </x:c>
      <x:c r="Z235" s="1" t="n">
        <x:f>IF(I235&lt;=0,'損益分岐設定'!C37,IF('損益分岐設定'!C37*I235-R235&lt;0,'損益分岐設定'!C37,IF('損益分岐設定'!B37*I235-R235&gt;=0,0,ROUNDUP(R235/I235,0)-1)))</x:f>
        <x:v>10</x:v>
      </x:c>
      <x:c r="AA235" s="1" t="n">
        <x:f>IF(I235&lt;=0,'損益分岐設定'!C38,IF('損益分岐設定'!C38*I235-S235&lt;0,'損益分岐設定'!C38,IF('損益分岐設定'!B38*I235-S235&gt;=0,0,ROUNDUP(S235/I235,0)-1)))</x:f>
        <x:v>20</x:v>
      </x:c>
      <x:c r="AB235" s="1" t="n">
        <x:f>IF(I235&lt;=0,'損益分岐設定'!C39,IF('損益分岐設定'!C39*I235-T235&lt;0,'損益分岐設定'!C39,IF('損益分岐設定'!B39*I235-T235&gt;=0,0,ROUNDUP(T235/I235,0)-1)))</x:f>
        <x:v>0</x:v>
      </x:c>
      <x:c r="AC235" s="1" t="n">
        <x:f>IF(I235&lt;=0,'損益分岐設定'!C40,IF('損益分岐設定'!C40*I235-U235&lt;0,'損益分岐設定'!C40,IF('損益分岐設定'!B40*I235-U235&gt;=0,0,ROUNDUP(U235/I235,0)-1)))</x:f>
        <x:v>0</x:v>
      </x:c>
      <x:c r="AD235" s="1" t="n">
        <x:v>0</x:v>
      </x:c>
      <x:c r="AE235" s="1" t="n">
        <x:v>1</x:v>
      </x:c>
      <x:c r="AF235" s="1" t="n">
        <x:v>0</x:v>
      </x:c>
      <x:c r="AG235" s="1" t="n">
        <x:f>AD235*('損益分岐設定'!$C$57*(1-'損益分岐設定'!$B$51)+'損益分岐設定'!$C$58*'損益分岐設定'!$B$51)+AE235*('損益分岐設定'!$C$60*(1-'損益分岐設定'!$B$51)+'損益分岐設定'!$C$61*'損益分岐設定'!$B$51)+AF235*('損益分岐設定'!$C$63*(1-'損益分岐設定'!$B$51)+'損益分岐設定'!$C$64*'損益分岐設定'!$B$51)</x:f>
        <x:v>2336.20881640625</x:v>
      </x:c>
      <x:c r="AH235" s="1" t="n">
        <x:f>AD235*('損益分岐設定'!$D$57*(1-'損益分岐設定'!$B$51)+'損益分岐設定'!$D$58*'損益分岐設定'!$B$51)+AE235*('損益分岐設定'!$D$60*(1-'損益分岐設定'!$B$51)+'損益分岐設定'!$D$61*'損益分岐設定'!$B$51)+AF235*('損益分岐設定'!$D$63*(1-'損益分岐設定'!$B$51)+'損益分岐設定'!$D$64*'損益分岐設定'!$B$51)</x:f>
        <x:v>192</x:v>
      </x:c>
      <x:c r="AI235" s="1" t="n">
        <x:f>AD235*('損益分岐設定'!$E$57*(1-'損益分岐設定'!$B$51)+'損益分岐設定'!$E$58*'損益分岐設定'!$B$51)+AE235*('損益分岐設定'!$E$60*(1-'損益分岐設定'!$B$51)+'損益分岐設定'!$E$61*'損益分岐設定'!$B$51)+AF235*('損益分岐設定'!$E$63*(1-'損益分岐設定'!$B$51)+'損益分岐設定'!$E$64*'損益分岐設定'!$B$51)</x:f>
        <x:v>224</x:v>
      </x:c>
      <x:c r="AJ235" s="1" t="n">
        <x:f>(AD235*('損益分岐設定'!$F$57*(1-'損益分岐設定'!$B$51)+'損益分岐設定'!$F$58*'損益分岐設定'!$B$51)+AE235*('損益分岐設定'!$F$60*(1-'損益分岐設定'!$B$51)+'損益分岐設定'!$F$61*'損益分岐設定'!$B$51)+AF235*('損益分岐設定'!$F$63*(1-'損益分岐設定'!$B$51)+'損益分岐設定'!$F$64*'損益分岐設定'!$B$51)*1)*'損益分岐設定'!$B$22</x:f>
        <x:v>1824</x:v>
      </x:c>
      <x:c r="AK235" s="1" t="n">
        <x:f>AD235*('損益分岐設定'!$G$57*(1-'損益分岐設定'!$B$51)+'損益分岐設定'!$G$58*'損益分岐設定'!$B$51)+AE235*('損益分岐設定'!$G$60*(1-'損益分岐設定'!$B$51)+'損益分岐設定'!$G$61*'損益分岐設定'!$B$51)+AF235*('損益分岐設定'!$G$63*(1-'損益分岐設定'!$B$51)+'損益分岐設定'!$G$64*'損益分岐設定'!$B$51)</x:f>
        <x:v>1600</x:v>
      </x:c>
      <x:c r="AL235" s="1" t="n">
        <x:f>AD235*('損益分岐設定'!$H$57*(1-'損益分岐設定'!$B$51)+'損益分岐設定'!$H$58*'損益分岐設定'!$B$51)+AE235*('損益分岐設定'!$H$60*(1-'損益分岐設定'!$B$51)+'損益分岐設定'!$H$61*'損益分岐設定'!$B$51)+AF235*('損益分岐設定'!$H$63*(1-'損益分岐設定'!$B$51)+'損益分岐設定'!$H$64*'損益分岐設定'!$B$51)</x:f>
        <x:v>826.6666666666667</x:v>
      </x:c>
      <x:c r="AM235" s="1" t="n">
        <x:f>MAX(1,ROUNDUP('損益分岐設定'!C37*AJ235/('損益分岐設定'!$B$23*'損益分岐設定'!$B$24*3600*'損益分岐設定'!$B$25),0))</x:f>
        <x:v>1</x:v>
      </x:c>
      <x:c r="AN235" s="1" t="n">
        <x:f>MAX(2,ROUNDUP('損益分岐設定'!C38*AJ235/('損益分岐設定'!$B$23*'損益分岐設定'!$B$24*3600*'損益分岐設定'!$B$25),0))</x:f>
        <x:v>2</x:v>
      </x:c>
      <x:c r="AO235" s="1" t="n">
        <x:f>MAX(2,ROUNDUP('損益分岐設定'!C39*AJ235/('損益分岐設定'!$B$23*'損益分岐設定'!$B$24*3600*'損益分岐設定'!$B$25),0))</x:f>
        <x:v>2</x:v>
      </x:c>
      <x:c r="AP235" s="1" t="n">
        <x:f>MAX(2,ROUNDUP('損益分岐設定'!C40*AJ235/('損益分岐設定'!$B$23*'損益分岐設定'!$B$24*3600*'損益分岐設定'!$B$25),0))</x:f>
        <x:v>4</x:v>
      </x:c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 ht="23" customHeight="1">
      <x:c r="A236" s="1" t="str">
        <x:v>Hybrid</x:v>
      </x:c>
      <x:c r="B236" s="1" t="str">
        <x:v>Business</x:v>
      </x:c>
      <x:c r="C236" s="1" t="str">
        <x:v>標準+高位混在</x:v>
      </x:c>
      <x:c r="D236" s="21" t="n">
        <x:v>0</x:v>
      </x:c>
      <x:c r="E236" s="1" t="n">
        <x:v>1</x:v>
      </x:c>
      <x:c r="F236" s="7" t="n">
        <x:f>AD236*'損益分岐設定'!$B$5+AE236*'損益分岐設定'!$B$6+AF236*'損益分岐設定'!$B$7</x:f>
        <x:v>5000</x:v>
      </x:c>
      <x:c r="G236" s="7" t="n">
        <x:f>AG236+(AH236+AI236)*('損益分岐設定'!$B$29+0.5*'損益分岐設定'!$B$30)+AK236*'損益分岐設定'!$B$33</x:f>
        <x:v>2337.9255889399515</x:v>
      </x:c>
      <x:c r="H236" s="7" t="n">
        <x:f>AL236*E236</x:f>
        <x:v>826.6666666666667</x:v>
      </x:c>
      <x:c r="I236" s="7" t="n">
        <x:f>F236*(1-D236-'損益分岐設定'!$B$10)-G236-H236</x:f>
        <x:v>1655.4077443933818</x:v>
      </x:c>
      <x:c r="J236" s="1" t="n">
        <x:f>IF(MIN(V236:Y236)&gt;1000,"範囲内なし",MIN(V236:Y236))</x:f>
        <x:v>42</x:v>
      </x:c>
      <x:c r="K236" s="1" t="n">
        <x:f>IF(MAX(Z236:AC236)&gt;=1000,"範囲内なし",MAX(1,MAX(Z236:AC236)+1))</x:f>
        <x:v>42</x:v>
      </x:c>
      <x:c r="L236" s="7" t="n">
        <x:f>10*I236-R236</x:f>
        <x:v>-34885.719246371504</x:v>
      </x:c>
      <x:c r="M236" s="7" t="n">
        <x:f>30*I236-S236</x:f>
        <x:v>-18717.36104880918</x:v>
      </x:c>
      <x:c r="N236" s="7" t="n">
        <x:f>50*I236-S236</x:f>
        <x:v>14390.79383905846</x:v>
      </x:c>
      <x:c r="O236" s="7" t="n">
        <x:f>100*I236-S236</x:f>
        <x:v>97161.18105872755</x:v>
      </x:c>
      <x:c r="P236" s="7" t="n">
        <x:f>300*I236-T236</x:f>
        <x:v>406242.7299374039</x:v>
      </x:c>
      <x:c r="Q236" s="7" t="n">
        <x:f>1000*I236-U236</x:f>
        <x:v>1510148.5576321604</x:v>
      </x:c>
      <x:c r="R236" s="7" t="n">
        <x:f>'損益分岐設定'!$B$18+'損益分岐設定'!$B$19+'損益分岐設定'!$B$20+'損益分岐設定'!E37+'損益分岐設定'!D37+AM236*('損益分岐設定'!$B$15+'損益分岐設定'!$B$16)+'損益分岐設定'!$B$17+E236*('損益分岐設定'!$B$13+(AM236-1)*'損益分岐設定'!$B$14)*'損益分岐設定'!$B$11</x:f>
        <x:v>51439.79669030532</x:v>
      </x:c>
      <x:c r="S236" s="7" t="n">
        <x:f>'損益分岐設定'!$B$18+'損益分岐設定'!$B$19+'損益分岐設定'!$B$20+'損益分岐設定'!E38+'損益分岐設定'!D38+AN236*('損益分岐設定'!$B$15+'損益分岐設定'!$B$16)+'損益分岐設定'!$B$17+E236*('損益分岐設定'!$B$13+(AN236-1)*'損益分岐設定'!$B$14)*'損益分岐設定'!$B$11</x:f>
        <x:v>68379.59338061063</x:v>
      </x:c>
      <x:c r="T236" s="7" t="n">
        <x:f>'損益分岐設定'!$B$18+'損益分岐設定'!$B$19+'損益分岐設定'!$B$20+'損益分岐設定'!E39+'損益分岐設定'!D39+AO236*('損益分岐設定'!$B$15+'損益分岐設定'!$B$16)+'損益分岐設定'!$B$17+E236*('損益分岐設定'!$B$13+(AO236-1)*'損益分岐設定'!$B$14)*'損益分岐設定'!$B$11</x:f>
        <x:v>90379.59338061063</x:v>
      </x:c>
      <x:c r="U236" s="7" t="n">
        <x:f>'損益分岐設定'!$B$18+'損益分岐設定'!$B$19+'損益分岐設定'!$B$20+'損益分岐設定'!E40+'損益分岐設定'!D40+AP236*('損益分岐設定'!$B$15+'損益分岐設定'!$B$16)+'損益分岐設定'!$B$17+E236*('損益分岐設定'!$B$13+(AP236-1)*'損益分岐設定'!$B$14)*'損益分岐設定'!$B$11</x:f>
        <x:v>145259.18676122127</x:v>
      </x:c>
      <x:c r="V236" s="1" t="n">
        <x:f>IF(I236&lt;=0,1001,IF(MAX('損益分岐設定'!B37,ROUNDUP(R236/I236,0))&lt;='損益分岐設定'!C37,MAX('損益分岐設定'!B37,ROUNDUP(R236/I236,0)),1001))</x:f>
        <x:v>1001</x:v>
      </x:c>
      <x:c r="W236" s="1" t="n">
        <x:f>IF(I236&lt;=0,1001,IF(MAX('損益分岐設定'!B38,ROUNDUP(S236/I236,0))&lt;='損益分岐設定'!C38,MAX('損益分岐設定'!B38,ROUNDUP(S236/I236,0)),1001))</x:f>
        <x:v>42</x:v>
      </x:c>
      <x:c r="X236" s="1" t="n">
        <x:f>IF(I236&lt;=0,1001,IF(MAX('損益分岐設定'!B39,ROUNDUP(T236/I236,0))&lt;='損益分岐設定'!C39,MAX('損益分岐設定'!B39,ROUNDUP(T236/I236,0)),1001))</x:f>
        <x:v>101</x:v>
      </x:c>
      <x:c r="Y236" s="1" t="n">
        <x:f>IF(I236&lt;=0,1001,IF(MAX('損益分岐設定'!B40,ROUNDUP(U236/I236,0))&lt;='損益分岐設定'!C40,MAX('損益分岐設定'!B40,ROUNDUP(U236/I236,0)),1001))</x:f>
        <x:v>501</x:v>
      </x:c>
      <x:c r="Z236" s="1" t="n">
        <x:f>IF(I236&lt;=0,'損益分岐設定'!C37,IF('損益分岐設定'!C37*I236-R236&lt;0,'損益分岐設定'!C37,IF('損益分岐設定'!B37*I236-R236&gt;=0,0,ROUNDUP(R236/I236,0)-1)))</x:f>
        <x:v>10</x:v>
      </x:c>
      <x:c r="AA236" s="1" t="n">
        <x:f>IF(I236&lt;=0,'損益分岐設定'!C38,IF('損益分岐設定'!C38*I236-S236&lt;0,'損益分岐設定'!C38,IF('損益分岐設定'!B38*I236-S236&gt;=0,0,ROUNDUP(S236/I236,0)-1)))</x:f>
        <x:v>41</x:v>
      </x:c>
      <x:c r="AB236" s="1" t="n">
        <x:f>IF(I236&lt;=0,'損益分岐設定'!C39,IF('損益分岐設定'!C39*I236-T236&lt;0,'損益分岐設定'!C39,IF('損益分岐設定'!B39*I236-T236&gt;=0,0,ROUNDUP(T236/I236,0)-1)))</x:f>
        <x:v>0</x:v>
      </x:c>
      <x:c r="AC236" s="1" t="n">
        <x:f>IF(I236&lt;=0,'損益分岐設定'!C40,IF('損益分岐設定'!C40*I236-U236&lt;0,'損益分岐設定'!C40,IF('損益分岐設定'!B40*I236-U236&gt;=0,0,ROUNDUP(U236/I236,0)-1)))</x:f>
        <x:v>0</x:v>
      </x:c>
      <x:c r="AD236" s="1" t="n">
        <x:v>0</x:v>
      </x:c>
      <x:c r="AE236" s="1" t="n">
        <x:v>1</x:v>
      </x:c>
      <x:c r="AF236" s="1" t="n">
        <x:v>0</x:v>
      </x:c>
      <x:c r="AG236" s="1" t="n">
        <x:f>AD236*('損益分岐設定'!$C$57*(1-'損益分岐設定'!$B$51)+'損益分岐設定'!$C$58*'損益分岐設定'!$B$51)+AE236*('損益分岐設定'!$C$60*(1-'損益分岐設定'!$B$51)+'損益分岐設定'!$C$61*'損益分岐設定'!$B$51)+AF236*('損益分岐設定'!$C$63*(1-'損益分岐設定'!$B$51)+'損益分岐設定'!$C$64*'損益分岐設定'!$B$51)</x:f>
        <x:v>2336.20881640625</x:v>
      </x:c>
      <x:c r="AH236" s="1" t="n">
        <x:f>AD236*('損益分岐設定'!$D$57*(1-'損益分岐設定'!$B$51)+'損益分岐設定'!$D$58*'損益分岐設定'!$B$51)+AE236*('損益分岐設定'!$D$60*(1-'損益分岐設定'!$B$51)+'損益分岐設定'!$D$61*'損益分岐設定'!$B$51)+AF236*('損益分岐設定'!$D$63*(1-'損益分岐設定'!$B$51)+'損益分岐設定'!$D$64*'損益分岐設定'!$B$51)</x:f>
        <x:v>192</x:v>
      </x:c>
      <x:c r="AI236" s="1" t="n">
        <x:f>AD236*('損益分岐設定'!$E$57*(1-'損益分岐設定'!$B$51)+'損益分岐設定'!$E$58*'損益分岐設定'!$B$51)+AE236*('損益分岐設定'!$E$60*(1-'損益分岐設定'!$B$51)+'損益分岐設定'!$E$61*'損益分岐設定'!$B$51)+AF236*('損益分岐設定'!$E$63*(1-'損益分岐設定'!$B$51)+'損益分岐設定'!$E$64*'損益分岐設定'!$B$51)</x:f>
        <x:v>224</x:v>
      </x:c>
      <x:c r="AJ236" s="1" t="n">
        <x:f>(AD236*('損益分岐設定'!$F$57*(1-'損益分岐設定'!$B$51)+'損益分岐設定'!$F$58*'損益分岐設定'!$B$51)+AE236*('損益分岐設定'!$F$60*(1-'損益分岐設定'!$B$51)+'損益分岐設定'!$F$61*'損益分岐設定'!$B$51)+AF236*('損益分岐設定'!$F$63*(1-'損益分岐設定'!$B$51)+'損益分岐設定'!$F$64*'損益分岐設定'!$B$51)*1)*'損益分岐設定'!$B$22</x:f>
        <x:v>1824</x:v>
      </x:c>
      <x:c r="AK236" s="1" t="n">
        <x:f>AD236*('損益分岐設定'!$G$57*(1-'損益分岐設定'!$B$51)+'損益分岐設定'!$G$58*'損益分岐設定'!$B$51)+AE236*('損益分岐設定'!$G$60*(1-'損益分岐設定'!$B$51)+'損益分岐設定'!$G$61*'損益分岐設定'!$B$51)+AF236*('損益分岐設定'!$G$63*(1-'損益分岐設定'!$B$51)+'損益分岐設定'!$G$64*'損益分岐設定'!$B$51)</x:f>
        <x:v>1600</x:v>
      </x:c>
      <x:c r="AL236" s="1" t="n">
        <x:f>AD236*('損益分岐設定'!$H$57*(1-'損益分岐設定'!$B$51)+'損益分岐設定'!$H$58*'損益分岐設定'!$B$51)+AE236*('損益分岐設定'!$H$60*(1-'損益分岐設定'!$B$51)+'損益分岐設定'!$H$61*'損益分岐設定'!$B$51)+AF236*('損益分岐設定'!$H$63*(1-'損益分岐設定'!$B$51)+'損益分岐設定'!$H$64*'損益分岐設定'!$B$51)</x:f>
        <x:v>826.6666666666667</x:v>
      </x:c>
      <x:c r="AM236" s="1" t="n">
        <x:f>MAX(1,ROUNDUP('損益分岐設定'!C37*AJ236/('損益分岐設定'!$B$23*'損益分岐設定'!$B$24*3600*'損益分岐設定'!$B$25),0))</x:f>
        <x:v>1</x:v>
      </x:c>
      <x:c r="AN236" s="1" t="n">
        <x:f>MAX(2,ROUNDUP('損益分岐設定'!C38*AJ236/('損益分岐設定'!$B$23*'損益分岐設定'!$B$24*3600*'損益分岐設定'!$B$25),0))</x:f>
        <x:v>2</x:v>
      </x:c>
      <x:c r="AO236" s="1" t="n">
        <x:f>MAX(2,ROUNDUP('損益分岐設定'!C39*AJ236/('損益分岐設定'!$B$23*'損益分岐設定'!$B$24*3600*'損益分岐設定'!$B$25),0))</x:f>
        <x:v>2</x:v>
      </x:c>
      <x:c r="AP236" s="1" t="n">
        <x:f>MAX(2,ROUNDUP('損益分岐設定'!C40*AJ236/('損益分岐設定'!$B$23*'損益分岐設定'!$B$24*3600*'損益分岐設定'!$B$25),0))</x:f>
        <x:v>4</x:v>
      </x:c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 ht="23" customHeight="1">
      <x:c r="A237" s="1" t="str">
        <x:v>Hybrid</x:v>
      </x:c>
      <x:c r="B237" s="1" t="str">
        <x:v>Business</x:v>
      </x:c>
      <x:c r="C237" s="1" t="str">
        <x:v>標準+高位混在</x:v>
      </x:c>
      <x:c r="D237" s="21" t="n">
        <x:v>0.2</x:v>
      </x:c>
      <x:c r="E237" s="1" t="n">
        <x:v>0</x:v>
      </x:c>
      <x:c r="F237" s="7" t="n">
        <x:f>AD237*'損益分岐設定'!$B$5+AE237*'損益分岐設定'!$B$6+AF237*'損益分岐設定'!$B$7</x:f>
        <x:v>5000</x:v>
      </x:c>
      <x:c r="G237" s="7" t="n">
        <x:f>AG237+(AH237+AI237)*('損益分岐設定'!$B$29+0.5*'損益分岐設定'!$B$30)+AK237*'損益分岐設定'!$B$33</x:f>
        <x:v>2337.9255889399515</x:v>
      </x:c>
      <x:c r="H237" s="7" t="n">
        <x:f>AL237*E237</x:f>
        <x:v>0</x:v>
      </x:c>
      <x:c r="I237" s="7" t="n">
        <x:f>F237*(1-D237-'損益分岐設定'!$B$10)-G237-H237</x:f>
        <x:v>1482.0744110600485</x:v>
      </x:c>
      <x:c r="J237" s="1" t="n">
        <x:f>IF(MIN(V237:Y237)&gt;1000,"範囲内なし",MIN(V237:Y237))</x:f>
        <x:v>34</x:v>
      </x:c>
      <x:c r="K237" s="1" t="n">
        <x:f>IF(MAX(Z237:AC237)&gt;=1000,"範囲内なし",MAX(1,MAX(Z237:AC237)+1))</x:f>
        <x:v>34</x:v>
      </x:c>
      <x:c r="L237" s="7" t="n">
        <x:f>10*I237-R237</x:f>
        <x:v>-20619.052579704832</x:v>
      </x:c>
      <x:c r="M237" s="7" t="n">
        <x:f>30*I237-S237</x:f>
        <x:v>-5917.36104880918</x:v>
      </x:c>
      <x:c r="N237" s="7" t="n">
        <x:f>50*I237-S237</x:f>
        <x:v>23724.12717239179</x:v>
      </x:c>
      <x:c r="O237" s="7" t="n">
        <x:f>100*I237-S237</x:f>
        <x:v>97827.84772539421</x:v>
      </x:c>
      <x:c r="P237" s="7" t="n">
        <x:f>300*I237-T237</x:f>
        <x:v>372242.7299374039</x:v>
      </x:c>
      <x:c r="Q237" s="7" t="n">
        <x:f>1000*I237-U237</x:f>
        <x:v>1358815.2242988274</x:v>
      </x:c>
      <x:c r="R237" s="7" t="n">
        <x:f>'損益分岐設定'!$B$18+'損益分岐設定'!$B$19+'損益分岐設定'!$B$20+'損益分岐設定'!E37+'損益分岐設定'!D37+AM237*('損益分岐設定'!$B$15+'損益分岐設定'!$B$16)+'損益分岐設定'!$B$17+E237*('損益分岐設定'!$B$13+(AM237-1)*'損益分岐設定'!$B$14)*'損益分岐設定'!$B$11</x:f>
        <x:v>35439.79669030532</x:v>
      </x:c>
      <x:c r="S237" s="7" t="n">
        <x:f>'損益分岐設定'!$B$18+'損益分岐設定'!$B$19+'損益分岐設定'!$B$20+'損益分岐設定'!E38+'損益分岐設定'!D38+AN237*('損益分岐設定'!$B$15+'損益分岐設定'!$B$16)+'損益分岐設定'!$B$17+E237*('損益分岐設定'!$B$13+(AN237-1)*'損益分岐設定'!$B$14)*'損益分岐設定'!$B$11</x:f>
        <x:v>50379.59338061063</x:v>
      </x:c>
      <x:c r="T237" s="7" t="n">
        <x:f>'損益分岐設定'!$B$18+'損益分岐設定'!$B$19+'損益分岐設定'!$B$20+'損益分岐設定'!E39+'損益分岐設定'!D39+AO237*('損益分岐設定'!$B$15+'損益分岐設定'!$B$16)+'損益分岐設定'!$B$17+E237*('損益分岐設定'!$B$13+(AO237-1)*'損益分岐設定'!$B$14)*'損益分岐設定'!$B$11</x:f>
        <x:v>72379.59338061063</x:v>
      </x:c>
      <x:c r="U237" s="7" t="n">
        <x:f>'損益分岐設定'!$B$18+'損益分岐設定'!$B$19+'損益分岐設定'!$B$20+'損益分岐設定'!E40+'損益分岐設定'!D40+AP237*('損益分岐設定'!$B$15+'損益分岐設定'!$B$16)+'損益分岐設定'!$B$17+E237*('損益分岐設定'!$B$13+(AP237-1)*'損益分岐設定'!$B$14)*'損益分岐設定'!$B$11</x:f>
        <x:v>123259.18676122127</x:v>
      </x:c>
      <x:c r="V237" s="1" t="n">
        <x:f>IF(I237&lt;=0,1001,IF(MAX('損益分岐設定'!B37,ROUNDUP(R237/I237,0))&lt;='損益分岐設定'!C37,MAX('損益分岐設定'!B37,ROUNDUP(R237/I237,0)),1001))</x:f>
        <x:v>1001</x:v>
      </x:c>
      <x:c r="W237" s="1" t="n">
        <x:f>IF(I237&lt;=0,1001,IF(MAX('損益分岐設定'!B38,ROUNDUP(S237/I237,0))&lt;='損益分岐設定'!C38,MAX('損益分岐設定'!B38,ROUNDUP(S237/I237,0)),1001))</x:f>
        <x:v>34</x:v>
      </x:c>
      <x:c r="X237" s="1" t="n">
        <x:f>IF(I237&lt;=0,1001,IF(MAX('損益分岐設定'!B39,ROUNDUP(T237/I237,0))&lt;='損益分岐設定'!C39,MAX('損益分岐設定'!B39,ROUNDUP(T237/I237,0)),1001))</x:f>
        <x:v>101</x:v>
      </x:c>
      <x:c r="Y237" s="1" t="n">
        <x:f>IF(I237&lt;=0,1001,IF(MAX('損益分岐設定'!B40,ROUNDUP(U237/I237,0))&lt;='損益分岐設定'!C40,MAX('損益分岐設定'!B40,ROUNDUP(U237/I237,0)),1001))</x:f>
        <x:v>501</x:v>
      </x:c>
      <x:c r="Z237" s="1" t="n">
        <x:f>IF(I237&lt;=0,'損益分岐設定'!C37,IF('損益分岐設定'!C37*I237-R237&lt;0,'損益分岐設定'!C37,IF('損益分岐設定'!B37*I237-R237&gt;=0,0,ROUNDUP(R237/I237,0)-1)))</x:f>
        <x:v>10</x:v>
      </x:c>
      <x:c r="AA237" s="1" t="n">
        <x:f>IF(I237&lt;=0,'損益分岐設定'!C38,IF('損益分岐設定'!C38*I237-S237&lt;0,'損益分岐設定'!C38,IF('損益分岐設定'!B38*I237-S237&gt;=0,0,ROUNDUP(S237/I237,0)-1)))</x:f>
        <x:v>33</x:v>
      </x:c>
      <x:c r="AB237" s="1" t="n">
        <x:f>IF(I237&lt;=0,'損益分岐設定'!C39,IF('損益分岐設定'!C39*I237-T237&lt;0,'損益分岐設定'!C39,IF('損益分岐設定'!B39*I237-T237&gt;=0,0,ROUNDUP(T237/I237,0)-1)))</x:f>
        <x:v>0</x:v>
      </x:c>
      <x:c r="AC237" s="1" t="n">
        <x:f>IF(I237&lt;=0,'損益分岐設定'!C40,IF('損益分岐設定'!C40*I237-U237&lt;0,'損益分岐設定'!C40,IF('損益分岐設定'!B40*I237-U237&gt;=0,0,ROUNDUP(U237/I237,0)-1)))</x:f>
        <x:v>0</x:v>
      </x:c>
      <x:c r="AD237" s="1" t="n">
        <x:v>0</x:v>
      </x:c>
      <x:c r="AE237" s="1" t="n">
        <x:v>1</x:v>
      </x:c>
      <x:c r="AF237" s="1" t="n">
        <x:v>0</x:v>
      </x:c>
      <x:c r="AG237" s="1" t="n">
        <x:f>AD237*('損益分岐設定'!$C$57*(1-'損益分岐設定'!$B$51)+'損益分岐設定'!$C$58*'損益分岐設定'!$B$51)+AE237*('損益分岐設定'!$C$60*(1-'損益分岐設定'!$B$51)+'損益分岐設定'!$C$61*'損益分岐設定'!$B$51)+AF237*('損益分岐設定'!$C$63*(1-'損益分岐設定'!$B$51)+'損益分岐設定'!$C$64*'損益分岐設定'!$B$51)</x:f>
        <x:v>2336.20881640625</x:v>
      </x:c>
      <x:c r="AH237" s="1" t="n">
        <x:f>AD237*('損益分岐設定'!$D$57*(1-'損益分岐設定'!$B$51)+'損益分岐設定'!$D$58*'損益分岐設定'!$B$51)+AE237*('損益分岐設定'!$D$60*(1-'損益分岐設定'!$B$51)+'損益分岐設定'!$D$61*'損益分岐設定'!$B$51)+AF237*('損益分岐設定'!$D$63*(1-'損益分岐設定'!$B$51)+'損益分岐設定'!$D$64*'損益分岐設定'!$B$51)</x:f>
        <x:v>192</x:v>
      </x:c>
      <x:c r="AI237" s="1" t="n">
        <x:f>AD237*('損益分岐設定'!$E$57*(1-'損益分岐設定'!$B$51)+'損益分岐設定'!$E$58*'損益分岐設定'!$B$51)+AE237*('損益分岐設定'!$E$60*(1-'損益分岐設定'!$B$51)+'損益分岐設定'!$E$61*'損益分岐設定'!$B$51)+AF237*('損益分岐設定'!$E$63*(1-'損益分岐設定'!$B$51)+'損益分岐設定'!$E$64*'損益分岐設定'!$B$51)</x:f>
        <x:v>224</x:v>
      </x:c>
      <x:c r="AJ237" s="1" t="n">
        <x:f>(AD237*('損益分岐設定'!$F$57*(1-'損益分岐設定'!$B$51)+'損益分岐設定'!$F$58*'損益分岐設定'!$B$51)+AE237*('損益分岐設定'!$F$60*(1-'損益分岐設定'!$B$51)+'損益分岐設定'!$F$61*'損益分岐設定'!$B$51)+AF237*('損益分岐設定'!$F$63*(1-'損益分岐設定'!$B$51)+'損益分岐設定'!$F$64*'損益分岐設定'!$B$51)*1)*'損益分岐設定'!$B$22</x:f>
        <x:v>1824</x:v>
      </x:c>
      <x:c r="AK237" s="1" t="n">
        <x:f>AD237*('損益分岐設定'!$G$57*(1-'損益分岐設定'!$B$51)+'損益分岐設定'!$G$58*'損益分岐設定'!$B$51)+AE237*('損益分岐設定'!$G$60*(1-'損益分岐設定'!$B$51)+'損益分岐設定'!$G$61*'損益分岐設定'!$B$51)+AF237*('損益分岐設定'!$G$63*(1-'損益分岐設定'!$B$51)+'損益分岐設定'!$G$64*'損益分岐設定'!$B$51)</x:f>
        <x:v>1600</x:v>
      </x:c>
      <x:c r="AL237" s="1" t="n">
        <x:f>AD237*('損益分岐設定'!$H$57*(1-'損益分岐設定'!$B$51)+'損益分岐設定'!$H$58*'損益分岐設定'!$B$51)+AE237*('損益分岐設定'!$H$60*(1-'損益分岐設定'!$B$51)+'損益分岐設定'!$H$61*'損益分岐設定'!$B$51)+AF237*('損益分岐設定'!$H$63*(1-'損益分岐設定'!$B$51)+'損益分岐設定'!$H$64*'損益分岐設定'!$B$51)</x:f>
        <x:v>826.6666666666667</x:v>
      </x:c>
      <x:c r="AM237" s="1" t="n">
        <x:f>MAX(1,ROUNDUP('損益分岐設定'!C37*AJ237/('損益分岐設定'!$B$23*'損益分岐設定'!$B$24*3600*'損益分岐設定'!$B$25),0))</x:f>
        <x:v>1</x:v>
      </x:c>
      <x:c r="AN237" s="1" t="n">
        <x:f>MAX(2,ROUNDUP('損益分岐設定'!C38*AJ237/('損益分岐設定'!$B$23*'損益分岐設定'!$B$24*3600*'損益分岐設定'!$B$25),0))</x:f>
        <x:v>2</x:v>
      </x:c>
      <x:c r="AO237" s="1" t="n">
        <x:f>MAX(2,ROUNDUP('損益分岐設定'!C39*AJ237/('損益分岐設定'!$B$23*'損益分岐設定'!$B$24*3600*'損益分岐設定'!$B$25),0))</x:f>
        <x:v>2</x:v>
      </x:c>
      <x:c r="AP237" s="1" t="n">
        <x:f>MAX(2,ROUNDUP('損益分岐設定'!C40*AJ237/('損益分岐設定'!$B$23*'損益分岐設定'!$B$24*3600*'損益分岐設定'!$B$25),0))</x:f>
        <x:v>4</x:v>
      </x:c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 ht="23" customHeight="1">
      <x:c r="A238" s="1" t="str">
        <x:v>Hybrid</x:v>
      </x:c>
      <x:c r="B238" s="1" t="str">
        <x:v>Business</x:v>
      </x:c>
      <x:c r="C238" s="1" t="str">
        <x:v>標準+高位混在</x:v>
      </x:c>
      <x:c r="D238" s="21" t="n">
        <x:v>0.2</x:v>
      </x:c>
      <x:c r="E238" s="1" t="n">
        <x:v>1</x:v>
      </x:c>
      <x:c r="F238" s="7" t="n">
        <x:f>AD238*'損益分岐設定'!$B$5+AE238*'損益分岐設定'!$B$6+AF238*'損益分岐設定'!$B$7</x:f>
        <x:v>5000</x:v>
      </x:c>
      <x:c r="G238" s="7" t="n">
        <x:f>AG238+(AH238+AI238)*('損益分岐設定'!$B$29+0.5*'損益分岐設定'!$B$30)+AK238*'損益分岐設定'!$B$33</x:f>
        <x:v>2337.9255889399515</x:v>
      </x:c>
      <x:c r="H238" s="7" t="n">
        <x:f>AL238*E238</x:f>
        <x:v>826.6666666666667</x:v>
      </x:c>
      <x:c r="I238" s="7" t="n">
        <x:f>F238*(1-D238-'損益分岐設定'!$B$10)-G238-H238</x:f>
        <x:v>655.4077443933818</x:v>
      </x:c>
      <x:c r="J238" s="1" t="n">
        <x:f>IF(MIN(V238:Y238)&gt;1000,"範囲内なし",MIN(V238:Y238))</x:f>
        <x:v>138</x:v>
      </x:c>
      <x:c r="K238" s="1" t="n">
        <x:f>IF(MAX(Z238:AC238)&gt;=1000,"範囲内なし",MAX(1,MAX(Z238:AC238)+1))</x:f>
        <x:v>138</x:v>
      </x:c>
      <x:c r="L238" s="7" t="n">
        <x:f>10*I238-R238</x:f>
        <x:v>-44885.7192463715</x:v>
      </x:c>
      <x:c r="M238" s="7" t="n">
        <x:f>30*I238-S238</x:f>
        <x:v>-48717.36104880918</x:v>
      </x:c>
      <x:c r="N238" s="7" t="n">
        <x:f>50*I238-S238</x:f>
        <x:v>-35609.20616094155</x:v>
      </x:c>
      <x:c r="O238" s="7" t="n">
        <x:f>100*I238-S238</x:f>
        <x:v>-2838.8189412724605</x:v>
      </x:c>
      <x:c r="P238" s="7" t="n">
        <x:f>300*I238-T238</x:f>
        <x:v>106242.7299374039</x:v>
      </x:c>
      <x:c r="Q238" s="7" t="n">
        <x:f>1000*I238-U238</x:f>
        <x:v>510148.5576321605</x:v>
      </x:c>
      <x:c r="R238" s="7" t="n">
        <x:f>'損益分岐設定'!$B$18+'損益分岐設定'!$B$19+'損益分岐設定'!$B$20+'損益分岐設定'!E37+'損益分岐設定'!D37+AM238*('損益分岐設定'!$B$15+'損益分岐設定'!$B$16)+'損益分岐設定'!$B$17+E238*('損益分岐設定'!$B$13+(AM238-1)*'損益分岐設定'!$B$14)*'損益分岐設定'!$B$11</x:f>
        <x:v>51439.79669030532</x:v>
      </x:c>
      <x:c r="S238" s="7" t="n">
        <x:f>'損益分岐設定'!$B$18+'損益分岐設定'!$B$19+'損益分岐設定'!$B$20+'損益分岐設定'!E38+'損益分岐設定'!D38+AN238*('損益分岐設定'!$B$15+'損益分岐設定'!$B$16)+'損益分岐設定'!$B$17+E238*('損益分岐設定'!$B$13+(AN238-1)*'損益分岐設定'!$B$14)*'損益分岐設定'!$B$11</x:f>
        <x:v>68379.59338061063</x:v>
      </x:c>
      <x:c r="T238" s="7" t="n">
        <x:f>'損益分岐設定'!$B$18+'損益分岐設定'!$B$19+'損益分岐設定'!$B$20+'損益分岐設定'!E39+'損益分岐設定'!D39+AO238*('損益分岐設定'!$B$15+'損益分岐設定'!$B$16)+'損益分岐設定'!$B$17+E238*('損益分岐設定'!$B$13+(AO238-1)*'損益分岐設定'!$B$14)*'損益分岐設定'!$B$11</x:f>
        <x:v>90379.59338061063</x:v>
      </x:c>
      <x:c r="U238" s="7" t="n">
        <x:f>'損益分岐設定'!$B$18+'損益分岐設定'!$B$19+'損益分岐設定'!$B$20+'損益分岐設定'!E40+'損益分岐設定'!D40+AP238*('損益分岐設定'!$B$15+'損益分岐設定'!$B$16)+'損益分岐設定'!$B$17+E238*('損益分岐設定'!$B$13+(AP238-1)*'損益分岐設定'!$B$14)*'損益分岐設定'!$B$11</x:f>
        <x:v>145259.18676122127</x:v>
      </x:c>
      <x:c r="V238" s="1" t="n">
        <x:f>IF(I238&lt;=0,1001,IF(MAX('損益分岐設定'!B37,ROUNDUP(R238/I238,0))&lt;='損益分岐設定'!C37,MAX('損益分岐設定'!B37,ROUNDUP(R238/I238,0)),1001))</x:f>
        <x:v>1001</x:v>
      </x:c>
      <x:c r="W238" s="1" t="n">
        <x:f>IF(I238&lt;=0,1001,IF(MAX('損益分岐設定'!B38,ROUNDUP(S238/I238,0))&lt;='損益分岐設定'!C38,MAX('損益分岐設定'!B38,ROUNDUP(S238/I238,0)),1001))</x:f>
        <x:v>1001</x:v>
      </x:c>
      <x:c r="X238" s="1" t="n">
        <x:f>IF(I238&lt;=0,1001,IF(MAX('損益分岐設定'!B39,ROUNDUP(T238/I238,0))&lt;='損益分岐設定'!C39,MAX('損益分岐設定'!B39,ROUNDUP(T238/I238,0)),1001))</x:f>
        <x:v>138</x:v>
      </x:c>
      <x:c r="Y238" s="1" t="n">
        <x:f>IF(I238&lt;=0,1001,IF(MAX('損益分岐設定'!B40,ROUNDUP(U238/I238,0))&lt;='損益分岐設定'!C40,MAX('損益分岐設定'!B40,ROUNDUP(U238/I238,0)),1001))</x:f>
        <x:v>501</x:v>
      </x:c>
      <x:c r="Z238" s="1" t="n">
        <x:f>IF(I238&lt;=0,'損益分岐設定'!C37,IF('損益分岐設定'!C37*I238-R238&lt;0,'損益分岐設定'!C37,IF('損益分岐設定'!B37*I238-R238&gt;=0,0,ROUNDUP(R238/I238,0)-1)))</x:f>
        <x:v>10</x:v>
      </x:c>
      <x:c r="AA238" s="1" t="n">
        <x:f>IF(I238&lt;=0,'損益分岐設定'!C38,IF('損益分岐設定'!C38*I238-S238&lt;0,'損益分岐設定'!C38,IF('損益分岐設定'!B38*I238-S238&gt;=0,0,ROUNDUP(S238/I238,0)-1)))</x:f>
        <x:v>100</x:v>
      </x:c>
      <x:c r="AB238" s="1" t="n">
        <x:f>IF(I238&lt;=0,'損益分岐設定'!C39,IF('損益分岐設定'!C39*I238-T238&lt;0,'損益分岐設定'!C39,IF('損益分岐設定'!B39*I238-T238&gt;=0,0,ROUNDUP(T238/I238,0)-1)))</x:f>
        <x:v>137</x:v>
      </x:c>
      <x:c r="AC238" s="1" t="n">
        <x:f>IF(I238&lt;=0,'損益分岐設定'!C40,IF('損益分岐設定'!C40*I238-U238&lt;0,'損益分岐設定'!C40,IF('損益分岐設定'!B40*I238-U238&gt;=0,0,ROUNDUP(U238/I238,0)-1)))</x:f>
        <x:v>0</x:v>
      </x:c>
      <x:c r="AD238" s="1" t="n">
        <x:v>0</x:v>
      </x:c>
      <x:c r="AE238" s="1" t="n">
        <x:v>1</x:v>
      </x:c>
      <x:c r="AF238" s="1" t="n">
        <x:v>0</x:v>
      </x:c>
      <x:c r="AG238" s="1" t="n">
        <x:f>AD238*('損益分岐設定'!$C$57*(1-'損益分岐設定'!$B$51)+'損益分岐設定'!$C$58*'損益分岐設定'!$B$51)+AE238*('損益分岐設定'!$C$60*(1-'損益分岐設定'!$B$51)+'損益分岐設定'!$C$61*'損益分岐設定'!$B$51)+AF238*('損益分岐設定'!$C$63*(1-'損益分岐設定'!$B$51)+'損益分岐設定'!$C$64*'損益分岐設定'!$B$51)</x:f>
        <x:v>2336.20881640625</x:v>
      </x:c>
      <x:c r="AH238" s="1" t="n">
        <x:f>AD238*('損益分岐設定'!$D$57*(1-'損益分岐設定'!$B$51)+'損益分岐設定'!$D$58*'損益分岐設定'!$B$51)+AE238*('損益分岐設定'!$D$60*(1-'損益分岐設定'!$B$51)+'損益分岐設定'!$D$61*'損益分岐設定'!$B$51)+AF238*('損益分岐設定'!$D$63*(1-'損益分岐設定'!$B$51)+'損益分岐設定'!$D$64*'損益分岐設定'!$B$51)</x:f>
        <x:v>192</x:v>
      </x:c>
      <x:c r="AI238" s="1" t="n">
        <x:f>AD238*('損益分岐設定'!$E$57*(1-'損益分岐設定'!$B$51)+'損益分岐設定'!$E$58*'損益分岐設定'!$B$51)+AE238*('損益分岐設定'!$E$60*(1-'損益分岐設定'!$B$51)+'損益分岐設定'!$E$61*'損益分岐設定'!$B$51)+AF238*('損益分岐設定'!$E$63*(1-'損益分岐設定'!$B$51)+'損益分岐設定'!$E$64*'損益分岐設定'!$B$51)</x:f>
        <x:v>224</x:v>
      </x:c>
      <x:c r="AJ238" s="1" t="n">
        <x:f>(AD238*('損益分岐設定'!$F$57*(1-'損益分岐設定'!$B$51)+'損益分岐設定'!$F$58*'損益分岐設定'!$B$51)+AE238*('損益分岐設定'!$F$60*(1-'損益分岐設定'!$B$51)+'損益分岐設定'!$F$61*'損益分岐設定'!$B$51)+AF238*('損益分岐設定'!$F$63*(1-'損益分岐設定'!$B$51)+'損益分岐設定'!$F$64*'損益分岐設定'!$B$51)*1)*'損益分岐設定'!$B$22</x:f>
        <x:v>1824</x:v>
      </x:c>
      <x:c r="AK238" s="1" t="n">
        <x:f>AD238*('損益分岐設定'!$G$57*(1-'損益分岐設定'!$B$51)+'損益分岐設定'!$G$58*'損益分岐設定'!$B$51)+AE238*('損益分岐設定'!$G$60*(1-'損益分岐設定'!$B$51)+'損益分岐設定'!$G$61*'損益分岐設定'!$B$51)+AF238*('損益分岐設定'!$G$63*(1-'損益分岐設定'!$B$51)+'損益分岐設定'!$G$64*'損益分岐設定'!$B$51)</x:f>
        <x:v>1600</x:v>
      </x:c>
      <x:c r="AL238" s="1" t="n">
        <x:f>AD238*('損益分岐設定'!$H$57*(1-'損益分岐設定'!$B$51)+'損益分岐設定'!$H$58*'損益分岐設定'!$B$51)+AE238*('損益分岐設定'!$H$60*(1-'損益分岐設定'!$B$51)+'損益分岐設定'!$H$61*'損益分岐設定'!$B$51)+AF238*('損益分岐設定'!$H$63*(1-'損益分岐設定'!$B$51)+'損益分岐設定'!$H$64*'損益分岐設定'!$B$51)</x:f>
        <x:v>826.6666666666667</x:v>
      </x:c>
      <x:c r="AM238" s="1" t="n">
        <x:f>MAX(1,ROUNDUP('損益分岐設定'!C37*AJ238/('損益分岐設定'!$B$23*'損益分岐設定'!$B$24*3600*'損益分岐設定'!$B$25),0))</x:f>
        <x:v>1</x:v>
      </x:c>
      <x:c r="AN238" s="1" t="n">
        <x:f>MAX(2,ROUNDUP('損益分岐設定'!C38*AJ238/('損益分岐設定'!$B$23*'損益分岐設定'!$B$24*3600*'損益分岐設定'!$B$25),0))</x:f>
        <x:v>2</x:v>
      </x:c>
      <x:c r="AO238" s="1" t="n">
        <x:f>MAX(2,ROUNDUP('損益分岐設定'!C39*AJ238/('損益分岐設定'!$B$23*'損益分岐設定'!$B$24*3600*'損益分岐設定'!$B$25),0))</x:f>
        <x:v>2</x:v>
      </x:c>
      <x:c r="AP238" s="1" t="n">
        <x:f>MAX(2,ROUNDUP('損益分岐設定'!C40*AJ238/('損益分岐設定'!$B$23*'損益分岐設定'!$B$24*3600*'損益分岐設定'!$B$25),0))</x:f>
        <x:v>4</x:v>
      </x:c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 ht="23" customHeight="1">
      <x:c r="A239" s="1" t="str">
        <x:v>Hybrid</x:v>
      </x:c>
      <x:c r="B239" s="1" t="str">
        <x:v>Business</x:v>
      </x:c>
      <x:c r="C239" s="1" t="str">
        <x:v>標準+高位混在</x:v>
      </x:c>
      <x:c r="D239" s="21" t="n">
        <x:v>0.3</x:v>
      </x:c>
      <x:c r="E239" s="1" t="n">
        <x:v>0</x:v>
      </x:c>
      <x:c r="F239" s="7" t="n">
        <x:f>AD239*'損益分岐設定'!$B$5+AE239*'損益分岐設定'!$B$6+AF239*'損益分岐設定'!$B$7</x:f>
        <x:v>5000</x:v>
      </x:c>
      <x:c r="G239" s="7" t="n">
        <x:f>AG239+(AH239+AI239)*('損益分岐設定'!$B$29+0.5*'損益分岐設定'!$B$30)+AK239*'損益分岐設定'!$B$33</x:f>
        <x:v>2337.9255889399515</x:v>
      </x:c>
      <x:c r="H239" s="7" t="n">
        <x:f>AL239*E239</x:f>
        <x:v>0</x:v>
      </x:c>
      <x:c r="I239" s="7" t="n">
        <x:f>F239*(1-D239-'損益分岐設定'!$B$10)-G239-H239</x:f>
        <x:v>982.0744110600481</x:v>
      </x:c>
      <x:c r="J239" s="1" t="n">
        <x:f>IF(MIN(V239:Y239)&gt;1000,"範囲内なし",MIN(V239:Y239))</x:f>
        <x:v>52</x:v>
      </x:c>
      <x:c r="K239" s="1" t="n">
        <x:f>IF(MAX(Z239:AC239)&gt;=1000,"範囲内なし",MAX(1,MAX(Z239:AC239)+1))</x:f>
        <x:v>52</x:v>
      </x:c>
      <x:c r="L239" s="7" t="n">
        <x:f>10*I239-R239</x:f>
        <x:v>-25619.052579704836</x:v>
      </x:c>
      <x:c r="M239" s="7" t="n">
        <x:f>30*I239-S239</x:f>
        <x:v>-20917.36104880919</x:v>
      </x:c>
      <x:c r="N239" s="7" t="n">
        <x:f>50*I239-S239</x:f>
        <x:v>-1275.8728276082256</x:v>
      </x:c>
      <x:c r="O239" s="7" t="n">
        <x:f>100*I239-S239</x:f>
        <x:v>47827.84772539418</x:v>
      </x:c>
      <x:c r="P239" s="7" t="n">
        <x:f>300*I239-T239</x:f>
        <x:v>222242.7299374038</x:v>
      </x:c>
      <x:c r="Q239" s="7" t="n">
        <x:f>1000*I239-U239</x:f>
        <x:v>858815.2242988268</x:v>
      </x:c>
      <x:c r="R239" s="7" t="n">
        <x:f>'損益分岐設定'!$B$18+'損益分岐設定'!$B$19+'損益分岐設定'!$B$20+'損益分岐設定'!E37+'損益分岐設定'!D37+AM239*('損益分岐設定'!$B$15+'損益分岐設定'!$B$16)+'損益分岐設定'!$B$17+E239*('損益分岐設定'!$B$13+(AM239-1)*'損益分岐設定'!$B$14)*'損益分岐設定'!$B$11</x:f>
        <x:v>35439.79669030532</x:v>
      </x:c>
      <x:c r="S239" s="7" t="n">
        <x:f>'損益分岐設定'!$B$18+'損益分岐設定'!$B$19+'損益分岐設定'!$B$20+'損益分岐設定'!E38+'損益分岐設定'!D38+AN239*('損益分岐設定'!$B$15+'損益分岐設定'!$B$16)+'損益分岐設定'!$B$17+E239*('損益分岐設定'!$B$13+(AN239-1)*'損益分岐設定'!$B$14)*'損益分岐設定'!$B$11</x:f>
        <x:v>50379.59338061063</x:v>
      </x:c>
      <x:c r="T239" s="7" t="n">
        <x:f>'損益分岐設定'!$B$18+'損益分岐設定'!$B$19+'損益分岐設定'!$B$20+'損益分岐設定'!E39+'損益分岐設定'!D39+AO239*('損益分岐設定'!$B$15+'損益分岐設定'!$B$16)+'損益分岐設定'!$B$17+E239*('損益分岐設定'!$B$13+(AO239-1)*'損益分岐設定'!$B$14)*'損益分岐設定'!$B$11</x:f>
        <x:v>72379.59338061063</x:v>
      </x:c>
      <x:c r="U239" s="7" t="n">
        <x:f>'損益分岐設定'!$B$18+'損益分岐設定'!$B$19+'損益分岐設定'!$B$20+'損益分岐設定'!E40+'損益分岐設定'!D40+AP239*('損益分岐設定'!$B$15+'損益分岐設定'!$B$16)+'損益分岐設定'!$B$17+E239*('損益分岐設定'!$B$13+(AP239-1)*'損益分岐設定'!$B$14)*'損益分岐設定'!$B$11</x:f>
        <x:v>123259.18676122127</x:v>
      </x:c>
      <x:c r="V239" s="1" t="n">
        <x:f>IF(I239&lt;=0,1001,IF(MAX('損益分岐設定'!B37,ROUNDUP(R239/I239,0))&lt;='損益分岐設定'!C37,MAX('損益分岐設定'!B37,ROUNDUP(R239/I239,0)),1001))</x:f>
        <x:v>1001</x:v>
      </x:c>
      <x:c r="W239" s="1" t="n">
        <x:f>IF(I239&lt;=0,1001,IF(MAX('損益分岐設定'!B38,ROUNDUP(S239/I239,0))&lt;='損益分岐設定'!C38,MAX('損益分岐設定'!B38,ROUNDUP(S239/I239,0)),1001))</x:f>
        <x:v>52</x:v>
      </x:c>
      <x:c r="X239" s="1" t="n">
        <x:f>IF(I239&lt;=0,1001,IF(MAX('損益分岐設定'!B39,ROUNDUP(T239/I239,0))&lt;='損益分岐設定'!C39,MAX('損益分岐設定'!B39,ROUNDUP(T239/I239,0)),1001))</x:f>
        <x:v>101</x:v>
      </x:c>
      <x:c r="Y239" s="1" t="n">
        <x:f>IF(I239&lt;=0,1001,IF(MAX('損益分岐設定'!B40,ROUNDUP(U239/I239,0))&lt;='損益分岐設定'!C40,MAX('損益分岐設定'!B40,ROUNDUP(U239/I239,0)),1001))</x:f>
        <x:v>501</x:v>
      </x:c>
      <x:c r="Z239" s="1" t="n">
        <x:f>IF(I239&lt;=0,'損益分岐設定'!C37,IF('損益分岐設定'!C37*I239-R239&lt;0,'損益分岐設定'!C37,IF('損益分岐設定'!B37*I239-R239&gt;=0,0,ROUNDUP(R239/I239,0)-1)))</x:f>
        <x:v>10</x:v>
      </x:c>
      <x:c r="AA239" s="1" t="n">
        <x:f>IF(I239&lt;=0,'損益分岐設定'!C38,IF('損益分岐設定'!C38*I239-S239&lt;0,'損益分岐設定'!C38,IF('損益分岐設定'!B38*I239-S239&gt;=0,0,ROUNDUP(S239/I239,0)-1)))</x:f>
        <x:v>51</x:v>
      </x:c>
      <x:c r="AB239" s="1" t="n">
        <x:f>IF(I239&lt;=0,'損益分岐設定'!C39,IF('損益分岐設定'!C39*I239-T239&lt;0,'損益分岐設定'!C39,IF('損益分岐設定'!B39*I239-T239&gt;=0,0,ROUNDUP(T239/I239,0)-1)))</x:f>
        <x:v>0</x:v>
      </x:c>
      <x:c r="AC239" s="1" t="n">
        <x:f>IF(I239&lt;=0,'損益分岐設定'!C40,IF('損益分岐設定'!C40*I239-U239&lt;0,'損益分岐設定'!C40,IF('損益分岐設定'!B40*I239-U239&gt;=0,0,ROUNDUP(U239/I239,0)-1)))</x:f>
        <x:v>0</x:v>
      </x:c>
      <x:c r="AD239" s="1" t="n">
        <x:v>0</x:v>
      </x:c>
      <x:c r="AE239" s="1" t="n">
        <x:v>1</x:v>
      </x:c>
      <x:c r="AF239" s="1" t="n">
        <x:v>0</x:v>
      </x:c>
      <x:c r="AG239" s="1" t="n">
        <x:f>AD239*('損益分岐設定'!$C$57*(1-'損益分岐設定'!$B$51)+'損益分岐設定'!$C$58*'損益分岐設定'!$B$51)+AE239*('損益分岐設定'!$C$60*(1-'損益分岐設定'!$B$51)+'損益分岐設定'!$C$61*'損益分岐設定'!$B$51)+AF239*('損益分岐設定'!$C$63*(1-'損益分岐設定'!$B$51)+'損益分岐設定'!$C$64*'損益分岐設定'!$B$51)</x:f>
        <x:v>2336.20881640625</x:v>
      </x:c>
      <x:c r="AH239" s="1" t="n">
        <x:f>AD239*('損益分岐設定'!$D$57*(1-'損益分岐設定'!$B$51)+'損益分岐設定'!$D$58*'損益分岐設定'!$B$51)+AE239*('損益分岐設定'!$D$60*(1-'損益分岐設定'!$B$51)+'損益分岐設定'!$D$61*'損益分岐設定'!$B$51)+AF239*('損益分岐設定'!$D$63*(1-'損益分岐設定'!$B$51)+'損益分岐設定'!$D$64*'損益分岐設定'!$B$51)</x:f>
        <x:v>192</x:v>
      </x:c>
      <x:c r="AI239" s="1" t="n">
        <x:f>AD239*('損益分岐設定'!$E$57*(1-'損益分岐設定'!$B$51)+'損益分岐設定'!$E$58*'損益分岐設定'!$B$51)+AE239*('損益分岐設定'!$E$60*(1-'損益分岐設定'!$B$51)+'損益分岐設定'!$E$61*'損益分岐設定'!$B$51)+AF239*('損益分岐設定'!$E$63*(1-'損益分岐設定'!$B$51)+'損益分岐設定'!$E$64*'損益分岐設定'!$B$51)</x:f>
        <x:v>224</x:v>
      </x:c>
      <x:c r="AJ239" s="1" t="n">
        <x:f>(AD239*('損益分岐設定'!$F$57*(1-'損益分岐設定'!$B$51)+'損益分岐設定'!$F$58*'損益分岐設定'!$B$51)+AE239*('損益分岐設定'!$F$60*(1-'損益分岐設定'!$B$51)+'損益分岐設定'!$F$61*'損益分岐設定'!$B$51)+AF239*('損益分岐設定'!$F$63*(1-'損益分岐設定'!$B$51)+'損益分岐設定'!$F$64*'損益分岐設定'!$B$51)*1)*'損益分岐設定'!$B$22</x:f>
        <x:v>1824</x:v>
      </x:c>
      <x:c r="AK239" s="1" t="n">
        <x:f>AD239*('損益分岐設定'!$G$57*(1-'損益分岐設定'!$B$51)+'損益分岐設定'!$G$58*'損益分岐設定'!$B$51)+AE239*('損益分岐設定'!$G$60*(1-'損益分岐設定'!$B$51)+'損益分岐設定'!$G$61*'損益分岐設定'!$B$51)+AF239*('損益分岐設定'!$G$63*(1-'損益分岐設定'!$B$51)+'損益分岐設定'!$G$64*'損益分岐設定'!$B$51)</x:f>
        <x:v>1600</x:v>
      </x:c>
      <x:c r="AL239" s="1" t="n">
        <x:f>AD239*('損益分岐設定'!$H$57*(1-'損益分岐設定'!$B$51)+'損益分岐設定'!$H$58*'損益分岐設定'!$B$51)+AE239*('損益分岐設定'!$H$60*(1-'損益分岐設定'!$B$51)+'損益分岐設定'!$H$61*'損益分岐設定'!$B$51)+AF239*('損益分岐設定'!$H$63*(1-'損益分岐設定'!$B$51)+'損益分岐設定'!$H$64*'損益分岐設定'!$B$51)</x:f>
        <x:v>826.6666666666667</x:v>
      </x:c>
      <x:c r="AM239" s="1" t="n">
        <x:f>MAX(1,ROUNDUP('損益分岐設定'!C37*AJ239/('損益分岐設定'!$B$23*'損益分岐設定'!$B$24*3600*'損益分岐設定'!$B$25),0))</x:f>
        <x:v>1</x:v>
      </x:c>
      <x:c r="AN239" s="1" t="n">
        <x:f>MAX(2,ROUNDUP('損益分岐設定'!C38*AJ239/('損益分岐設定'!$B$23*'損益分岐設定'!$B$24*3600*'損益分岐設定'!$B$25),0))</x:f>
        <x:v>2</x:v>
      </x:c>
      <x:c r="AO239" s="1" t="n">
        <x:f>MAX(2,ROUNDUP('損益分岐設定'!C39*AJ239/('損益分岐設定'!$B$23*'損益分岐設定'!$B$24*3600*'損益分岐設定'!$B$25),0))</x:f>
        <x:v>2</x:v>
      </x:c>
      <x:c r="AP239" s="1" t="n">
        <x:f>MAX(2,ROUNDUP('損益分岐設定'!C40*AJ239/('損益分岐設定'!$B$23*'損益分岐設定'!$B$24*3600*'損益分岐設定'!$B$25),0))</x:f>
        <x:v>4</x:v>
      </x:c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 ht="23" customHeight="1">
      <x:c r="A240" s="1" t="str">
        <x:v>Hybrid</x:v>
      </x:c>
      <x:c r="B240" s="1" t="str">
        <x:v>Business</x:v>
      </x:c>
      <x:c r="C240" s="1" t="str">
        <x:v>標準+高位混在</x:v>
      </x:c>
      <x:c r="D240" s="21" t="n">
        <x:v>0.3</x:v>
      </x:c>
      <x:c r="E240" s="1" t="n">
        <x:v>1</x:v>
      </x:c>
      <x:c r="F240" s="7" t="n">
        <x:f>AD240*'損益分岐設定'!$B$5+AE240*'損益分岐設定'!$B$6+AF240*'損益分岐設定'!$B$7</x:f>
        <x:v>5000</x:v>
      </x:c>
      <x:c r="G240" s="7" t="n">
        <x:f>AG240+(AH240+AI240)*('損益分岐設定'!$B$29+0.5*'損益分岐設定'!$B$30)+AK240*'損益分岐設定'!$B$33</x:f>
        <x:v>2337.9255889399515</x:v>
      </x:c>
      <x:c r="H240" s="7" t="n">
        <x:f>AL240*E240</x:f>
        <x:v>826.6666666666667</x:v>
      </x:c>
      <x:c r="I240" s="7" t="n">
        <x:f>F240*(1-D240-'損益分岐設定'!$B$10)-G240-H240</x:f>
        <x:v>155.40774439338134</x:v>
      </x:c>
      <x:c r="J240" s="1" t="n">
        <x:f>IF(MIN(V240:Y240)&gt;1000,"範囲内なし",MIN(V240:Y240))</x:f>
        <x:v>935</x:v>
      </x:c>
      <x:c r="K240" s="1" t="n">
        <x:f>IF(MAX(Z240:AC240)&gt;=1000,"範囲内なし",MAX(1,MAX(Z240:AC240)+1))</x:f>
        <x:v>935</x:v>
      </x:c>
      <x:c r="L240" s="7" t="n">
        <x:f>10*I240-R240</x:f>
        <x:v>-49885.719246371504</x:v>
      </x:c>
      <x:c r="M240" s="7" t="n">
        <x:f>30*I240-S240</x:f>
        <x:v>-63717.361048809194</x:v>
      </x:c>
      <x:c r="N240" s="7" t="n">
        <x:f>50*I240-S240</x:f>
        <x:v>-60609.20616094157</x:v>
      </x:c>
      <x:c r="O240" s="7" t="n">
        <x:f>100*I240-S240</x:f>
        <x:v>-52838.818941272504</x:v>
      </x:c>
      <x:c r="P240" s="7" t="n">
        <x:f>300*I240-T240</x:f>
        <x:v>-43757.27006259623</x:v>
      </x:c>
      <x:c r="Q240" s="7" t="n">
        <x:f>1000*I240-U240</x:f>
        <x:v>10148.557632160082</x:v>
      </x:c>
      <x:c r="R240" s="7" t="n">
        <x:f>'損益分岐設定'!$B$18+'損益分岐設定'!$B$19+'損益分岐設定'!$B$20+'損益分岐設定'!E37+'損益分岐設定'!D37+AM240*('損益分岐設定'!$B$15+'損益分岐設定'!$B$16)+'損益分岐設定'!$B$17+E240*('損益分岐設定'!$B$13+(AM240-1)*'損益分岐設定'!$B$14)*'損益分岐設定'!$B$11</x:f>
        <x:v>51439.79669030532</x:v>
      </x:c>
      <x:c r="S240" s="7" t="n">
        <x:f>'損益分岐設定'!$B$18+'損益分岐設定'!$B$19+'損益分岐設定'!$B$20+'損益分岐設定'!E38+'損益分岐設定'!D38+AN240*('損益分岐設定'!$B$15+'損益分岐設定'!$B$16)+'損益分岐設定'!$B$17+E240*('損益分岐設定'!$B$13+(AN240-1)*'損益分岐設定'!$B$14)*'損益分岐設定'!$B$11</x:f>
        <x:v>68379.59338061063</x:v>
      </x:c>
      <x:c r="T240" s="7" t="n">
        <x:f>'損益分岐設定'!$B$18+'損益分岐設定'!$B$19+'損益分岐設定'!$B$20+'損益分岐設定'!E39+'損益分岐設定'!D39+AO240*('損益分岐設定'!$B$15+'損益分岐設定'!$B$16)+'損益分岐設定'!$B$17+E240*('損益分岐設定'!$B$13+(AO240-1)*'損益分岐設定'!$B$14)*'損益分岐設定'!$B$11</x:f>
        <x:v>90379.59338061063</x:v>
      </x:c>
      <x:c r="U240" s="7" t="n">
        <x:f>'損益分岐設定'!$B$18+'損益分岐設定'!$B$19+'損益分岐設定'!$B$20+'損益分岐設定'!E40+'損益分岐設定'!D40+AP240*('損益分岐設定'!$B$15+'損益分岐設定'!$B$16)+'損益分岐設定'!$B$17+E240*('損益分岐設定'!$B$13+(AP240-1)*'損益分岐設定'!$B$14)*'損益分岐設定'!$B$11</x:f>
        <x:v>145259.18676122127</x:v>
      </x:c>
      <x:c r="V240" s="1" t="n">
        <x:f>IF(I240&lt;=0,1001,IF(MAX('損益分岐設定'!B37,ROUNDUP(R240/I240,0))&lt;='損益分岐設定'!C37,MAX('損益分岐設定'!B37,ROUNDUP(R240/I240,0)),1001))</x:f>
        <x:v>1001</x:v>
      </x:c>
      <x:c r="W240" s="1" t="n">
        <x:f>IF(I240&lt;=0,1001,IF(MAX('損益分岐設定'!B38,ROUNDUP(S240/I240,0))&lt;='損益分岐設定'!C38,MAX('損益分岐設定'!B38,ROUNDUP(S240/I240,0)),1001))</x:f>
        <x:v>1001</x:v>
      </x:c>
      <x:c r="X240" s="1" t="n">
        <x:f>IF(I240&lt;=0,1001,IF(MAX('損益分岐設定'!B39,ROUNDUP(T240/I240,0))&lt;='損益分岐設定'!C39,MAX('損益分岐設定'!B39,ROUNDUP(T240/I240,0)),1001))</x:f>
        <x:v>1001</x:v>
      </x:c>
      <x:c r="Y240" s="1" t="n">
        <x:f>IF(I240&lt;=0,1001,IF(MAX('損益分岐設定'!B40,ROUNDUP(U240/I240,0))&lt;='損益分岐設定'!C40,MAX('損益分岐設定'!B40,ROUNDUP(U240/I240,0)),1001))</x:f>
        <x:v>935</x:v>
      </x:c>
      <x:c r="Z240" s="1" t="n">
        <x:f>IF(I240&lt;=0,'損益分岐設定'!C37,IF('損益分岐設定'!C37*I240-R240&lt;0,'損益分岐設定'!C37,IF('損益分岐設定'!B37*I240-R240&gt;=0,0,ROUNDUP(R240/I240,0)-1)))</x:f>
        <x:v>10</x:v>
      </x:c>
      <x:c r="AA240" s="1" t="n">
        <x:f>IF(I240&lt;=0,'損益分岐設定'!C38,IF('損益分岐設定'!C38*I240-S240&lt;0,'損益分岐設定'!C38,IF('損益分岐設定'!B38*I240-S240&gt;=0,0,ROUNDUP(S240/I240,0)-1)))</x:f>
        <x:v>100</x:v>
      </x:c>
      <x:c r="AB240" s="1" t="n">
        <x:f>IF(I240&lt;=0,'損益分岐設定'!C39,IF('損益分岐設定'!C39*I240-T240&lt;0,'損益分岐設定'!C39,IF('損益分岐設定'!B39*I240-T240&gt;=0,0,ROUNDUP(T240/I240,0)-1)))</x:f>
        <x:v>500</x:v>
      </x:c>
      <x:c r="AC240" s="1" t="n">
        <x:f>IF(I240&lt;=0,'損益分岐設定'!C40,IF('損益分岐設定'!C40*I240-U240&lt;0,'損益分岐設定'!C40,IF('損益分岐設定'!B40*I240-U240&gt;=0,0,ROUNDUP(U240/I240,0)-1)))</x:f>
        <x:v>934</x:v>
      </x:c>
      <x:c r="AD240" s="1" t="n">
        <x:v>0</x:v>
      </x:c>
      <x:c r="AE240" s="1" t="n">
        <x:v>1</x:v>
      </x:c>
      <x:c r="AF240" s="1" t="n">
        <x:v>0</x:v>
      </x:c>
      <x:c r="AG240" s="1" t="n">
        <x:f>AD240*('損益分岐設定'!$C$57*(1-'損益分岐設定'!$B$51)+'損益分岐設定'!$C$58*'損益分岐設定'!$B$51)+AE240*('損益分岐設定'!$C$60*(1-'損益分岐設定'!$B$51)+'損益分岐設定'!$C$61*'損益分岐設定'!$B$51)+AF240*('損益分岐設定'!$C$63*(1-'損益分岐設定'!$B$51)+'損益分岐設定'!$C$64*'損益分岐設定'!$B$51)</x:f>
        <x:v>2336.20881640625</x:v>
      </x:c>
      <x:c r="AH240" s="1" t="n">
        <x:f>AD240*('損益分岐設定'!$D$57*(1-'損益分岐設定'!$B$51)+'損益分岐設定'!$D$58*'損益分岐設定'!$B$51)+AE240*('損益分岐設定'!$D$60*(1-'損益分岐設定'!$B$51)+'損益分岐設定'!$D$61*'損益分岐設定'!$B$51)+AF240*('損益分岐設定'!$D$63*(1-'損益分岐設定'!$B$51)+'損益分岐設定'!$D$64*'損益分岐設定'!$B$51)</x:f>
        <x:v>192</x:v>
      </x:c>
      <x:c r="AI240" s="1" t="n">
        <x:f>AD240*('損益分岐設定'!$E$57*(1-'損益分岐設定'!$B$51)+'損益分岐設定'!$E$58*'損益分岐設定'!$B$51)+AE240*('損益分岐設定'!$E$60*(1-'損益分岐設定'!$B$51)+'損益分岐設定'!$E$61*'損益分岐設定'!$B$51)+AF240*('損益分岐設定'!$E$63*(1-'損益分岐設定'!$B$51)+'損益分岐設定'!$E$64*'損益分岐設定'!$B$51)</x:f>
        <x:v>224</x:v>
      </x:c>
      <x:c r="AJ240" s="1" t="n">
        <x:f>(AD240*('損益分岐設定'!$F$57*(1-'損益分岐設定'!$B$51)+'損益分岐設定'!$F$58*'損益分岐設定'!$B$51)+AE240*('損益分岐設定'!$F$60*(1-'損益分岐設定'!$B$51)+'損益分岐設定'!$F$61*'損益分岐設定'!$B$51)+AF240*('損益分岐設定'!$F$63*(1-'損益分岐設定'!$B$51)+'損益分岐設定'!$F$64*'損益分岐設定'!$B$51)*1)*'損益分岐設定'!$B$22</x:f>
        <x:v>1824</x:v>
      </x:c>
      <x:c r="AK240" s="1" t="n">
        <x:f>AD240*('損益分岐設定'!$G$57*(1-'損益分岐設定'!$B$51)+'損益分岐設定'!$G$58*'損益分岐設定'!$B$51)+AE240*('損益分岐設定'!$G$60*(1-'損益分岐設定'!$B$51)+'損益分岐設定'!$G$61*'損益分岐設定'!$B$51)+AF240*('損益分岐設定'!$G$63*(1-'損益分岐設定'!$B$51)+'損益分岐設定'!$G$64*'損益分岐設定'!$B$51)</x:f>
        <x:v>1600</x:v>
      </x:c>
      <x:c r="AL240" s="1" t="n">
        <x:f>AD240*('損益分岐設定'!$H$57*(1-'損益分岐設定'!$B$51)+'損益分岐設定'!$H$58*'損益分岐設定'!$B$51)+AE240*('損益分岐設定'!$H$60*(1-'損益分岐設定'!$B$51)+'損益分岐設定'!$H$61*'損益分岐設定'!$B$51)+AF240*('損益分岐設定'!$H$63*(1-'損益分岐設定'!$B$51)+'損益分岐設定'!$H$64*'損益分岐設定'!$B$51)</x:f>
        <x:v>826.6666666666667</x:v>
      </x:c>
      <x:c r="AM240" s="1" t="n">
        <x:f>MAX(1,ROUNDUP('損益分岐設定'!C37*AJ240/('損益分岐設定'!$B$23*'損益分岐設定'!$B$24*3600*'損益分岐設定'!$B$25),0))</x:f>
        <x:v>1</x:v>
      </x:c>
      <x:c r="AN240" s="1" t="n">
        <x:f>MAX(2,ROUNDUP('損益分岐設定'!C38*AJ240/('損益分岐設定'!$B$23*'損益分岐設定'!$B$24*3600*'損益分岐設定'!$B$25),0))</x:f>
        <x:v>2</x:v>
      </x:c>
      <x:c r="AO240" s="1" t="n">
        <x:f>MAX(2,ROUNDUP('損益分岐設定'!C39*AJ240/('損益分岐設定'!$B$23*'損益分岐設定'!$B$24*3600*'損益分岐設定'!$B$25),0))</x:f>
        <x:v>2</x:v>
      </x:c>
      <x:c r="AP240" s="1" t="n">
        <x:f>MAX(2,ROUNDUP('損益分岐設定'!C40*AJ240/('損益分岐設定'!$B$23*'損益分岐設定'!$B$24*3600*'損益分岐設定'!$B$25),0))</x:f>
        <x:v>4</x:v>
      </x:c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 ht="23" customHeight="1">
      <x:c r="A241" s="1" t="str">
        <x:v>Hybrid</x:v>
      </x:c>
      <x:c r="B241" s="1" t="str">
        <x:v>Business</x:v>
      </x:c>
      <x:c r="C241" s="1" t="str">
        <x:v>標準+高位混在</x:v>
      </x:c>
      <x:c r="D241" s="21" t="n">
        <x:v>0.4</x:v>
      </x:c>
      <x:c r="E241" s="1" t="n">
        <x:v>0</x:v>
      </x:c>
      <x:c r="F241" s="7" t="n">
        <x:f>AD241*'損益分岐設定'!$B$5+AE241*'損益分岐設定'!$B$6+AF241*'損益分岐設定'!$B$7</x:f>
        <x:v>5000</x:v>
      </x:c>
      <x:c r="G241" s="7" t="n">
        <x:f>AG241+(AH241+AI241)*('損益分岐設定'!$B$29+0.5*'損益分岐設定'!$B$30)+AK241*'損益分岐設定'!$B$33</x:f>
        <x:v>2337.9255889399515</x:v>
      </x:c>
      <x:c r="H241" s="7" t="n">
        <x:f>AL241*E241</x:f>
        <x:v>0</x:v>
      </x:c>
      <x:c r="I241" s="7" t="n">
        <x:f>F241*(1-D241-'損益分岐設定'!$B$10)-G241-H241</x:f>
        <x:v>482.0744110600481</x:v>
      </x:c>
      <x:c r="J241" s="1" t="n">
        <x:f>IF(MIN(V241:Y241)&gt;1000,"範囲内なし",MIN(V241:Y241))</x:f>
        <x:v>151</x:v>
      </x:c>
      <x:c r="K241" s="1" t="n">
        <x:f>IF(MAX(Z241:AC241)&gt;=1000,"範囲内なし",MAX(1,MAX(Z241:AC241)+1))</x:f>
        <x:v>151</x:v>
      </x:c>
      <x:c r="L241" s="7" t="n">
        <x:f>10*I241-R241</x:f>
        <x:v>-30619.052579704836</x:v>
      </x:c>
      <x:c r="M241" s="7" t="n">
        <x:f>30*I241-S241</x:f>
        <x:v>-35917.361048809194</x:v>
      </x:c>
      <x:c r="N241" s="7" t="n">
        <x:f>50*I241-S241</x:f>
        <x:v>-26275.87282760823</x:v>
      </x:c>
      <x:c r="O241" s="7" t="n">
        <x:f>100*I241-S241</x:f>
        <x:v>-2172.1522746058254</x:v>
      </x:c>
      <x:c r="P241" s="7" t="n">
        <x:f>300*I241-T241</x:f>
        <x:v>72242.72993740378</x:v>
      </x:c>
      <x:c r="Q241" s="7" t="n">
        <x:f>1000*I241-U241</x:f>
        <x:v>358815.2242988268</x:v>
      </x:c>
      <x:c r="R241" s="7" t="n">
        <x:f>'損益分岐設定'!$B$18+'損益分岐設定'!$B$19+'損益分岐設定'!$B$20+'損益分岐設定'!E37+'損益分岐設定'!D37+AM241*('損益分岐設定'!$B$15+'損益分岐設定'!$B$16)+'損益分岐設定'!$B$17+E241*('損益分岐設定'!$B$13+(AM241-1)*'損益分岐設定'!$B$14)*'損益分岐設定'!$B$11</x:f>
        <x:v>35439.79669030532</x:v>
      </x:c>
      <x:c r="S241" s="7" t="n">
        <x:f>'損益分岐設定'!$B$18+'損益分岐設定'!$B$19+'損益分岐設定'!$B$20+'損益分岐設定'!E38+'損益分岐設定'!D38+AN241*('損益分岐設定'!$B$15+'損益分岐設定'!$B$16)+'損益分岐設定'!$B$17+E241*('損益分岐設定'!$B$13+(AN241-1)*'損益分岐設定'!$B$14)*'損益分岐設定'!$B$11</x:f>
        <x:v>50379.59338061063</x:v>
      </x:c>
      <x:c r="T241" s="7" t="n">
        <x:f>'損益分岐設定'!$B$18+'損益分岐設定'!$B$19+'損益分岐設定'!$B$20+'損益分岐設定'!E39+'損益分岐設定'!D39+AO241*('損益分岐設定'!$B$15+'損益分岐設定'!$B$16)+'損益分岐設定'!$B$17+E241*('損益分岐設定'!$B$13+(AO241-1)*'損益分岐設定'!$B$14)*'損益分岐設定'!$B$11</x:f>
        <x:v>72379.59338061063</x:v>
      </x:c>
      <x:c r="U241" s="7" t="n">
        <x:f>'損益分岐設定'!$B$18+'損益分岐設定'!$B$19+'損益分岐設定'!$B$20+'損益分岐設定'!E40+'損益分岐設定'!D40+AP241*('損益分岐設定'!$B$15+'損益分岐設定'!$B$16)+'損益分岐設定'!$B$17+E241*('損益分岐設定'!$B$13+(AP241-1)*'損益分岐設定'!$B$14)*'損益分岐設定'!$B$11</x:f>
        <x:v>123259.18676122127</x:v>
      </x:c>
      <x:c r="V241" s="1" t="n">
        <x:f>IF(I241&lt;=0,1001,IF(MAX('損益分岐設定'!B37,ROUNDUP(R241/I241,0))&lt;='損益分岐設定'!C37,MAX('損益分岐設定'!B37,ROUNDUP(R241/I241,0)),1001))</x:f>
        <x:v>1001</x:v>
      </x:c>
      <x:c r="W241" s="1" t="n">
        <x:f>IF(I241&lt;=0,1001,IF(MAX('損益分岐設定'!B38,ROUNDUP(S241/I241,0))&lt;='損益分岐設定'!C38,MAX('損益分岐設定'!B38,ROUNDUP(S241/I241,0)),1001))</x:f>
        <x:v>1001</x:v>
      </x:c>
      <x:c r="X241" s="1" t="n">
        <x:f>IF(I241&lt;=0,1001,IF(MAX('損益分岐設定'!B39,ROUNDUP(T241/I241,0))&lt;='損益分岐設定'!C39,MAX('損益分岐設定'!B39,ROUNDUP(T241/I241,0)),1001))</x:f>
        <x:v>151</x:v>
      </x:c>
      <x:c r="Y241" s="1" t="n">
        <x:f>IF(I241&lt;=0,1001,IF(MAX('損益分岐設定'!B40,ROUNDUP(U241/I241,0))&lt;='損益分岐設定'!C40,MAX('損益分岐設定'!B40,ROUNDUP(U241/I241,0)),1001))</x:f>
        <x:v>501</x:v>
      </x:c>
      <x:c r="Z241" s="1" t="n">
        <x:f>IF(I241&lt;=0,'損益分岐設定'!C37,IF('損益分岐設定'!C37*I241-R241&lt;0,'損益分岐設定'!C37,IF('損益分岐設定'!B37*I241-R241&gt;=0,0,ROUNDUP(R241/I241,0)-1)))</x:f>
        <x:v>10</x:v>
      </x:c>
      <x:c r="AA241" s="1" t="n">
        <x:f>IF(I241&lt;=0,'損益分岐設定'!C38,IF('損益分岐設定'!C38*I241-S241&lt;0,'損益分岐設定'!C38,IF('損益分岐設定'!B38*I241-S241&gt;=0,0,ROUNDUP(S241/I241,0)-1)))</x:f>
        <x:v>100</x:v>
      </x:c>
      <x:c r="AB241" s="1" t="n">
        <x:f>IF(I241&lt;=0,'損益分岐設定'!C39,IF('損益分岐設定'!C39*I241-T241&lt;0,'損益分岐設定'!C39,IF('損益分岐設定'!B39*I241-T241&gt;=0,0,ROUNDUP(T241/I241,0)-1)))</x:f>
        <x:v>150</x:v>
      </x:c>
      <x:c r="AC241" s="1" t="n">
        <x:f>IF(I241&lt;=0,'損益分岐設定'!C40,IF('損益分岐設定'!C40*I241-U241&lt;0,'損益分岐設定'!C40,IF('損益分岐設定'!B40*I241-U241&gt;=0,0,ROUNDUP(U241/I241,0)-1)))</x:f>
        <x:v>0</x:v>
      </x:c>
      <x:c r="AD241" s="1" t="n">
        <x:v>0</x:v>
      </x:c>
      <x:c r="AE241" s="1" t="n">
        <x:v>1</x:v>
      </x:c>
      <x:c r="AF241" s="1" t="n">
        <x:v>0</x:v>
      </x:c>
      <x:c r="AG241" s="1" t="n">
        <x:f>AD241*('損益分岐設定'!$C$57*(1-'損益分岐設定'!$B$51)+'損益分岐設定'!$C$58*'損益分岐設定'!$B$51)+AE241*('損益分岐設定'!$C$60*(1-'損益分岐設定'!$B$51)+'損益分岐設定'!$C$61*'損益分岐設定'!$B$51)+AF241*('損益分岐設定'!$C$63*(1-'損益分岐設定'!$B$51)+'損益分岐設定'!$C$64*'損益分岐設定'!$B$51)</x:f>
        <x:v>2336.20881640625</x:v>
      </x:c>
      <x:c r="AH241" s="1" t="n">
        <x:f>AD241*('損益分岐設定'!$D$57*(1-'損益分岐設定'!$B$51)+'損益分岐設定'!$D$58*'損益分岐設定'!$B$51)+AE241*('損益分岐設定'!$D$60*(1-'損益分岐設定'!$B$51)+'損益分岐設定'!$D$61*'損益分岐設定'!$B$51)+AF241*('損益分岐設定'!$D$63*(1-'損益分岐設定'!$B$51)+'損益分岐設定'!$D$64*'損益分岐設定'!$B$51)</x:f>
        <x:v>192</x:v>
      </x:c>
      <x:c r="AI241" s="1" t="n">
        <x:f>AD241*('損益分岐設定'!$E$57*(1-'損益分岐設定'!$B$51)+'損益分岐設定'!$E$58*'損益分岐設定'!$B$51)+AE241*('損益分岐設定'!$E$60*(1-'損益分岐設定'!$B$51)+'損益分岐設定'!$E$61*'損益分岐設定'!$B$51)+AF241*('損益分岐設定'!$E$63*(1-'損益分岐設定'!$B$51)+'損益分岐設定'!$E$64*'損益分岐設定'!$B$51)</x:f>
        <x:v>224</x:v>
      </x:c>
      <x:c r="AJ241" s="1" t="n">
        <x:f>(AD241*('損益分岐設定'!$F$57*(1-'損益分岐設定'!$B$51)+'損益分岐設定'!$F$58*'損益分岐設定'!$B$51)+AE241*('損益分岐設定'!$F$60*(1-'損益分岐設定'!$B$51)+'損益分岐設定'!$F$61*'損益分岐設定'!$B$51)+AF241*('損益分岐設定'!$F$63*(1-'損益分岐設定'!$B$51)+'損益分岐設定'!$F$64*'損益分岐設定'!$B$51)*1)*'損益分岐設定'!$B$22</x:f>
        <x:v>1824</x:v>
      </x:c>
      <x:c r="AK241" s="1" t="n">
        <x:f>AD241*('損益分岐設定'!$G$57*(1-'損益分岐設定'!$B$51)+'損益分岐設定'!$G$58*'損益分岐設定'!$B$51)+AE241*('損益分岐設定'!$G$60*(1-'損益分岐設定'!$B$51)+'損益分岐設定'!$G$61*'損益分岐設定'!$B$51)+AF241*('損益分岐設定'!$G$63*(1-'損益分岐設定'!$B$51)+'損益分岐設定'!$G$64*'損益分岐設定'!$B$51)</x:f>
        <x:v>1600</x:v>
      </x:c>
      <x:c r="AL241" s="1" t="n">
        <x:f>AD241*('損益分岐設定'!$H$57*(1-'損益分岐設定'!$B$51)+'損益分岐設定'!$H$58*'損益分岐設定'!$B$51)+AE241*('損益分岐設定'!$H$60*(1-'損益分岐設定'!$B$51)+'損益分岐設定'!$H$61*'損益分岐設定'!$B$51)+AF241*('損益分岐設定'!$H$63*(1-'損益分岐設定'!$B$51)+'損益分岐設定'!$H$64*'損益分岐設定'!$B$51)</x:f>
        <x:v>826.6666666666667</x:v>
      </x:c>
      <x:c r="AM241" s="1" t="n">
        <x:f>MAX(1,ROUNDUP('損益分岐設定'!C37*AJ241/('損益分岐設定'!$B$23*'損益分岐設定'!$B$24*3600*'損益分岐設定'!$B$25),0))</x:f>
        <x:v>1</x:v>
      </x:c>
      <x:c r="AN241" s="1" t="n">
        <x:f>MAX(2,ROUNDUP('損益分岐設定'!C38*AJ241/('損益分岐設定'!$B$23*'損益分岐設定'!$B$24*3600*'損益分岐設定'!$B$25),0))</x:f>
        <x:v>2</x:v>
      </x:c>
      <x:c r="AO241" s="1" t="n">
        <x:f>MAX(2,ROUNDUP('損益分岐設定'!C39*AJ241/('損益分岐設定'!$B$23*'損益分岐設定'!$B$24*3600*'損益分岐設定'!$B$25),0))</x:f>
        <x:v>2</x:v>
      </x:c>
      <x:c r="AP241" s="1" t="n">
        <x:f>MAX(2,ROUNDUP('損益分岐設定'!C40*AJ241/('損益分岐設定'!$B$23*'損益分岐設定'!$B$24*3600*'損益分岐設定'!$B$25),0))</x:f>
        <x:v>4</x:v>
      </x:c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 ht="23" customHeight="1">
      <x:c r="A242" s="1" t="str">
        <x:v>Hybrid</x:v>
      </x:c>
      <x:c r="B242" s="1" t="str">
        <x:v>Business</x:v>
      </x:c>
      <x:c r="C242" s="1" t="str">
        <x:v>標準+高位混在</x:v>
      </x:c>
      <x:c r="D242" s="21" t="n">
        <x:v>0.4</x:v>
      </x:c>
      <x:c r="E242" s="1" t="n">
        <x:v>1</x:v>
      </x:c>
      <x:c r="F242" s="7" t="n">
        <x:f>AD242*'損益分岐設定'!$B$5+AE242*'損益分岐設定'!$B$6+AF242*'損益分岐設定'!$B$7</x:f>
        <x:v>5000</x:v>
      </x:c>
      <x:c r="G242" s="7" t="n">
        <x:f>AG242+(AH242+AI242)*('損益分岐設定'!$B$29+0.5*'損益分岐設定'!$B$30)+AK242*'損益分岐設定'!$B$33</x:f>
        <x:v>2337.9255889399515</x:v>
      </x:c>
      <x:c r="H242" s="7" t="n">
        <x:f>AL242*E242</x:f>
        <x:v>826.6666666666667</x:v>
      </x:c>
      <x:c r="I242" s="7" t="n">
        <x:f>F242*(1-D242-'損益分岐設定'!$B$10)-G242-H242</x:f>
        <x:v>-344.59225560661866</x:v>
      </x:c>
      <x:c r="J242" s="1" t="str">
        <x:f>IF(MIN(V242:Y242)&gt;1000,"範囲内なし",MIN(V242:Y242))</x:f>
        <x:v>範囲内なし</x:v>
      </x:c>
      <x:c r="K242" s="1" t="str">
        <x:f>IF(MAX(Z242:AC242)&gt;=1000,"範囲内なし",MAX(1,MAX(Z242:AC242)+1))</x:f>
        <x:v>範囲内なし</x:v>
      </x:c>
      <x:c r="L242" s="7" t="n">
        <x:f>10*I242-R242</x:f>
        <x:v>-54885.719246371504</x:v>
      </x:c>
      <x:c r="M242" s="7" t="n">
        <x:f>30*I242-S242</x:f>
        <x:v>-78717.3610488092</x:v>
      </x:c>
      <x:c r="N242" s="7" t="n">
        <x:f>50*I242-S242</x:f>
        <x:v>-85609.20616094157</x:v>
      </x:c>
      <x:c r="O242" s="7" t="n">
        <x:f>100*I242-S242</x:f>
        <x:v>-102838.8189412725</x:v>
      </x:c>
      <x:c r="P242" s="7" t="n">
        <x:f>300*I242-T242</x:f>
        <x:v>-193757.27006259625</x:v>
      </x:c>
      <x:c r="Q242" s="7" t="n">
        <x:f>1000*I242-U242</x:f>
        <x:v>-489851.4423678399</x:v>
      </x:c>
      <x:c r="R242" s="7" t="n">
        <x:f>'損益分岐設定'!$B$18+'損益分岐設定'!$B$19+'損益分岐設定'!$B$20+'損益分岐設定'!E37+'損益分岐設定'!D37+AM242*('損益分岐設定'!$B$15+'損益分岐設定'!$B$16)+'損益分岐設定'!$B$17+E242*('損益分岐設定'!$B$13+(AM242-1)*'損益分岐設定'!$B$14)*'損益分岐設定'!$B$11</x:f>
        <x:v>51439.79669030532</x:v>
      </x:c>
      <x:c r="S242" s="7" t="n">
        <x:f>'損益分岐設定'!$B$18+'損益分岐設定'!$B$19+'損益分岐設定'!$B$20+'損益分岐設定'!E38+'損益分岐設定'!D38+AN242*('損益分岐設定'!$B$15+'損益分岐設定'!$B$16)+'損益分岐設定'!$B$17+E242*('損益分岐設定'!$B$13+(AN242-1)*'損益分岐設定'!$B$14)*'損益分岐設定'!$B$11</x:f>
        <x:v>68379.59338061063</x:v>
      </x:c>
      <x:c r="T242" s="7" t="n">
        <x:f>'損益分岐設定'!$B$18+'損益分岐設定'!$B$19+'損益分岐設定'!$B$20+'損益分岐設定'!E39+'損益分岐設定'!D39+AO242*('損益分岐設定'!$B$15+'損益分岐設定'!$B$16)+'損益分岐設定'!$B$17+E242*('損益分岐設定'!$B$13+(AO242-1)*'損益分岐設定'!$B$14)*'損益分岐設定'!$B$11</x:f>
        <x:v>90379.59338061063</x:v>
      </x:c>
      <x:c r="U242" s="7" t="n">
        <x:f>'損益分岐設定'!$B$18+'損益分岐設定'!$B$19+'損益分岐設定'!$B$20+'損益分岐設定'!E40+'損益分岐設定'!D40+AP242*('損益分岐設定'!$B$15+'損益分岐設定'!$B$16)+'損益分岐設定'!$B$17+E242*('損益分岐設定'!$B$13+(AP242-1)*'損益分岐設定'!$B$14)*'損益分岐設定'!$B$11</x:f>
        <x:v>145259.18676122127</x:v>
      </x:c>
      <x:c r="V242" s="1" t="n">
        <x:f>IF(I242&lt;=0,1001,IF(MAX('損益分岐設定'!B37,ROUNDUP(R242/I242,0))&lt;='損益分岐設定'!C37,MAX('損益分岐設定'!B37,ROUNDUP(R242/I242,0)),1001))</x:f>
        <x:v>1001</x:v>
      </x:c>
      <x:c r="W242" s="1" t="n">
        <x:f>IF(I242&lt;=0,1001,IF(MAX('損益分岐設定'!B38,ROUNDUP(S242/I242,0))&lt;='損益分岐設定'!C38,MAX('損益分岐設定'!B38,ROUNDUP(S242/I242,0)),1001))</x:f>
        <x:v>1001</x:v>
      </x:c>
      <x:c r="X242" s="1" t="n">
        <x:f>IF(I242&lt;=0,1001,IF(MAX('損益分岐設定'!B39,ROUNDUP(T242/I242,0))&lt;='損益分岐設定'!C39,MAX('損益分岐設定'!B39,ROUNDUP(T242/I242,0)),1001))</x:f>
        <x:v>1001</x:v>
      </x:c>
      <x:c r="Y242" s="1" t="n">
        <x:f>IF(I242&lt;=0,1001,IF(MAX('損益分岐設定'!B40,ROUNDUP(U242/I242,0))&lt;='損益分岐設定'!C40,MAX('損益分岐設定'!B40,ROUNDUP(U242/I242,0)),1001))</x:f>
        <x:v>1001</x:v>
      </x:c>
      <x:c r="Z242" s="1" t="n">
        <x:f>IF(I242&lt;=0,'損益分岐設定'!C37,IF('損益分岐設定'!C37*I242-R242&lt;0,'損益分岐設定'!C37,IF('損益分岐設定'!B37*I242-R242&gt;=0,0,ROUNDUP(R242/I242,0)-1)))</x:f>
        <x:v>10</x:v>
      </x:c>
      <x:c r="AA242" s="1" t="n">
        <x:f>IF(I242&lt;=0,'損益分岐設定'!C38,IF('損益分岐設定'!C38*I242-S242&lt;0,'損益分岐設定'!C38,IF('損益分岐設定'!B38*I242-S242&gt;=0,0,ROUNDUP(S242/I242,0)-1)))</x:f>
        <x:v>100</x:v>
      </x:c>
      <x:c r="AB242" s="1" t="n">
        <x:f>IF(I242&lt;=0,'損益分岐設定'!C39,IF('損益分岐設定'!C39*I242-T242&lt;0,'損益分岐設定'!C39,IF('損益分岐設定'!B39*I242-T242&gt;=0,0,ROUNDUP(T242/I242,0)-1)))</x:f>
        <x:v>500</x:v>
      </x:c>
      <x:c r="AC242" s="1" t="n">
        <x:f>IF(I242&lt;=0,'損益分岐設定'!C40,IF('損益分岐設定'!C40*I242-U242&lt;0,'損益分岐設定'!C40,IF('損益分岐設定'!B40*I242-U242&gt;=0,0,ROUNDUP(U242/I242,0)-1)))</x:f>
        <x:v>1000</x:v>
      </x:c>
      <x:c r="AD242" s="1" t="n">
        <x:v>0</x:v>
      </x:c>
      <x:c r="AE242" s="1" t="n">
        <x:v>1</x:v>
      </x:c>
      <x:c r="AF242" s="1" t="n">
        <x:v>0</x:v>
      </x:c>
      <x:c r="AG242" s="1" t="n">
        <x:f>AD242*('損益分岐設定'!$C$57*(1-'損益分岐設定'!$B$51)+'損益分岐設定'!$C$58*'損益分岐設定'!$B$51)+AE242*('損益分岐設定'!$C$60*(1-'損益分岐設定'!$B$51)+'損益分岐設定'!$C$61*'損益分岐設定'!$B$51)+AF242*('損益分岐設定'!$C$63*(1-'損益分岐設定'!$B$51)+'損益分岐設定'!$C$64*'損益分岐設定'!$B$51)</x:f>
        <x:v>2336.20881640625</x:v>
      </x:c>
      <x:c r="AH242" s="1" t="n">
        <x:f>AD242*('損益分岐設定'!$D$57*(1-'損益分岐設定'!$B$51)+'損益分岐設定'!$D$58*'損益分岐設定'!$B$51)+AE242*('損益分岐設定'!$D$60*(1-'損益分岐設定'!$B$51)+'損益分岐設定'!$D$61*'損益分岐設定'!$B$51)+AF242*('損益分岐設定'!$D$63*(1-'損益分岐設定'!$B$51)+'損益分岐設定'!$D$64*'損益分岐設定'!$B$51)</x:f>
        <x:v>192</x:v>
      </x:c>
      <x:c r="AI242" s="1" t="n">
        <x:f>AD242*('損益分岐設定'!$E$57*(1-'損益分岐設定'!$B$51)+'損益分岐設定'!$E$58*'損益分岐設定'!$B$51)+AE242*('損益分岐設定'!$E$60*(1-'損益分岐設定'!$B$51)+'損益分岐設定'!$E$61*'損益分岐設定'!$B$51)+AF242*('損益分岐設定'!$E$63*(1-'損益分岐設定'!$B$51)+'損益分岐設定'!$E$64*'損益分岐設定'!$B$51)</x:f>
        <x:v>224</x:v>
      </x:c>
      <x:c r="AJ242" s="1" t="n">
        <x:f>(AD242*('損益分岐設定'!$F$57*(1-'損益分岐設定'!$B$51)+'損益分岐設定'!$F$58*'損益分岐設定'!$B$51)+AE242*('損益分岐設定'!$F$60*(1-'損益分岐設定'!$B$51)+'損益分岐設定'!$F$61*'損益分岐設定'!$B$51)+AF242*('損益分岐設定'!$F$63*(1-'損益分岐設定'!$B$51)+'損益分岐設定'!$F$64*'損益分岐設定'!$B$51)*1)*'損益分岐設定'!$B$22</x:f>
        <x:v>1824</x:v>
      </x:c>
      <x:c r="AK242" s="1" t="n">
        <x:f>AD242*('損益分岐設定'!$G$57*(1-'損益分岐設定'!$B$51)+'損益分岐設定'!$G$58*'損益分岐設定'!$B$51)+AE242*('損益分岐設定'!$G$60*(1-'損益分岐設定'!$B$51)+'損益分岐設定'!$G$61*'損益分岐設定'!$B$51)+AF242*('損益分岐設定'!$G$63*(1-'損益分岐設定'!$B$51)+'損益分岐設定'!$G$64*'損益分岐設定'!$B$51)</x:f>
        <x:v>1600</x:v>
      </x:c>
      <x:c r="AL242" s="1" t="n">
        <x:f>AD242*('損益分岐設定'!$H$57*(1-'損益分岐設定'!$B$51)+'損益分岐設定'!$H$58*'損益分岐設定'!$B$51)+AE242*('損益分岐設定'!$H$60*(1-'損益分岐設定'!$B$51)+'損益分岐設定'!$H$61*'損益分岐設定'!$B$51)+AF242*('損益分岐設定'!$H$63*(1-'損益分岐設定'!$B$51)+'損益分岐設定'!$H$64*'損益分岐設定'!$B$51)</x:f>
        <x:v>826.6666666666667</x:v>
      </x:c>
      <x:c r="AM242" s="1" t="n">
        <x:f>MAX(1,ROUNDUP('損益分岐設定'!C37*AJ242/('損益分岐設定'!$B$23*'損益分岐設定'!$B$24*3600*'損益分岐設定'!$B$25),0))</x:f>
        <x:v>1</x:v>
      </x:c>
      <x:c r="AN242" s="1" t="n">
        <x:f>MAX(2,ROUNDUP('損益分岐設定'!C38*AJ242/('損益分岐設定'!$B$23*'損益分岐設定'!$B$24*3600*'損益分岐設定'!$B$25),0))</x:f>
        <x:v>2</x:v>
      </x:c>
      <x:c r="AO242" s="1" t="n">
        <x:f>MAX(2,ROUNDUP('損益分岐設定'!C39*AJ242/('損益分岐設定'!$B$23*'損益分岐設定'!$B$24*3600*'損益分岐設定'!$B$25),0))</x:f>
        <x:v>2</x:v>
      </x:c>
      <x:c r="AP242" s="1" t="n">
        <x:f>MAX(2,ROUNDUP('損益分岐設定'!C40*AJ242/('損益分岐設定'!$B$23*'損益分岐設定'!$B$24*3600*'損益分岐設定'!$B$25),0))</x:f>
        <x:v>4</x:v>
      </x:c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 ht="23" customHeight="1">
      <x:c r="A243" s="1" t="str">
        <x:v>Hybrid</x:v>
      </x:c>
      <x:c r="B243" s="1" t="str">
        <x:v>Business</x:v>
      </x:c>
      <x:c r="C243" s="1" t="str">
        <x:v>標準+高位混在</x:v>
      </x:c>
      <x:c r="D243" s="21" t="n">
        <x:v>0.5</x:v>
      </x:c>
      <x:c r="E243" s="1" t="n">
        <x:v>0</x:v>
      </x:c>
      <x:c r="F243" s="7" t="n">
        <x:f>AD243*'損益分岐設定'!$B$5+AE243*'損益分岐設定'!$B$6+AF243*'損益分岐設定'!$B$7</x:f>
        <x:v>5000</x:v>
      </x:c>
      <x:c r="G243" s="7" t="n">
        <x:f>AG243+(AH243+AI243)*('損益分岐設定'!$B$29+0.5*'損益分岐設定'!$B$30)+AK243*'損益分岐設定'!$B$33</x:f>
        <x:v>2337.9255889399515</x:v>
      </x:c>
      <x:c r="H243" s="7" t="n">
        <x:f>AL243*E243</x:f>
        <x:v>0</x:v>
      </x:c>
      <x:c r="I243" s="7" t="n">
        <x:f>F243*(1-D243-'損益分岐設定'!$B$10)-G243-H243</x:f>
        <x:v>-17.925588939951467</x:v>
      </x:c>
      <x:c r="J243" s="1" t="str">
        <x:f>IF(MIN(V243:Y243)&gt;1000,"範囲内なし",MIN(V243:Y243))</x:f>
        <x:v>範囲内なし</x:v>
      </x:c>
      <x:c r="K243" s="1" t="str">
        <x:f>IF(MAX(Z243:AC243)&gt;=1000,"範囲内なし",MAX(1,MAX(Z243:AC243)+1))</x:f>
        <x:v>範囲内なし</x:v>
      </x:c>
      <x:c r="L243" s="7" t="n">
        <x:f>10*I243-R243</x:f>
        <x:v>-35619.05257970483</x:v>
      </x:c>
      <x:c r="M243" s="7" t="n">
        <x:f>30*I243-S243</x:f>
        <x:v>-50917.36104880918</x:v>
      </x:c>
      <x:c r="N243" s="7" t="n">
        <x:f>50*I243-S243</x:f>
        <x:v>-51275.872827608204</x:v>
      </x:c>
      <x:c r="O243" s="7" t="n">
        <x:f>100*I243-S243</x:f>
        <x:v>-52172.15227460578</x:v>
      </x:c>
      <x:c r="P243" s="7" t="n">
        <x:f>300*I243-T243</x:f>
        <x:v>-77757.27006259607</x:v>
      </x:c>
      <x:c r="Q243" s="7" t="n">
        <x:f>1000*I243-U243</x:f>
        <x:v>-141184.77570117274</x:v>
      </x:c>
      <x:c r="R243" s="7" t="n">
        <x:f>'損益分岐設定'!$B$18+'損益分岐設定'!$B$19+'損益分岐設定'!$B$20+'損益分岐設定'!E37+'損益分岐設定'!D37+AM243*('損益分岐設定'!$B$15+'損益分岐設定'!$B$16)+'損益分岐設定'!$B$17+E243*('損益分岐設定'!$B$13+(AM243-1)*'損益分岐設定'!$B$14)*'損益分岐設定'!$B$11</x:f>
        <x:v>35439.79669030532</x:v>
      </x:c>
      <x:c r="S243" s="7" t="n">
        <x:f>'損益分岐設定'!$B$18+'損益分岐設定'!$B$19+'損益分岐設定'!$B$20+'損益分岐設定'!E38+'損益分岐設定'!D38+AN243*('損益分岐設定'!$B$15+'損益分岐設定'!$B$16)+'損益分岐設定'!$B$17+E243*('損益分岐設定'!$B$13+(AN243-1)*'損益分岐設定'!$B$14)*'損益分岐設定'!$B$11</x:f>
        <x:v>50379.59338061063</x:v>
      </x:c>
      <x:c r="T243" s="7" t="n">
        <x:f>'損益分岐設定'!$B$18+'損益分岐設定'!$B$19+'損益分岐設定'!$B$20+'損益分岐設定'!E39+'損益分岐設定'!D39+AO243*('損益分岐設定'!$B$15+'損益分岐設定'!$B$16)+'損益分岐設定'!$B$17+E243*('損益分岐設定'!$B$13+(AO243-1)*'損益分岐設定'!$B$14)*'損益分岐設定'!$B$11</x:f>
        <x:v>72379.59338061063</x:v>
      </x:c>
      <x:c r="U243" s="7" t="n">
        <x:f>'損益分岐設定'!$B$18+'損益分岐設定'!$B$19+'損益分岐設定'!$B$20+'損益分岐設定'!E40+'損益分岐設定'!D40+AP243*('損益分岐設定'!$B$15+'損益分岐設定'!$B$16)+'損益分岐設定'!$B$17+E243*('損益分岐設定'!$B$13+(AP243-1)*'損益分岐設定'!$B$14)*'損益分岐設定'!$B$11</x:f>
        <x:v>123259.18676122127</x:v>
      </x:c>
      <x:c r="V243" s="1" t="n">
        <x:f>IF(I243&lt;=0,1001,IF(MAX('損益分岐設定'!B37,ROUNDUP(R243/I243,0))&lt;='損益分岐設定'!C37,MAX('損益分岐設定'!B37,ROUNDUP(R243/I243,0)),1001))</x:f>
        <x:v>1001</x:v>
      </x:c>
      <x:c r="W243" s="1" t="n">
        <x:f>IF(I243&lt;=0,1001,IF(MAX('損益分岐設定'!B38,ROUNDUP(S243/I243,0))&lt;='損益分岐設定'!C38,MAX('損益分岐設定'!B38,ROUNDUP(S243/I243,0)),1001))</x:f>
        <x:v>1001</x:v>
      </x:c>
      <x:c r="X243" s="1" t="n">
        <x:f>IF(I243&lt;=0,1001,IF(MAX('損益分岐設定'!B39,ROUNDUP(T243/I243,0))&lt;='損益分岐設定'!C39,MAX('損益分岐設定'!B39,ROUNDUP(T243/I243,0)),1001))</x:f>
        <x:v>1001</x:v>
      </x:c>
      <x:c r="Y243" s="1" t="n">
        <x:f>IF(I243&lt;=0,1001,IF(MAX('損益分岐設定'!B40,ROUNDUP(U243/I243,0))&lt;='損益分岐設定'!C40,MAX('損益分岐設定'!B40,ROUNDUP(U243/I243,0)),1001))</x:f>
        <x:v>1001</x:v>
      </x:c>
      <x:c r="Z243" s="1" t="n">
        <x:f>IF(I243&lt;=0,'損益分岐設定'!C37,IF('損益分岐設定'!C37*I243-R243&lt;0,'損益分岐設定'!C37,IF('損益分岐設定'!B37*I243-R243&gt;=0,0,ROUNDUP(R243/I243,0)-1)))</x:f>
        <x:v>10</x:v>
      </x:c>
      <x:c r="AA243" s="1" t="n">
        <x:f>IF(I243&lt;=0,'損益分岐設定'!C38,IF('損益分岐設定'!C38*I243-S243&lt;0,'損益分岐設定'!C38,IF('損益分岐設定'!B38*I243-S243&gt;=0,0,ROUNDUP(S243/I243,0)-1)))</x:f>
        <x:v>100</x:v>
      </x:c>
      <x:c r="AB243" s="1" t="n">
        <x:f>IF(I243&lt;=0,'損益分岐設定'!C39,IF('損益分岐設定'!C39*I243-T243&lt;0,'損益分岐設定'!C39,IF('損益分岐設定'!B39*I243-T243&gt;=0,0,ROUNDUP(T243/I243,0)-1)))</x:f>
        <x:v>500</x:v>
      </x:c>
      <x:c r="AC243" s="1" t="n">
        <x:f>IF(I243&lt;=0,'損益分岐設定'!C40,IF('損益分岐設定'!C40*I243-U243&lt;0,'損益分岐設定'!C40,IF('損益分岐設定'!B40*I243-U243&gt;=0,0,ROUNDUP(U243/I243,0)-1)))</x:f>
        <x:v>1000</x:v>
      </x:c>
      <x:c r="AD243" s="1" t="n">
        <x:v>0</x:v>
      </x:c>
      <x:c r="AE243" s="1" t="n">
        <x:v>1</x:v>
      </x:c>
      <x:c r="AF243" s="1" t="n">
        <x:v>0</x:v>
      </x:c>
      <x:c r="AG243" s="1" t="n">
        <x:f>AD243*('損益分岐設定'!$C$57*(1-'損益分岐設定'!$B$51)+'損益分岐設定'!$C$58*'損益分岐設定'!$B$51)+AE243*('損益分岐設定'!$C$60*(1-'損益分岐設定'!$B$51)+'損益分岐設定'!$C$61*'損益分岐設定'!$B$51)+AF243*('損益分岐設定'!$C$63*(1-'損益分岐設定'!$B$51)+'損益分岐設定'!$C$64*'損益分岐設定'!$B$51)</x:f>
        <x:v>2336.20881640625</x:v>
      </x:c>
      <x:c r="AH243" s="1" t="n">
        <x:f>AD243*('損益分岐設定'!$D$57*(1-'損益分岐設定'!$B$51)+'損益分岐設定'!$D$58*'損益分岐設定'!$B$51)+AE243*('損益分岐設定'!$D$60*(1-'損益分岐設定'!$B$51)+'損益分岐設定'!$D$61*'損益分岐設定'!$B$51)+AF243*('損益分岐設定'!$D$63*(1-'損益分岐設定'!$B$51)+'損益分岐設定'!$D$64*'損益分岐設定'!$B$51)</x:f>
        <x:v>192</x:v>
      </x:c>
      <x:c r="AI243" s="1" t="n">
        <x:f>AD243*('損益分岐設定'!$E$57*(1-'損益分岐設定'!$B$51)+'損益分岐設定'!$E$58*'損益分岐設定'!$B$51)+AE243*('損益分岐設定'!$E$60*(1-'損益分岐設定'!$B$51)+'損益分岐設定'!$E$61*'損益分岐設定'!$B$51)+AF243*('損益分岐設定'!$E$63*(1-'損益分岐設定'!$B$51)+'損益分岐設定'!$E$64*'損益分岐設定'!$B$51)</x:f>
        <x:v>224</x:v>
      </x:c>
      <x:c r="AJ243" s="1" t="n">
        <x:f>(AD243*('損益分岐設定'!$F$57*(1-'損益分岐設定'!$B$51)+'損益分岐設定'!$F$58*'損益分岐設定'!$B$51)+AE243*('損益分岐設定'!$F$60*(1-'損益分岐設定'!$B$51)+'損益分岐設定'!$F$61*'損益分岐設定'!$B$51)+AF243*('損益分岐設定'!$F$63*(1-'損益分岐設定'!$B$51)+'損益分岐設定'!$F$64*'損益分岐設定'!$B$51)*1)*'損益分岐設定'!$B$22</x:f>
        <x:v>1824</x:v>
      </x:c>
      <x:c r="AK243" s="1" t="n">
        <x:f>AD243*('損益分岐設定'!$G$57*(1-'損益分岐設定'!$B$51)+'損益分岐設定'!$G$58*'損益分岐設定'!$B$51)+AE243*('損益分岐設定'!$G$60*(1-'損益分岐設定'!$B$51)+'損益分岐設定'!$G$61*'損益分岐設定'!$B$51)+AF243*('損益分岐設定'!$G$63*(1-'損益分岐設定'!$B$51)+'損益分岐設定'!$G$64*'損益分岐設定'!$B$51)</x:f>
        <x:v>1600</x:v>
      </x:c>
      <x:c r="AL243" s="1" t="n">
        <x:f>AD243*('損益分岐設定'!$H$57*(1-'損益分岐設定'!$B$51)+'損益分岐設定'!$H$58*'損益分岐設定'!$B$51)+AE243*('損益分岐設定'!$H$60*(1-'損益分岐設定'!$B$51)+'損益分岐設定'!$H$61*'損益分岐設定'!$B$51)+AF243*('損益分岐設定'!$H$63*(1-'損益分岐設定'!$B$51)+'損益分岐設定'!$H$64*'損益分岐設定'!$B$51)</x:f>
        <x:v>826.6666666666667</x:v>
      </x:c>
      <x:c r="AM243" s="1" t="n">
        <x:f>MAX(1,ROUNDUP('損益分岐設定'!C37*AJ243/('損益分岐設定'!$B$23*'損益分岐設定'!$B$24*3600*'損益分岐設定'!$B$25),0))</x:f>
        <x:v>1</x:v>
      </x:c>
      <x:c r="AN243" s="1" t="n">
        <x:f>MAX(2,ROUNDUP('損益分岐設定'!C38*AJ243/('損益分岐設定'!$B$23*'損益分岐設定'!$B$24*3600*'損益分岐設定'!$B$25),0))</x:f>
        <x:v>2</x:v>
      </x:c>
      <x:c r="AO243" s="1" t="n">
        <x:f>MAX(2,ROUNDUP('損益分岐設定'!C39*AJ243/('損益分岐設定'!$B$23*'損益分岐設定'!$B$24*3600*'損益分岐設定'!$B$25),0))</x:f>
        <x:v>2</x:v>
      </x:c>
      <x:c r="AP243" s="1" t="n">
        <x:f>MAX(2,ROUNDUP('損益分岐設定'!C40*AJ243/('損益分岐設定'!$B$23*'損益分岐設定'!$B$24*3600*'損益分岐設定'!$B$25),0))</x:f>
        <x:v>4</x:v>
      </x:c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 ht="23" customHeight="1">
      <x:c r="A244" s="1" t="str">
        <x:v>Hybrid</x:v>
      </x:c>
      <x:c r="B244" s="1" t="str">
        <x:v>Business</x:v>
      </x:c>
      <x:c r="C244" s="1" t="str">
        <x:v>標準+高位混在</x:v>
      </x:c>
      <x:c r="D244" s="21" t="n">
        <x:v>0.5</x:v>
      </x:c>
      <x:c r="E244" s="1" t="n">
        <x:v>1</x:v>
      </x:c>
      <x:c r="F244" s="7" t="n">
        <x:f>AD244*'損益分岐設定'!$B$5+AE244*'損益分岐設定'!$B$6+AF244*'損益分岐設定'!$B$7</x:f>
        <x:v>5000</x:v>
      </x:c>
      <x:c r="G244" s="7" t="n">
        <x:f>AG244+(AH244+AI244)*('損益分岐設定'!$B$29+0.5*'損益分岐設定'!$B$30)+AK244*'損益分岐設定'!$B$33</x:f>
        <x:v>2337.9255889399515</x:v>
      </x:c>
      <x:c r="H244" s="7" t="n">
        <x:f>AL244*E244</x:f>
        <x:v>826.6666666666667</x:v>
      </x:c>
      <x:c r="I244" s="7" t="n">
        <x:f>F244*(1-D244-'損益分岐設定'!$B$10)-G244-H244</x:f>
        <x:v>-844.5922556066182</x:v>
      </x:c>
      <x:c r="J244" s="1" t="str">
        <x:f>IF(MIN(V244:Y244)&gt;1000,"範囲内なし",MIN(V244:Y244))</x:f>
        <x:v>範囲内なし</x:v>
      </x:c>
      <x:c r="K244" s="1" t="str">
        <x:f>IF(MAX(Z244:AC244)&gt;=1000,"範囲内なし",MAX(1,MAX(Z244:AC244)+1))</x:f>
        <x:v>範囲内なし</x:v>
      </x:c>
      <x:c r="L244" s="7" t="n">
        <x:f>10*I244-R244</x:f>
        <x:v>-59885.7192463715</x:v>
      </x:c>
      <x:c r="M244" s="7" t="n">
        <x:f>30*I244-S244</x:f>
        <x:v>-93717.36104880918</x:v>
      </x:c>
      <x:c r="N244" s="7" t="n">
        <x:f>50*I244-S244</x:f>
        <x:v>-110609.20616094154</x:v>
      </x:c>
      <x:c r="O244" s="7" t="n">
        <x:f>100*I244-S244</x:f>
        <x:v>-152838.81894127245</x:v>
      </x:c>
      <x:c r="P244" s="7" t="n">
        <x:f>300*I244-T244</x:f>
        <x:v>-343757.2700625961</x:v>
      </x:c>
      <x:c r="Q244" s="7" t="n">
        <x:f>1000*I244-U244</x:f>
        <x:v>-989851.4423678395</x:v>
      </x:c>
      <x:c r="R244" s="7" t="n">
        <x:f>'損益分岐設定'!$B$18+'損益分岐設定'!$B$19+'損益分岐設定'!$B$20+'損益分岐設定'!E37+'損益分岐設定'!D37+AM244*('損益分岐設定'!$B$15+'損益分岐設定'!$B$16)+'損益分岐設定'!$B$17+E244*('損益分岐設定'!$B$13+(AM244-1)*'損益分岐設定'!$B$14)*'損益分岐設定'!$B$11</x:f>
        <x:v>51439.79669030532</x:v>
      </x:c>
      <x:c r="S244" s="7" t="n">
        <x:f>'損益分岐設定'!$B$18+'損益分岐設定'!$B$19+'損益分岐設定'!$B$20+'損益分岐設定'!E38+'損益分岐設定'!D38+AN244*('損益分岐設定'!$B$15+'損益分岐設定'!$B$16)+'損益分岐設定'!$B$17+E244*('損益分岐設定'!$B$13+(AN244-1)*'損益分岐設定'!$B$14)*'損益分岐設定'!$B$11</x:f>
        <x:v>68379.59338061063</x:v>
      </x:c>
      <x:c r="T244" s="7" t="n">
        <x:f>'損益分岐設定'!$B$18+'損益分岐設定'!$B$19+'損益分岐設定'!$B$20+'損益分岐設定'!E39+'損益分岐設定'!D39+AO244*('損益分岐設定'!$B$15+'損益分岐設定'!$B$16)+'損益分岐設定'!$B$17+E244*('損益分岐設定'!$B$13+(AO244-1)*'損益分岐設定'!$B$14)*'損益分岐設定'!$B$11</x:f>
        <x:v>90379.59338061063</x:v>
      </x:c>
      <x:c r="U244" s="7" t="n">
        <x:f>'損益分岐設定'!$B$18+'損益分岐設定'!$B$19+'損益分岐設定'!$B$20+'損益分岐設定'!E40+'損益分岐設定'!D40+AP244*('損益分岐設定'!$B$15+'損益分岐設定'!$B$16)+'損益分岐設定'!$B$17+E244*('損益分岐設定'!$B$13+(AP244-1)*'損益分岐設定'!$B$14)*'損益分岐設定'!$B$11</x:f>
        <x:v>145259.18676122127</x:v>
      </x:c>
      <x:c r="V244" s="1" t="n">
        <x:f>IF(I244&lt;=0,1001,IF(MAX('損益分岐設定'!B37,ROUNDUP(R244/I244,0))&lt;='損益分岐設定'!C37,MAX('損益分岐設定'!B37,ROUNDUP(R244/I244,0)),1001))</x:f>
        <x:v>1001</x:v>
      </x:c>
      <x:c r="W244" s="1" t="n">
        <x:f>IF(I244&lt;=0,1001,IF(MAX('損益分岐設定'!B38,ROUNDUP(S244/I244,0))&lt;='損益分岐設定'!C38,MAX('損益分岐設定'!B38,ROUNDUP(S244/I244,0)),1001))</x:f>
        <x:v>1001</x:v>
      </x:c>
      <x:c r="X244" s="1" t="n">
        <x:f>IF(I244&lt;=0,1001,IF(MAX('損益分岐設定'!B39,ROUNDUP(T244/I244,0))&lt;='損益分岐設定'!C39,MAX('損益分岐設定'!B39,ROUNDUP(T244/I244,0)),1001))</x:f>
        <x:v>1001</x:v>
      </x:c>
      <x:c r="Y244" s="1" t="n">
        <x:f>IF(I244&lt;=0,1001,IF(MAX('損益分岐設定'!B40,ROUNDUP(U244/I244,0))&lt;='損益分岐設定'!C40,MAX('損益分岐設定'!B40,ROUNDUP(U244/I244,0)),1001))</x:f>
        <x:v>1001</x:v>
      </x:c>
      <x:c r="Z244" s="1" t="n">
        <x:f>IF(I244&lt;=0,'損益分岐設定'!C37,IF('損益分岐設定'!C37*I244-R244&lt;0,'損益分岐設定'!C37,IF('損益分岐設定'!B37*I244-R244&gt;=0,0,ROUNDUP(R244/I244,0)-1)))</x:f>
        <x:v>10</x:v>
      </x:c>
      <x:c r="AA244" s="1" t="n">
        <x:f>IF(I244&lt;=0,'損益分岐設定'!C38,IF('損益分岐設定'!C38*I244-S244&lt;0,'損益分岐設定'!C38,IF('損益分岐設定'!B38*I244-S244&gt;=0,0,ROUNDUP(S244/I244,0)-1)))</x:f>
        <x:v>100</x:v>
      </x:c>
      <x:c r="AB244" s="1" t="n">
        <x:f>IF(I244&lt;=0,'損益分岐設定'!C39,IF('損益分岐設定'!C39*I244-T244&lt;0,'損益分岐設定'!C39,IF('損益分岐設定'!B39*I244-T244&gt;=0,0,ROUNDUP(T244/I244,0)-1)))</x:f>
        <x:v>500</x:v>
      </x:c>
      <x:c r="AC244" s="1" t="n">
        <x:f>IF(I244&lt;=0,'損益分岐設定'!C40,IF('損益分岐設定'!C40*I244-U244&lt;0,'損益分岐設定'!C40,IF('損益分岐設定'!B40*I244-U244&gt;=0,0,ROUNDUP(U244/I244,0)-1)))</x:f>
        <x:v>1000</x:v>
      </x:c>
      <x:c r="AD244" s="1" t="n">
        <x:v>0</x:v>
      </x:c>
      <x:c r="AE244" s="1" t="n">
        <x:v>1</x:v>
      </x:c>
      <x:c r="AF244" s="1" t="n">
        <x:v>0</x:v>
      </x:c>
      <x:c r="AG244" s="1" t="n">
        <x:f>AD244*('損益分岐設定'!$C$57*(1-'損益分岐設定'!$B$51)+'損益分岐設定'!$C$58*'損益分岐設定'!$B$51)+AE244*('損益分岐設定'!$C$60*(1-'損益分岐設定'!$B$51)+'損益分岐設定'!$C$61*'損益分岐設定'!$B$51)+AF244*('損益分岐設定'!$C$63*(1-'損益分岐設定'!$B$51)+'損益分岐設定'!$C$64*'損益分岐設定'!$B$51)</x:f>
        <x:v>2336.20881640625</x:v>
      </x:c>
      <x:c r="AH244" s="1" t="n">
        <x:f>AD244*('損益分岐設定'!$D$57*(1-'損益分岐設定'!$B$51)+'損益分岐設定'!$D$58*'損益分岐設定'!$B$51)+AE244*('損益分岐設定'!$D$60*(1-'損益分岐設定'!$B$51)+'損益分岐設定'!$D$61*'損益分岐設定'!$B$51)+AF244*('損益分岐設定'!$D$63*(1-'損益分岐設定'!$B$51)+'損益分岐設定'!$D$64*'損益分岐設定'!$B$51)</x:f>
        <x:v>192</x:v>
      </x:c>
      <x:c r="AI244" s="1" t="n">
        <x:f>AD244*('損益分岐設定'!$E$57*(1-'損益分岐設定'!$B$51)+'損益分岐設定'!$E$58*'損益分岐設定'!$B$51)+AE244*('損益分岐設定'!$E$60*(1-'損益分岐設定'!$B$51)+'損益分岐設定'!$E$61*'損益分岐設定'!$B$51)+AF244*('損益分岐設定'!$E$63*(1-'損益分岐設定'!$B$51)+'損益分岐設定'!$E$64*'損益分岐設定'!$B$51)</x:f>
        <x:v>224</x:v>
      </x:c>
      <x:c r="AJ244" s="1" t="n">
        <x:f>(AD244*('損益分岐設定'!$F$57*(1-'損益分岐設定'!$B$51)+'損益分岐設定'!$F$58*'損益分岐設定'!$B$51)+AE244*('損益分岐設定'!$F$60*(1-'損益分岐設定'!$B$51)+'損益分岐設定'!$F$61*'損益分岐設定'!$B$51)+AF244*('損益分岐設定'!$F$63*(1-'損益分岐設定'!$B$51)+'損益分岐設定'!$F$64*'損益分岐設定'!$B$51)*1)*'損益分岐設定'!$B$22</x:f>
        <x:v>1824</x:v>
      </x:c>
      <x:c r="AK244" s="1" t="n">
        <x:f>AD244*('損益分岐設定'!$G$57*(1-'損益分岐設定'!$B$51)+'損益分岐設定'!$G$58*'損益分岐設定'!$B$51)+AE244*('損益分岐設定'!$G$60*(1-'損益分岐設定'!$B$51)+'損益分岐設定'!$G$61*'損益分岐設定'!$B$51)+AF244*('損益分岐設定'!$G$63*(1-'損益分岐設定'!$B$51)+'損益分岐設定'!$G$64*'損益分岐設定'!$B$51)</x:f>
        <x:v>1600</x:v>
      </x:c>
      <x:c r="AL244" s="1" t="n">
        <x:f>AD244*('損益分岐設定'!$H$57*(1-'損益分岐設定'!$B$51)+'損益分岐設定'!$H$58*'損益分岐設定'!$B$51)+AE244*('損益分岐設定'!$H$60*(1-'損益分岐設定'!$B$51)+'損益分岐設定'!$H$61*'損益分岐設定'!$B$51)+AF244*('損益分岐設定'!$H$63*(1-'損益分岐設定'!$B$51)+'損益分岐設定'!$H$64*'損益分岐設定'!$B$51)</x:f>
        <x:v>826.6666666666667</x:v>
      </x:c>
      <x:c r="AM244" s="1" t="n">
        <x:f>MAX(1,ROUNDUP('損益分岐設定'!C37*AJ244/('損益分岐設定'!$B$23*'損益分岐設定'!$B$24*3600*'損益分岐設定'!$B$25),0))</x:f>
        <x:v>1</x:v>
      </x:c>
      <x:c r="AN244" s="1" t="n">
        <x:f>MAX(2,ROUNDUP('損益分岐設定'!C38*AJ244/('損益分岐設定'!$B$23*'損益分岐設定'!$B$24*3600*'損益分岐設定'!$B$25),0))</x:f>
        <x:v>2</x:v>
      </x:c>
      <x:c r="AO244" s="1" t="n">
        <x:f>MAX(2,ROUNDUP('損益分岐設定'!C39*AJ244/('損益分岐設定'!$B$23*'損益分岐設定'!$B$24*3600*'損益分岐設定'!$B$25),0))</x:f>
        <x:v>2</x:v>
      </x:c>
      <x:c r="AP244" s="1" t="n">
        <x:f>MAX(2,ROUNDUP('損益分岐設定'!C40*AJ244/('損益分岐設定'!$B$23*'損益分岐設定'!$B$24*3600*'損益分岐設定'!$B$25),0))</x:f>
        <x:v>4</x:v>
      </x:c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 ht="23" customHeight="1">
      <x:c r="A245" s="1" t="str">
        <x:v>Hybrid</x:v>
      </x:c>
      <x:c r="B245" s="1" t="str">
        <x:v>Business Plus</x:v>
      </x:c>
      <x:c r="C245" s="1" t="str">
        <x:v>低位</x:v>
      </x:c>
      <x:c r="D245" s="21" t="n">
        <x:v>0</x:v>
      </x:c>
      <x:c r="E245" s="1" t="n">
        <x:v>0</x:v>
      </x:c>
      <x:c r="F245" s="7" t="n">
        <x:f>AD245*'損益分岐設定'!$B$5+AE245*'損益分岐設定'!$B$6+AF245*'損益分岐設定'!$B$7</x:f>
        <x:v>8000</x:v>
      </x:c>
      <x:c r="G245" s="7" t="n">
        <x:f>AG245+(AH245+AI245)*('損益分岐設定'!$B$29+0.5*'損益分岐設定'!$B$30)+AK245*'損益分岐設定'!$B$33</x:f>
        <x:v>214.0784016805826</x:v>
      </x:c>
      <x:c r="H245" s="7" t="n">
        <x:f>AL245*E245</x:f>
        <x:v>0</x:v>
      </x:c>
      <x:c r="I245" s="7" t="n">
        <x:f>F245*(1-D245-'損益分岐設定'!$B$10)-G245-H245</x:f>
        <x:v>7497.921598319417</x:v>
      </x:c>
      <x:c r="J245" s="1" t="n">
        <x:f>IF(MIN(V245:Y245)&gt;1000,"範囲内なし",MIN(V245:Y245))</x:f>
        <x:v>5</x:v>
      </x:c>
      <x:c r="K245" s="1" t="n">
        <x:f>IF(MAX(Z245:AC245)&gt;=1000,"範囲内なし",MAX(1,MAX(Z245:AC245)+1))</x:f>
        <x:v>5</x:v>
      </x:c>
      <x:c r="L245" s="7" t="n">
        <x:f>10*I245-R245</x:f>
        <x:v>39539.41929288885</x:v>
      </x:c>
      <x:c r="M245" s="7" t="n">
        <x:f>30*I245-S245</x:f>
        <x:v>174558.0545689719</x:v>
      </x:c>
      <x:c r="N245" s="7" t="n">
        <x:f>50*I245-S245</x:f>
        <x:v>324516.4865353602</x:v>
      </x:c>
      <x:c r="O245" s="7" t="n">
        <x:f>100*I245-S245</x:f>
        <x:v>699412.5664513311</x:v>
      </x:c>
      <x:c r="P245" s="7" t="n">
        <x:f>300*I245-T245</x:f>
        <x:v>2176996.886115215</x:v>
      </x:c>
      <x:c r="Q245" s="7" t="n">
        <x:f>1000*I245-U245</x:f>
        <x:v>7395542.004938806</x:v>
      </x:c>
      <x:c r="R245" s="7" t="n">
        <x:f>'損益分岐設定'!$B$18+'損益分岐設定'!$B$19+'損益分岐設定'!$B$20+'損益分岐設定'!E37+'損益分岐設定'!D37+AM245*('損益分岐設定'!$B$15+'損益分岐設定'!$B$16)+'損益分岐設定'!$B$17+E245*('損益分岐設定'!$B$13+(AM245-1)*'損益分岐設定'!$B$14)*'損益分岐設定'!$B$11</x:f>
        <x:v>35439.79669030532</x:v>
      </x:c>
      <x:c r="S245" s="7" t="n">
        <x:f>'損益分岐設定'!$B$18+'損益分岐設定'!$B$19+'損益分岐設定'!$B$20+'損益分岐設定'!E38+'損益分岐設定'!D38+AN245*('損益分岐設定'!$B$15+'損益分岐設定'!$B$16)+'損益分岐設定'!$B$17+E245*('損益分岐設定'!$B$13+(AN245-1)*'損益分岐設定'!$B$14)*'損益分岐設定'!$B$11</x:f>
        <x:v>50379.59338061063</x:v>
      </x:c>
      <x:c r="T245" s="7" t="n">
        <x:f>'損益分岐設定'!$B$18+'損益分岐設定'!$B$19+'損益分岐設定'!$B$20+'損益分岐設定'!E39+'損益分岐設定'!D39+AO245*('損益分岐設定'!$B$15+'損益分岐設定'!$B$16)+'損益分岐設定'!$B$17+E245*('損益分岐設定'!$B$13+(AO245-1)*'損益分岐設定'!$B$14)*'損益分岐設定'!$B$11</x:f>
        <x:v>72379.59338061063</x:v>
      </x:c>
      <x:c r="U245" s="7" t="n">
        <x:f>'損益分岐設定'!$B$18+'損益分岐設定'!$B$19+'損益分岐設定'!$B$20+'損益分岐設定'!E40+'損益分岐設定'!D40+AP245*('損益分岐設定'!$B$15+'損益分岐設定'!$B$16)+'損益分岐設定'!$B$17+E245*('損益分岐設定'!$B$13+(AP245-1)*'損益分岐設定'!$B$14)*'損益分岐設定'!$B$11</x:f>
        <x:v>102379.59338061063</x:v>
      </x:c>
      <x:c r="V245" s="1" t="n">
        <x:f>IF(I245&lt;=0,1001,IF(MAX('損益分岐設定'!B37,ROUNDUP(R245/I245,0))&lt;='損益分岐設定'!C37,MAX('損益分岐設定'!B37,ROUNDUP(R245/I245,0)),1001))</x:f>
        <x:v>5</x:v>
      </x:c>
      <x:c r="W245" s="1" t="n">
        <x:f>IF(I245&lt;=0,1001,IF(MAX('損益分岐設定'!B38,ROUNDUP(S245/I245,0))&lt;='損益分岐設定'!C38,MAX('損益分岐設定'!B38,ROUNDUP(S245/I245,0)),1001))</x:f>
        <x:v>11</x:v>
      </x:c>
      <x:c r="X245" s="1" t="n">
        <x:f>IF(I245&lt;=0,1001,IF(MAX('損益分岐設定'!B39,ROUNDUP(T245/I245,0))&lt;='損益分岐設定'!C39,MAX('損益分岐設定'!B39,ROUNDUP(T245/I245,0)),1001))</x:f>
        <x:v>101</x:v>
      </x:c>
      <x:c r="Y245" s="1" t="n">
        <x:f>IF(I245&lt;=0,1001,IF(MAX('損益分岐設定'!B40,ROUNDUP(U245/I245,0))&lt;='損益分岐設定'!C40,MAX('損益分岐設定'!B40,ROUNDUP(U245/I245,0)),1001))</x:f>
        <x:v>501</x:v>
      </x:c>
      <x:c r="Z245" s="1" t="n">
        <x:f>IF(I245&lt;=0,'損益分岐設定'!C37,IF('損益分岐設定'!C37*I245-R245&lt;0,'損益分岐設定'!C37,IF('損益分岐設定'!B37*I245-R245&gt;=0,0,ROUNDUP(R245/I245,0)-1)))</x:f>
        <x:v>4</x:v>
      </x:c>
      <x:c r="AA245" s="1" t="n">
        <x:f>IF(I245&lt;=0,'損益分岐設定'!C38,IF('損益分岐設定'!C38*I245-S245&lt;0,'損益分岐設定'!C38,IF('損益分岐設定'!B38*I245-S245&gt;=0,0,ROUNDUP(S245/I245,0)-1)))</x:f>
        <x:v>0</x:v>
      </x:c>
      <x:c r="AB245" s="1" t="n">
        <x:f>IF(I245&lt;=0,'損益分岐設定'!C39,IF('損益分岐設定'!C39*I245-T245&lt;0,'損益分岐設定'!C39,IF('損益分岐設定'!B39*I245-T245&gt;=0,0,ROUNDUP(T245/I245,0)-1)))</x:f>
        <x:v>0</x:v>
      </x:c>
      <x:c r="AC245" s="1" t="n">
        <x:f>IF(I245&lt;=0,'損益分岐設定'!C40,IF('損益分岐設定'!C40*I245-U245&lt;0,'損益分岐設定'!C40,IF('損益分岐設定'!B40*I245-U245&gt;=0,0,ROUNDUP(U245/I245,0)-1)))</x:f>
        <x:v>0</x:v>
      </x:c>
      <x:c r="AD245" s="1" t="n">
        <x:v>0</x:v>
      </x:c>
      <x:c r="AE245" s="1" t="n">
        <x:v>0</x:v>
      </x:c>
      <x:c r="AF245" s="1" t="n">
        <x:v>1</x:v>
      </x:c>
      <x:c r="AG245" s="1" t="n">
        <x:f>AD245*'損益分岐設定'!$C$56+AE245*'損益分岐設定'!$C$59+AF245*'損益分岐設定'!$C$62</x:f>
        <x:v>213.56512359619143</x:v>
      </x:c>
      <x:c r="AH245" s="1" t="n">
        <x:f>AD245*'損益分岐設定'!$D$56+AE245*'損益分岐設定'!$D$59+AF245*'損益分岐設定'!$D$62</x:f>
        <x:v>75</x:v>
      </x:c>
      <x:c r="AI245" s="1" t="n">
        <x:f>AD245*'損益分岐設定'!$E$56+AE245*'損益分岐設定'!$E$59+AF245*'損益分岐設定'!$E$62</x:f>
        <x:v>50</x:v>
      </x:c>
      <x:c r="AJ245" s="1" t="n">
        <x:f>(AD245*'損益分岐設定'!$F$56+AE245*'損益分岐設定'!$F$59+AF245*'損益分岐設定'!$F$62*1)*'損益分岐設定'!$B$22</x:f>
        <x:v>75</x:v>
      </x:c>
      <x:c r="AK245" s="1" t="n">
        <x:f>AD245*'損益分岐設定'!$G$56+AE245*'損益分岐設定'!$G$59+AF245*'損益分岐設定'!$G$62</x:f>
        <x:v>250</x:v>
      </x:c>
      <x:c r="AL245" s="1" t="n">
        <x:f>AD245*'損益分岐設定'!$H$56+AE245*'損益分岐設定'!$H$59+AF245*'損益分岐設定'!$H$62</x:f>
        <x:v>533.3333333333334</x:v>
      </x:c>
      <x:c r="AM245" s="1" t="n">
        <x:f>MAX(1,ROUNDUP('損益分岐設定'!C37*AJ245/('損益分岐設定'!$B$23*'損益分岐設定'!$B$24*3600*'損益分岐設定'!$B$25),0))</x:f>
        <x:v>1</x:v>
      </x:c>
      <x:c r="AN245" s="1" t="n">
        <x:f>MAX(2,ROUNDUP('損益分岐設定'!C38*AJ245/('損益分岐設定'!$B$23*'損益分岐設定'!$B$24*3600*'損益分岐設定'!$B$25),0))</x:f>
        <x:v>2</x:v>
      </x:c>
      <x:c r="AO245" s="1" t="n">
        <x:f>MAX(2,ROUNDUP('損益分岐設定'!C39*AJ245/('損益分岐設定'!$B$23*'損益分岐設定'!$B$24*3600*'損益分岐設定'!$B$25),0))</x:f>
        <x:v>2</x:v>
      </x:c>
      <x:c r="AP245" s="1" t="n">
        <x:f>MAX(2,ROUNDUP('損益分岐設定'!C40*AJ245/('損益分岐設定'!$B$23*'損益分岐設定'!$B$24*3600*'損益分岐設定'!$B$25),0))</x:f>
        <x:v>2</x:v>
      </x:c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 ht="23" customHeight="1">
      <x:c r="A246" s="1" t="str">
        <x:v>Hybrid</x:v>
      </x:c>
      <x:c r="B246" s="1" t="str">
        <x:v>Business Plus</x:v>
      </x:c>
      <x:c r="C246" s="1" t="str">
        <x:v>低位</x:v>
      </x:c>
      <x:c r="D246" s="21" t="n">
        <x:v>0</x:v>
      </x:c>
      <x:c r="E246" s="1" t="n">
        <x:v>1</x:v>
      </x:c>
      <x:c r="F246" s="7" t="n">
        <x:f>AD246*'損益分岐設定'!$B$5+AE246*'損益分岐設定'!$B$6+AF246*'損益分岐設定'!$B$7</x:f>
        <x:v>8000</x:v>
      </x:c>
      <x:c r="G246" s="7" t="n">
        <x:f>AG246+(AH246+AI246)*('損益分岐設定'!$B$29+0.5*'損益分岐設定'!$B$30)+AK246*'損益分岐設定'!$B$33</x:f>
        <x:v>214.0784016805826</x:v>
      </x:c>
      <x:c r="H246" s="7" t="n">
        <x:f>AL246*E246</x:f>
        <x:v>533.3333333333334</x:v>
      </x:c>
      <x:c r="I246" s="7" t="n">
        <x:f>F246*(1-D246-'損益分岐設定'!$B$10)-G246-H246</x:f>
        <x:v>6964.588264986084</x:v>
      </x:c>
      <x:c r="J246" s="1" t="n">
        <x:f>IF(MIN(V246:Y246)&gt;1000,"範囲内なし",MIN(V246:Y246))</x:f>
        <x:v>8</x:v>
      </x:c>
      <x:c r="K246" s="1" t="n">
        <x:f>IF(MAX(Z246:AC246)&gt;=1000,"範囲内なし",MAX(1,MAX(Z246:AC246)+1))</x:f>
        <x:v>8</x:v>
      </x:c>
      <x:c r="L246" s="7" t="n">
        <x:f>10*I246-R246</x:f>
        <x:v>18206.085959555523</x:v>
      </x:c>
      <x:c r="M246" s="7" t="n">
        <x:f>30*I246-S246</x:f>
        <x:v>140558.0545689719</x:v>
      </x:c>
      <x:c r="N246" s="7" t="n">
        <x:f>50*I246-S246</x:f>
        <x:v>279849.8198686936</x:v>
      </x:c>
      <x:c r="O246" s="7" t="n">
        <x:f>100*I246-S246</x:f>
        <x:v>628079.2331179979</x:v>
      </x:c>
      <x:c r="P246" s="7" t="n">
        <x:f>300*I246-T246</x:f>
        <x:v>1998996.8861152146</x:v>
      </x:c>
      <x:c r="Q246" s="7" t="n">
        <x:f>1000*I246-U246</x:f>
        <x:v>6844208.671605473</x:v>
      </x:c>
      <x:c r="R246" s="7" t="n">
        <x:f>'損益分岐設定'!$B$18+'損益分岐設定'!$B$19+'損益分岐設定'!$B$20+'損益分岐設定'!E37+'損益分岐設定'!D37+AM246*('損益分岐設定'!$B$15+'損益分岐設定'!$B$16)+'損益分岐設定'!$B$17+E246*('損益分岐設定'!$B$13+(AM246-1)*'損益分岐設定'!$B$14)*'損益分岐設定'!$B$11</x:f>
        <x:v>51439.79669030532</x:v>
      </x:c>
      <x:c r="S246" s="7" t="n">
        <x:f>'損益分岐設定'!$B$18+'損益分岐設定'!$B$19+'損益分岐設定'!$B$20+'損益分岐設定'!E38+'損益分岐設定'!D38+AN246*('損益分岐設定'!$B$15+'損益分岐設定'!$B$16)+'損益分岐設定'!$B$17+E246*('損益分岐設定'!$B$13+(AN246-1)*'損益分岐設定'!$B$14)*'損益分岐設定'!$B$11</x:f>
        <x:v>68379.59338061063</x:v>
      </x:c>
      <x:c r="T246" s="7" t="n">
        <x:f>'損益分岐設定'!$B$18+'損益分岐設定'!$B$19+'損益分岐設定'!$B$20+'損益分岐設定'!E39+'損益分岐設定'!D39+AO246*('損益分岐設定'!$B$15+'損益分岐設定'!$B$16)+'損益分岐設定'!$B$17+E246*('損益分岐設定'!$B$13+(AO246-1)*'損益分岐設定'!$B$14)*'損益分岐設定'!$B$11</x:f>
        <x:v>90379.59338061063</x:v>
      </x:c>
      <x:c r="U246" s="7" t="n">
        <x:f>'損益分岐設定'!$B$18+'損益分岐設定'!$B$19+'損益分岐設定'!$B$20+'損益分岐設定'!E40+'損益分岐設定'!D40+AP246*('損益分岐設定'!$B$15+'損益分岐設定'!$B$16)+'損益分岐設定'!$B$17+E246*('損益分岐設定'!$B$13+(AP246-1)*'損益分岐設定'!$B$14)*'損益分岐設定'!$B$11</x:f>
        <x:v>120379.59338061063</x:v>
      </x:c>
      <x:c r="V246" s="1" t="n">
        <x:f>IF(I246&lt;=0,1001,IF(MAX('損益分岐設定'!B37,ROUNDUP(R246/I246,0))&lt;='損益分岐設定'!C37,MAX('損益分岐設定'!B37,ROUNDUP(R246/I246,0)),1001))</x:f>
        <x:v>8</x:v>
      </x:c>
      <x:c r="W246" s="1" t="n">
        <x:f>IF(I246&lt;=0,1001,IF(MAX('損益分岐設定'!B38,ROUNDUP(S246/I246,0))&lt;='損益分岐設定'!C38,MAX('損益分岐設定'!B38,ROUNDUP(S246/I246,0)),1001))</x:f>
        <x:v>11</x:v>
      </x:c>
      <x:c r="X246" s="1" t="n">
        <x:f>IF(I246&lt;=0,1001,IF(MAX('損益分岐設定'!B39,ROUNDUP(T246/I246,0))&lt;='損益分岐設定'!C39,MAX('損益分岐設定'!B39,ROUNDUP(T246/I246,0)),1001))</x:f>
        <x:v>101</x:v>
      </x:c>
      <x:c r="Y246" s="1" t="n">
        <x:f>IF(I246&lt;=0,1001,IF(MAX('損益分岐設定'!B40,ROUNDUP(U246/I246,0))&lt;='損益分岐設定'!C40,MAX('損益分岐設定'!B40,ROUNDUP(U246/I246,0)),1001))</x:f>
        <x:v>501</x:v>
      </x:c>
      <x:c r="Z246" s="1" t="n">
        <x:f>IF(I246&lt;=0,'損益分岐設定'!C37,IF('損益分岐設定'!C37*I246-R246&lt;0,'損益分岐設定'!C37,IF('損益分岐設定'!B37*I246-R246&gt;=0,0,ROUNDUP(R246/I246,0)-1)))</x:f>
        <x:v>7</x:v>
      </x:c>
      <x:c r="AA246" s="1" t="n">
        <x:f>IF(I246&lt;=0,'損益分岐設定'!C38,IF('損益分岐設定'!C38*I246-S246&lt;0,'損益分岐設定'!C38,IF('損益分岐設定'!B38*I246-S246&gt;=0,0,ROUNDUP(S246/I246,0)-1)))</x:f>
        <x:v>0</x:v>
      </x:c>
      <x:c r="AB246" s="1" t="n">
        <x:f>IF(I246&lt;=0,'損益分岐設定'!C39,IF('損益分岐設定'!C39*I246-T246&lt;0,'損益分岐設定'!C39,IF('損益分岐設定'!B39*I246-T246&gt;=0,0,ROUNDUP(T246/I246,0)-1)))</x:f>
        <x:v>0</x:v>
      </x:c>
      <x:c r="AC246" s="1" t="n">
        <x:f>IF(I246&lt;=0,'損益分岐設定'!C40,IF('損益分岐設定'!C40*I246-U246&lt;0,'損益分岐設定'!C40,IF('損益分岐設定'!B40*I246-U246&gt;=0,0,ROUNDUP(U246/I246,0)-1)))</x:f>
        <x:v>0</x:v>
      </x:c>
      <x:c r="AD246" s="1" t="n">
        <x:v>0</x:v>
      </x:c>
      <x:c r="AE246" s="1" t="n">
        <x:v>0</x:v>
      </x:c>
      <x:c r="AF246" s="1" t="n">
        <x:v>1</x:v>
      </x:c>
      <x:c r="AG246" s="1" t="n">
        <x:f>AD246*'損益分岐設定'!$C$56+AE246*'損益分岐設定'!$C$59+AF246*'損益分岐設定'!$C$62</x:f>
        <x:v>213.56512359619143</x:v>
      </x:c>
      <x:c r="AH246" s="1" t="n">
        <x:f>AD246*'損益分岐設定'!$D$56+AE246*'損益分岐設定'!$D$59+AF246*'損益分岐設定'!$D$62</x:f>
        <x:v>75</x:v>
      </x:c>
      <x:c r="AI246" s="1" t="n">
        <x:f>AD246*'損益分岐設定'!$E$56+AE246*'損益分岐設定'!$E$59+AF246*'損益分岐設定'!$E$62</x:f>
        <x:v>50</x:v>
      </x:c>
      <x:c r="AJ246" s="1" t="n">
        <x:f>(AD246*'損益分岐設定'!$F$56+AE246*'損益分岐設定'!$F$59+AF246*'損益分岐設定'!$F$62*1)*'損益分岐設定'!$B$22</x:f>
        <x:v>75</x:v>
      </x:c>
      <x:c r="AK246" s="1" t="n">
        <x:f>AD246*'損益分岐設定'!$G$56+AE246*'損益分岐設定'!$G$59+AF246*'損益分岐設定'!$G$62</x:f>
        <x:v>250</x:v>
      </x:c>
      <x:c r="AL246" s="1" t="n">
        <x:f>AD246*'損益分岐設定'!$H$56+AE246*'損益分岐設定'!$H$59+AF246*'損益分岐設定'!$H$62</x:f>
        <x:v>533.3333333333334</x:v>
      </x:c>
      <x:c r="AM246" s="1" t="n">
        <x:f>MAX(1,ROUNDUP('損益分岐設定'!C37*AJ246/('損益分岐設定'!$B$23*'損益分岐設定'!$B$24*3600*'損益分岐設定'!$B$25),0))</x:f>
        <x:v>1</x:v>
      </x:c>
      <x:c r="AN246" s="1" t="n">
        <x:f>MAX(2,ROUNDUP('損益分岐設定'!C38*AJ246/('損益分岐設定'!$B$23*'損益分岐設定'!$B$24*3600*'損益分岐設定'!$B$25),0))</x:f>
        <x:v>2</x:v>
      </x:c>
      <x:c r="AO246" s="1" t="n">
        <x:f>MAX(2,ROUNDUP('損益分岐設定'!C39*AJ246/('損益分岐設定'!$B$23*'損益分岐設定'!$B$24*3600*'損益分岐設定'!$B$25),0))</x:f>
        <x:v>2</x:v>
      </x:c>
      <x:c r="AP246" s="1" t="n">
        <x:f>MAX(2,ROUNDUP('損益分岐設定'!C40*AJ246/('損益分岐設定'!$B$23*'損益分岐設定'!$B$24*3600*'損益分岐設定'!$B$25),0))</x:f>
        <x:v>2</x:v>
      </x:c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 ht="23" customHeight="1">
      <x:c r="A247" s="1" t="str">
        <x:v>Hybrid</x:v>
      </x:c>
      <x:c r="B247" s="1" t="str">
        <x:v>Business Plus</x:v>
      </x:c>
      <x:c r="C247" s="1" t="str">
        <x:v>低位</x:v>
      </x:c>
      <x:c r="D247" s="21" t="n">
        <x:v>0.2</x:v>
      </x:c>
      <x:c r="E247" s="1" t="n">
        <x:v>0</x:v>
      </x:c>
      <x:c r="F247" s="7" t="n">
        <x:f>AD247*'損益分岐設定'!$B$5+AE247*'損益分岐設定'!$B$6+AF247*'損益分岐設定'!$B$7</x:f>
        <x:v>8000</x:v>
      </x:c>
      <x:c r="G247" s="7" t="n">
        <x:f>AG247+(AH247+AI247)*('損益分岐設定'!$B$29+0.5*'損益分岐設定'!$B$30)+AK247*'損益分岐設定'!$B$33</x:f>
        <x:v>214.0784016805826</x:v>
      </x:c>
      <x:c r="H247" s="7" t="n">
        <x:f>AL247*E247</x:f>
        <x:v>0</x:v>
      </x:c>
      <x:c r="I247" s="7" t="n">
        <x:f>F247*(1-D247-'損益分岐設定'!$B$10)-G247-H247</x:f>
        <x:v>5897.921598319417</x:v>
      </x:c>
      <x:c r="J247" s="1" t="n">
        <x:f>IF(MIN(V247:Y247)&gt;1000,"範囲内なし",MIN(V247:Y247))</x:f>
        <x:v>7</x:v>
      </x:c>
      <x:c r="K247" s="1" t="n">
        <x:f>IF(MAX(Z247:AC247)&gt;=1000,"範囲内なし",MAX(1,MAX(Z247:AC247)+1))</x:f>
        <x:v>7</x:v>
      </x:c>
      <x:c r="L247" s="7" t="n">
        <x:f>10*I247-R247</x:f>
        <x:v>23539.41929288885</x:v>
      </x:c>
      <x:c r="M247" s="7" t="n">
        <x:f>30*I247-S247</x:f>
        <x:v>126558.05456897189</x:v>
      </x:c>
      <x:c r="N247" s="7" t="n">
        <x:f>50*I247-S247</x:f>
        <x:v>244516.48653536022</x:v>
      </x:c>
      <x:c r="O247" s="7" t="n">
        <x:f>100*I247-S247</x:f>
        <x:v>539412.5664513311</x:v>
      </x:c>
      <x:c r="P247" s="7" t="n">
        <x:f>300*I247-T247</x:f>
        <x:v>1696996.8861152146</x:v>
      </x:c>
      <x:c r="Q247" s="7" t="n">
        <x:f>1000*I247-U247</x:f>
        <x:v>5795542.004938806</x:v>
      </x:c>
      <x:c r="R247" s="7" t="n">
        <x:f>'損益分岐設定'!$B$18+'損益分岐設定'!$B$19+'損益分岐設定'!$B$20+'損益分岐設定'!E37+'損益分岐設定'!D37+AM247*('損益分岐設定'!$B$15+'損益分岐設定'!$B$16)+'損益分岐設定'!$B$17+E247*('損益分岐設定'!$B$13+(AM247-1)*'損益分岐設定'!$B$14)*'損益分岐設定'!$B$11</x:f>
        <x:v>35439.79669030532</x:v>
      </x:c>
      <x:c r="S247" s="7" t="n">
        <x:f>'損益分岐設定'!$B$18+'損益分岐設定'!$B$19+'損益分岐設定'!$B$20+'損益分岐設定'!E38+'損益分岐設定'!D38+AN247*('損益分岐設定'!$B$15+'損益分岐設定'!$B$16)+'損益分岐設定'!$B$17+E247*('損益分岐設定'!$B$13+(AN247-1)*'損益分岐設定'!$B$14)*'損益分岐設定'!$B$11</x:f>
        <x:v>50379.59338061063</x:v>
      </x:c>
      <x:c r="T247" s="7" t="n">
        <x:f>'損益分岐設定'!$B$18+'損益分岐設定'!$B$19+'損益分岐設定'!$B$20+'損益分岐設定'!E39+'損益分岐設定'!D39+AO247*('損益分岐設定'!$B$15+'損益分岐設定'!$B$16)+'損益分岐設定'!$B$17+E247*('損益分岐設定'!$B$13+(AO247-1)*'損益分岐設定'!$B$14)*'損益分岐設定'!$B$11</x:f>
        <x:v>72379.59338061063</x:v>
      </x:c>
      <x:c r="U247" s="7" t="n">
        <x:f>'損益分岐設定'!$B$18+'損益分岐設定'!$B$19+'損益分岐設定'!$B$20+'損益分岐設定'!E40+'損益分岐設定'!D40+AP247*('損益分岐設定'!$B$15+'損益分岐設定'!$B$16)+'損益分岐設定'!$B$17+E247*('損益分岐設定'!$B$13+(AP247-1)*'損益分岐設定'!$B$14)*'損益分岐設定'!$B$11</x:f>
        <x:v>102379.59338061063</x:v>
      </x:c>
      <x:c r="V247" s="1" t="n">
        <x:f>IF(I247&lt;=0,1001,IF(MAX('損益分岐設定'!B37,ROUNDUP(R247/I247,0))&lt;='損益分岐設定'!C37,MAX('損益分岐設定'!B37,ROUNDUP(R247/I247,0)),1001))</x:f>
        <x:v>7</x:v>
      </x:c>
      <x:c r="W247" s="1" t="n">
        <x:f>IF(I247&lt;=0,1001,IF(MAX('損益分岐設定'!B38,ROUNDUP(S247/I247,0))&lt;='損益分岐設定'!C38,MAX('損益分岐設定'!B38,ROUNDUP(S247/I247,0)),1001))</x:f>
        <x:v>11</x:v>
      </x:c>
      <x:c r="X247" s="1" t="n">
        <x:f>IF(I247&lt;=0,1001,IF(MAX('損益分岐設定'!B39,ROUNDUP(T247/I247,0))&lt;='損益分岐設定'!C39,MAX('損益分岐設定'!B39,ROUNDUP(T247/I247,0)),1001))</x:f>
        <x:v>101</x:v>
      </x:c>
      <x:c r="Y247" s="1" t="n">
        <x:f>IF(I247&lt;=0,1001,IF(MAX('損益分岐設定'!B40,ROUNDUP(U247/I247,0))&lt;='損益分岐設定'!C40,MAX('損益分岐設定'!B40,ROUNDUP(U247/I247,0)),1001))</x:f>
        <x:v>501</x:v>
      </x:c>
      <x:c r="Z247" s="1" t="n">
        <x:f>IF(I247&lt;=0,'損益分岐設定'!C37,IF('損益分岐設定'!C37*I247-R247&lt;0,'損益分岐設定'!C37,IF('損益分岐設定'!B37*I247-R247&gt;=0,0,ROUNDUP(R247/I247,0)-1)))</x:f>
        <x:v>6</x:v>
      </x:c>
      <x:c r="AA247" s="1" t="n">
        <x:f>IF(I247&lt;=0,'損益分岐設定'!C38,IF('損益分岐設定'!C38*I247-S247&lt;0,'損益分岐設定'!C38,IF('損益分岐設定'!B38*I247-S247&gt;=0,0,ROUNDUP(S247/I247,0)-1)))</x:f>
        <x:v>0</x:v>
      </x:c>
      <x:c r="AB247" s="1" t="n">
        <x:f>IF(I247&lt;=0,'損益分岐設定'!C39,IF('損益分岐設定'!C39*I247-T247&lt;0,'損益分岐設定'!C39,IF('損益分岐設定'!B39*I247-T247&gt;=0,0,ROUNDUP(T247/I247,0)-1)))</x:f>
        <x:v>0</x:v>
      </x:c>
      <x:c r="AC247" s="1" t="n">
        <x:f>IF(I247&lt;=0,'損益分岐設定'!C40,IF('損益分岐設定'!C40*I247-U247&lt;0,'損益分岐設定'!C40,IF('損益分岐設定'!B40*I247-U247&gt;=0,0,ROUNDUP(U247/I247,0)-1)))</x:f>
        <x:v>0</x:v>
      </x:c>
      <x:c r="AD247" s="1" t="n">
        <x:v>0</x:v>
      </x:c>
      <x:c r="AE247" s="1" t="n">
        <x:v>0</x:v>
      </x:c>
      <x:c r="AF247" s="1" t="n">
        <x:v>1</x:v>
      </x:c>
      <x:c r="AG247" s="1" t="n">
        <x:f>AD247*'損益分岐設定'!$C$56+AE247*'損益分岐設定'!$C$59+AF247*'損益分岐設定'!$C$62</x:f>
        <x:v>213.56512359619143</x:v>
      </x:c>
      <x:c r="AH247" s="1" t="n">
        <x:f>AD247*'損益分岐設定'!$D$56+AE247*'損益分岐設定'!$D$59+AF247*'損益分岐設定'!$D$62</x:f>
        <x:v>75</x:v>
      </x:c>
      <x:c r="AI247" s="1" t="n">
        <x:f>AD247*'損益分岐設定'!$E$56+AE247*'損益分岐設定'!$E$59+AF247*'損益分岐設定'!$E$62</x:f>
        <x:v>50</x:v>
      </x:c>
      <x:c r="AJ247" s="1" t="n">
        <x:f>(AD247*'損益分岐設定'!$F$56+AE247*'損益分岐設定'!$F$59+AF247*'損益分岐設定'!$F$62*1)*'損益分岐設定'!$B$22</x:f>
        <x:v>75</x:v>
      </x:c>
      <x:c r="AK247" s="1" t="n">
        <x:f>AD247*'損益分岐設定'!$G$56+AE247*'損益分岐設定'!$G$59+AF247*'損益分岐設定'!$G$62</x:f>
        <x:v>250</x:v>
      </x:c>
      <x:c r="AL247" s="1" t="n">
        <x:f>AD247*'損益分岐設定'!$H$56+AE247*'損益分岐設定'!$H$59+AF247*'損益分岐設定'!$H$62</x:f>
        <x:v>533.3333333333334</x:v>
      </x:c>
      <x:c r="AM247" s="1" t="n">
        <x:f>MAX(1,ROUNDUP('損益分岐設定'!C37*AJ247/('損益分岐設定'!$B$23*'損益分岐設定'!$B$24*3600*'損益分岐設定'!$B$25),0))</x:f>
        <x:v>1</x:v>
      </x:c>
      <x:c r="AN247" s="1" t="n">
        <x:f>MAX(2,ROUNDUP('損益分岐設定'!C38*AJ247/('損益分岐設定'!$B$23*'損益分岐設定'!$B$24*3600*'損益分岐設定'!$B$25),0))</x:f>
        <x:v>2</x:v>
      </x:c>
      <x:c r="AO247" s="1" t="n">
        <x:f>MAX(2,ROUNDUP('損益分岐設定'!C39*AJ247/('損益分岐設定'!$B$23*'損益分岐設定'!$B$24*3600*'損益分岐設定'!$B$25),0))</x:f>
        <x:v>2</x:v>
      </x:c>
      <x:c r="AP247" s="1" t="n">
        <x:f>MAX(2,ROUNDUP('損益分岐設定'!C40*AJ247/('損益分岐設定'!$B$23*'損益分岐設定'!$B$24*3600*'損益分岐設定'!$B$25),0))</x:f>
        <x:v>2</x:v>
      </x:c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 ht="23" customHeight="1">
      <x:c r="A248" s="1" t="str">
        <x:v>Hybrid</x:v>
      </x:c>
      <x:c r="B248" s="1" t="str">
        <x:v>Business Plus</x:v>
      </x:c>
      <x:c r="C248" s="1" t="str">
        <x:v>低位</x:v>
      </x:c>
      <x:c r="D248" s="21" t="n">
        <x:v>0.2</x:v>
      </x:c>
      <x:c r="E248" s="1" t="n">
        <x:v>1</x:v>
      </x:c>
      <x:c r="F248" s="7" t="n">
        <x:f>AD248*'損益分岐設定'!$B$5+AE248*'損益分岐設定'!$B$6+AF248*'損益分岐設定'!$B$7</x:f>
        <x:v>8000</x:v>
      </x:c>
      <x:c r="G248" s="7" t="n">
        <x:f>AG248+(AH248+AI248)*('損益分岐設定'!$B$29+0.5*'損益分岐設定'!$B$30)+AK248*'損益分岐設定'!$B$33</x:f>
        <x:v>214.0784016805826</x:v>
      </x:c>
      <x:c r="H248" s="7" t="n">
        <x:f>AL248*E248</x:f>
        <x:v>533.3333333333334</x:v>
      </x:c>
      <x:c r="I248" s="7" t="n">
        <x:f>F248*(1-D248-'損益分岐設定'!$B$10)-G248-H248</x:f>
        <x:v>5364.588264986084</x:v>
      </x:c>
      <x:c r="J248" s="1" t="n">
        <x:f>IF(MIN(V248:Y248)&gt;1000,"範囲内なし",MIN(V248:Y248))</x:f>
        <x:v>10</x:v>
      </x:c>
      <x:c r="K248" s="1" t="n">
        <x:f>IF(MAX(Z248:AC248)&gt;=1000,"範囲内なし",MAX(1,MAX(Z248:AC248)+1))</x:f>
        <x:v>13</x:v>
      </x:c>
      <x:c r="L248" s="7" t="n">
        <x:f>10*I248-R248</x:f>
        <x:v>2206.085959555523</x:v>
      </x:c>
      <x:c r="M248" s="7" t="n">
        <x:f>30*I248-S248</x:f>
        <x:v>92558.05456897189</x:v>
      </x:c>
      <x:c r="N248" s="7" t="n">
        <x:f>50*I248-S248</x:f>
        <x:v>199849.8198686936</x:v>
      </x:c>
      <x:c r="O248" s="7" t="n">
        <x:f>100*I248-S248</x:f>
        <x:v>468079.2331179978</x:v>
      </x:c>
      <x:c r="P248" s="7" t="n">
        <x:f>300*I248-T248</x:f>
        <x:v>1518996.8861152146</x:v>
      </x:c>
      <x:c r="Q248" s="7" t="n">
        <x:f>1000*I248-U248</x:f>
        <x:v>5244208.671605473</x:v>
      </x:c>
      <x:c r="R248" s="7" t="n">
        <x:f>'損益分岐設定'!$B$18+'損益分岐設定'!$B$19+'損益分岐設定'!$B$20+'損益分岐設定'!E37+'損益分岐設定'!D37+AM248*('損益分岐設定'!$B$15+'損益分岐設定'!$B$16)+'損益分岐設定'!$B$17+E248*('損益分岐設定'!$B$13+(AM248-1)*'損益分岐設定'!$B$14)*'損益分岐設定'!$B$11</x:f>
        <x:v>51439.79669030532</x:v>
      </x:c>
      <x:c r="S248" s="7" t="n">
        <x:f>'損益分岐設定'!$B$18+'損益分岐設定'!$B$19+'損益分岐設定'!$B$20+'損益分岐設定'!E38+'損益分岐設定'!D38+AN248*('損益分岐設定'!$B$15+'損益分岐設定'!$B$16)+'損益分岐設定'!$B$17+E248*('損益分岐設定'!$B$13+(AN248-1)*'損益分岐設定'!$B$14)*'損益分岐設定'!$B$11</x:f>
        <x:v>68379.59338061063</x:v>
      </x:c>
      <x:c r="T248" s="7" t="n">
        <x:f>'損益分岐設定'!$B$18+'損益分岐設定'!$B$19+'損益分岐設定'!$B$20+'損益分岐設定'!E39+'損益分岐設定'!D39+AO248*('損益分岐設定'!$B$15+'損益分岐設定'!$B$16)+'損益分岐設定'!$B$17+E248*('損益分岐設定'!$B$13+(AO248-1)*'損益分岐設定'!$B$14)*'損益分岐設定'!$B$11</x:f>
        <x:v>90379.59338061063</x:v>
      </x:c>
      <x:c r="U248" s="7" t="n">
        <x:f>'損益分岐設定'!$B$18+'損益分岐設定'!$B$19+'損益分岐設定'!$B$20+'損益分岐設定'!E40+'損益分岐設定'!D40+AP248*('損益分岐設定'!$B$15+'損益分岐設定'!$B$16)+'損益分岐設定'!$B$17+E248*('損益分岐設定'!$B$13+(AP248-1)*'損益分岐設定'!$B$14)*'損益分岐設定'!$B$11</x:f>
        <x:v>120379.59338061063</x:v>
      </x:c>
      <x:c r="V248" s="1" t="n">
        <x:f>IF(I248&lt;=0,1001,IF(MAX('損益分岐設定'!B37,ROUNDUP(R248/I248,0))&lt;='損益分岐設定'!C37,MAX('損益分岐設定'!B37,ROUNDUP(R248/I248,0)),1001))</x:f>
        <x:v>10</x:v>
      </x:c>
      <x:c r="W248" s="1" t="n">
        <x:f>IF(I248&lt;=0,1001,IF(MAX('損益分岐設定'!B38,ROUNDUP(S248/I248,0))&lt;='損益分岐設定'!C38,MAX('損益分岐設定'!B38,ROUNDUP(S248/I248,0)),1001))</x:f>
        <x:v>13</x:v>
      </x:c>
      <x:c r="X248" s="1" t="n">
        <x:f>IF(I248&lt;=0,1001,IF(MAX('損益分岐設定'!B39,ROUNDUP(T248/I248,0))&lt;='損益分岐設定'!C39,MAX('損益分岐設定'!B39,ROUNDUP(T248/I248,0)),1001))</x:f>
        <x:v>101</x:v>
      </x:c>
      <x:c r="Y248" s="1" t="n">
        <x:f>IF(I248&lt;=0,1001,IF(MAX('損益分岐設定'!B40,ROUNDUP(U248/I248,0))&lt;='損益分岐設定'!C40,MAX('損益分岐設定'!B40,ROUNDUP(U248/I248,0)),1001))</x:f>
        <x:v>501</x:v>
      </x:c>
      <x:c r="Z248" s="1" t="n">
        <x:f>IF(I248&lt;=0,'損益分岐設定'!C37,IF('損益分岐設定'!C37*I248-R248&lt;0,'損益分岐設定'!C37,IF('損益分岐設定'!B37*I248-R248&gt;=0,0,ROUNDUP(R248/I248,0)-1)))</x:f>
        <x:v>9</x:v>
      </x:c>
      <x:c r="AA248" s="1" t="n">
        <x:f>IF(I248&lt;=0,'損益分岐設定'!C38,IF('損益分岐設定'!C38*I248-S248&lt;0,'損益分岐設定'!C38,IF('損益分岐設定'!B38*I248-S248&gt;=0,0,ROUNDUP(S248/I248,0)-1)))</x:f>
        <x:v>12</x:v>
      </x:c>
      <x:c r="AB248" s="1" t="n">
        <x:f>IF(I248&lt;=0,'損益分岐設定'!C39,IF('損益分岐設定'!C39*I248-T248&lt;0,'損益分岐設定'!C39,IF('損益分岐設定'!B39*I248-T248&gt;=0,0,ROUNDUP(T248/I248,0)-1)))</x:f>
        <x:v>0</x:v>
      </x:c>
      <x:c r="AC248" s="1" t="n">
        <x:f>IF(I248&lt;=0,'損益分岐設定'!C40,IF('損益分岐設定'!C40*I248-U248&lt;0,'損益分岐設定'!C40,IF('損益分岐設定'!B40*I248-U248&gt;=0,0,ROUNDUP(U248/I248,0)-1)))</x:f>
        <x:v>0</x:v>
      </x:c>
      <x:c r="AD248" s="1" t="n">
        <x:v>0</x:v>
      </x:c>
      <x:c r="AE248" s="1" t="n">
        <x:v>0</x:v>
      </x:c>
      <x:c r="AF248" s="1" t="n">
        <x:v>1</x:v>
      </x:c>
      <x:c r="AG248" s="1" t="n">
        <x:f>AD248*'損益分岐設定'!$C$56+AE248*'損益分岐設定'!$C$59+AF248*'損益分岐設定'!$C$62</x:f>
        <x:v>213.56512359619143</x:v>
      </x:c>
      <x:c r="AH248" s="1" t="n">
        <x:f>AD248*'損益分岐設定'!$D$56+AE248*'損益分岐設定'!$D$59+AF248*'損益分岐設定'!$D$62</x:f>
        <x:v>75</x:v>
      </x:c>
      <x:c r="AI248" s="1" t="n">
        <x:f>AD248*'損益分岐設定'!$E$56+AE248*'損益分岐設定'!$E$59+AF248*'損益分岐設定'!$E$62</x:f>
        <x:v>50</x:v>
      </x:c>
      <x:c r="AJ248" s="1" t="n">
        <x:f>(AD248*'損益分岐設定'!$F$56+AE248*'損益分岐設定'!$F$59+AF248*'損益分岐設定'!$F$62*1)*'損益分岐設定'!$B$22</x:f>
        <x:v>75</x:v>
      </x:c>
      <x:c r="AK248" s="1" t="n">
        <x:f>AD248*'損益分岐設定'!$G$56+AE248*'損益分岐設定'!$G$59+AF248*'損益分岐設定'!$G$62</x:f>
        <x:v>250</x:v>
      </x:c>
      <x:c r="AL248" s="1" t="n">
        <x:f>AD248*'損益分岐設定'!$H$56+AE248*'損益分岐設定'!$H$59+AF248*'損益分岐設定'!$H$62</x:f>
        <x:v>533.3333333333334</x:v>
      </x:c>
      <x:c r="AM248" s="1" t="n">
        <x:f>MAX(1,ROUNDUP('損益分岐設定'!C37*AJ248/('損益分岐設定'!$B$23*'損益分岐設定'!$B$24*3600*'損益分岐設定'!$B$25),0))</x:f>
        <x:v>1</x:v>
      </x:c>
      <x:c r="AN248" s="1" t="n">
        <x:f>MAX(2,ROUNDUP('損益分岐設定'!C38*AJ248/('損益分岐設定'!$B$23*'損益分岐設定'!$B$24*3600*'損益分岐設定'!$B$25),0))</x:f>
        <x:v>2</x:v>
      </x:c>
      <x:c r="AO248" s="1" t="n">
        <x:f>MAX(2,ROUNDUP('損益分岐設定'!C39*AJ248/('損益分岐設定'!$B$23*'損益分岐設定'!$B$24*3600*'損益分岐設定'!$B$25),0))</x:f>
        <x:v>2</x:v>
      </x:c>
      <x:c r="AP248" s="1" t="n">
        <x:f>MAX(2,ROUNDUP('損益分岐設定'!C40*AJ248/('損益分岐設定'!$B$23*'損益分岐設定'!$B$24*3600*'損益分岐設定'!$B$25),0))</x:f>
        <x:v>2</x:v>
      </x:c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 ht="23" customHeight="1">
      <x:c r="A249" s="1" t="str">
        <x:v>Hybrid</x:v>
      </x:c>
      <x:c r="B249" s="1" t="str">
        <x:v>Business Plus</x:v>
      </x:c>
      <x:c r="C249" s="1" t="str">
        <x:v>低位</x:v>
      </x:c>
      <x:c r="D249" s="21" t="n">
        <x:v>0.3</x:v>
      </x:c>
      <x:c r="E249" s="1" t="n">
        <x:v>0</x:v>
      </x:c>
      <x:c r="F249" s="7" t="n">
        <x:f>AD249*'損益分岐設定'!$B$5+AE249*'損益分岐設定'!$B$6+AF249*'損益分岐設定'!$B$7</x:f>
        <x:v>8000</x:v>
      </x:c>
      <x:c r="G249" s="7" t="n">
        <x:f>AG249+(AH249+AI249)*('損益分岐設定'!$B$29+0.5*'損益分岐設定'!$B$30)+AK249*'損益分岐設定'!$B$33</x:f>
        <x:v>214.0784016805826</x:v>
      </x:c>
      <x:c r="H249" s="7" t="n">
        <x:f>AL249*E249</x:f>
        <x:v>0</x:v>
      </x:c>
      <x:c r="I249" s="7" t="n">
        <x:f>F249*(1-D249-'損益分岐設定'!$B$10)-G249-H249</x:f>
        <x:v>5097.921598319416</x:v>
      </x:c>
      <x:c r="J249" s="1" t="n">
        <x:f>IF(MIN(V249:Y249)&gt;1000,"範囲内なし",MIN(V249:Y249))</x:f>
        <x:v>7</x:v>
      </x:c>
      <x:c r="K249" s="1" t="n">
        <x:f>IF(MAX(Z249:AC249)&gt;=1000,"範囲内なし",MAX(1,MAX(Z249:AC249)+1))</x:f>
        <x:v>7</x:v>
      </x:c>
      <x:c r="L249" s="7" t="n">
        <x:f>10*I249-R249</x:f>
        <x:v>15539.419292888844</x:v>
      </x:c>
      <x:c r="M249" s="7" t="n">
        <x:f>30*I249-S249</x:f>
        <x:v>102558.05456897186</x:v>
      </x:c>
      <x:c r="N249" s="7" t="n">
        <x:f>50*I249-S249</x:f>
        <x:v>204516.4865353602</x:v>
      </x:c>
      <x:c r="O249" s="7" t="n">
        <x:f>100*I249-S249</x:f>
        <x:v>459412.566451331</x:v>
      </x:c>
      <x:c r="P249" s="7" t="n">
        <x:f>300*I249-T249</x:f>
        <x:v>1456996.886115214</x:v>
      </x:c>
      <x:c r="Q249" s="7" t="n">
        <x:f>1000*I249-U249</x:f>
        <x:v>4995542.0049388055</x:v>
      </x:c>
      <x:c r="R249" s="7" t="n">
        <x:f>'損益分岐設定'!$B$18+'損益分岐設定'!$B$19+'損益分岐設定'!$B$20+'損益分岐設定'!E37+'損益分岐設定'!D37+AM249*('損益分岐設定'!$B$15+'損益分岐設定'!$B$16)+'損益分岐設定'!$B$17+E249*('損益分岐設定'!$B$13+(AM249-1)*'損益分岐設定'!$B$14)*'損益分岐設定'!$B$11</x:f>
        <x:v>35439.79669030532</x:v>
      </x:c>
      <x:c r="S249" s="7" t="n">
        <x:f>'損益分岐設定'!$B$18+'損益分岐設定'!$B$19+'損益分岐設定'!$B$20+'損益分岐設定'!E38+'損益分岐設定'!D38+AN249*('損益分岐設定'!$B$15+'損益分岐設定'!$B$16)+'損益分岐設定'!$B$17+E249*('損益分岐設定'!$B$13+(AN249-1)*'損益分岐設定'!$B$14)*'損益分岐設定'!$B$11</x:f>
        <x:v>50379.59338061063</x:v>
      </x:c>
      <x:c r="T249" s="7" t="n">
        <x:f>'損益分岐設定'!$B$18+'損益分岐設定'!$B$19+'損益分岐設定'!$B$20+'損益分岐設定'!E39+'損益分岐設定'!D39+AO249*('損益分岐設定'!$B$15+'損益分岐設定'!$B$16)+'損益分岐設定'!$B$17+E249*('損益分岐設定'!$B$13+(AO249-1)*'損益分岐設定'!$B$14)*'損益分岐設定'!$B$11</x:f>
        <x:v>72379.59338061063</x:v>
      </x:c>
      <x:c r="U249" s="7" t="n">
        <x:f>'損益分岐設定'!$B$18+'損益分岐設定'!$B$19+'損益分岐設定'!$B$20+'損益分岐設定'!E40+'損益分岐設定'!D40+AP249*('損益分岐設定'!$B$15+'損益分岐設定'!$B$16)+'損益分岐設定'!$B$17+E249*('損益分岐設定'!$B$13+(AP249-1)*'損益分岐設定'!$B$14)*'損益分岐設定'!$B$11</x:f>
        <x:v>102379.59338061063</x:v>
      </x:c>
      <x:c r="V249" s="1" t="n">
        <x:f>IF(I249&lt;=0,1001,IF(MAX('損益分岐設定'!B37,ROUNDUP(R249/I249,0))&lt;='損益分岐設定'!C37,MAX('損益分岐設定'!B37,ROUNDUP(R249/I249,0)),1001))</x:f>
        <x:v>7</x:v>
      </x:c>
      <x:c r="W249" s="1" t="n">
        <x:f>IF(I249&lt;=0,1001,IF(MAX('損益分岐設定'!B38,ROUNDUP(S249/I249,0))&lt;='損益分岐設定'!C38,MAX('損益分岐設定'!B38,ROUNDUP(S249/I249,0)),1001))</x:f>
        <x:v>11</x:v>
      </x:c>
      <x:c r="X249" s="1" t="n">
        <x:f>IF(I249&lt;=0,1001,IF(MAX('損益分岐設定'!B39,ROUNDUP(T249/I249,0))&lt;='損益分岐設定'!C39,MAX('損益分岐設定'!B39,ROUNDUP(T249/I249,0)),1001))</x:f>
        <x:v>101</x:v>
      </x:c>
      <x:c r="Y249" s="1" t="n">
        <x:f>IF(I249&lt;=0,1001,IF(MAX('損益分岐設定'!B40,ROUNDUP(U249/I249,0))&lt;='損益分岐設定'!C40,MAX('損益分岐設定'!B40,ROUNDUP(U249/I249,0)),1001))</x:f>
        <x:v>501</x:v>
      </x:c>
      <x:c r="Z249" s="1" t="n">
        <x:f>IF(I249&lt;=0,'損益分岐設定'!C37,IF('損益分岐設定'!C37*I249-R249&lt;0,'損益分岐設定'!C37,IF('損益分岐設定'!B37*I249-R249&gt;=0,0,ROUNDUP(R249/I249,0)-1)))</x:f>
        <x:v>6</x:v>
      </x:c>
      <x:c r="AA249" s="1" t="n">
        <x:f>IF(I249&lt;=0,'損益分岐設定'!C38,IF('損益分岐設定'!C38*I249-S249&lt;0,'損益分岐設定'!C38,IF('損益分岐設定'!B38*I249-S249&gt;=0,0,ROUNDUP(S249/I249,0)-1)))</x:f>
        <x:v>0</x:v>
      </x:c>
      <x:c r="AB249" s="1" t="n">
        <x:f>IF(I249&lt;=0,'損益分岐設定'!C39,IF('損益分岐設定'!C39*I249-T249&lt;0,'損益分岐設定'!C39,IF('損益分岐設定'!B39*I249-T249&gt;=0,0,ROUNDUP(T249/I249,0)-1)))</x:f>
        <x:v>0</x:v>
      </x:c>
      <x:c r="AC249" s="1" t="n">
        <x:f>IF(I249&lt;=0,'損益分岐設定'!C40,IF('損益分岐設定'!C40*I249-U249&lt;0,'損益分岐設定'!C40,IF('損益分岐設定'!B40*I249-U249&gt;=0,0,ROUNDUP(U249/I249,0)-1)))</x:f>
        <x:v>0</x:v>
      </x:c>
      <x:c r="AD249" s="1" t="n">
        <x:v>0</x:v>
      </x:c>
      <x:c r="AE249" s="1" t="n">
        <x:v>0</x:v>
      </x:c>
      <x:c r="AF249" s="1" t="n">
        <x:v>1</x:v>
      </x:c>
      <x:c r="AG249" s="1" t="n">
        <x:f>AD249*'損益分岐設定'!$C$56+AE249*'損益分岐設定'!$C$59+AF249*'損益分岐設定'!$C$62</x:f>
        <x:v>213.56512359619143</x:v>
      </x:c>
      <x:c r="AH249" s="1" t="n">
        <x:f>AD249*'損益分岐設定'!$D$56+AE249*'損益分岐設定'!$D$59+AF249*'損益分岐設定'!$D$62</x:f>
        <x:v>75</x:v>
      </x:c>
      <x:c r="AI249" s="1" t="n">
        <x:f>AD249*'損益分岐設定'!$E$56+AE249*'損益分岐設定'!$E$59+AF249*'損益分岐設定'!$E$62</x:f>
        <x:v>50</x:v>
      </x:c>
      <x:c r="AJ249" s="1" t="n">
        <x:f>(AD249*'損益分岐設定'!$F$56+AE249*'損益分岐設定'!$F$59+AF249*'損益分岐設定'!$F$62*1)*'損益分岐設定'!$B$22</x:f>
        <x:v>75</x:v>
      </x:c>
      <x:c r="AK249" s="1" t="n">
        <x:f>AD249*'損益分岐設定'!$G$56+AE249*'損益分岐設定'!$G$59+AF249*'損益分岐設定'!$G$62</x:f>
        <x:v>250</x:v>
      </x:c>
      <x:c r="AL249" s="1" t="n">
        <x:f>AD249*'損益分岐設定'!$H$56+AE249*'損益分岐設定'!$H$59+AF249*'損益分岐設定'!$H$62</x:f>
        <x:v>533.3333333333334</x:v>
      </x:c>
      <x:c r="AM249" s="1" t="n">
        <x:f>MAX(1,ROUNDUP('損益分岐設定'!C37*AJ249/('損益分岐設定'!$B$23*'損益分岐設定'!$B$24*3600*'損益分岐設定'!$B$25),0))</x:f>
        <x:v>1</x:v>
      </x:c>
      <x:c r="AN249" s="1" t="n">
        <x:f>MAX(2,ROUNDUP('損益分岐設定'!C38*AJ249/('損益分岐設定'!$B$23*'損益分岐設定'!$B$24*3600*'損益分岐設定'!$B$25),0))</x:f>
        <x:v>2</x:v>
      </x:c>
      <x:c r="AO249" s="1" t="n">
        <x:f>MAX(2,ROUNDUP('損益分岐設定'!C39*AJ249/('損益分岐設定'!$B$23*'損益分岐設定'!$B$24*3600*'損益分岐設定'!$B$25),0))</x:f>
        <x:v>2</x:v>
      </x:c>
      <x:c r="AP249" s="1" t="n">
        <x:f>MAX(2,ROUNDUP('損益分岐設定'!C40*AJ249/('損益分岐設定'!$B$23*'損益分岐設定'!$B$24*3600*'損益分岐設定'!$B$25),0))</x:f>
        <x:v>2</x:v>
      </x:c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 ht="23" customHeight="1">
      <x:c r="A250" s="1" t="str">
        <x:v>Hybrid</x:v>
      </x:c>
      <x:c r="B250" s="1" t="str">
        <x:v>Business Plus</x:v>
      </x:c>
      <x:c r="C250" s="1" t="str">
        <x:v>低位</x:v>
      </x:c>
      <x:c r="D250" s="21" t="n">
        <x:v>0.3</x:v>
      </x:c>
      <x:c r="E250" s="1" t="n">
        <x:v>1</x:v>
      </x:c>
      <x:c r="F250" s="7" t="n">
        <x:f>AD250*'損益分岐設定'!$B$5+AE250*'損益分岐設定'!$B$6+AF250*'損益分岐設定'!$B$7</x:f>
        <x:v>8000</x:v>
      </x:c>
      <x:c r="G250" s="7" t="n">
        <x:f>AG250+(AH250+AI250)*('損益分岐設定'!$B$29+0.5*'損益分岐設定'!$B$30)+AK250*'損益分岐設定'!$B$33</x:f>
        <x:v>214.0784016805826</x:v>
      </x:c>
      <x:c r="H250" s="7" t="n">
        <x:f>AL250*E250</x:f>
        <x:v>533.3333333333334</x:v>
      </x:c>
      <x:c r="I250" s="7" t="n">
        <x:f>F250*(1-D250-'損益分岐設定'!$B$10)-G250-H250</x:f>
        <x:v>4564.588264986083</x:v>
      </x:c>
      <x:c r="J250" s="1" t="n">
        <x:f>IF(MIN(V250:Y250)&gt;1000,"範囲内なし",MIN(V250:Y250))</x:f>
        <x:v>15</x:v>
      </x:c>
      <x:c r="K250" s="1" t="n">
        <x:f>IF(MAX(Z250:AC250)&gt;=1000,"範囲内なし",MAX(1,MAX(Z250:AC250)+1))</x:f>
        <x:v>15</x:v>
      </x:c>
      <x:c r="L250" s="7" t="n">
        <x:f>10*I250-R250</x:f>
        <x:v>-5793.914040444484</x:v>
      </x:c>
      <x:c r="M250" s="7" t="n">
        <x:f>30*I250-S250</x:f>
        <x:v>68558.05456897186</x:v>
      </x:c>
      <x:c r="N250" s="7" t="n">
        <x:f>50*I250-S250</x:f>
        <x:v>159849.81986869354</x:v>
      </x:c>
      <x:c r="O250" s="7" t="n">
        <x:f>100*I250-S250</x:f>
        <x:v>388079.2331179977</x:v>
      </x:c>
      <x:c r="P250" s="7" t="n">
        <x:f>300*I250-T250</x:f>
        <x:v>1278996.8861152143</x:v>
      </x:c>
      <x:c r="Q250" s="7" t="n">
        <x:f>1000*I250-U250</x:f>
        <x:v>4444208.671605472</x:v>
      </x:c>
      <x:c r="R250" s="7" t="n">
        <x:f>'損益分岐設定'!$B$18+'損益分岐設定'!$B$19+'損益分岐設定'!$B$20+'損益分岐設定'!E37+'損益分岐設定'!D37+AM250*('損益分岐設定'!$B$15+'損益分岐設定'!$B$16)+'損益分岐設定'!$B$17+E250*('損益分岐設定'!$B$13+(AM250-1)*'損益分岐設定'!$B$14)*'損益分岐設定'!$B$11</x:f>
        <x:v>51439.79669030532</x:v>
      </x:c>
      <x:c r="S250" s="7" t="n">
        <x:f>'損益分岐設定'!$B$18+'損益分岐設定'!$B$19+'損益分岐設定'!$B$20+'損益分岐設定'!E38+'損益分岐設定'!D38+AN250*('損益分岐設定'!$B$15+'損益分岐設定'!$B$16)+'損益分岐設定'!$B$17+E250*('損益分岐設定'!$B$13+(AN250-1)*'損益分岐設定'!$B$14)*'損益分岐設定'!$B$11</x:f>
        <x:v>68379.59338061063</x:v>
      </x:c>
      <x:c r="T250" s="7" t="n">
        <x:f>'損益分岐設定'!$B$18+'損益分岐設定'!$B$19+'損益分岐設定'!$B$20+'損益分岐設定'!E39+'損益分岐設定'!D39+AO250*('損益分岐設定'!$B$15+'損益分岐設定'!$B$16)+'損益分岐設定'!$B$17+E250*('損益分岐設定'!$B$13+(AO250-1)*'損益分岐設定'!$B$14)*'損益分岐設定'!$B$11</x:f>
        <x:v>90379.59338061063</x:v>
      </x:c>
      <x:c r="U250" s="7" t="n">
        <x:f>'損益分岐設定'!$B$18+'損益分岐設定'!$B$19+'損益分岐設定'!$B$20+'損益分岐設定'!E40+'損益分岐設定'!D40+AP250*('損益分岐設定'!$B$15+'損益分岐設定'!$B$16)+'損益分岐設定'!$B$17+E250*('損益分岐設定'!$B$13+(AP250-1)*'損益分岐設定'!$B$14)*'損益分岐設定'!$B$11</x:f>
        <x:v>120379.59338061063</x:v>
      </x:c>
      <x:c r="V250" s="1" t="n">
        <x:f>IF(I250&lt;=0,1001,IF(MAX('損益分岐設定'!B37,ROUNDUP(R250/I250,0))&lt;='損益分岐設定'!C37,MAX('損益分岐設定'!B37,ROUNDUP(R250/I250,0)),1001))</x:f>
        <x:v>1001</x:v>
      </x:c>
      <x:c r="W250" s="1" t="n">
        <x:f>IF(I250&lt;=0,1001,IF(MAX('損益分岐設定'!B38,ROUNDUP(S250/I250,0))&lt;='損益分岐設定'!C38,MAX('損益分岐設定'!B38,ROUNDUP(S250/I250,0)),1001))</x:f>
        <x:v>15</x:v>
      </x:c>
      <x:c r="X250" s="1" t="n">
        <x:f>IF(I250&lt;=0,1001,IF(MAX('損益分岐設定'!B39,ROUNDUP(T250/I250,0))&lt;='損益分岐設定'!C39,MAX('損益分岐設定'!B39,ROUNDUP(T250/I250,0)),1001))</x:f>
        <x:v>101</x:v>
      </x:c>
      <x:c r="Y250" s="1" t="n">
        <x:f>IF(I250&lt;=0,1001,IF(MAX('損益分岐設定'!B40,ROUNDUP(U250/I250,0))&lt;='損益分岐設定'!C40,MAX('損益分岐設定'!B40,ROUNDUP(U250/I250,0)),1001))</x:f>
        <x:v>501</x:v>
      </x:c>
      <x:c r="Z250" s="1" t="n">
        <x:f>IF(I250&lt;=0,'損益分岐設定'!C37,IF('損益分岐設定'!C37*I250-R250&lt;0,'損益分岐設定'!C37,IF('損益分岐設定'!B37*I250-R250&gt;=0,0,ROUNDUP(R250/I250,0)-1)))</x:f>
        <x:v>10</x:v>
      </x:c>
      <x:c r="AA250" s="1" t="n">
        <x:f>IF(I250&lt;=0,'損益分岐設定'!C38,IF('損益分岐設定'!C38*I250-S250&lt;0,'損益分岐設定'!C38,IF('損益分岐設定'!B38*I250-S250&gt;=0,0,ROUNDUP(S250/I250,0)-1)))</x:f>
        <x:v>14</x:v>
      </x:c>
      <x:c r="AB250" s="1" t="n">
        <x:f>IF(I250&lt;=0,'損益分岐設定'!C39,IF('損益分岐設定'!C39*I250-T250&lt;0,'損益分岐設定'!C39,IF('損益分岐設定'!B39*I250-T250&gt;=0,0,ROUNDUP(T250/I250,0)-1)))</x:f>
        <x:v>0</x:v>
      </x:c>
      <x:c r="AC250" s="1" t="n">
        <x:f>IF(I250&lt;=0,'損益分岐設定'!C40,IF('損益分岐設定'!C40*I250-U250&lt;0,'損益分岐設定'!C40,IF('損益分岐設定'!B40*I250-U250&gt;=0,0,ROUNDUP(U250/I250,0)-1)))</x:f>
        <x:v>0</x:v>
      </x:c>
      <x:c r="AD250" s="1" t="n">
        <x:v>0</x:v>
      </x:c>
      <x:c r="AE250" s="1" t="n">
        <x:v>0</x:v>
      </x:c>
      <x:c r="AF250" s="1" t="n">
        <x:v>1</x:v>
      </x:c>
      <x:c r="AG250" s="1" t="n">
        <x:f>AD250*'損益分岐設定'!$C$56+AE250*'損益分岐設定'!$C$59+AF250*'損益分岐設定'!$C$62</x:f>
        <x:v>213.56512359619143</x:v>
      </x:c>
      <x:c r="AH250" s="1" t="n">
        <x:f>AD250*'損益分岐設定'!$D$56+AE250*'損益分岐設定'!$D$59+AF250*'損益分岐設定'!$D$62</x:f>
        <x:v>75</x:v>
      </x:c>
      <x:c r="AI250" s="1" t="n">
        <x:f>AD250*'損益分岐設定'!$E$56+AE250*'損益分岐設定'!$E$59+AF250*'損益分岐設定'!$E$62</x:f>
        <x:v>50</x:v>
      </x:c>
      <x:c r="AJ250" s="1" t="n">
        <x:f>(AD250*'損益分岐設定'!$F$56+AE250*'損益分岐設定'!$F$59+AF250*'損益分岐設定'!$F$62*1)*'損益分岐設定'!$B$22</x:f>
        <x:v>75</x:v>
      </x:c>
      <x:c r="AK250" s="1" t="n">
        <x:f>AD250*'損益分岐設定'!$G$56+AE250*'損益分岐設定'!$G$59+AF250*'損益分岐設定'!$G$62</x:f>
        <x:v>250</x:v>
      </x:c>
      <x:c r="AL250" s="1" t="n">
        <x:f>AD250*'損益分岐設定'!$H$56+AE250*'損益分岐設定'!$H$59+AF250*'損益分岐設定'!$H$62</x:f>
        <x:v>533.3333333333334</x:v>
      </x:c>
      <x:c r="AM250" s="1" t="n">
        <x:f>MAX(1,ROUNDUP('損益分岐設定'!C37*AJ250/('損益分岐設定'!$B$23*'損益分岐設定'!$B$24*3600*'損益分岐設定'!$B$25),0))</x:f>
        <x:v>1</x:v>
      </x:c>
      <x:c r="AN250" s="1" t="n">
        <x:f>MAX(2,ROUNDUP('損益分岐設定'!C38*AJ250/('損益分岐設定'!$B$23*'損益分岐設定'!$B$24*3600*'損益分岐設定'!$B$25),0))</x:f>
        <x:v>2</x:v>
      </x:c>
      <x:c r="AO250" s="1" t="n">
        <x:f>MAX(2,ROUNDUP('損益分岐設定'!C39*AJ250/('損益分岐設定'!$B$23*'損益分岐設定'!$B$24*3600*'損益分岐設定'!$B$25),0))</x:f>
        <x:v>2</x:v>
      </x:c>
      <x:c r="AP250" s="1" t="n">
        <x:f>MAX(2,ROUNDUP('損益分岐設定'!C40*AJ250/('損益分岐設定'!$B$23*'損益分岐設定'!$B$24*3600*'損益分岐設定'!$B$25),0))</x:f>
        <x:v>2</x:v>
      </x:c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 ht="23" customHeight="1">
      <x:c r="A251" s="1" t="str">
        <x:v>Hybrid</x:v>
      </x:c>
      <x:c r="B251" s="1" t="str">
        <x:v>Business Plus</x:v>
      </x:c>
      <x:c r="C251" s="1" t="str">
        <x:v>低位</x:v>
      </x:c>
      <x:c r="D251" s="21" t="n">
        <x:v>0.4</x:v>
      </x:c>
      <x:c r="E251" s="1" t="n">
        <x:v>0</x:v>
      </x:c>
      <x:c r="F251" s="7" t="n">
        <x:f>AD251*'損益分岐設定'!$B$5+AE251*'損益分岐設定'!$B$6+AF251*'損益分岐設定'!$B$7</x:f>
        <x:v>8000</x:v>
      </x:c>
      <x:c r="G251" s="7" t="n">
        <x:f>AG251+(AH251+AI251)*('損益分岐設定'!$B$29+0.5*'損益分岐設定'!$B$30)+AK251*'損益分岐設定'!$B$33</x:f>
        <x:v>214.0784016805826</x:v>
      </x:c>
      <x:c r="H251" s="7" t="n">
        <x:f>AL251*E251</x:f>
        <x:v>0</x:v>
      </x:c>
      <x:c r="I251" s="7" t="n">
        <x:f>F251*(1-D251-'損益分岐設定'!$B$10)-G251-H251</x:f>
        <x:v>4297.921598319417</x:v>
      </x:c>
      <x:c r="J251" s="1" t="n">
        <x:f>IF(MIN(V251:Y251)&gt;1000,"範囲内なし",MIN(V251:Y251))</x:f>
        <x:v>9</x:v>
      </x:c>
      <x:c r="K251" s="1" t="n">
        <x:f>IF(MAX(Z251:AC251)&gt;=1000,"範囲内なし",MAX(1,MAX(Z251:AC251)+1))</x:f>
        <x:v>12</x:v>
      </x:c>
      <x:c r="L251" s="7" t="n">
        <x:f>10*I251-R251</x:f>
        <x:v>7539.4192928888515</x:v>
      </x:c>
      <x:c r="M251" s="7" t="n">
        <x:f>30*I251-S251</x:f>
        <x:v>78558.05456897189</x:v>
      </x:c>
      <x:c r="N251" s="7" t="n">
        <x:f>50*I251-S251</x:f>
        <x:v>164516.48653536022</x:v>
      </x:c>
      <x:c r="O251" s="7" t="n">
        <x:f>100*I251-S251</x:f>
        <x:v>379412.5664513311</x:v>
      </x:c>
      <x:c r="P251" s="7" t="n">
        <x:f>300*I251-T251</x:f>
        <x:v>1216996.8861152146</x:v>
      </x:c>
      <x:c r="Q251" s="7" t="n">
        <x:f>1000*I251-U251</x:f>
        <x:v>4195542.004938806</x:v>
      </x:c>
      <x:c r="R251" s="7" t="n">
        <x:f>'損益分岐設定'!$B$18+'損益分岐設定'!$B$19+'損益分岐設定'!$B$20+'損益分岐設定'!E37+'損益分岐設定'!D37+AM251*('損益分岐設定'!$B$15+'損益分岐設定'!$B$16)+'損益分岐設定'!$B$17+E251*('損益分岐設定'!$B$13+(AM251-1)*'損益分岐設定'!$B$14)*'損益分岐設定'!$B$11</x:f>
        <x:v>35439.79669030532</x:v>
      </x:c>
      <x:c r="S251" s="7" t="n">
        <x:f>'損益分岐設定'!$B$18+'損益分岐設定'!$B$19+'損益分岐設定'!$B$20+'損益分岐設定'!E38+'損益分岐設定'!D38+AN251*('損益分岐設定'!$B$15+'損益分岐設定'!$B$16)+'損益分岐設定'!$B$17+E251*('損益分岐設定'!$B$13+(AN251-1)*'損益分岐設定'!$B$14)*'損益分岐設定'!$B$11</x:f>
        <x:v>50379.59338061063</x:v>
      </x:c>
      <x:c r="T251" s="7" t="n">
        <x:f>'損益分岐設定'!$B$18+'損益分岐設定'!$B$19+'損益分岐設定'!$B$20+'損益分岐設定'!E39+'損益分岐設定'!D39+AO251*('損益分岐設定'!$B$15+'損益分岐設定'!$B$16)+'損益分岐設定'!$B$17+E251*('損益分岐設定'!$B$13+(AO251-1)*'損益分岐設定'!$B$14)*'損益分岐設定'!$B$11</x:f>
        <x:v>72379.59338061063</x:v>
      </x:c>
      <x:c r="U251" s="7" t="n">
        <x:f>'損益分岐設定'!$B$18+'損益分岐設定'!$B$19+'損益分岐設定'!$B$20+'損益分岐設定'!E40+'損益分岐設定'!D40+AP251*('損益分岐設定'!$B$15+'損益分岐設定'!$B$16)+'損益分岐設定'!$B$17+E251*('損益分岐設定'!$B$13+(AP251-1)*'損益分岐設定'!$B$14)*'損益分岐設定'!$B$11</x:f>
        <x:v>102379.59338061063</x:v>
      </x:c>
      <x:c r="V251" s="1" t="n">
        <x:f>IF(I251&lt;=0,1001,IF(MAX('損益分岐設定'!B37,ROUNDUP(R251/I251,0))&lt;='損益分岐設定'!C37,MAX('損益分岐設定'!B37,ROUNDUP(R251/I251,0)),1001))</x:f>
        <x:v>9</x:v>
      </x:c>
      <x:c r="W251" s="1" t="n">
        <x:f>IF(I251&lt;=0,1001,IF(MAX('損益分岐設定'!B38,ROUNDUP(S251/I251,0))&lt;='損益分岐設定'!C38,MAX('損益分岐設定'!B38,ROUNDUP(S251/I251,0)),1001))</x:f>
        <x:v>12</x:v>
      </x:c>
      <x:c r="X251" s="1" t="n">
        <x:f>IF(I251&lt;=0,1001,IF(MAX('損益分岐設定'!B39,ROUNDUP(T251/I251,0))&lt;='損益分岐設定'!C39,MAX('損益分岐設定'!B39,ROUNDUP(T251/I251,0)),1001))</x:f>
        <x:v>101</x:v>
      </x:c>
      <x:c r="Y251" s="1" t="n">
        <x:f>IF(I251&lt;=0,1001,IF(MAX('損益分岐設定'!B40,ROUNDUP(U251/I251,0))&lt;='損益分岐設定'!C40,MAX('損益分岐設定'!B40,ROUNDUP(U251/I251,0)),1001))</x:f>
        <x:v>501</x:v>
      </x:c>
      <x:c r="Z251" s="1" t="n">
        <x:f>IF(I251&lt;=0,'損益分岐設定'!C37,IF('損益分岐設定'!C37*I251-R251&lt;0,'損益分岐設定'!C37,IF('損益分岐設定'!B37*I251-R251&gt;=0,0,ROUNDUP(R251/I251,0)-1)))</x:f>
        <x:v>8</x:v>
      </x:c>
      <x:c r="AA251" s="1" t="n">
        <x:f>IF(I251&lt;=0,'損益分岐設定'!C38,IF('損益分岐設定'!C38*I251-S251&lt;0,'損益分岐設定'!C38,IF('損益分岐設定'!B38*I251-S251&gt;=0,0,ROUNDUP(S251/I251,0)-1)))</x:f>
        <x:v>11</x:v>
      </x:c>
      <x:c r="AB251" s="1" t="n">
        <x:f>IF(I251&lt;=0,'損益分岐設定'!C39,IF('損益分岐設定'!C39*I251-T251&lt;0,'損益分岐設定'!C39,IF('損益分岐設定'!B39*I251-T251&gt;=0,0,ROUNDUP(T251/I251,0)-1)))</x:f>
        <x:v>0</x:v>
      </x:c>
      <x:c r="AC251" s="1" t="n">
        <x:f>IF(I251&lt;=0,'損益分岐設定'!C40,IF('損益分岐設定'!C40*I251-U251&lt;0,'損益分岐設定'!C40,IF('損益分岐設定'!B40*I251-U251&gt;=0,0,ROUNDUP(U251/I251,0)-1)))</x:f>
        <x:v>0</x:v>
      </x:c>
      <x:c r="AD251" s="1" t="n">
        <x:v>0</x:v>
      </x:c>
      <x:c r="AE251" s="1" t="n">
        <x:v>0</x:v>
      </x:c>
      <x:c r="AF251" s="1" t="n">
        <x:v>1</x:v>
      </x:c>
      <x:c r="AG251" s="1" t="n">
        <x:f>AD251*'損益分岐設定'!$C$56+AE251*'損益分岐設定'!$C$59+AF251*'損益分岐設定'!$C$62</x:f>
        <x:v>213.56512359619143</x:v>
      </x:c>
      <x:c r="AH251" s="1" t="n">
        <x:f>AD251*'損益分岐設定'!$D$56+AE251*'損益分岐設定'!$D$59+AF251*'損益分岐設定'!$D$62</x:f>
        <x:v>75</x:v>
      </x:c>
      <x:c r="AI251" s="1" t="n">
        <x:f>AD251*'損益分岐設定'!$E$56+AE251*'損益分岐設定'!$E$59+AF251*'損益分岐設定'!$E$62</x:f>
        <x:v>50</x:v>
      </x:c>
      <x:c r="AJ251" s="1" t="n">
        <x:f>(AD251*'損益分岐設定'!$F$56+AE251*'損益分岐設定'!$F$59+AF251*'損益分岐設定'!$F$62*1)*'損益分岐設定'!$B$22</x:f>
        <x:v>75</x:v>
      </x:c>
      <x:c r="AK251" s="1" t="n">
        <x:f>AD251*'損益分岐設定'!$G$56+AE251*'損益分岐設定'!$G$59+AF251*'損益分岐設定'!$G$62</x:f>
        <x:v>250</x:v>
      </x:c>
      <x:c r="AL251" s="1" t="n">
        <x:f>AD251*'損益分岐設定'!$H$56+AE251*'損益分岐設定'!$H$59+AF251*'損益分岐設定'!$H$62</x:f>
        <x:v>533.3333333333334</x:v>
      </x:c>
      <x:c r="AM251" s="1" t="n">
        <x:f>MAX(1,ROUNDUP('損益分岐設定'!C37*AJ251/('損益分岐設定'!$B$23*'損益分岐設定'!$B$24*3600*'損益分岐設定'!$B$25),0))</x:f>
        <x:v>1</x:v>
      </x:c>
      <x:c r="AN251" s="1" t="n">
        <x:f>MAX(2,ROUNDUP('損益分岐設定'!C38*AJ251/('損益分岐設定'!$B$23*'損益分岐設定'!$B$24*3600*'損益分岐設定'!$B$25),0))</x:f>
        <x:v>2</x:v>
      </x:c>
      <x:c r="AO251" s="1" t="n">
        <x:f>MAX(2,ROUNDUP('損益分岐設定'!C39*AJ251/('損益分岐設定'!$B$23*'損益分岐設定'!$B$24*3600*'損益分岐設定'!$B$25),0))</x:f>
        <x:v>2</x:v>
      </x:c>
      <x:c r="AP251" s="1" t="n">
        <x:f>MAX(2,ROUNDUP('損益分岐設定'!C40*AJ251/('損益分岐設定'!$B$23*'損益分岐設定'!$B$24*3600*'損益分岐設定'!$B$25),0))</x:f>
        <x:v>2</x:v>
      </x:c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 ht="23" customHeight="1">
      <x:c r="A252" s="1" t="str">
        <x:v>Hybrid</x:v>
      </x:c>
      <x:c r="B252" s="1" t="str">
        <x:v>Business Plus</x:v>
      </x:c>
      <x:c r="C252" s="1" t="str">
        <x:v>低位</x:v>
      </x:c>
      <x:c r="D252" s="21" t="n">
        <x:v>0.4</x:v>
      </x:c>
      <x:c r="E252" s="1" t="n">
        <x:v>1</x:v>
      </x:c>
      <x:c r="F252" s="7" t="n">
        <x:f>AD252*'損益分岐設定'!$B$5+AE252*'損益分岐設定'!$B$6+AF252*'損益分岐設定'!$B$7</x:f>
        <x:v>8000</x:v>
      </x:c>
      <x:c r="G252" s="7" t="n">
        <x:f>AG252+(AH252+AI252)*('損益分岐設定'!$B$29+0.5*'損益分岐設定'!$B$30)+AK252*'損益分岐設定'!$B$33</x:f>
        <x:v>214.0784016805826</x:v>
      </x:c>
      <x:c r="H252" s="7" t="n">
        <x:f>AL252*E252</x:f>
        <x:v>533.3333333333334</x:v>
      </x:c>
      <x:c r="I252" s="7" t="n">
        <x:f>F252*(1-D252-'損益分岐設定'!$B$10)-G252-H252</x:f>
        <x:v>3764.5882649860837</x:v>
      </x:c>
      <x:c r="J252" s="1" t="n">
        <x:f>IF(MIN(V252:Y252)&gt;1000,"範囲内なし",MIN(V252:Y252))</x:f>
        <x:v>19</x:v>
      </x:c>
      <x:c r="K252" s="1" t="n">
        <x:f>IF(MAX(Z252:AC252)&gt;=1000,"範囲内なし",MAX(1,MAX(Z252:AC252)+1))</x:f>
        <x:v>19</x:v>
      </x:c>
      <x:c r="L252" s="7" t="n">
        <x:f>10*I252-R252</x:f>
        <x:v>-13793.914040444477</x:v>
      </x:c>
      <x:c r="M252" s="7" t="n">
        <x:f>30*I252-S252</x:f>
        <x:v>44558.05456897187</x:v>
      </x:c>
      <x:c r="N252" s="7" t="n">
        <x:f>50*I252-S252</x:f>
        <x:v>119849.81986869356</x:v>
      </x:c>
      <x:c r="O252" s="7" t="n">
        <x:f>100*I252-S252</x:f>
        <x:v>308079.23311799776</x:v>
      </x:c>
      <x:c r="P252" s="7" t="n">
        <x:f>300*I252-T252</x:f>
        <x:v>1038996.8861152143</x:v>
      </x:c>
      <x:c r="Q252" s="7" t="n">
        <x:f>1000*I252-U252</x:f>
        <x:v>3644208.6716054734</x:v>
      </x:c>
      <x:c r="R252" s="7" t="n">
        <x:f>'損益分岐設定'!$B$18+'損益分岐設定'!$B$19+'損益分岐設定'!$B$20+'損益分岐設定'!E37+'損益分岐設定'!D37+AM252*('損益分岐設定'!$B$15+'損益分岐設定'!$B$16)+'損益分岐設定'!$B$17+E252*('損益分岐設定'!$B$13+(AM252-1)*'損益分岐設定'!$B$14)*'損益分岐設定'!$B$11</x:f>
        <x:v>51439.79669030532</x:v>
      </x:c>
      <x:c r="S252" s="7" t="n">
        <x:f>'損益分岐設定'!$B$18+'損益分岐設定'!$B$19+'損益分岐設定'!$B$20+'損益分岐設定'!E38+'損益分岐設定'!D38+AN252*('損益分岐設定'!$B$15+'損益分岐設定'!$B$16)+'損益分岐設定'!$B$17+E252*('損益分岐設定'!$B$13+(AN252-1)*'損益分岐設定'!$B$14)*'損益分岐設定'!$B$11</x:f>
        <x:v>68379.59338061063</x:v>
      </x:c>
      <x:c r="T252" s="7" t="n">
        <x:f>'損益分岐設定'!$B$18+'損益分岐設定'!$B$19+'損益分岐設定'!$B$20+'損益分岐設定'!E39+'損益分岐設定'!D39+AO252*('損益分岐設定'!$B$15+'損益分岐設定'!$B$16)+'損益分岐設定'!$B$17+E252*('損益分岐設定'!$B$13+(AO252-1)*'損益分岐設定'!$B$14)*'損益分岐設定'!$B$11</x:f>
        <x:v>90379.59338061063</x:v>
      </x:c>
      <x:c r="U252" s="7" t="n">
        <x:f>'損益分岐設定'!$B$18+'損益分岐設定'!$B$19+'損益分岐設定'!$B$20+'損益分岐設定'!E40+'損益分岐設定'!D40+AP252*('損益分岐設定'!$B$15+'損益分岐設定'!$B$16)+'損益分岐設定'!$B$17+E252*('損益分岐設定'!$B$13+(AP252-1)*'損益分岐設定'!$B$14)*'損益分岐設定'!$B$11</x:f>
        <x:v>120379.59338061063</x:v>
      </x:c>
      <x:c r="V252" s="1" t="n">
        <x:f>IF(I252&lt;=0,1001,IF(MAX('損益分岐設定'!B37,ROUNDUP(R252/I252,0))&lt;='損益分岐設定'!C37,MAX('損益分岐設定'!B37,ROUNDUP(R252/I252,0)),1001))</x:f>
        <x:v>1001</x:v>
      </x:c>
      <x:c r="W252" s="1" t="n">
        <x:f>IF(I252&lt;=0,1001,IF(MAX('損益分岐設定'!B38,ROUNDUP(S252/I252,0))&lt;='損益分岐設定'!C38,MAX('損益分岐設定'!B38,ROUNDUP(S252/I252,0)),1001))</x:f>
        <x:v>19</x:v>
      </x:c>
      <x:c r="X252" s="1" t="n">
        <x:f>IF(I252&lt;=0,1001,IF(MAX('損益分岐設定'!B39,ROUNDUP(T252/I252,0))&lt;='損益分岐設定'!C39,MAX('損益分岐設定'!B39,ROUNDUP(T252/I252,0)),1001))</x:f>
        <x:v>101</x:v>
      </x:c>
      <x:c r="Y252" s="1" t="n">
        <x:f>IF(I252&lt;=0,1001,IF(MAX('損益分岐設定'!B40,ROUNDUP(U252/I252,0))&lt;='損益分岐設定'!C40,MAX('損益分岐設定'!B40,ROUNDUP(U252/I252,0)),1001))</x:f>
        <x:v>501</x:v>
      </x:c>
      <x:c r="Z252" s="1" t="n">
        <x:f>IF(I252&lt;=0,'損益分岐設定'!C37,IF('損益分岐設定'!C37*I252-R252&lt;0,'損益分岐設定'!C37,IF('損益分岐設定'!B37*I252-R252&gt;=0,0,ROUNDUP(R252/I252,0)-1)))</x:f>
        <x:v>10</x:v>
      </x:c>
      <x:c r="AA252" s="1" t="n">
        <x:f>IF(I252&lt;=0,'損益分岐設定'!C38,IF('損益分岐設定'!C38*I252-S252&lt;0,'損益分岐設定'!C38,IF('損益分岐設定'!B38*I252-S252&gt;=0,0,ROUNDUP(S252/I252,0)-1)))</x:f>
        <x:v>18</x:v>
      </x:c>
      <x:c r="AB252" s="1" t="n">
        <x:f>IF(I252&lt;=0,'損益分岐設定'!C39,IF('損益分岐設定'!C39*I252-T252&lt;0,'損益分岐設定'!C39,IF('損益分岐設定'!B39*I252-T252&gt;=0,0,ROUNDUP(T252/I252,0)-1)))</x:f>
        <x:v>0</x:v>
      </x:c>
      <x:c r="AC252" s="1" t="n">
        <x:f>IF(I252&lt;=0,'損益分岐設定'!C40,IF('損益分岐設定'!C40*I252-U252&lt;0,'損益分岐設定'!C40,IF('損益分岐設定'!B40*I252-U252&gt;=0,0,ROUNDUP(U252/I252,0)-1)))</x:f>
        <x:v>0</x:v>
      </x:c>
      <x:c r="AD252" s="1" t="n">
        <x:v>0</x:v>
      </x:c>
      <x:c r="AE252" s="1" t="n">
        <x:v>0</x:v>
      </x:c>
      <x:c r="AF252" s="1" t="n">
        <x:v>1</x:v>
      </x:c>
      <x:c r="AG252" s="1" t="n">
        <x:f>AD252*'損益分岐設定'!$C$56+AE252*'損益分岐設定'!$C$59+AF252*'損益分岐設定'!$C$62</x:f>
        <x:v>213.56512359619143</x:v>
      </x:c>
      <x:c r="AH252" s="1" t="n">
        <x:f>AD252*'損益分岐設定'!$D$56+AE252*'損益分岐設定'!$D$59+AF252*'損益分岐設定'!$D$62</x:f>
        <x:v>75</x:v>
      </x:c>
      <x:c r="AI252" s="1" t="n">
        <x:f>AD252*'損益分岐設定'!$E$56+AE252*'損益分岐設定'!$E$59+AF252*'損益分岐設定'!$E$62</x:f>
        <x:v>50</x:v>
      </x:c>
      <x:c r="AJ252" s="1" t="n">
        <x:f>(AD252*'損益分岐設定'!$F$56+AE252*'損益分岐設定'!$F$59+AF252*'損益分岐設定'!$F$62*1)*'損益分岐設定'!$B$22</x:f>
        <x:v>75</x:v>
      </x:c>
      <x:c r="AK252" s="1" t="n">
        <x:f>AD252*'損益分岐設定'!$G$56+AE252*'損益分岐設定'!$G$59+AF252*'損益分岐設定'!$G$62</x:f>
        <x:v>250</x:v>
      </x:c>
      <x:c r="AL252" s="1" t="n">
        <x:f>AD252*'損益分岐設定'!$H$56+AE252*'損益分岐設定'!$H$59+AF252*'損益分岐設定'!$H$62</x:f>
        <x:v>533.3333333333334</x:v>
      </x:c>
      <x:c r="AM252" s="1" t="n">
        <x:f>MAX(1,ROUNDUP('損益分岐設定'!C37*AJ252/('損益分岐設定'!$B$23*'損益分岐設定'!$B$24*3600*'損益分岐設定'!$B$25),0))</x:f>
        <x:v>1</x:v>
      </x:c>
      <x:c r="AN252" s="1" t="n">
        <x:f>MAX(2,ROUNDUP('損益分岐設定'!C38*AJ252/('損益分岐設定'!$B$23*'損益分岐設定'!$B$24*3600*'損益分岐設定'!$B$25),0))</x:f>
        <x:v>2</x:v>
      </x:c>
      <x:c r="AO252" s="1" t="n">
        <x:f>MAX(2,ROUNDUP('損益分岐設定'!C39*AJ252/('損益分岐設定'!$B$23*'損益分岐設定'!$B$24*3600*'損益分岐設定'!$B$25),0))</x:f>
        <x:v>2</x:v>
      </x:c>
      <x:c r="AP252" s="1" t="n">
        <x:f>MAX(2,ROUNDUP('損益分岐設定'!C40*AJ252/('損益分岐設定'!$B$23*'損益分岐設定'!$B$24*3600*'損益分岐設定'!$B$25),0))</x:f>
        <x:v>2</x:v>
      </x:c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 ht="23" customHeight="1">
      <x:c r="A253" s="1" t="str">
        <x:v>Hybrid</x:v>
      </x:c>
      <x:c r="B253" s="1" t="str">
        <x:v>Business Plus</x:v>
      </x:c>
      <x:c r="C253" s="1" t="str">
        <x:v>低位</x:v>
      </x:c>
      <x:c r="D253" s="21" t="n">
        <x:v>0.5</x:v>
      </x:c>
      <x:c r="E253" s="1" t="n">
        <x:v>0</x:v>
      </x:c>
      <x:c r="F253" s="7" t="n">
        <x:f>AD253*'損益分岐設定'!$B$5+AE253*'損益分岐設定'!$B$6+AF253*'損益分岐設定'!$B$7</x:f>
        <x:v>8000</x:v>
      </x:c>
      <x:c r="G253" s="7" t="n">
        <x:f>AG253+(AH253+AI253)*('損益分岐設定'!$B$29+0.5*'損益分岐設定'!$B$30)+AK253*'損益分岐設定'!$B$33</x:f>
        <x:v>214.0784016805826</x:v>
      </x:c>
      <x:c r="H253" s="7" t="n">
        <x:f>AL253*E253</x:f>
        <x:v>0</x:v>
      </x:c>
      <x:c r="I253" s="7" t="n">
        <x:f>F253*(1-D253-'損益分岐設定'!$B$10)-G253-H253</x:f>
        <x:v>3497.921598319417</x:v>
      </x:c>
      <x:c r="J253" s="1" t="n">
        <x:f>IF(MIN(V253:Y253)&gt;1000,"範囲内なし",MIN(V253:Y253))</x:f>
        <x:v>15</x:v>
      </x:c>
      <x:c r="K253" s="1" t="n">
        <x:f>IF(MAX(Z253:AC253)&gt;=1000,"範囲内なし",MAX(1,MAX(Z253:AC253)+1))</x:f>
        <x:v>15</x:v>
      </x:c>
      <x:c r="L253" s="7" t="n">
        <x:f>10*I253-R253</x:f>
        <x:v>-460.5807071111485</x:v>
      </x:c>
      <x:c r="M253" s="7" t="n">
        <x:f>30*I253-S253</x:f>
        <x:v>54558.054568971886</x:v>
      </x:c>
      <x:c r="N253" s="7" t="n">
        <x:f>50*I253-S253</x:f>
        <x:v>124516.48653536022</x:v>
      </x:c>
      <x:c r="O253" s="7" t="n">
        <x:f>100*I253-S253</x:f>
        <x:v>299412.5664513311</x:v>
      </x:c>
      <x:c r="P253" s="7" t="n">
        <x:f>300*I253-T253</x:f>
        <x:v>976996.8861152146</x:v>
      </x:c>
      <x:c r="Q253" s="7" t="n">
        <x:f>1000*I253-U253</x:f>
        <x:v>3395542.004938807</x:v>
      </x:c>
      <x:c r="R253" s="7" t="n">
        <x:f>'損益分岐設定'!$B$18+'損益分岐設定'!$B$19+'損益分岐設定'!$B$20+'損益分岐設定'!E37+'損益分岐設定'!D37+AM253*('損益分岐設定'!$B$15+'損益分岐設定'!$B$16)+'損益分岐設定'!$B$17+E253*('損益分岐設定'!$B$13+(AM253-1)*'損益分岐設定'!$B$14)*'損益分岐設定'!$B$11</x:f>
        <x:v>35439.79669030532</x:v>
      </x:c>
      <x:c r="S253" s="7" t="n">
        <x:f>'損益分岐設定'!$B$18+'損益分岐設定'!$B$19+'損益分岐設定'!$B$20+'損益分岐設定'!E38+'損益分岐設定'!D38+AN253*('損益分岐設定'!$B$15+'損益分岐設定'!$B$16)+'損益分岐設定'!$B$17+E253*('損益分岐設定'!$B$13+(AN253-1)*'損益分岐設定'!$B$14)*'損益分岐設定'!$B$11</x:f>
        <x:v>50379.59338061063</x:v>
      </x:c>
      <x:c r="T253" s="7" t="n">
        <x:f>'損益分岐設定'!$B$18+'損益分岐設定'!$B$19+'損益分岐設定'!$B$20+'損益分岐設定'!E39+'損益分岐設定'!D39+AO253*('損益分岐設定'!$B$15+'損益分岐設定'!$B$16)+'損益分岐設定'!$B$17+E253*('損益分岐設定'!$B$13+(AO253-1)*'損益分岐設定'!$B$14)*'損益分岐設定'!$B$11</x:f>
        <x:v>72379.59338061063</x:v>
      </x:c>
      <x:c r="U253" s="7" t="n">
        <x:f>'損益分岐設定'!$B$18+'損益分岐設定'!$B$19+'損益分岐設定'!$B$20+'損益分岐設定'!E40+'損益分岐設定'!D40+AP253*('損益分岐設定'!$B$15+'損益分岐設定'!$B$16)+'損益分岐設定'!$B$17+E253*('損益分岐設定'!$B$13+(AP253-1)*'損益分岐設定'!$B$14)*'損益分岐設定'!$B$11</x:f>
        <x:v>102379.59338061063</x:v>
      </x:c>
      <x:c r="V253" s="1" t="n">
        <x:f>IF(I253&lt;=0,1001,IF(MAX('損益分岐設定'!B37,ROUNDUP(R253/I253,0))&lt;='損益分岐設定'!C37,MAX('損益分岐設定'!B37,ROUNDUP(R253/I253,0)),1001))</x:f>
        <x:v>1001</x:v>
      </x:c>
      <x:c r="W253" s="1" t="n">
        <x:f>IF(I253&lt;=0,1001,IF(MAX('損益分岐設定'!B38,ROUNDUP(S253/I253,0))&lt;='損益分岐設定'!C38,MAX('損益分岐設定'!B38,ROUNDUP(S253/I253,0)),1001))</x:f>
        <x:v>15</x:v>
      </x:c>
      <x:c r="X253" s="1" t="n">
        <x:f>IF(I253&lt;=0,1001,IF(MAX('損益分岐設定'!B39,ROUNDUP(T253/I253,0))&lt;='損益分岐設定'!C39,MAX('損益分岐設定'!B39,ROUNDUP(T253/I253,0)),1001))</x:f>
        <x:v>101</x:v>
      </x:c>
      <x:c r="Y253" s="1" t="n">
        <x:f>IF(I253&lt;=0,1001,IF(MAX('損益分岐設定'!B40,ROUNDUP(U253/I253,0))&lt;='損益分岐設定'!C40,MAX('損益分岐設定'!B40,ROUNDUP(U253/I253,0)),1001))</x:f>
        <x:v>501</x:v>
      </x:c>
      <x:c r="Z253" s="1" t="n">
        <x:f>IF(I253&lt;=0,'損益分岐設定'!C37,IF('損益分岐設定'!C37*I253-R253&lt;0,'損益分岐設定'!C37,IF('損益分岐設定'!B37*I253-R253&gt;=0,0,ROUNDUP(R253/I253,0)-1)))</x:f>
        <x:v>10</x:v>
      </x:c>
      <x:c r="AA253" s="1" t="n">
        <x:f>IF(I253&lt;=0,'損益分岐設定'!C38,IF('損益分岐設定'!C38*I253-S253&lt;0,'損益分岐設定'!C38,IF('損益分岐設定'!B38*I253-S253&gt;=0,0,ROUNDUP(S253/I253,0)-1)))</x:f>
        <x:v>14</x:v>
      </x:c>
      <x:c r="AB253" s="1" t="n">
        <x:f>IF(I253&lt;=0,'損益分岐設定'!C39,IF('損益分岐設定'!C39*I253-T253&lt;0,'損益分岐設定'!C39,IF('損益分岐設定'!B39*I253-T253&gt;=0,0,ROUNDUP(T253/I253,0)-1)))</x:f>
        <x:v>0</x:v>
      </x:c>
      <x:c r="AC253" s="1" t="n">
        <x:f>IF(I253&lt;=0,'損益分岐設定'!C40,IF('損益分岐設定'!C40*I253-U253&lt;0,'損益分岐設定'!C40,IF('損益分岐設定'!B40*I253-U253&gt;=0,0,ROUNDUP(U253/I253,0)-1)))</x:f>
        <x:v>0</x:v>
      </x:c>
      <x:c r="AD253" s="1" t="n">
        <x:v>0</x:v>
      </x:c>
      <x:c r="AE253" s="1" t="n">
        <x:v>0</x:v>
      </x:c>
      <x:c r="AF253" s="1" t="n">
        <x:v>1</x:v>
      </x:c>
      <x:c r="AG253" s="1" t="n">
        <x:f>AD253*'損益分岐設定'!$C$56+AE253*'損益分岐設定'!$C$59+AF253*'損益分岐設定'!$C$62</x:f>
        <x:v>213.56512359619143</x:v>
      </x:c>
      <x:c r="AH253" s="1" t="n">
        <x:f>AD253*'損益分岐設定'!$D$56+AE253*'損益分岐設定'!$D$59+AF253*'損益分岐設定'!$D$62</x:f>
        <x:v>75</x:v>
      </x:c>
      <x:c r="AI253" s="1" t="n">
        <x:f>AD253*'損益分岐設定'!$E$56+AE253*'損益分岐設定'!$E$59+AF253*'損益分岐設定'!$E$62</x:f>
        <x:v>50</x:v>
      </x:c>
      <x:c r="AJ253" s="1" t="n">
        <x:f>(AD253*'損益分岐設定'!$F$56+AE253*'損益分岐設定'!$F$59+AF253*'損益分岐設定'!$F$62*1)*'損益分岐設定'!$B$22</x:f>
        <x:v>75</x:v>
      </x:c>
      <x:c r="AK253" s="1" t="n">
        <x:f>AD253*'損益分岐設定'!$G$56+AE253*'損益分岐設定'!$G$59+AF253*'損益分岐設定'!$G$62</x:f>
        <x:v>250</x:v>
      </x:c>
      <x:c r="AL253" s="1" t="n">
        <x:f>AD253*'損益分岐設定'!$H$56+AE253*'損益分岐設定'!$H$59+AF253*'損益分岐設定'!$H$62</x:f>
        <x:v>533.3333333333334</x:v>
      </x:c>
      <x:c r="AM253" s="1" t="n">
        <x:f>MAX(1,ROUNDUP('損益分岐設定'!C37*AJ253/('損益分岐設定'!$B$23*'損益分岐設定'!$B$24*3600*'損益分岐設定'!$B$25),0))</x:f>
        <x:v>1</x:v>
      </x:c>
      <x:c r="AN253" s="1" t="n">
        <x:f>MAX(2,ROUNDUP('損益分岐設定'!C38*AJ253/('損益分岐設定'!$B$23*'損益分岐設定'!$B$24*3600*'損益分岐設定'!$B$25),0))</x:f>
        <x:v>2</x:v>
      </x:c>
      <x:c r="AO253" s="1" t="n">
        <x:f>MAX(2,ROUNDUP('損益分岐設定'!C39*AJ253/('損益分岐設定'!$B$23*'損益分岐設定'!$B$24*3600*'損益分岐設定'!$B$25),0))</x:f>
        <x:v>2</x:v>
      </x:c>
      <x:c r="AP253" s="1" t="n">
        <x:f>MAX(2,ROUNDUP('損益分岐設定'!C40*AJ253/('損益分岐設定'!$B$23*'損益分岐設定'!$B$24*3600*'損益分岐設定'!$B$25),0))</x:f>
        <x:v>2</x:v>
      </x:c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 ht="23" customHeight="1">
      <x:c r="A254" s="1" t="str">
        <x:v>Hybrid</x:v>
      </x:c>
      <x:c r="B254" s="1" t="str">
        <x:v>Business Plus</x:v>
      </x:c>
      <x:c r="C254" s="1" t="str">
        <x:v>低位</x:v>
      </x:c>
      <x:c r="D254" s="21" t="n">
        <x:v>0.5</x:v>
      </x:c>
      <x:c r="E254" s="1" t="n">
        <x:v>1</x:v>
      </x:c>
      <x:c r="F254" s="7" t="n">
        <x:f>AD254*'損益分岐設定'!$B$5+AE254*'損益分岐設定'!$B$6+AF254*'損益分岐設定'!$B$7</x:f>
        <x:v>8000</x:v>
      </x:c>
      <x:c r="G254" s="7" t="n">
        <x:f>AG254+(AH254+AI254)*('損益分岐設定'!$B$29+0.5*'損益分岐設定'!$B$30)+AK254*'損益分岐設定'!$B$33</x:f>
        <x:v>214.0784016805826</x:v>
      </x:c>
      <x:c r="H254" s="7" t="n">
        <x:f>AL254*E254</x:f>
        <x:v>533.3333333333334</x:v>
      </x:c>
      <x:c r="I254" s="7" t="n">
        <x:f>F254*(1-D254-'損益分岐設定'!$B$10)-G254-H254</x:f>
        <x:v>2964.5882649860837</x:v>
      </x:c>
      <x:c r="J254" s="1" t="n">
        <x:f>IF(MIN(V254:Y254)&gt;1000,"範囲内なし",MIN(V254:Y254))</x:f>
        <x:v>24</x:v>
      </x:c>
      <x:c r="K254" s="1" t="n">
        <x:f>IF(MAX(Z254:AC254)&gt;=1000,"範囲内なし",MAX(1,MAX(Z254:AC254)+1))</x:f>
        <x:v>24</x:v>
      </x:c>
      <x:c r="L254" s="7" t="n">
        <x:f>10*I254-R254</x:f>
        <x:v>-21793.91404044448</x:v>
      </x:c>
      <x:c r="M254" s="7" t="n">
        <x:f>30*I254-S254</x:f>
        <x:v>20558.05456897187</x:v>
      </x:c>
      <x:c r="N254" s="7" t="n">
        <x:f>50*I254-S254</x:f>
        <x:v>79849.81986869356</x:v>
      </x:c>
      <x:c r="O254" s="7" t="n">
        <x:f>100*I254-S254</x:f>
        <x:v>228079.23311799776</x:v>
      </x:c>
      <x:c r="P254" s="7" t="n">
        <x:f>300*I254-T254</x:f>
        <x:v>798996.8861152146</x:v>
      </x:c>
      <x:c r="Q254" s="7" t="n">
        <x:f>1000*I254-U254</x:f>
        <x:v>2844208.6716054734</x:v>
      </x:c>
      <x:c r="R254" s="7" t="n">
        <x:f>'損益分岐設定'!$B$18+'損益分岐設定'!$B$19+'損益分岐設定'!$B$20+'損益分岐設定'!E37+'損益分岐設定'!D37+AM254*('損益分岐設定'!$B$15+'損益分岐設定'!$B$16)+'損益分岐設定'!$B$17+E254*('損益分岐設定'!$B$13+(AM254-1)*'損益分岐設定'!$B$14)*'損益分岐設定'!$B$11</x:f>
        <x:v>51439.79669030532</x:v>
      </x:c>
      <x:c r="S254" s="7" t="n">
        <x:f>'損益分岐設定'!$B$18+'損益分岐設定'!$B$19+'損益分岐設定'!$B$20+'損益分岐設定'!E38+'損益分岐設定'!D38+AN254*('損益分岐設定'!$B$15+'損益分岐設定'!$B$16)+'損益分岐設定'!$B$17+E254*('損益分岐設定'!$B$13+(AN254-1)*'損益分岐設定'!$B$14)*'損益分岐設定'!$B$11</x:f>
        <x:v>68379.59338061063</x:v>
      </x:c>
      <x:c r="T254" s="7" t="n">
        <x:f>'損益分岐設定'!$B$18+'損益分岐設定'!$B$19+'損益分岐設定'!$B$20+'損益分岐設定'!E39+'損益分岐設定'!D39+AO254*('損益分岐設定'!$B$15+'損益分岐設定'!$B$16)+'損益分岐設定'!$B$17+E254*('損益分岐設定'!$B$13+(AO254-1)*'損益分岐設定'!$B$14)*'損益分岐設定'!$B$11</x:f>
        <x:v>90379.59338061063</x:v>
      </x:c>
      <x:c r="U254" s="7" t="n">
        <x:f>'損益分岐設定'!$B$18+'損益分岐設定'!$B$19+'損益分岐設定'!$B$20+'損益分岐設定'!E40+'損益分岐設定'!D40+AP254*('損益分岐設定'!$B$15+'損益分岐設定'!$B$16)+'損益分岐設定'!$B$17+E254*('損益分岐設定'!$B$13+(AP254-1)*'損益分岐設定'!$B$14)*'損益分岐設定'!$B$11</x:f>
        <x:v>120379.59338061063</x:v>
      </x:c>
      <x:c r="V254" s="1" t="n">
        <x:f>IF(I254&lt;=0,1001,IF(MAX('損益分岐設定'!B37,ROUNDUP(R254/I254,0))&lt;='損益分岐設定'!C37,MAX('損益分岐設定'!B37,ROUNDUP(R254/I254,0)),1001))</x:f>
        <x:v>1001</x:v>
      </x:c>
      <x:c r="W254" s="1" t="n">
        <x:f>IF(I254&lt;=0,1001,IF(MAX('損益分岐設定'!B38,ROUNDUP(S254/I254,0))&lt;='損益分岐設定'!C38,MAX('損益分岐設定'!B38,ROUNDUP(S254/I254,0)),1001))</x:f>
        <x:v>24</x:v>
      </x:c>
      <x:c r="X254" s="1" t="n">
        <x:f>IF(I254&lt;=0,1001,IF(MAX('損益分岐設定'!B39,ROUNDUP(T254/I254,0))&lt;='損益分岐設定'!C39,MAX('損益分岐設定'!B39,ROUNDUP(T254/I254,0)),1001))</x:f>
        <x:v>101</x:v>
      </x:c>
      <x:c r="Y254" s="1" t="n">
        <x:f>IF(I254&lt;=0,1001,IF(MAX('損益分岐設定'!B40,ROUNDUP(U254/I254,0))&lt;='損益分岐設定'!C40,MAX('損益分岐設定'!B40,ROUNDUP(U254/I254,0)),1001))</x:f>
        <x:v>501</x:v>
      </x:c>
      <x:c r="Z254" s="1" t="n">
        <x:f>IF(I254&lt;=0,'損益分岐設定'!C37,IF('損益分岐設定'!C37*I254-R254&lt;0,'損益分岐設定'!C37,IF('損益分岐設定'!B37*I254-R254&gt;=0,0,ROUNDUP(R254/I254,0)-1)))</x:f>
        <x:v>10</x:v>
      </x:c>
      <x:c r="AA254" s="1" t="n">
        <x:f>IF(I254&lt;=0,'損益分岐設定'!C38,IF('損益分岐設定'!C38*I254-S254&lt;0,'損益分岐設定'!C38,IF('損益分岐設定'!B38*I254-S254&gt;=0,0,ROUNDUP(S254/I254,0)-1)))</x:f>
        <x:v>23</x:v>
      </x:c>
      <x:c r="AB254" s="1" t="n">
        <x:f>IF(I254&lt;=0,'損益分岐設定'!C39,IF('損益分岐設定'!C39*I254-T254&lt;0,'損益分岐設定'!C39,IF('損益分岐設定'!B39*I254-T254&gt;=0,0,ROUNDUP(T254/I254,0)-1)))</x:f>
        <x:v>0</x:v>
      </x:c>
      <x:c r="AC254" s="1" t="n">
        <x:f>IF(I254&lt;=0,'損益分岐設定'!C40,IF('損益分岐設定'!C40*I254-U254&lt;0,'損益分岐設定'!C40,IF('損益分岐設定'!B40*I254-U254&gt;=0,0,ROUNDUP(U254/I254,0)-1)))</x:f>
        <x:v>0</x:v>
      </x:c>
      <x:c r="AD254" s="1" t="n">
        <x:v>0</x:v>
      </x:c>
      <x:c r="AE254" s="1" t="n">
        <x:v>0</x:v>
      </x:c>
      <x:c r="AF254" s="1" t="n">
        <x:v>1</x:v>
      </x:c>
      <x:c r="AG254" s="1" t="n">
        <x:f>AD254*'損益分岐設定'!$C$56+AE254*'損益分岐設定'!$C$59+AF254*'損益分岐設定'!$C$62</x:f>
        <x:v>213.56512359619143</x:v>
      </x:c>
      <x:c r="AH254" s="1" t="n">
        <x:f>AD254*'損益分岐設定'!$D$56+AE254*'損益分岐設定'!$D$59+AF254*'損益分岐設定'!$D$62</x:f>
        <x:v>75</x:v>
      </x:c>
      <x:c r="AI254" s="1" t="n">
        <x:f>AD254*'損益分岐設定'!$E$56+AE254*'損益分岐設定'!$E$59+AF254*'損益分岐設定'!$E$62</x:f>
        <x:v>50</x:v>
      </x:c>
      <x:c r="AJ254" s="1" t="n">
        <x:f>(AD254*'損益分岐設定'!$F$56+AE254*'損益分岐設定'!$F$59+AF254*'損益分岐設定'!$F$62*1)*'損益分岐設定'!$B$22</x:f>
        <x:v>75</x:v>
      </x:c>
      <x:c r="AK254" s="1" t="n">
        <x:f>AD254*'損益分岐設定'!$G$56+AE254*'損益分岐設定'!$G$59+AF254*'損益分岐設定'!$G$62</x:f>
        <x:v>250</x:v>
      </x:c>
      <x:c r="AL254" s="1" t="n">
        <x:f>AD254*'損益分岐設定'!$H$56+AE254*'損益分岐設定'!$H$59+AF254*'損益分岐設定'!$H$62</x:f>
        <x:v>533.3333333333334</x:v>
      </x:c>
      <x:c r="AM254" s="1" t="n">
        <x:f>MAX(1,ROUNDUP('損益分岐設定'!C37*AJ254/('損益分岐設定'!$B$23*'損益分岐設定'!$B$24*3600*'損益分岐設定'!$B$25),0))</x:f>
        <x:v>1</x:v>
      </x:c>
      <x:c r="AN254" s="1" t="n">
        <x:f>MAX(2,ROUNDUP('損益分岐設定'!C38*AJ254/('損益分岐設定'!$B$23*'損益分岐設定'!$B$24*3600*'損益分岐設定'!$B$25),0))</x:f>
        <x:v>2</x:v>
      </x:c>
      <x:c r="AO254" s="1" t="n">
        <x:f>MAX(2,ROUNDUP('損益分岐設定'!C39*AJ254/('損益分岐設定'!$B$23*'損益分岐設定'!$B$24*3600*'損益分岐設定'!$B$25),0))</x:f>
        <x:v>2</x:v>
      </x:c>
      <x:c r="AP254" s="1" t="n">
        <x:f>MAX(2,ROUNDUP('損益分岐設定'!C40*AJ254/('損益分岐設定'!$B$23*'損益分岐設定'!$B$24*3600*'損益分岐設定'!$B$25),0))</x:f>
        <x:v>2</x:v>
      </x:c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 ht="23" customHeight="1">
      <x:c r="A255" s="1" t="str">
        <x:v>Hybrid</x:v>
      </x:c>
      <x:c r="B255" s="1" t="str">
        <x:v>Business Plus</x:v>
      </x:c>
      <x:c r="C255" s="1" t="str">
        <x:v>標準</x:v>
      </x:c>
      <x:c r="D255" s="21" t="n">
        <x:v>0</x:v>
      </x:c>
      <x:c r="E255" s="1" t="n">
        <x:v>0</x:v>
      </x:c>
      <x:c r="F255" s="7" t="n">
        <x:f>AD255*'損益分岐設定'!$B$5+AE255*'損益分岐設定'!$B$6+AF255*'損益分岐設定'!$B$7</x:f>
        <x:v>8000</x:v>
      </x:c>
      <x:c r="G255" s="7" t="n">
        <x:f>AG255+(AH255+AI255)*('損益分岐設定'!$B$29+0.5*'損益分岐設定'!$B$30)+AK255*'損益分岐設定'!$B$33</x:f>
        <x:v>1031.4341073865594</x:v>
      </x:c>
      <x:c r="H255" s="7" t="n">
        <x:f>AL255*E255</x:f>
        <x:v>0</x:v>
      </x:c>
      <x:c r="I255" s="7" t="n">
        <x:f>F255*(1-D255-'損益分岐設定'!$B$10)-G255-H255</x:f>
        <x:v>6680.56589261344</x:v>
      </x:c>
      <x:c r="J255" s="1" t="n">
        <x:f>IF(MIN(V255:Y255)&gt;1000,"範囲内なし",MIN(V255:Y255))</x:f>
        <x:v>6</x:v>
      </x:c>
      <x:c r="K255" s="1" t="n">
        <x:f>IF(MAX(Z255:AC255)&gt;=1000,"範囲内なし",MAX(1,MAX(Z255:AC255)+1))</x:f>
        <x:v>6</x:v>
      </x:c>
      <x:c r="L255" s="7" t="n">
        <x:f>10*I255-R255</x:f>
        <x:v>31365.86223582909</x:v>
      </x:c>
      <x:c r="M255" s="7" t="n">
        <x:f>30*I255-S255</x:f>
        <x:v>150037.38339779258</x:v>
      </x:c>
      <x:c r="N255" s="7" t="n">
        <x:f>50*I255-S255</x:f>
        <x:v>283648.7012500614</x:v>
      </x:c>
      <x:c r="O255" s="7" t="n">
        <x:f>100*I255-S255</x:f>
        <x:v>617676.9958807335</x:v>
      </x:c>
      <x:c r="P255" s="7" t="n">
        <x:f>300*I255-T255</x:f>
        <x:v>1931790.1744034213</x:v>
      </x:c>
      <x:c r="Q255" s="7" t="n">
        <x:f>1000*I255-U255</x:f>
        <x:v>6567746.502542524</x:v>
      </x:c>
      <x:c r="R255" s="7" t="n">
        <x:f>'損益分岐設定'!$B$18+'損益分岐設定'!$B$19+'損益分岐設定'!$B$20+'損益分岐設定'!E37+'損益分岐設定'!D37+AM255*('損益分岐設定'!$B$15+'損益分岐設定'!$B$16)+'損益分岐設定'!$B$17+E255*('損益分岐設定'!$B$13+(AM255-1)*'損益分岐設定'!$B$14)*'損益分岐設定'!$B$11</x:f>
        <x:v>35439.79669030532</x:v>
      </x:c>
      <x:c r="S255" s="7" t="n">
        <x:f>'損益分岐設定'!$B$18+'損益分岐設定'!$B$19+'損益分岐設定'!$B$20+'損益分岐設定'!E38+'損益分岐設定'!D38+AN255*('損益分岐設定'!$B$15+'損益分岐設定'!$B$16)+'損益分岐設定'!$B$17+E255*('損益分岐設定'!$B$13+(AN255-1)*'損益分岐設定'!$B$14)*'損益分岐設定'!$B$11</x:f>
        <x:v>50379.59338061063</x:v>
      </x:c>
      <x:c r="T255" s="7" t="n">
        <x:f>'損益分岐設定'!$B$18+'損益分岐設定'!$B$19+'損益分岐設定'!$B$20+'損益分岐設定'!E39+'損益分岐設定'!D39+AO255*('損益分岐設定'!$B$15+'損益分岐設定'!$B$16)+'損益分岐設定'!$B$17+E255*('損益分岐設定'!$B$13+(AO255-1)*'損益分岐設定'!$B$14)*'損益分岐設定'!$B$11</x:f>
        <x:v>72379.59338061063</x:v>
      </x:c>
      <x:c r="U255" s="7" t="n">
        <x:f>'損益分岐設定'!$B$18+'損益分岐設定'!$B$19+'損益分岐設定'!$B$20+'損益分岐設定'!E40+'損益分岐設定'!D40+AP255*('損益分岐設定'!$B$15+'損益分岐設定'!$B$16)+'損益分岐設定'!$B$17+E255*('損益分岐設定'!$B$13+(AP255-1)*'損益分岐設定'!$B$14)*'損益分岐設定'!$B$11</x:f>
        <x:v>112819.39007091595</x:v>
      </x:c>
      <x:c r="V255" s="1" t="n">
        <x:f>IF(I255&lt;=0,1001,IF(MAX('損益分岐設定'!B37,ROUNDUP(R255/I255,0))&lt;='損益分岐設定'!C37,MAX('損益分岐設定'!B37,ROUNDUP(R255/I255,0)),1001))</x:f>
        <x:v>6</x:v>
      </x:c>
      <x:c r="W255" s="1" t="n">
        <x:f>IF(I255&lt;=0,1001,IF(MAX('損益分岐設定'!B38,ROUNDUP(S255/I255,0))&lt;='損益分岐設定'!C38,MAX('損益分岐設定'!B38,ROUNDUP(S255/I255,0)),1001))</x:f>
        <x:v>11</x:v>
      </x:c>
      <x:c r="X255" s="1" t="n">
        <x:f>IF(I255&lt;=0,1001,IF(MAX('損益分岐設定'!B39,ROUNDUP(T255/I255,0))&lt;='損益分岐設定'!C39,MAX('損益分岐設定'!B39,ROUNDUP(T255/I255,0)),1001))</x:f>
        <x:v>101</x:v>
      </x:c>
      <x:c r="Y255" s="1" t="n">
        <x:f>IF(I255&lt;=0,1001,IF(MAX('損益分岐設定'!B40,ROUNDUP(U255/I255,0))&lt;='損益分岐設定'!C40,MAX('損益分岐設定'!B40,ROUNDUP(U255/I255,0)),1001))</x:f>
        <x:v>501</x:v>
      </x:c>
      <x:c r="Z255" s="1" t="n">
        <x:f>IF(I255&lt;=0,'損益分岐設定'!C37,IF('損益分岐設定'!C37*I255-R255&lt;0,'損益分岐設定'!C37,IF('損益分岐設定'!B37*I255-R255&gt;=0,0,ROUNDUP(R255/I255,0)-1)))</x:f>
        <x:v>5</x:v>
      </x:c>
      <x:c r="AA255" s="1" t="n">
        <x:f>IF(I255&lt;=0,'損益分岐設定'!C38,IF('損益分岐設定'!C38*I255-S255&lt;0,'損益分岐設定'!C38,IF('損益分岐設定'!B38*I255-S255&gt;=0,0,ROUNDUP(S255/I255,0)-1)))</x:f>
        <x:v>0</x:v>
      </x:c>
      <x:c r="AB255" s="1" t="n">
        <x:f>IF(I255&lt;=0,'損益分岐設定'!C39,IF('損益分岐設定'!C39*I255-T255&lt;0,'損益分岐設定'!C39,IF('損益分岐設定'!B39*I255-T255&gt;=0,0,ROUNDUP(T255/I255,0)-1)))</x:f>
        <x:v>0</x:v>
      </x:c>
      <x:c r="AC255" s="1" t="n">
        <x:f>IF(I255&lt;=0,'損益分岐設定'!C40,IF('損益分岐設定'!C40*I255-U255&lt;0,'損益分岐設定'!C40,IF('損益分岐設定'!B40*I255-U255&gt;=0,0,ROUNDUP(U255/I255,0)-1)))</x:f>
        <x:v>0</x:v>
      </x:c>
      <x:c r="AD255" s="1" t="n">
        <x:v>0</x:v>
      </x:c>
      <x:c r="AE255" s="1" t="n">
        <x:v>0</x:v>
      </x:c>
      <x:c r="AF255" s="1" t="n">
        <x:v>1</x:v>
      </x:c>
      <x:c r="AG255" s="1" t="n">
        <x:f>AD255*'損益分岐設定'!$C$57+AE255*'損益分岐設定'!$C$60+AF255*'損益分岐設定'!$C$63</x:f>
        <x:v>1028.9614318847655</x:v>
      </x:c>
      <x:c r="AH255" s="1" t="n">
        <x:f>AD255*'損益分岐設定'!$D$57+AE255*'損益分岐設定'!$D$60+AF255*'損益分岐設定'!$D$63</x:f>
        <x:v>300</x:v>
      </x:c>
      <x:c r="AI255" s="1" t="n">
        <x:f>AD255*'損益分岐設定'!$E$57+AE255*'損益分岐設定'!$E$60+AF255*'損益分岐設定'!$E$63</x:f>
        <x:v>300</x:v>
      </x:c>
      <x:c r="AJ255" s="1" t="n">
        <x:f>(AD255*'損益分岐設定'!$F$57+AE255*'損益分岐設定'!$F$60+AF255*'損益分岐設定'!$F$63*1)*'損益分岐設定'!$B$22</x:f>
        <x:v>1200</x:v>
      </x:c>
      <x:c r="AK255" s="1" t="n">
        <x:f>AD255*'損益分岐設定'!$G$57+AE255*'損益分岐設定'!$G$60+AF255*'損益分岐設定'!$G$63</x:f>
        <x:v>2000</x:v>
      </x:c>
      <x:c r="AL255" s="1" t="n">
        <x:f>AD255*'損益分岐設定'!$H$57+AE255*'損益分岐設定'!$H$60+AF255*'損益分岐設定'!$H$63</x:f>
        <x:v>866.6666666666667</x:v>
      </x:c>
      <x:c r="AM255" s="1" t="n">
        <x:f>MAX(1,ROUNDUP('損益分岐設定'!C37*AJ255/('損益分岐設定'!$B$23*'損益分岐設定'!$B$24*3600*'損益分岐設定'!$B$25),0))</x:f>
        <x:v>1</x:v>
      </x:c>
      <x:c r="AN255" s="1" t="n">
        <x:f>MAX(2,ROUNDUP('損益分岐設定'!C38*AJ255/('損益分岐設定'!$B$23*'損益分岐設定'!$B$24*3600*'損益分岐設定'!$B$25),0))</x:f>
        <x:v>2</x:v>
      </x:c>
      <x:c r="AO255" s="1" t="n">
        <x:f>MAX(2,ROUNDUP('損益分岐設定'!C39*AJ255/('損益分岐設定'!$B$23*'損益分岐設定'!$B$24*3600*'損益分岐設定'!$B$25),0))</x:f>
        <x:v>2</x:v>
      </x:c>
      <x:c r="AP255" s="1" t="n">
        <x:f>MAX(2,ROUNDUP('損益分岐設定'!C40*AJ255/('損益分岐設定'!$B$23*'損益分岐設定'!$B$24*3600*'損益分岐設定'!$B$25),0))</x:f>
        <x:v>3</x:v>
      </x:c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 ht="23" customHeight="1">
      <x:c r="A256" s="1" t="str">
        <x:v>Hybrid</x:v>
      </x:c>
      <x:c r="B256" s="1" t="str">
        <x:v>Business Plus</x:v>
      </x:c>
      <x:c r="C256" s="1" t="str">
        <x:v>標準</x:v>
      </x:c>
      <x:c r="D256" s="21" t="n">
        <x:v>0</x:v>
      </x:c>
      <x:c r="E256" s="1" t="n">
        <x:v>1</x:v>
      </x:c>
      <x:c r="F256" s="7" t="n">
        <x:f>AD256*'損益分岐設定'!$B$5+AE256*'損益分岐設定'!$B$6+AF256*'損益分岐設定'!$B$7</x:f>
        <x:v>8000</x:v>
      </x:c>
      <x:c r="G256" s="7" t="n">
        <x:f>AG256+(AH256+AI256)*('損益分岐設定'!$B$29+0.5*'損益分岐設定'!$B$30)+AK256*'損益分岐設定'!$B$33</x:f>
        <x:v>1031.4341073865594</x:v>
      </x:c>
      <x:c r="H256" s="7" t="n">
        <x:f>AL256*E256</x:f>
        <x:v>866.6666666666667</x:v>
      </x:c>
      <x:c r="I256" s="7" t="n">
        <x:f>F256*(1-D256-'損益分岐設定'!$B$10)-G256-H256</x:f>
        <x:v>5813.899225946773</x:v>
      </x:c>
      <x:c r="J256" s="1" t="n">
        <x:f>IF(MIN(V256:Y256)&gt;1000,"範囲内なし",MIN(V256:Y256))</x:f>
        <x:v>9</x:v>
      </x:c>
      <x:c r="K256" s="1" t="n">
        <x:f>IF(MAX(Z256:AC256)&gt;=1000,"範囲内なし",MAX(1,MAX(Z256:AC256)+1))</x:f>
        <x:v>12</x:v>
      </x:c>
      <x:c r="L256" s="7" t="n">
        <x:f>10*I256-R256</x:f>
        <x:v>6699.195569162417</x:v>
      </x:c>
      <x:c r="M256" s="7" t="n">
        <x:f>30*I256-S256</x:f>
        <x:v>106037.38339779255</x:v>
      </x:c>
      <x:c r="N256" s="7" t="n">
        <x:f>50*I256-S256</x:f>
        <x:v>222315.36791672802</x:v>
      </x:c>
      <x:c r="O256" s="7" t="n">
        <x:f>100*I256-S256</x:f>
        <x:v>513010.3292140667</x:v>
      </x:c>
      <x:c r="P256" s="7" t="n">
        <x:f>300*I256-T256</x:f>
        <x:v>1653790.1744034213</x:v>
      </x:c>
      <x:c r="Q256" s="7" t="n">
        <x:f>1000*I256-U256</x:f>
        <x:v>5681079.835875857</x:v>
      </x:c>
      <x:c r="R256" s="7" t="n">
        <x:f>'損益分岐設定'!$B$18+'損益分岐設定'!$B$19+'損益分岐設定'!$B$20+'損益分岐設定'!E37+'損益分岐設定'!D37+AM256*('損益分岐設定'!$B$15+'損益分岐設定'!$B$16)+'損益分岐設定'!$B$17+E256*('損益分岐設定'!$B$13+(AM256-1)*'損益分岐設定'!$B$14)*'損益分岐設定'!$B$11</x:f>
        <x:v>51439.79669030532</x:v>
      </x:c>
      <x:c r="S256" s="7" t="n">
        <x:f>'損益分岐設定'!$B$18+'損益分岐設定'!$B$19+'損益分岐設定'!$B$20+'損益分岐設定'!E38+'損益分岐設定'!D38+AN256*('損益分岐設定'!$B$15+'損益分岐設定'!$B$16)+'損益分岐設定'!$B$17+E256*('損益分岐設定'!$B$13+(AN256-1)*'損益分岐設定'!$B$14)*'損益分岐設定'!$B$11</x:f>
        <x:v>68379.59338061063</x:v>
      </x:c>
      <x:c r="T256" s="7" t="n">
        <x:f>'損益分岐設定'!$B$18+'損益分岐設定'!$B$19+'損益分岐設定'!$B$20+'損益分岐設定'!E39+'損益分岐設定'!D39+AO256*('損益分岐設定'!$B$15+'損益分岐設定'!$B$16)+'損益分岐設定'!$B$17+E256*('損益分岐設定'!$B$13+(AO256-1)*'損益分岐設定'!$B$14)*'損益分岐設定'!$B$11</x:f>
        <x:v>90379.59338061063</x:v>
      </x:c>
      <x:c r="U256" s="7" t="n">
        <x:f>'損益分岐設定'!$B$18+'損益分岐設定'!$B$19+'損益分岐設定'!$B$20+'損益分岐設定'!E40+'損益分岐設定'!D40+AP256*('損益分岐設定'!$B$15+'損益分岐設定'!$B$16)+'損益分岐設定'!$B$17+E256*('損益分岐設定'!$B$13+(AP256-1)*'損益分岐設定'!$B$14)*'損益分岐設定'!$B$11</x:f>
        <x:v>132819.39007091595</x:v>
      </x:c>
      <x:c r="V256" s="1" t="n">
        <x:f>IF(I256&lt;=0,1001,IF(MAX('損益分岐設定'!B37,ROUNDUP(R256/I256,0))&lt;='損益分岐設定'!C37,MAX('損益分岐設定'!B37,ROUNDUP(R256/I256,0)),1001))</x:f>
        <x:v>9</x:v>
      </x:c>
      <x:c r="W256" s="1" t="n">
        <x:f>IF(I256&lt;=0,1001,IF(MAX('損益分岐設定'!B38,ROUNDUP(S256/I256,0))&lt;='損益分岐設定'!C38,MAX('損益分岐設定'!B38,ROUNDUP(S256/I256,0)),1001))</x:f>
        <x:v>12</x:v>
      </x:c>
      <x:c r="X256" s="1" t="n">
        <x:f>IF(I256&lt;=0,1001,IF(MAX('損益分岐設定'!B39,ROUNDUP(T256/I256,0))&lt;='損益分岐設定'!C39,MAX('損益分岐設定'!B39,ROUNDUP(T256/I256,0)),1001))</x:f>
        <x:v>101</x:v>
      </x:c>
      <x:c r="Y256" s="1" t="n">
        <x:f>IF(I256&lt;=0,1001,IF(MAX('損益分岐設定'!B40,ROUNDUP(U256/I256,0))&lt;='損益分岐設定'!C40,MAX('損益分岐設定'!B40,ROUNDUP(U256/I256,0)),1001))</x:f>
        <x:v>501</x:v>
      </x:c>
      <x:c r="Z256" s="1" t="n">
        <x:f>IF(I256&lt;=0,'損益分岐設定'!C37,IF('損益分岐設定'!C37*I256-R256&lt;0,'損益分岐設定'!C37,IF('損益分岐設定'!B37*I256-R256&gt;=0,0,ROUNDUP(R256/I256,0)-1)))</x:f>
        <x:v>8</x:v>
      </x:c>
      <x:c r="AA256" s="1" t="n">
        <x:f>IF(I256&lt;=0,'損益分岐設定'!C38,IF('損益分岐設定'!C38*I256-S256&lt;0,'損益分岐設定'!C38,IF('損益分岐設定'!B38*I256-S256&gt;=0,0,ROUNDUP(S256/I256,0)-1)))</x:f>
        <x:v>11</x:v>
      </x:c>
      <x:c r="AB256" s="1" t="n">
        <x:f>IF(I256&lt;=0,'損益分岐設定'!C39,IF('損益分岐設定'!C39*I256-T256&lt;0,'損益分岐設定'!C39,IF('損益分岐設定'!B39*I256-T256&gt;=0,0,ROUNDUP(T256/I256,0)-1)))</x:f>
        <x:v>0</x:v>
      </x:c>
      <x:c r="AC256" s="1" t="n">
        <x:f>IF(I256&lt;=0,'損益分岐設定'!C40,IF('損益分岐設定'!C40*I256-U256&lt;0,'損益分岐設定'!C40,IF('損益分岐設定'!B40*I256-U256&gt;=0,0,ROUNDUP(U256/I256,0)-1)))</x:f>
        <x:v>0</x:v>
      </x:c>
      <x:c r="AD256" s="1" t="n">
        <x:v>0</x:v>
      </x:c>
      <x:c r="AE256" s="1" t="n">
        <x:v>0</x:v>
      </x:c>
      <x:c r="AF256" s="1" t="n">
        <x:v>1</x:v>
      </x:c>
      <x:c r="AG256" s="1" t="n">
        <x:f>AD256*'損益分岐設定'!$C$57+AE256*'損益分岐設定'!$C$60+AF256*'損益分岐設定'!$C$63</x:f>
        <x:v>1028.9614318847655</x:v>
      </x:c>
      <x:c r="AH256" s="1" t="n">
        <x:f>AD256*'損益分岐設定'!$D$57+AE256*'損益分岐設定'!$D$60+AF256*'損益分岐設定'!$D$63</x:f>
        <x:v>300</x:v>
      </x:c>
      <x:c r="AI256" s="1" t="n">
        <x:f>AD256*'損益分岐設定'!$E$57+AE256*'損益分岐設定'!$E$60+AF256*'損益分岐設定'!$E$63</x:f>
        <x:v>300</x:v>
      </x:c>
      <x:c r="AJ256" s="1" t="n">
        <x:f>(AD256*'損益分岐設定'!$F$57+AE256*'損益分岐設定'!$F$60+AF256*'損益分岐設定'!$F$63*1)*'損益分岐設定'!$B$22</x:f>
        <x:v>1200</x:v>
      </x:c>
      <x:c r="AK256" s="1" t="n">
        <x:f>AD256*'損益分岐設定'!$G$57+AE256*'損益分岐設定'!$G$60+AF256*'損益分岐設定'!$G$63</x:f>
        <x:v>2000</x:v>
      </x:c>
      <x:c r="AL256" s="1" t="n">
        <x:f>AD256*'損益分岐設定'!$H$57+AE256*'損益分岐設定'!$H$60+AF256*'損益分岐設定'!$H$63</x:f>
        <x:v>866.6666666666667</x:v>
      </x:c>
      <x:c r="AM256" s="1" t="n">
        <x:f>MAX(1,ROUNDUP('損益分岐設定'!C37*AJ256/('損益分岐設定'!$B$23*'損益分岐設定'!$B$24*3600*'損益分岐設定'!$B$25),0))</x:f>
        <x:v>1</x:v>
      </x:c>
      <x:c r="AN256" s="1" t="n">
        <x:f>MAX(2,ROUNDUP('損益分岐設定'!C38*AJ256/('損益分岐設定'!$B$23*'損益分岐設定'!$B$24*3600*'損益分岐設定'!$B$25),0))</x:f>
        <x:v>2</x:v>
      </x:c>
      <x:c r="AO256" s="1" t="n">
        <x:f>MAX(2,ROUNDUP('損益分岐設定'!C39*AJ256/('損益分岐設定'!$B$23*'損益分岐設定'!$B$24*3600*'損益分岐設定'!$B$25),0))</x:f>
        <x:v>2</x:v>
      </x:c>
      <x:c r="AP256" s="1" t="n">
        <x:f>MAX(2,ROUNDUP('損益分岐設定'!C40*AJ256/('損益分岐設定'!$B$23*'損益分岐設定'!$B$24*3600*'損益分岐設定'!$B$25),0))</x:f>
        <x:v>3</x:v>
      </x:c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 ht="23" customHeight="1">
      <x:c r="A257" s="1" t="str">
        <x:v>Hybrid</x:v>
      </x:c>
      <x:c r="B257" s="1" t="str">
        <x:v>Business Plus</x:v>
      </x:c>
      <x:c r="C257" s="1" t="str">
        <x:v>標準</x:v>
      </x:c>
      <x:c r="D257" s="21" t="n">
        <x:v>0.2</x:v>
      </x:c>
      <x:c r="E257" s="1" t="n">
        <x:v>0</x:v>
      </x:c>
      <x:c r="F257" s="7" t="n">
        <x:f>AD257*'損益分岐設定'!$B$5+AE257*'損益分岐設定'!$B$6+AF257*'損益分岐設定'!$B$7</x:f>
        <x:v>8000</x:v>
      </x:c>
      <x:c r="G257" s="7" t="n">
        <x:f>AG257+(AH257+AI257)*('損益分岐設定'!$B$29+0.5*'損益分岐設定'!$B$30)+AK257*'損益分岐設定'!$B$33</x:f>
        <x:v>1031.4341073865594</x:v>
      </x:c>
      <x:c r="H257" s="7" t="n">
        <x:f>AL257*E257</x:f>
        <x:v>0</x:v>
      </x:c>
      <x:c r="I257" s="7" t="n">
        <x:f>F257*(1-D257-'損益分岐設定'!$B$10)-G257-H257</x:f>
        <x:v>5080.56589261344</x:v>
      </x:c>
      <x:c r="J257" s="1" t="n">
        <x:f>IF(MIN(V257:Y257)&gt;1000,"範囲内なし",MIN(V257:Y257))</x:f>
        <x:v>7</x:v>
      </x:c>
      <x:c r="K257" s="1" t="n">
        <x:f>IF(MAX(Z257:AC257)&gt;=1000,"範囲内なし",MAX(1,MAX(Z257:AC257)+1))</x:f>
        <x:v>7</x:v>
      </x:c>
      <x:c r="L257" s="7" t="n">
        <x:f>10*I257-R257</x:f>
        <x:v>15365.862235829089</x:v>
      </x:c>
      <x:c r="M257" s="7" t="n">
        <x:f>30*I257-S257</x:f>
        <x:v>102037.38339779258</x:v>
      </x:c>
      <x:c r="N257" s="7" t="n">
        <x:f>50*I257-S257</x:f>
        <x:v>203648.70125006136</x:v>
      </x:c>
      <x:c r="O257" s="7" t="n">
        <x:f>100*I257-S257</x:f>
        <x:v>457676.99588073336</x:v>
      </x:c>
      <x:c r="P257" s="7" t="n">
        <x:f>300*I257-T257</x:f>
        <x:v>1451790.1744034213</x:v>
      </x:c>
      <x:c r="Q257" s="7" t="n">
        <x:f>1000*I257-U257</x:f>
        <x:v>4967746.502542524</x:v>
      </x:c>
      <x:c r="R257" s="7" t="n">
        <x:f>'損益分岐設定'!$B$18+'損益分岐設定'!$B$19+'損益分岐設定'!$B$20+'損益分岐設定'!E37+'損益分岐設定'!D37+AM257*('損益分岐設定'!$B$15+'損益分岐設定'!$B$16)+'損益分岐設定'!$B$17+E257*('損益分岐設定'!$B$13+(AM257-1)*'損益分岐設定'!$B$14)*'損益分岐設定'!$B$11</x:f>
        <x:v>35439.79669030532</x:v>
      </x:c>
      <x:c r="S257" s="7" t="n">
        <x:f>'損益分岐設定'!$B$18+'損益分岐設定'!$B$19+'損益分岐設定'!$B$20+'損益分岐設定'!E38+'損益分岐設定'!D38+AN257*('損益分岐設定'!$B$15+'損益分岐設定'!$B$16)+'損益分岐設定'!$B$17+E257*('損益分岐設定'!$B$13+(AN257-1)*'損益分岐設定'!$B$14)*'損益分岐設定'!$B$11</x:f>
        <x:v>50379.59338061063</x:v>
      </x:c>
      <x:c r="T257" s="7" t="n">
        <x:f>'損益分岐設定'!$B$18+'損益分岐設定'!$B$19+'損益分岐設定'!$B$20+'損益分岐設定'!E39+'損益分岐設定'!D39+AO257*('損益分岐設定'!$B$15+'損益分岐設定'!$B$16)+'損益分岐設定'!$B$17+E257*('損益分岐設定'!$B$13+(AO257-1)*'損益分岐設定'!$B$14)*'損益分岐設定'!$B$11</x:f>
        <x:v>72379.59338061063</x:v>
      </x:c>
      <x:c r="U257" s="7" t="n">
        <x:f>'損益分岐設定'!$B$18+'損益分岐設定'!$B$19+'損益分岐設定'!$B$20+'損益分岐設定'!E40+'損益分岐設定'!D40+AP257*('損益分岐設定'!$B$15+'損益分岐設定'!$B$16)+'損益分岐設定'!$B$17+E257*('損益分岐設定'!$B$13+(AP257-1)*'損益分岐設定'!$B$14)*'損益分岐設定'!$B$11</x:f>
        <x:v>112819.39007091595</x:v>
      </x:c>
      <x:c r="V257" s="1" t="n">
        <x:f>IF(I257&lt;=0,1001,IF(MAX('損益分岐設定'!B37,ROUNDUP(R257/I257,0))&lt;='損益分岐設定'!C37,MAX('損益分岐設定'!B37,ROUNDUP(R257/I257,0)),1001))</x:f>
        <x:v>7</x:v>
      </x:c>
      <x:c r="W257" s="1" t="n">
        <x:f>IF(I257&lt;=0,1001,IF(MAX('損益分岐設定'!B38,ROUNDUP(S257/I257,0))&lt;='損益分岐設定'!C38,MAX('損益分岐設定'!B38,ROUNDUP(S257/I257,0)),1001))</x:f>
        <x:v>11</x:v>
      </x:c>
      <x:c r="X257" s="1" t="n">
        <x:f>IF(I257&lt;=0,1001,IF(MAX('損益分岐設定'!B39,ROUNDUP(T257/I257,0))&lt;='損益分岐設定'!C39,MAX('損益分岐設定'!B39,ROUNDUP(T257/I257,0)),1001))</x:f>
        <x:v>101</x:v>
      </x:c>
      <x:c r="Y257" s="1" t="n">
        <x:f>IF(I257&lt;=0,1001,IF(MAX('損益分岐設定'!B40,ROUNDUP(U257/I257,0))&lt;='損益分岐設定'!C40,MAX('損益分岐設定'!B40,ROUNDUP(U257/I257,0)),1001))</x:f>
        <x:v>501</x:v>
      </x:c>
      <x:c r="Z257" s="1" t="n">
        <x:f>IF(I257&lt;=0,'損益分岐設定'!C37,IF('損益分岐設定'!C37*I257-R257&lt;0,'損益分岐設定'!C37,IF('損益分岐設定'!B37*I257-R257&gt;=0,0,ROUNDUP(R257/I257,0)-1)))</x:f>
        <x:v>6</x:v>
      </x:c>
      <x:c r="AA257" s="1" t="n">
        <x:f>IF(I257&lt;=0,'損益分岐設定'!C38,IF('損益分岐設定'!C38*I257-S257&lt;0,'損益分岐設定'!C38,IF('損益分岐設定'!B38*I257-S257&gt;=0,0,ROUNDUP(S257/I257,0)-1)))</x:f>
        <x:v>0</x:v>
      </x:c>
      <x:c r="AB257" s="1" t="n">
        <x:f>IF(I257&lt;=0,'損益分岐設定'!C39,IF('損益分岐設定'!C39*I257-T257&lt;0,'損益分岐設定'!C39,IF('損益分岐設定'!B39*I257-T257&gt;=0,0,ROUNDUP(T257/I257,0)-1)))</x:f>
        <x:v>0</x:v>
      </x:c>
      <x:c r="AC257" s="1" t="n">
        <x:f>IF(I257&lt;=0,'損益分岐設定'!C40,IF('損益分岐設定'!C40*I257-U257&lt;0,'損益分岐設定'!C40,IF('損益分岐設定'!B40*I257-U257&gt;=0,0,ROUNDUP(U257/I257,0)-1)))</x:f>
        <x:v>0</x:v>
      </x:c>
      <x:c r="AD257" s="1" t="n">
        <x:v>0</x:v>
      </x:c>
      <x:c r="AE257" s="1" t="n">
        <x:v>0</x:v>
      </x:c>
      <x:c r="AF257" s="1" t="n">
        <x:v>1</x:v>
      </x:c>
      <x:c r="AG257" s="1" t="n">
        <x:f>AD257*'損益分岐設定'!$C$57+AE257*'損益分岐設定'!$C$60+AF257*'損益分岐設定'!$C$63</x:f>
        <x:v>1028.9614318847655</x:v>
      </x:c>
      <x:c r="AH257" s="1" t="n">
        <x:f>AD257*'損益分岐設定'!$D$57+AE257*'損益分岐設定'!$D$60+AF257*'損益分岐設定'!$D$63</x:f>
        <x:v>300</x:v>
      </x:c>
      <x:c r="AI257" s="1" t="n">
        <x:f>AD257*'損益分岐設定'!$E$57+AE257*'損益分岐設定'!$E$60+AF257*'損益分岐設定'!$E$63</x:f>
        <x:v>300</x:v>
      </x:c>
      <x:c r="AJ257" s="1" t="n">
        <x:f>(AD257*'損益分岐設定'!$F$57+AE257*'損益分岐設定'!$F$60+AF257*'損益分岐設定'!$F$63*1)*'損益分岐設定'!$B$22</x:f>
        <x:v>1200</x:v>
      </x:c>
      <x:c r="AK257" s="1" t="n">
        <x:f>AD257*'損益分岐設定'!$G$57+AE257*'損益分岐設定'!$G$60+AF257*'損益分岐設定'!$G$63</x:f>
        <x:v>2000</x:v>
      </x:c>
      <x:c r="AL257" s="1" t="n">
        <x:f>AD257*'損益分岐設定'!$H$57+AE257*'損益分岐設定'!$H$60+AF257*'損益分岐設定'!$H$63</x:f>
        <x:v>866.6666666666667</x:v>
      </x:c>
      <x:c r="AM257" s="1" t="n">
        <x:f>MAX(1,ROUNDUP('損益分岐設定'!C37*AJ257/('損益分岐設定'!$B$23*'損益分岐設定'!$B$24*3600*'損益分岐設定'!$B$25),0))</x:f>
        <x:v>1</x:v>
      </x:c>
      <x:c r="AN257" s="1" t="n">
        <x:f>MAX(2,ROUNDUP('損益分岐設定'!C38*AJ257/('損益分岐設定'!$B$23*'損益分岐設定'!$B$24*3600*'損益分岐設定'!$B$25),0))</x:f>
        <x:v>2</x:v>
      </x:c>
      <x:c r="AO257" s="1" t="n">
        <x:f>MAX(2,ROUNDUP('損益分岐設定'!C39*AJ257/('損益分岐設定'!$B$23*'損益分岐設定'!$B$24*3600*'損益分岐設定'!$B$25),0))</x:f>
        <x:v>2</x:v>
      </x:c>
      <x:c r="AP257" s="1" t="n">
        <x:f>MAX(2,ROUNDUP('損益分岐設定'!C40*AJ257/('損益分岐設定'!$B$23*'損益分岐設定'!$B$24*3600*'損益分岐設定'!$B$25),0))</x:f>
        <x:v>3</x:v>
      </x:c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 ht="23" customHeight="1">
      <x:c r="A258" s="1" t="str">
        <x:v>Hybrid</x:v>
      </x:c>
      <x:c r="B258" s="1" t="str">
        <x:v>Business Plus</x:v>
      </x:c>
      <x:c r="C258" s="1" t="str">
        <x:v>標準</x:v>
      </x:c>
      <x:c r="D258" s="21" t="n">
        <x:v>0.2</x:v>
      </x:c>
      <x:c r="E258" s="1" t="n">
        <x:v>1</x:v>
      </x:c>
      <x:c r="F258" s="7" t="n">
        <x:f>AD258*'損益分岐設定'!$B$5+AE258*'損益分岐設定'!$B$6+AF258*'損益分岐設定'!$B$7</x:f>
        <x:v>8000</x:v>
      </x:c>
      <x:c r="G258" s="7" t="n">
        <x:f>AG258+(AH258+AI258)*('損益分岐設定'!$B$29+0.5*'損益分岐設定'!$B$30)+AK258*'損益分岐設定'!$B$33</x:f>
        <x:v>1031.4341073865594</x:v>
      </x:c>
      <x:c r="H258" s="7" t="n">
        <x:f>AL258*E258</x:f>
        <x:v>866.6666666666667</x:v>
      </x:c>
      <x:c r="I258" s="7" t="n">
        <x:f>F258*(1-D258-'損益分岐設定'!$B$10)-G258-H258</x:f>
        <x:v>4213.899225946773</x:v>
      </x:c>
      <x:c r="J258" s="1" t="n">
        <x:f>IF(MIN(V258:Y258)&gt;1000,"範囲内なし",MIN(V258:Y258))</x:f>
        <x:v>17</x:v>
      </x:c>
      <x:c r="K258" s="1" t="n">
        <x:f>IF(MAX(Z258:AC258)&gt;=1000,"範囲内なし",MAX(1,MAX(Z258:AC258)+1))</x:f>
        <x:v>17</x:v>
      </x:c>
      <x:c r="L258" s="7" t="n">
        <x:f>10*I258-R258</x:f>
        <x:v>-9300.804430837583</x:v>
      </x:c>
      <x:c r="M258" s="7" t="n">
        <x:f>30*I258-S258</x:f>
        <x:v>58037.38339779257</x:v>
      </x:c>
      <x:c r="N258" s="7" t="n">
        <x:f>50*I258-S258</x:f>
        <x:v>142315.36791672802</x:v>
      </x:c>
      <x:c r="O258" s="7" t="n">
        <x:f>100*I258-S258</x:f>
        <x:v>353010.3292140667</x:v>
      </x:c>
      <x:c r="P258" s="7" t="n">
        <x:f>300*I258-T258</x:f>
        <x:v>1173790.1744034213</x:v>
      </x:c>
      <x:c r="Q258" s="7" t="n">
        <x:f>1000*I258-U258</x:f>
        <x:v>4081079.8358758567</x:v>
      </x:c>
      <x:c r="R258" s="7" t="n">
        <x:f>'損益分岐設定'!$B$18+'損益分岐設定'!$B$19+'損益分岐設定'!$B$20+'損益分岐設定'!E37+'損益分岐設定'!D37+AM258*('損益分岐設定'!$B$15+'損益分岐設定'!$B$16)+'損益分岐設定'!$B$17+E258*('損益分岐設定'!$B$13+(AM258-1)*'損益分岐設定'!$B$14)*'損益分岐設定'!$B$11</x:f>
        <x:v>51439.79669030532</x:v>
      </x:c>
      <x:c r="S258" s="7" t="n">
        <x:f>'損益分岐設定'!$B$18+'損益分岐設定'!$B$19+'損益分岐設定'!$B$20+'損益分岐設定'!E38+'損益分岐設定'!D38+AN258*('損益分岐設定'!$B$15+'損益分岐設定'!$B$16)+'損益分岐設定'!$B$17+E258*('損益分岐設定'!$B$13+(AN258-1)*'損益分岐設定'!$B$14)*'損益分岐設定'!$B$11</x:f>
        <x:v>68379.59338061063</x:v>
      </x:c>
      <x:c r="T258" s="7" t="n">
        <x:f>'損益分岐設定'!$B$18+'損益分岐設定'!$B$19+'損益分岐設定'!$B$20+'損益分岐設定'!E39+'損益分岐設定'!D39+AO258*('損益分岐設定'!$B$15+'損益分岐設定'!$B$16)+'損益分岐設定'!$B$17+E258*('損益分岐設定'!$B$13+(AO258-1)*'損益分岐設定'!$B$14)*'損益分岐設定'!$B$11</x:f>
        <x:v>90379.59338061063</x:v>
      </x:c>
      <x:c r="U258" s="7" t="n">
        <x:f>'損益分岐設定'!$B$18+'損益分岐設定'!$B$19+'損益分岐設定'!$B$20+'損益分岐設定'!E40+'損益分岐設定'!D40+AP258*('損益分岐設定'!$B$15+'損益分岐設定'!$B$16)+'損益分岐設定'!$B$17+E258*('損益分岐設定'!$B$13+(AP258-1)*'損益分岐設定'!$B$14)*'損益分岐設定'!$B$11</x:f>
        <x:v>132819.39007091595</x:v>
      </x:c>
      <x:c r="V258" s="1" t="n">
        <x:f>IF(I258&lt;=0,1001,IF(MAX('損益分岐設定'!B37,ROUNDUP(R258/I258,0))&lt;='損益分岐設定'!C37,MAX('損益分岐設定'!B37,ROUNDUP(R258/I258,0)),1001))</x:f>
        <x:v>1001</x:v>
      </x:c>
      <x:c r="W258" s="1" t="n">
        <x:f>IF(I258&lt;=0,1001,IF(MAX('損益分岐設定'!B38,ROUNDUP(S258/I258,0))&lt;='損益分岐設定'!C38,MAX('損益分岐設定'!B38,ROUNDUP(S258/I258,0)),1001))</x:f>
        <x:v>17</x:v>
      </x:c>
      <x:c r="X258" s="1" t="n">
        <x:f>IF(I258&lt;=0,1001,IF(MAX('損益分岐設定'!B39,ROUNDUP(T258/I258,0))&lt;='損益分岐設定'!C39,MAX('損益分岐設定'!B39,ROUNDUP(T258/I258,0)),1001))</x:f>
        <x:v>101</x:v>
      </x:c>
      <x:c r="Y258" s="1" t="n">
        <x:f>IF(I258&lt;=0,1001,IF(MAX('損益分岐設定'!B40,ROUNDUP(U258/I258,0))&lt;='損益分岐設定'!C40,MAX('損益分岐設定'!B40,ROUNDUP(U258/I258,0)),1001))</x:f>
        <x:v>501</x:v>
      </x:c>
      <x:c r="Z258" s="1" t="n">
        <x:f>IF(I258&lt;=0,'損益分岐設定'!C37,IF('損益分岐設定'!C37*I258-R258&lt;0,'損益分岐設定'!C37,IF('損益分岐設定'!B37*I258-R258&gt;=0,0,ROUNDUP(R258/I258,0)-1)))</x:f>
        <x:v>10</x:v>
      </x:c>
      <x:c r="AA258" s="1" t="n">
        <x:f>IF(I258&lt;=0,'損益分岐設定'!C38,IF('損益分岐設定'!C38*I258-S258&lt;0,'損益分岐設定'!C38,IF('損益分岐設定'!B38*I258-S258&gt;=0,0,ROUNDUP(S258/I258,0)-1)))</x:f>
        <x:v>16</x:v>
      </x:c>
      <x:c r="AB258" s="1" t="n">
        <x:f>IF(I258&lt;=0,'損益分岐設定'!C39,IF('損益分岐設定'!C39*I258-T258&lt;0,'損益分岐設定'!C39,IF('損益分岐設定'!B39*I258-T258&gt;=0,0,ROUNDUP(T258/I258,0)-1)))</x:f>
        <x:v>0</x:v>
      </x:c>
      <x:c r="AC258" s="1" t="n">
        <x:f>IF(I258&lt;=0,'損益分岐設定'!C40,IF('損益分岐設定'!C40*I258-U258&lt;0,'損益分岐設定'!C40,IF('損益分岐設定'!B40*I258-U258&gt;=0,0,ROUNDUP(U258/I258,0)-1)))</x:f>
        <x:v>0</x:v>
      </x:c>
      <x:c r="AD258" s="1" t="n">
        <x:v>0</x:v>
      </x:c>
      <x:c r="AE258" s="1" t="n">
        <x:v>0</x:v>
      </x:c>
      <x:c r="AF258" s="1" t="n">
        <x:v>1</x:v>
      </x:c>
      <x:c r="AG258" s="1" t="n">
        <x:f>AD258*'損益分岐設定'!$C$57+AE258*'損益分岐設定'!$C$60+AF258*'損益分岐設定'!$C$63</x:f>
        <x:v>1028.9614318847655</x:v>
      </x:c>
      <x:c r="AH258" s="1" t="n">
        <x:f>AD258*'損益分岐設定'!$D$57+AE258*'損益分岐設定'!$D$60+AF258*'損益分岐設定'!$D$63</x:f>
        <x:v>300</x:v>
      </x:c>
      <x:c r="AI258" s="1" t="n">
        <x:f>AD258*'損益分岐設定'!$E$57+AE258*'損益分岐設定'!$E$60+AF258*'損益分岐設定'!$E$63</x:f>
        <x:v>300</x:v>
      </x:c>
      <x:c r="AJ258" s="1" t="n">
        <x:f>(AD258*'損益分岐設定'!$F$57+AE258*'損益分岐設定'!$F$60+AF258*'損益分岐設定'!$F$63*1)*'損益分岐設定'!$B$22</x:f>
        <x:v>1200</x:v>
      </x:c>
      <x:c r="AK258" s="1" t="n">
        <x:f>AD258*'損益分岐設定'!$G$57+AE258*'損益分岐設定'!$G$60+AF258*'損益分岐設定'!$G$63</x:f>
        <x:v>2000</x:v>
      </x:c>
      <x:c r="AL258" s="1" t="n">
        <x:f>AD258*'損益分岐設定'!$H$57+AE258*'損益分岐設定'!$H$60+AF258*'損益分岐設定'!$H$63</x:f>
        <x:v>866.6666666666667</x:v>
      </x:c>
      <x:c r="AM258" s="1" t="n">
        <x:f>MAX(1,ROUNDUP('損益分岐設定'!C37*AJ258/('損益分岐設定'!$B$23*'損益分岐設定'!$B$24*3600*'損益分岐設定'!$B$25),0))</x:f>
        <x:v>1</x:v>
      </x:c>
      <x:c r="AN258" s="1" t="n">
        <x:f>MAX(2,ROUNDUP('損益分岐設定'!C38*AJ258/('損益分岐設定'!$B$23*'損益分岐設定'!$B$24*3600*'損益分岐設定'!$B$25),0))</x:f>
        <x:v>2</x:v>
      </x:c>
      <x:c r="AO258" s="1" t="n">
        <x:f>MAX(2,ROUNDUP('損益分岐設定'!C39*AJ258/('損益分岐設定'!$B$23*'損益分岐設定'!$B$24*3600*'損益分岐設定'!$B$25),0))</x:f>
        <x:v>2</x:v>
      </x:c>
      <x:c r="AP258" s="1" t="n">
        <x:f>MAX(2,ROUNDUP('損益分岐設定'!C40*AJ258/('損益分岐設定'!$B$23*'損益分岐設定'!$B$24*3600*'損益分岐設定'!$B$25),0))</x:f>
        <x:v>3</x:v>
      </x:c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 ht="23" customHeight="1">
      <x:c r="A259" s="1" t="str">
        <x:v>Hybrid</x:v>
      </x:c>
      <x:c r="B259" s="1" t="str">
        <x:v>Business Plus</x:v>
      </x:c>
      <x:c r="C259" s="1" t="str">
        <x:v>標準</x:v>
      </x:c>
      <x:c r="D259" s="21" t="n">
        <x:v>0.3</x:v>
      </x:c>
      <x:c r="E259" s="1" t="n">
        <x:v>0</x:v>
      </x:c>
      <x:c r="F259" s="7" t="n">
        <x:f>AD259*'損益分岐設定'!$B$5+AE259*'損益分岐設定'!$B$6+AF259*'損益分岐設定'!$B$7</x:f>
        <x:v>8000</x:v>
      </x:c>
      <x:c r="G259" s="7" t="n">
        <x:f>AG259+(AH259+AI259)*('損益分岐設定'!$B$29+0.5*'損益分岐設定'!$B$30)+AK259*'損益分岐設定'!$B$33</x:f>
        <x:v>1031.4341073865594</x:v>
      </x:c>
      <x:c r="H259" s="7" t="n">
        <x:f>AL259*E259</x:f>
        <x:v>0</x:v>
      </x:c>
      <x:c r="I259" s="7" t="n">
        <x:f>F259*(1-D259-'損益分岐設定'!$B$10)-G259-H259</x:f>
        <x:v>4280.56589261344</x:v>
      </x:c>
      <x:c r="J259" s="1" t="n">
        <x:f>IF(MIN(V259:Y259)&gt;1000,"範囲内なし",MIN(V259:Y259))</x:f>
        <x:v>9</x:v>
      </x:c>
      <x:c r="K259" s="1" t="n">
        <x:f>IF(MAX(Z259:AC259)&gt;=1000,"範囲内なし",MAX(1,MAX(Z259:AC259)+1))</x:f>
        <x:v>12</x:v>
      </x:c>
      <x:c r="L259" s="7" t="n">
        <x:f>10*I259-R259</x:f>
        <x:v>7365.862235829089</x:v>
      </x:c>
      <x:c r="M259" s="7" t="n">
        <x:f>30*I259-S259</x:f>
        <x:v>78037.38339779257</x:v>
      </x:c>
      <x:c r="N259" s="7" t="n">
        <x:f>50*I259-S259</x:f>
        <x:v>163648.70125006136</x:v>
      </x:c>
      <x:c r="O259" s="7" t="n">
        <x:f>100*I259-S259</x:f>
        <x:v>377676.99588073336</x:v>
      </x:c>
      <x:c r="P259" s="7" t="n">
        <x:f>300*I259-T259</x:f>
        <x:v>1211790.1744034213</x:v>
      </x:c>
      <x:c r="Q259" s="7" t="n">
        <x:f>1000*I259-U259</x:f>
        <x:v>4167746.5025425237</x:v>
      </x:c>
      <x:c r="R259" s="7" t="n">
        <x:f>'損益分岐設定'!$B$18+'損益分岐設定'!$B$19+'損益分岐設定'!$B$20+'損益分岐設定'!E37+'損益分岐設定'!D37+AM259*('損益分岐設定'!$B$15+'損益分岐設定'!$B$16)+'損益分岐設定'!$B$17+E259*('損益分岐設定'!$B$13+(AM259-1)*'損益分岐設定'!$B$14)*'損益分岐設定'!$B$11</x:f>
        <x:v>35439.79669030532</x:v>
      </x:c>
      <x:c r="S259" s="7" t="n">
        <x:f>'損益分岐設定'!$B$18+'損益分岐設定'!$B$19+'損益分岐設定'!$B$20+'損益分岐設定'!E38+'損益分岐設定'!D38+AN259*('損益分岐設定'!$B$15+'損益分岐設定'!$B$16)+'損益分岐設定'!$B$17+E259*('損益分岐設定'!$B$13+(AN259-1)*'損益分岐設定'!$B$14)*'損益分岐設定'!$B$11</x:f>
        <x:v>50379.59338061063</x:v>
      </x:c>
      <x:c r="T259" s="7" t="n">
        <x:f>'損益分岐設定'!$B$18+'損益分岐設定'!$B$19+'損益分岐設定'!$B$20+'損益分岐設定'!E39+'損益分岐設定'!D39+AO259*('損益分岐設定'!$B$15+'損益分岐設定'!$B$16)+'損益分岐設定'!$B$17+E259*('損益分岐設定'!$B$13+(AO259-1)*'損益分岐設定'!$B$14)*'損益分岐設定'!$B$11</x:f>
        <x:v>72379.59338061063</x:v>
      </x:c>
      <x:c r="U259" s="7" t="n">
        <x:f>'損益分岐設定'!$B$18+'損益分岐設定'!$B$19+'損益分岐設定'!$B$20+'損益分岐設定'!E40+'損益分岐設定'!D40+AP259*('損益分岐設定'!$B$15+'損益分岐設定'!$B$16)+'損益分岐設定'!$B$17+E259*('損益分岐設定'!$B$13+(AP259-1)*'損益分岐設定'!$B$14)*'損益分岐設定'!$B$11</x:f>
        <x:v>112819.39007091595</x:v>
      </x:c>
      <x:c r="V259" s="1" t="n">
        <x:f>IF(I259&lt;=0,1001,IF(MAX('損益分岐設定'!B37,ROUNDUP(R259/I259,0))&lt;='損益分岐設定'!C37,MAX('損益分岐設定'!B37,ROUNDUP(R259/I259,0)),1001))</x:f>
        <x:v>9</x:v>
      </x:c>
      <x:c r="W259" s="1" t="n">
        <x:f>IF(I259&lt;=0,1001,IF(MAX('損益分岐設定'!B38,ROUNDUP(S259/I259,0))&lt;='損益分岐設定'!C38,MAX('損益分岐設定'!B38,ROUNDUP(S259/I259,0)),1001))</x:f>
        <x:v>12</x:v>
      </x:c>
      <x:c r="X259" s="1" t="n">
        <x:f>IF(I259&lt;=0,1001,IF(MAX('損益分岐設定'!B39,ROUNDUP(T259/I259,0))&lt;='損益分岐設定'!C39,MAX('損益分岐設定'!B39,ROUNDUP(T259/I259,0)),1001))</x:f>
        <x:v>101</x:v>
      </x:c>
      <x:c r="Y259" s="1" t="n">
        <x:f>IF(I259&lt;=0,1001,IF(MAX('損益分岐設定'!B40,ROUNDUP(U259/I259,0))&lt;='損益分岐設定'!C40,MAX('損益分岐設定'!B40,ROUNDUP(U259/I259,0)),1001))</x:f>
        <x:v>501</x:v>
      </x:c>
      <x:c r="Z259" s="1" t="n">
        <x:f>IF(I259&lt;=0,'損益分岐設定'!C37,IF('損益分岐設定'!C37*I259-R259&lt;0,'損益分岐設定'!C37,IF('損益分岐設定'!B37*I259-R259&gt;=0,0,ROUNDUP(R259/I259,0)-1)))</x:f>
        <x:v>8</x:v>
      </x:c>
      <x:c r="AA259" s="1" t="n">
        <x:f>IF(I259&lt;=0,'損益分岐設定'!C38,IF('損益分岐設定'!C38*I259-S259&lt;0,'損益分岐設定'!C38,IF('損益分岐設定'!B38*I259-S259&gt;=0,0,ROUNDUP(S259/I259,0)-1)))</x:f>
        <x:v>11</x:v>
      </x:c>
      <x:c r="AB259" s="1" t="n">
        <x:f>IF(I259&lt;=0,'損益分岐設定'!C39,IF('損益分岐設定'!C39*I259-T259&lt;0,'損益分岐設定'!C39,IF('損益分岐設定'!B39*I259-T259&gt;=0,0,ROUNDUP(T259/I259,0)-1)))</x:f>
        <x:v>0</x:v>
      </x:c>
      <x:c r="AC259" s="1" t="n">
        <x:f>IF(I259&lt;=0,'損益分岐設定'!C40,IF('損益分岐設定'!C40*I259-U259&lt;0,'損益分岐設定'!C40,IF('損益分岐設定'!B40*I259-U259&gt;=0,0,ROUNDUP(U259/I259,0)-1)))</x:f>
        <x:v>0</x:v>
      </x:c>
      <x:c r="AD259" s="1" t="n">
        <x:v>0</x:v>
      </x:c>
      <x:c r="AE259" s="1" t="n">
        <x:v>0</x:v>
      </x:c>
      <x:c r="AF259" s="1" t="n">
        <x:v>1</x:v>
      </x:c>
      <x:c r="AG259" s="1" t="n">
        <x:f>AD259*'損益分岐設定'!$C$57+AE259*'損益分岐設定'!$C$60+AF259*'損益分岐設定'!$C$63</x:f>
        <x:v>1028.9614318847655</x:v>
      </x:c>
      <x:c r="AH259" s="1" t="n">
        <x:f>AD259*'損益分岐設定'!$D$57+AE259*'損益分岐設定'!$D$60+AF259*'損益分岐設定'!$D$63</x:f>
        <x:v>300</x:v>
      </x:c>
      <x:c r="AI259" s="1" t="n">
        <x:f>AD259*'損益分岐設定'!$E$57+AE259*'損益分岐設定'!$E$60+AF259*'損益分岐設定'!$E$63</x:f>
        <x:v>300</x:v>
      </x:c>
      <x:c r="AJ259" s="1" t="n">
        <x:f>(AD259*'損益分岐設定'!$F$57+AE259*'損益分岐設定'!$F$60+AF259*'損益分岐設定'!$F$63*1)*'損益分岐設定'!$B$22</x:f>
        <x:v>1200</x:v>
      </x:c>
      <x:c r="AK259" s="1" t="n">
        <x:f>AD259*'損益分岐設定'!$G$57+AE259*'損益分岐設定'!$G$60+AF259*'損益分岐設定'!$G$63</x:f>
        <x:v>2000</x:v>
      </x:c>
      <x:c r="AL259" s="1" t="n">
        <x:f>AD259*'損益分岐設定'!$H$57+AE259*'損益分岐設定'!$H$60+AF259*'損益分岐設定'!$H$63</x:f>
        <x:v>866.6666666666667</x:v>
      </x:c>
      <x:c r="AM259" s="1" t="n">
        <x:f>MAX(1,ROUNDUP('損益分岐設定'!C37*AJ259/('損益分岐設定'!$B$23*'損益分岐設定'!$B$24*3600*'損益分岐設定'!$B$25),0))</x:f>
        <x:v>1</x:v>
      </x:c>
      <x:c r="AN259" s="1" t="n">
        <x:f>MAX(2,ROUNDUP('損益分岐設定'!C38*AJ259/('損益分岐設定'!$B$23*'損益分岐設定'!$B$24*3600*'損益分岐設定'!$B$25),0))</x:f>
        <x:v>2</x:v>
      </x:c>
      <x:c r="AO259" s="1" t="n">
        <x:f>MAX(2,ROUNDUP('損益分岐設定'!C39*AJ259/('損益分岐設定'!$B$23*'損益分岐設定'!$B$24*3600*'損益分岐設定'!$B$25),0))</x:f>
        <x:v>2</x:v>
      </x:c>
      <x:c r="AP259" s="1" t="n">
        <x:f>MAX(2,ROUNDUP('損益分岐設定'!C40*AJ259/('損益分岐設定'!$B$23*'損益分岐設定'!$B$24*3600*'損益分岐設定'!$B$25),0))</x:f>
        <x:v>3</x:v>
      </x:c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 ht="23" customHeight="1">
      <x:c r="A260" s="1" t="str">
        <x:v>Hybrid</x:v>
      </x:c>
      <x:c r="B260" s="1" t="str">
        <x:v>Business Plus</x:v>
      </x:c>
      <x:c r="C260" s="1" t="str">
        <x:v>標準</x:v>
      </x:c>
      <x:c r="D260" s="21" t="n">
        <x:v>0.3</x:v>
      </x:c>
      <x:c r="E260" s="1" t="n">
        <x:v>1</x:v>
      </x:c>
      <x:c r="F260" s="7" t="n">
        <x:f>AD260*'損益分岐設定'!$B$5+AE260*'損益分岐設定'!$B$6+AF260*'損益分岐設定'!$B$7</x:f>
        <x:v>8000</x:v>
      </x:c>
      <x:c r="G260" s="7" t="n">
        <x:f>AG260+(AH260+AI260)*('損益分岐設定'!$B$29+0.5*'損益分岐設定'!$B$30)+AK260*'損益分岐設定'!$B$33</x:f>
        <x:v>1031.4341073865594</x:v>
      </x:c>
      <x:c r="H260" s="7" t="n">
        <x:f>AL260*E260</x:f>
        <x:v>866.6666666666667</x:v>
      </x:c>
      <x:c r="I260" s="7" t="n">
        <x:f>F260*(1-D260-'損益分岐設定'!$B$10)-G260-H260</x:f>
        <x:v>3413.899225946773</x:v>
      </x:c>
      <x:c r="J260" s="1" t="n">
        <x:f>IF(MIN(V260:Y260)&gt;1000,"範囲内なし",MIN(V260:Y260))</x:f>
        <x:v>21</x:v>
      </x:c>
      <x:c r="K260" s="1" t="n">
        <x:f>IF(MAX(Z260:AC260)&gt;=1000,"範囲内なし",MAX(1,MAX(Z260:AC260)+1))</x:f>
        <x:v>21</x:v>
      </x:c>
      <x:c r="L260" s="7" t="n">
        <x:f>10*I260-R260</x:f>
        <x:v>-17300.804430837583</x:v>
      </x:c>
      <x:c r="M260" s="7" t="n">
        <x:f>30*I260-S260</x:f>
        <x:v>34037.38339779257</x:v>
      </x:c>
      <x:c r="N260" s="7" t="n">
        <x:f>50*I260-S260</x:f>
        <x:v>102315.36791672802</x:v>
      </x:c>
      <x:c r="O260" s="7" t="n">
        <x:f>100*I260-S260</x:f>
        <x:v>273010.3292140667</x:v>
      </x:c>
      <x:c r="P260" s="7" t="n">
        <x:f>300*I260-T260</x:f>
        <x:v>933790.1744034213</x:v>
      </x:c>
      <x:c r="Q260" s="7" t="n">
        <x:f>1000*I260-U260</x:f>
        <x:v>3281079.835875857</x:v>
      </x:c>
      <x:c r="R260" s="7" t="n">
        <x:f>'損益分岐設定'!$B$18+'損益分岐設定'!$B$19+'損益分岐設定'!$B$20+'損益分岐設定'!E37+'損益分岐設定'!D37+AM260*('損益分岐設定'!$B$15+'損益分岐設定'!$B$16)+'損益分岐設定'!$B$17+E260*('損益分岐設定'!$B$13+(AM260-1)*'損益分岐設定'!$B$14)*'損益分岐設定'!$B$11</x:f>
        <x:v>51439.79669030532</x:v>
      </x:c>
      <x:c r="S260" s="7" t="n">
        <x:f>'損益分岐設定'!$B$18+'損益分岐設定'!$B$19+'損益分岐設定'!$B$20+'損益分岐設定'!E38+'損益分岐設定'!D38+AN260*('損益分岐設定'!$B$15+'損益分岐設定'!$B$16)+'損益分岐設定'!$B$17+E260*('損益分岐設定'!$B$13+(AN260-1)*'損益分岐設定'!$B$14)*'損益分岐設定'!$B$11</x:f>
        <x:v>68379.59338061063</x:v>
      </x:c>
      <x:c r="T260" s="7" t="n">
        <x:f>'損益分岐設定'!$B$18+'損益分岐設定'!$B$19+'損益分岐設定'!$B$20+'損益分岐設定'!E39+'損益分岐設定'!D39+AO260*('損益分岐設定'!$B$15+'損益分岐設定'!$B$16)+'損益分岐設定'!$B$17+E260*('損益分岐設定'!$B$13+(AO260-1)*'損益分岐設定'!$B$14)*'損益分岐設定'!$B$11</x:f>
        <x:v>90379.59338061063</x:v>
      </x:c>
      <x:c r="U260" s="7" t="n">
        <x:f>'損益分岐設定'!$B$18+'損益分岐設定'!$B$19+'損益分岐設定'!$B$20+'損益分岐設定'!E40+'損益分岐設定'!D40+AP260*('損益分岐設定'!$B$15+'損益分岐設定'!$B$16)+'損益分岐設定'!$B$17+E260*('損益分岐設定'!$B$13+(AP260-1)*'損益分岐設定'!$B$14)*'損益分岐設定'!$B$11</x:f>
        <x:v>132819.39007091595</x:v>
      </x:c>
      <x:c r="V260" s="1" t="n">
        <x:f>IF(I260&lt;=0,1001,IF(MAX('損益分岐設定'!B37,ROUNDUP(R260/I260,0))&lt;='損益分岐設定'!C37,MAX('損益分岐設定'!B37,ROUNDUP(R260/I260,0)),1001))</x:f>
        <x:v>1001</x:v>
      </x:c>
      <x:c r="W260" s="1" t="n">
        <x:f>IF(I260&lt;=0,1001,IF(MAX('損益分岐設定'!B38,ROUNDUP(S260/I260,0))&lt;='損益分岐設定'!C38,MAX('損益分岐設定'!B38,ROUNDUP(S260/I260,0)),1001))</x:f>
        <x:v>21</x:v>
      </x:c>
      <x:c r="X260" s="1" t="n">
        <x:f>IF(I260&lt;=0,1001,IF(MAX('損益分岐設定'!B39,ROUNDUP(T260/I260,0))&lt;='損益分岐設定'!C39,MAX('損益分岐設定'!B39,ROUNDUP(T260/I260,0)),1001))</x:f>
        <x:v>101</x:v>
      </x:c>
      <x:c r="Y260" s="1" t="n">
        <x:f>IF(I260&lt;=0,1001,IF(MAX('損益分岐設定'!B40,ROUNDUP(U260/I260,0))&lt;='損益分岐設定'!C40,MAX('損益分岐設定'!B40,ROUNDUP(U260/I260,0)),1001))</x:f>
        <x:v>501</x:v>
      </x:c>
      <x:c r="Z260" s="1" t="n">
        <x:f>IF(I260&lt;=0,'損益分岐設定'!C37,IF('損益分岐設定'!C37*I260-R260&lt;0,'損益分岐設定'!C37,IF('損益分岐設定'!B37*I260-R260&gt;=0,0,ROUNDUP(R260/I260,0)-1)))</x:f>
        <x:v>10</x:v>
      </x:c>
      <x:c r="AA260" s="1" t="n">
        <x:f>IF(I260&lt;=0,'損益分岐設定'!C38,IF('損益分岐設定'!C38*I260-S260&lt;0,'損益分岐設定'!C38,IF('損益分岐設定'!B38*I260-S260&gt;=0,0,ROUNDUP(S260/I260,0)-1)))</x:f>
        <x:v>20</x:v>
      </x:c>
      <x:c r="AB260" s="1" t="n">
        <x:f>IF(I260&lt;=0,'損益分岐設定'!C39,IF('損益分岐設定'!C39*I260-T260&lt;0,'損益分岐設定'!C39,IF('損益分岐設定'!B39*I260-T260&gt;=0,0,ROUNDUP(T260/I260,0)-1)))</x:f>
        <x:v>0</x:v>
      </x:c>
      <x:c r="AC260" s="1" t="n">
        <x:f>IF(I260&lt;=0,'損益分岐設定'!C40,IF('損益分岐設定'!C40*I260-U260&lt;0,'損益分岐設定'!C40,IF('損益分岐設定'!B40*I260-U260&gt;=0,0,ROUNDUP(U260/I260,0)-1)))</x:f>
        <x:v>0</x:v>
      </x:c>
      <x:c r="AD260" s="1" t="n">
        <x:v>0</x:v>
      </x:c>
      <x:c r="AE260" s="1" t="n">
        <x:v>0</x:v>
      </x:c>
      <x:c r="AF260" s="1" t="n">
        <x:v>1</x:v>
      </x:c>
      <x:c r="AG260" s="1" t="n">
        <x:f>AD260*'損益分岐設定'!$C$57+AE260*'損益分岐設定'!$C$60+AF260*'損益分岐設定'!$C$63</x:f>
        <x:v>1028.9614318847655</x:v>
      </x:c>
      <x:c r="AH260" s="1" t="n">
        <x:f>AD260*'損益分岐設定'!$D$57+AE260*'損益分岐設定'!$D$60+AF260*'損益分岐設定'!$D$63</x:f>
        <x:v>300</x:v>
      </x:c>
      <x:c r="AI260" s="1" t="n">
        <x:f>AD260*'損益分岐設定'!$E$57+AE260*'損益分岐設定'!$E$60+AF260*'損益分岐設定'!$E$63</x:f>
        <x:v>300</x:v>
      </x:c>
      <x:c r="AJ260" s="1" t="n">
        <x:f>(AD260*'損益分岐設定'!$F$57+AE260*'損益分岐設定'!$F$60+AF260*'損益分岐設定'!$F$63*1)*'損益分岐設定'!$B$22</x:f>
        <x:v>1200</x:v>
      </x:c>
      <x:c r="AK260" s="1" t="n">
        <x:f>AD260*'損益分岐設定'!$G$57+AE260*'損益分岐設定'!$G$60+AF260*'損益分岐設定'!$G$63</x:f>
        <x:v>2000</x:v>
      </x:c>
      <x:c r="AL260" s="1" t="n">
        <x:f>AD260*'損益分岐設定'!$H$57+AE260*'損益分岐設定'!$H$60+AF260*'損益分岐設定'!$H$63</x:f>
        <x:v>866.6666666666667</x:v>
      </x:c>
      <x:c r="AM260" s="1" t="n">
        <x:f>MAX(1,ROUNDUP('損益分岐設定'!C37*AJ260/('損益分岐設定'!$B$23*'損益分岐設定'!$B$24*3600*'損益分岐設定'!$B$25),0))</x:f>
        <x:v>1</x:v>
      </x:c>
      <x:c r="AN260" s="1" t="n">
        <x:f>MAX(2,ROUNDUP('損益分岐設定'!C38*AJ260/('損益分岐設定'!$B$23*'損益分岐設定'!$B$24*3600*'損益分岐設定'!$B$25),0))</x:f>
        <x:v>2</x:v>
      </x:c>
      <x:c r="AO260" s="1" t="n">
        <x:f>MAX(2,ROUNDUP('損益分岐設定'!C39*AJ260/('損益分岐設定'!$B$23*'損益分岐設定'!$B$24*3600*'損益分岐設定'!$B$25),0))</x:f>
        <x:v>2</x:v>
      </x:c>
      <x:c r="AP260" s="1" t="n">
        <x:f>MAX(2,ROUNDUP('損益分岐設定'!C40*AJ260/('損益分岐設定'!$B$23*'損益分岐設定'!$B$24*3600*'損益分岐設定'!$B$25),0))</x:f>
        <x:v>3</x:v>
      </x:c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 ht="23" customHeight="1">
      <x:c r="A261" s="1" t="str">
        <x:v>Hybrid</x:v>
      </x:c>
      <x:c r="B261" s="1" t="str">
        <x:v>Business Plus</x:v>
      </x:c>
      <x:c r="C261" s="1" t="str">
        <x:v>標準</x:v>
      </x:c>
      <x:c r="D261" s="21" t="n">
        <x:v>0.4</x:v>
      </x:c>
      <x:c r="E261" s="1" t="n">
        <x:v>0</x:v>
      </x:c>
      <x:c r="F261" s="7" t="n">
        <x:f>AD261*'損益分岐設定'!$B$5+AE261*'損益分岐設定'!$B$6+AF261*'損益分岐設定'!$B$7</x:f>
        <x:v>8000</x:v>
      </x:c>
      <x:c r="G261" s="7" t="n">
        <x:f>AG261+(AH261+AI261)*('損益分岐設定'!$B$29+0.5*'損益分岐設定'!$B$30)+AK261*'損益分岐設定'!$B$33</x:f>
        <x:v>1031.4341073865594</x:v>
      </x:c>
      <x:c r="H261" s="7" t="n">
        <x:f>AL261*E261</x:f>
        <x:v>0</x:v>
      </x:c>
      <x:c r="I261" s="7" t="n">
        <x:f>F261*(1-D261-'損益分岐設定'!$B$10)-G261-H261</x:f>
        <x:v>3480.5658926134406</x:v>
      </x:c>
      <x:c r="J261" s="1" t="n">
        <x:f>IF(MIN(V261:Y261)&gt;1000,"範囲内なし",MIN(V261:Y261))</x:f>
        <x:v>15</x:v>
      </x:c>
      <x:c r="K261" s="1" t="n">
        <x:f>IF(MAX(Z261:AC261)&gt;=1000,"範囲内なし",MAX(1,MAX(Z261:AC261)+1))</x:f>
        <x:v>15</x:v>
      </x:c>
      <x:c r="L261" s="7" t="n">
        <x:f>10*I261-R261</x:f>
        <x:v>-634.1377641709114</x:v>
      </x:c>
      <x:c r="M261" s="7" t="n">
        <x:f>30*I261-S261</x:f>
        <x:v>54037.38339779258</x:v>
      </x:c>
      <x:c r="N261" s="7" t="n">
        <x:f>50*I261-S261</x:f>
        <x:v>123648.7012500614</x:v>
      </x:c>
      <x:c r="O261" s="7" t="n">
        <x:f>100*I261-S261</x:f>
        <x:v>297676.9958807334</x:v>
      </x:c>
      <x:c r="P261" s="7" t="n">
        <x:f>300*I261-T261</x:f>
        <x:v>971790.1744034216</x:v>
      </x:c>
      <x:c r="Q261" s="7" t="n">
        <x:f>1000*I261-U261</x:f>
        <x:v>3367746.5025425246</x:v>
      </x:c>
      <x:c r="R261" s="7" t="n">
        <x:f>'損益分岐設定'!$B$18+'損益分岐設定'!$B$19+'損益分岐設定'!$B$20+'損益分岐設定'!E37+'損益分岐設定'!D37+AM261*('損益分岐設定'!$B$15+'損益分岐設定'!$B$16)+'損益分岐設定'!$B$17+E261*('損益分岐設定'!$B$13+(AM261-1)*'損益分岐設定'!$B$14)*'損益分岐設定'!$B$11</x:f>
        <x:v>35439.79669030532</x:v>
      </x:c>
      <x:c r="S261" s="7" t="n">
        <x:f>'損益分岐設定'!$B$18+'損益分岐設定'!$B$19+'損益分岐設定'!$B$20+'損益分岐設定'!E38+'損益分岐設定'!D38+AN261*('損益分岐設定'!$B$15+'損益分岐設定'!$B$16)+'損益分岐設定'!$B$17+E261*('損益分岐設定'!$B$13+(AN261-1)*'損益分岐設定'!$B$14)*'損益分岐設定'!$B$11</x:f>
        <x:v>50379.59338061063</x:v>
      </x:c>
      <x:c r="T261" s="7" t="n">
        <x:f>'損益分岐設定'!$B$18+'損益分岐設定'!$B$19+'損益分岐設定'!$B$20+'損益分岐設定'!E39+'損益分岐設定'!D39+AO261*('損益分岐設定'!$B$15+'損益分岐設定'!$B$16)+'損益分岐設定'!$B$17+E261*('損益分岐設定'!$B$13+(AO261-1)*'損益分岐設定'!$B$14)*'損益分岐設定'!$B$11</x:f>
        <x:v>72379.59338061063</x:v>
      </x:c>
      <x:c r="U261" s="7" t="n">
        <x:f>'損益分岐設定'!$B$18+'損益分岐設定'!$B$19+'損益分岐設定'!$B$20+'損益分岐設定'!E40+'損益分岐設定'!D40+AP261*('損益分岐設定'!$B$15+'損益分岐設定'!$B$16)+'損益分岐設定'!$B$17+E261*('損益分岐設定'!$B$13+(AP261-1)*'損益分岐設定'!$B$14)*'損益分岐設定'!$B$11</x:f>
        <x:v>112819.39007091595</x:v>
      </x:c>
      <x:c r="V261" s="1" t="n">
        <x:f>IF(I261&lt;=0,1001,IF(MAX('損益分岐設定'!B37,ROUNDUP(R261/I261,0))&lt;='損益分岐設定'!C37,MAX('損益分岐設定'!B37,ROUNDUP(R261/I261,0)),1001))</x:f>
        <x:v>1001</x:v>
      </x:c>
      <x:c r="W261" s="1" t="n">
        <x:f>IF(I261&lt;=0,1001,IF(MAX('損益分岐設定'!B38,ROUNDUP(S261/I261,0))&lt;='損益分岐設定'!C38,MAX('損益分岐設定'!B38,ROUNDUP(S261/I261,0)),1001))</x:f>
        <x:v>15</x:v>
      </x:c>
      <x:c r="X261" s="1" t="n">
        <x:f>IF(I261&lt;=0,1001,IF(MAX('損益分岐設定'!B39,ROUNDUP(T261/I261,0))&lt;='損益分岐設定'!C39,MAX('損益分岐設定'!B39,ROUNDUP(T261/I261,0)),1001))</x:f>
        <x:v>101</x:v>
      </x:c>
      <x:c r="Y261" s="1" t="n">
        <x:f>IF(I261&lt;=0,1001,IF(MAX('損益分岐設定'!B40,ROUNDUP(U261/I261,0))&lt;='損益分岐設定'!C40,MAX('損益分岐設定'!B40,ROUNDUP(U261/I261,0)),1001))</x:f>
        <x:v>501</x:v>
      </x:c>
      <x:c r="Z261" s="1" t="n">
        <x:f>IF(I261&lt;=0,'損益分岐設定'!C37,IF('損益分岐設定'!C37*I261-R261&lt;0,'損益分岐設定'!C37,IF('損益分岐設定'!B37*I261-R261&gt;=0,0,ROUNDUP(R261/I261,0)-1)))</x:f>
        <x:v>10</x:v>
      </x:c>
      <x:c r="AA261" s="1" t="n">
        <x:f>IF(I261&lt;=0,'損益分岐設定'!C38,IF('損益分岐設定'!C38*I261-S261&lt;0,'損益分岐設定'!C38,IF('損益分岐設定'!B38*I261-S261&gt;=0,0,ROUNDUP(S261/I261,0)-1)))</x:f>
        <x:v>14</x:v>
      </x:c>
      <x:c r="AB261" s="1" t="n">
        <x:f>IF(I261&lt;=0,'損益分岐設定'!C39,IF('損益分岐設定'!C39*I261-T261&lt;0,'損益分岐設定'!C39,IF('損益分岐設定'!B39*I261-T261&gt;=0,0,ROUNDUP(T261/I261,0)-1)))</x:f>
        <x:v>0</x:v>
      </x:c>
      <x:c r="AC261" s="1" t="n">
        <x:f>IF(I261&lt;=0,'損益分岐設定'!C40,IF('損益分岐設定'!C40*I261-U261&lt;0,'損益分岐設定'!C40,IF('損益分岐設定'!B40*I261-U261&gt;=0,0,ROUNDUP(U261/I261,0)-1)))</x:f>
        <x:v>0</x:v>
      </x:c>
      <x:c r="AD261" s="1" t="n">
        <x:v>0</x:v>
      </x:c>
      <x:c r="AE261" s="1" t="n">
        <x:v>0</x:v>
      </x:c>
      <x:c r="AF261" s="1" t="n">
        <x:v>1</x:v>
      </x:c>
      <x:c r="AG261" s="1" t="n">
        <x:f>AD261*'損益分岐設定'!$C$57+AE261*'損益分岐設定'!$C$60+AF261*'損益分岐設定'!$C$63</x:f>
        <x:v>1028.9614318847655</x:v>
      </x:c>
      <x:c r="AH261" s="1" t="n">
        <x:f>AD261*'損益分岐設定'!$D$57+AE261*'損益分岐設定'!$D$60+AF261*'損益分岐設定'!$D$63</x:f>
        <x:v>300</x:v>
      </x:c>
      <x:c r="AI261" s="1" t="n">
        <x:f>AD261*'損益分岐設定'!$E$57+AE261*'損益分岐設定'!$E$60+AF261*'損益分岐設定'!$E$63</x:f>
        <x:v>300</x:v>
      </x:c>
      <x:c r="AJ261" s="1" t="n">
        <x:f>(AD261*'損益分岐設定'!$F$57+AE261*'損益分岐設定'!$F$60+AF261*'損益分岐設定'!$F$63*1)*'損益分岐設定'!$B$22</x:f>
        <x:v>1200</x:v>
      </x:c>
      <x:c r="AK261" s="1" t="n">
        <x:f>AD261*'損益分岐設定'!$G$57+AE261*'損益分岐設定'!$G$60+AF261*'損益分岐設定'!$G$63</x:f>
        <x:v>2000</x:v>
      </x:c>
      <x:c r="AL261" s="1" t="n">
        <x:f>AD261*'損益分岐設定'!$H$57+AE261*'損益分岐設定'!$H$60+AF261*'損益分岐設定'!$H$63</x:f>
        <x:v>866.6666666666667</x:v>
      </x:c>
      <x:c r="AM261" s="1" t="n">
        <x:f>MAX(1,ROUNDUP('損益分岐設定'!C37*AJ261/('損益分岐設定'!$B$23*'損益分岐設定'!$B$24*3600*'損益分岐設定'!$B$25),0))</x:f>
        <x:v>1</x:v>
      </x:c>
      <x:c r="AN261" s="1" t="n">
        <x:f>MAX(2,ROUNDUP('損益分岐設定'!C38*AJ261/('損益分岐設定'!$B$23*'損益分岐設定'!$B$24*3600*'損益分岐設定'!$B$25),0))</x:f>
        <x:v>2</x:v>
      </x:c>
      <x:c r="AO261" s="1" t="n">
        <x:f>MAX(2,ROUNDUP('損益分岐設定'!C39*AJ261/('損益分岐設定'!$B$23*'損益分岐設定'!$B$24*3600*'損益分岐設定'!$B$25),0))</x:f>
        <x:v>2</x:v>
      </x:c>
      <x:c r="AP261" s="1" t="n">
        <x:f>MAX(2,ROUNDUP('損益分岐設定'!C40*AJ261/('損益分岐設定'!$B$23*'損益分岐設定'!$B$24*3600*'損益分岐設定'!$B$25),0))</x:f>
        <x:v>3</x:v>
      </x:c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 ht="23" customHeight="1">
      <x:c r="A262" s="1" t="str">
        <x:v>Hybrid</x:v>
      </x:c>
      <x:c r="B262" s="1" t="str">
        <x:v>Business Plus</x:v>
      </x:c>
      <x:c r="C262" s="1" t="str">
        <x:v>標準</x:v>
      </x:c>
      <x:c r="D262" s="21" t="n">
        <x:v>0.4</x:v>
      </x:c>
      <x:c r="E262" s="1" t="n">
        <x:v>1</x:v>
      </x:c>
      <x:c r="F262" s="7" t="n">
        <x:f>AD262*'損益分岐設定'!$B$5+AE262*'損益分岐設定'!$B$6+AF262*'損益分岐設定'!$B$7</x:f>
        <x:v>8000</x:v>
      </x:c>
      <x:c r="G262" s="7" t="n">
        <x:f>AG262+(AH262+AI262)*('損益分岐設定'!$B$29+0.5*'損益分岐設定'!$B$30)+AK262*'損益分岐設定'!$B$33</x:f>
        <x:v>1031.4341073865594</x:v>
      </x:c>
      <x:c r="H262" s="7" t="n">
        <x:f>AL262*E262</x:f>
        <x:v>866.6666666666667</x:v>
      </x:c>
      <x:c r="I262" s="7" t="n">
        <x:f>F262*(1-D262-'損益分岐設定'!$B$10)-G262-H262</x:f>
        <x:v>2613.899225946774</x:v>
      </x:c>
      <x:c r="J262" s="1" t="n">
        <x:f>IF(MIN(V262:Y262)&gt;1000,"範囲内なし",MIN(V262:Y262))</x:f>
        <x:v>27</x:v>
      </x:c>
      <x:c r="K262" s="1" t="n">
        <x:f>IF(MAX(Z262:AC262)&gt;=1000,"範囲内なし",MAX(1,MAX(Z262:AC262)+1))</x:f>
        <x:v>27</x:v>
      </x:c>
      <x:c r="L262" s="7" t="n">
        <x:f>10*I262-R262</x:f>
        <x:v>-25300.804430837576</x:v>
      </x:c>
      <x:c r="M262" s="7" t="n">
        <x:f>30*I262-S262</x:f>
        <x:v>10037.383397792582</x:v>
      </x:c>
      <x:c r="N262" s="7" t="n">
        <x:f>50*I262-S262</x:f>
        <x:v>62315.36791672808</x:v>
      </x:c>
      <x:c r="O262" s="7" t="n">
        <x:f>100*I262-S262</x:f>
        <x:v>193010.3292140668</x:v>
      </x:c>
      <x:c r="P262" s="7" t="n">
        <x:f>300*I262-T262</x:f>
        <x:v>693790.1744034216</x:v>
      </x:c>
      <x:c r="Q262" s="7" t="n">
        <x:f>1000*I262-U262</x:f>
        <x:v>2481079.835875858</x:v>
      </x:c>
      <x:c r="R262" s="7" t="n">
        <x:f>'損益分岐設定'!$B$18+'損益分岐設定'!$B$19+'損益分岐設定'!$B$20+'損益分岐設定'!E37+'損益分岐設定'!D37+AM262*('損益分岐設定'!$B$15+'損益分岐設定'!$B$16)+'損益分岐設定'!$B$17+E262*('損益分岐設定'!$B$13+(AM262-1)*'損益分岐設定'!$B$14)*'損益分岐設定'!$B$11</x:f>
        <x:v>51439.79669030532</x:v>
      </x:c>
      <x:c r="S262" s="7" t="n">
        <x:f>'損益分岐設定'!$B$18+'損益分岐設定'!$B$19+'損益分岐設定'!$B$20+'損益分岐設定'!E38+'損益分岐設定'!D38+AN262*('損益分岐設定'!$B$15+'損益分岐設定'!$B$16)+'損益分岐設定'!$B$17+E262*('損益分岐設定'!$B$13+(AN262-1)*'損益分岐設定'!$B$14)*'損益分岐設定'!$B$11</x:f>
        <x:v>68379.59338061063</x:v>
      </x:c>
      <x:c r="T262" s="7" t="n">
        <x:f>'損益分岐設定'!$B$18+'損益分岐設定'!$B$19+'損益分岐設定'!$B$20+'損益分岐設定'!E39+'損益分岐設定'!D39+AO262*('損益分岐設定'!$B$15+'損益分岐設定'!$B$16)+'損益分岐設定'!$B$17+E262*('損益分岐設定'!$B$13+(AO262-1)*'損益分岐設定'!$B$14)*'損益分岐設定'!$B$11</x:f>
        <x:v>90379.59338061063</x:v>
      </x:c>
      <x:c r="U262" s="7" t="n">
        <x:f>'損益分岐設定'!$B$18+'損益分岐設定'!$B$19+'損益分岐設定'!$B$20+'損益分岐設定'!E40+'損益分岐設定'!D40+AP262*('損益分岐設定'!$B$15+'損益分岐設定'!$B$16)+'損益分岐設定'!$B$17+E262*('損益分岐設定'!$B$13+(AP262-1)*'損益分岐設定'!$B$14)*'損益分岐設定'!$B$11</x:f>
        <x:v>132819.39007091595</x:v>
      </x:c>
      <x:c r="V262" s="1" t="n">
        <x:f>IF(I262&lt;=0,1001,IF(MAX('損益分岐設定'!B37,ROUNDUP(R262/I262,0))&lt;='損益分岐設定'!C37,MAX('損益分岐設定'!B37,ROUNDUP(R262/I262,0)),1001))</x:f>
        <x:v>1001</x:v>
      </x:c>
      <x:c r="W262" s="1" t="n">
        <x:f>IF(I262&lt;=0,1001,IF(MAX('損益分岐設定'!B38,ROUNDUP(S262/I262,0))&lt;='損益分岐設定'!C38,MAX('損益分岐設定'!B38,ROUNDUP(S262/I262,0)),1001))</x:f>
        <x:v>27</x:v>
      </x:c>
      <x:c r="X262" s="1" t="n">
        <x:f>IF(I262&lt;=0,1001,IF(MAX('損益分岐設定'!B39,ROUNDUP(T262/I262,0))&lt;='損益分岐設定'!C39,MAX('損益分岐設定'!B39,ROUNDUP(T262/I262,0)),1001))</x:f>
        <x:v>101</x:v>
      </x:c>
      <x:c r="Y262" s="1" t="n">
        <x:f>IF(I262&lt;=0,1001,IF(MAX('損益分岐設定'!B40,ROUNDUP(U262/I262,0))&lt;='損益分岐設定'!C40,MAX('損益分岐設定'!B40,ROUNDUP(U262/I262,0)),1001))</x:f>
        <x:v>501</x:v>
      </x:c>
      <x:c r="Z262" s="1" t="n">
        <x:f>IF(I262&lt;=0,'損益分岐設定'!C37,IF('損益分岐設定'!C37*I262-R262&lt;0,'損益分岐設定'!C37,IF('損益分岐設定'!B37*I262-R262&gt;=0,0,ROUNDUP(R262/I262,0)-1)))</x:f>
        <x:v>10</x:v>
      </x:c>
      <x:c r="AA262" s="1" t="n">
        <x:f>IF(I262&lt;=0,'損益分岐設定'!C38,IF('損益分岐設定'!C38*I262-S262&lt;0,'損益分岐設定'!C38,IF('損益分岐設定'!B38*I262-S262&gt;=0,0,ROUNDUP(S262/I262,0)-1)))</x:f>
        <x:v>26</x:v>
      </x:c>
      <x:c r="AB262" s="1" t="n">
        <x:f>IF(I262&lt;=0,'損益分岐設定'!C39,IF('損益分岐設定'!C39*I262-T262&lt;0,'損益分岐設定'!C39,IF('損益分岐設定'!B39*I262-T262&gt;=0,0,ROUNDUP(T262/I262,0)-1)))</x:f>
        <x:v>0</x:v>
      </x:c>
      <x:c r="AC262" s="1" t="n">
        <x:f>IF(I262&lt;=0,'損益分岐設定'!C40,IF('損益分岐設定'!C40*I262-U262&lt;0,'損益分岐設定'!C40,IF('損益分岐設定'!B40*I262-U262&gt;=0,0,ROUNDUP(U262/I262,0)-1)))</x:f>
        <x:v>0</x:v>
      </x:c>
      <x:c r="AD262" s="1" t="n">
        <x:v>0</x:v>
      </x:c>
      <x:c r="AE262" s="1" t="n">
        <x:v>0</x:v>
      </x:c>
      <x:c r="AF262" s="1" t="n">
        <x:v>1</x:v>
      </x:c>
      <x:c r="AG262" s="1" t="n">
        <x:f>AD262*'損益分岐設定'!$C$57+AE262*'損益分岐設定'!$C$60+AF262*'損益分岐設定'!$C$63</x:f>
        <x:v>1028.9614318847655</x:v>
      </x:c>
      <x:c r="AH262" s="1" t="n">
        <x:f>AD262*'損益分岐設定'!$D$57+AE262*'損益分岐設定'!$D$60+AF262*'損益分岐設定'!$D$63</x:f>
        <x:v>300</x:v>
      </x:c>
      <x:c r="AI262" s="1" t="n">
        <x:f>AD262*'損益分岐設定'!$E$57+AE262*'損益分岐設定'!$E$60+AF262*'損益分岐設定'!$E$63</x:f>
        <x:v>300</x:v>
      </x:c>
      <x:c r="AJ262" s="1" t="n">
        <x:f>(AD262*'損益分岐設定'!$F$57+AE262*'損益分岐設定'!$F$60+AF262*'損益分岐設定'!$F$63*1)*'損益分岐設定'!$B$22</x:f>
        <x:v>1200</x:v>
      </x:c>
      <x:c r="AK262" s="1" t="n">
        <x:f>AD262*'損益分岐設定'!$G$57+AE262*'損益分岐設定'!$G$60+AF262*'損益分岐設定'!$G$63</x:f>
        <x:v>2000</x:v>
      </x:c>
      <x:c r="AL262" s="1" t="n">
        <x:f>AD262*'損益分岐設定'!$H$57+AE262*'損益分岐設定'!$H$60+AF262*'損益分岐設定'!$H$63</x:f>
        <x:v>866.6666666666667</x:v>
      </x:c>
      <x:c r="AM262" s="1" t="n">
        <x:f>MAX(1,ROUNDUP('損益分岐設定'!C37*AJ262/('損益分岐設定'!$B$23*'損益分岐設定'!$B$24*3600*'損益分岐設定'!$B$25),0))</x:f>
        <x:v>1</x:v>
      </x:c>
      <x:c r="AN262" s="1" t="n">
        <x:f>MAX(2,ROUNDUP('損益分岐設定'!C38*AJ262/('損益分岐設定'!$B$23*'損益分岐設定'!$B$24*3600*'損益分岐設定'!$B$25),0))</x:f>
        <x:v>2</x:v>
      </x:c>
      <x:c r="AO262" s="1" t="n">
        <x:f>MAX(2,ROUNDUP('損益分岐設定'!C39*AJ262/('損益分岐設定'!$B$23*'損益分岐設定'!$B$24*3600*'損益分岐設定'!$B$25),0))</x:f>
        <x:v>2</x:v>
      </x:c>
      <x:c r="AP262" s="1" t="n">
        <x:f>MAX(2,ROUNDUP('損益分岐設定'!C40*AJ262/('損益分岐設定'!$B$23*'損益分岐設定'!$B$24*3600*'損益分岐設定'!$B$25),0))</x:f>
        <x:v>3</x:v>
      </x:c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 ht="23" customHeight="1">
      <x:c r="A263" s="1" t="str">
        <x:v>Hybrid</x:v>
      </x:c>
      <x:c r="B263" s="1" t="str">
        <x:v>Business Plus</x:v>
      </x:c>
      <x:c r="C263" s="1" t="str">
        <x:v>標準</x:v>
      </x:c>
      <x:c r="D263" s="21" t="n">
        <x:v>0.5</x:v>
      </x:c>
      <x:c r="E263" s="1" t="n">
        <x:v>0</x:v>
      </x:c>
      <x:c r="F263" s="7" t="n">
        <x:f>AD263*'損益分岐設定'!$B$5+AE263*'損益分岐設定'!$B$6+AF263*'損益分岐設定'!$B$7</x:f>
        <x:v>8000</x:v>
      </x:c>
      <x:c r="G263" s="7" t="n">
        <x:f>AG263+(AH263+AI263)*('損益分岐設定'!$B$29+0.5*'損益分岐設定'!$B$30)+AK263*'損益分岐設定'!$B$33</x:f>
        <x:v>1031.4341073865594</x:v>
      </x:c>
      <x:c r="H263" s="7" t="n">
        <x:f>AL263*E263</x:f>
        <x:v>0</x:v>
      </x:c>
      <x:c r="I263" s="7" t="n">
        <x:f>F263*(1-D263-'損益分岐設定'!$B$10)-G263-H263</x:f>
        <x:v>2680.5658926134406</x:v>
      </x:c>
      <x:c r="J263" s="1" t="n">
        <x:f>IF(MIN(V263:Y263)&gt;1000,"範囲内なし",MIN(V263:Y263))</x:f>
        <x:v>19</x:v>
      </x:c>
      <x:c r="K263" s="1" t="n">
        <x:f>IF(MAX(Z263:AC263)&gt;=1000,"範囲内なし",MAX(1,MAX(Z263:AC263)+1))</x:f>
        <x:v>19</x:v>
      </x:c>
      <x:c r="L263" s="7" t="n">
        <x:f>10*I263-R263</x:f>
        <x:v>-8634.137764170911</x:v>
      </x:c>
      <x:c r="M263" s="7" t="n">
        <x:f>30*I263-S263</x:f>
        <x:v>30037.383397792582</x:v>
      </x:c>
      <x:c r="N263" s="7" t="n">
        <x:f>50*I263-S263</x:f>
        <x:v>83648.7012500614</x:v>
      </x:c>
      <x:c r="O263" s="7" t="n">
        <x:f>100*I263-S263</x:f>
        <x:v>217676.99588073342</x:v>
      </x:c>
      <x:c r="P263" s="7" t="n">
        <x:f>300*I263-T263</x:f>
        <x:v>731790.1744034216</x:v>
      </x:c>
      <x:c r="Q263" s="7" t="n">
        <x:f>1000*I263-U263</x:f>
        <x:v>2567746.5025425246</x:v>
      </x:c>
      <x:c r="R263" s="7" t="n">
        <x:f>'損益分岐設定'!$B$18+'損益分岐設定'!$B$19+'損益分岐設定'!$B$20+'損益分岐設定'!E37+'損益分岐設定'!D37+AM263*('損益分岐設定'!$B$15+'損益分岐設定'!$B$16)+'損益分岐設定'!$B$17+E263*('損益分岐設定'!$B$13+(AM263-1)*'損益分岐設定'!$B$14)*'損益分岐設定'!$B$11</x:f>
        <x:v>35439.79669030532</x:v>
      </x:c>
      <x:c r="S263" s="7" t="n">
        <x:f>'損益分岐設定'!$B$18+'損益分岐設定'!$B$19+'損益分岐設定'!$B$20+'損益分岐設定'!E38+'損益分岐設定'!D38+AN263*('損益分岐設定'!$B$15+'損益分岐設定'!$B$16)+'損益分岐設定'!$B$17+E263*('損益分岐設定'!$B$13+(AN263-1)*'損益分岐設定'!$B$14)*'損益分岐設定'!$B$11</x:f>
        <x:v>50379.59338061063</x:v>
      </x:c>
      <x:c r="T263" s="7" t="n">
        <x:f>'損益分岐設定'!$B$18+'損益分岐設定'!$B$19+'損益分岐設定'!$B$20+'損益分岐設定'!E39+'損益分岐設定'!D39+AO263*('損益分岐設定'!$B$15+'損益分岐設定'!$B$16)+'損益分岐設定'!$B$17+E263*('損益分岐設定'!$B$13+(AO263-1)*'損益分岐設定'!$B$14)*'損益分岐設定'!$B$11</x:f>
        <x:v>72379.59338061063</x:v>
      </x:c>
      <x:c r="U263" s="7" t="n">
        <x:f>'損益分岐設定'!$B$18+'損益分岐設定'!$B$19+'損益分岐設定'!$B$20+'損益分岐設定'!E40+'損益分岐設定'!D40+AP263*('損益分岐設定'!$B$15+'損益分岐設定'!$B$16)+'損益分岐設定'!$B$17+E263*('損益分岐設定'!$B$13+(AP263-1)*'損益分岐設定'!$B$14)*'損益分岐設定'!$B$11</x:f>
        <x:v>112819.39007091595</x:v>
      </x:c>
      <x:c r="V263" s="1" t="n">
        <x:f>IF(I263&lt;=0,1001,IF(MAX('損益分岐設定'!B37,ROUNDUP(R263/I263,0))&lt;='損益分岐設定'!C37,MAX('損益分岐設定'!B37,ROUNDUP(R263/I263,0)),1001))</x:f>
        <x:v>1001</x:v>
      </x:c>
      <x:c r="W263" s="1" t="n">
        <x:f>IF(I263&lt;=0,1001,IF(MAX('損益分岐設定'!B38,ROUNDUP(S263/I263,0))&lt;='損益分岐設定'!C38,MAX('損益分岐設定'!B38,ROUNDUP(S263/I263,0)),1001))</x:f>
        <x:v>19</x:v>
      </x:c>
      <x:c r="X263" s="1" t="n">
        <x:f>IF(I263&lt;=0,1001,IF(MAX('損益分岐設定'!B39,ROUNDUP(T263/I263,0))&lt;='損益分岐設定'!C39,MAX('損益分岐設定'!B39,ROUNDUP(T263/I263,0)),1001))</x:f>
        <x:v>101</x:v>
      </x:c>
      <x:c r="Y263" s="1" t="n">
        <x:f>IF(I263&lt;=0,1001,IF(MAX('損益分岐設定'!B40,ROUNDUP(U263/I263,0))&lt;='損益分岐設定'!C40,MAX('損益分岐設定'!B40,ROUNDUP(U263/I263,0)),1001))</x:f>
        <x:v>501</x:v>
      </x:c>
      <x:c r="Z263" s="1" t="n">
        <x:f>IF(I263&lt;=0,'損益分岐設定'!C37,IF('損益分岐設定'!C37*I263-R263&lt;0,'損益分岐設定'!C37,IF('損益分岐設定'!B37*I263-R263&gt;=0,0,ROUNDUP(R263/I263,0)-1)))</x:f>
        <x:v>10</x:v>
      </x:c>
      <x:c r="AA263" s="1" t="n">
        <x:f>IF(I263&lt;=0,'損益分岐設定'!C38,IF('損益分岐設定'!C38*I263-S263&lt;0,'損益分岐設定'!C38,IF('損益分岐設定'!B38*I263-S263&gt;=0,0,ROUNDUP(S263/I263,0)-1)))</x:f>
        <x:v>18</x:v>
      </x:c>
      <x:c r="AB263" s="1" t="n">
        <x:f>IF(I263&lt;=0,'損益分岐設定'!C39,IF('損益分岐設定'!C39*I263-T263&lt;0,'損益分岐設定'!C39,IF('損益分岐設定'!B39*I263-T263&gt;=0,0,ROUNDUP(T263/I263,0)-1)))</x:f>
        <x:v>0</x:v>
      </x:c>
      <x:c r="AC263" s="1" t="n">
        <x:f>IF(I263&lt;=0,'損益分岐設定'!C40,IF('損益分岐設定'!C40*I263-U263&lt;0,'損益分岐設定'!C40,IF('損益分岐設定'!B40*I263-U263&gt;=0,0,ROUNDUP(U263/I263,0)-1)))</x:f>
        <x:v>0</x:v>
      </x:c>
      <x:c r="AD263" s="1" t="n">
        <x:v>0</x:v>
      </x:c>
      <x:c r="AE263" s="1" t="n">
        <x:v>0</x:v>
      </x:c>
      <x:c r="AF263" s="1" t="n">
        <x:v>1</x:v>
      </x:c>
      <x:c r="AG263" s="1" t="n">
        <x:f>AD263*'損益分岐設定'!$C$57+AE263*'損益分岐設定'!$C$60+AF263*'損益分岐設定'!$C$63</x:f>
        <x:v>1028.9614318847655</x:v>
      </x:c>
      <x:c r="AH263" s="1" t="n">
        <x:f>AD263*'損益分岐設定'!$D$57+AE263*'損益分岐設定'!$D$60+AF263*'損益分岐設定'!$D$63</x:f>
        <x:v>300</x:v>
      </x:c>
      <x:c r="AI263" s="1" t="n">
        <x:f>AD263*'損益分岐設定'!$E$57+AE263*'損益分岐設定'!$E$60+AF263*'損益分岐設定'!$E$63</x:f>
        <x:v>300</x:v>
      </x:c>
      <x:c r="AJ263" s="1" t="n">
        <x:f>(AD263*'損益分岐設定'!$F$57+AE263*'損益分岐設定'!$F$60+AF263*'損益分岐設定'!$F$63*1)*'損益分岐設定'!$B$22</x:f>
        <x:v>1200</x:v>
      </x:c>
      <x:c r="AK263" s="1" t="n">
        <x:f>AD263*'損益分岐設定'!$G$57+AE263*'損益分岐設定'!$G$60+AF263*'損益分岐設定'!$G$63</x:f>
        <x:v>2000</x:v>
      </x:c>
      <x:c r="AL263" s="1" t="n">
        <x:f>AD263*'損益分岐設定'!$H$57+AE263*'損益分岐設定'!$H$60+AF263*'損益分岐設定'!$H$63</x:f>
        <x:v>866.6666666666667</x:v>
      </x:c>
      <x:c r="AM263" s="1" t="n">
        <x:f>MAX(1,ROUNDUP('損益分岐設定'!C37*AJ263/('損益分岐設定'!$B$23*'損益分岐設定'!$B$24*3600*'損益分岐設定'!$B$25),0))</x:f>
        <x:v>1</x:v>
      </x:c>
      <x:c r="AN263" s="1" t="n">
        <x:f>MAX(2,ROUNDUP('損益分岐設定'!C38*AJ263/('損益分岐設定'!$B$23*'損益分岐設定'!$B$24*3600*'損益分岐設定'!$B$25),0))</x:f>
        <x:v>2</x:v>
      </x:c>
      <x:c r="AO263" s="1" t="n">
        <x:f>MAX(2,ROUNDUP('損益分岐設定'!C39*AJ263/('損益分岐設定'!$B$23*'損益分岐設定'!$B$24*3600*'損益分岐設定'!$B$25),0))</x:f>
        <x:v>2</x:v>
      </x:c>
      <x:c r="AP263" s="1" t="n">
        <x:f>MAX(2,ROUNDUP('損益分岐設定'!C40*AJ263/('損益分岐設定'!$B$23*'損益分岐設定'!$B$24*3600*'損益分岐設定'!$B$25),0))</x:f>
        <x:v>3</x:v>
      </x:c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 ht="23" customHeight="1">
      <x:c r="A264" s="1" t="str">
        <x:v>Hybrid</x:v>
      </x:c>
      <x:c r="B264" s="1" t="str">
        <x:v>Business Plus</x:v>
      </x:c>
      <x:c r="C264" s="1" t="str">
        <x:v>標準</x:v>
      </x:c>
      <x:c r="D264" s="21" t="n">
        <x:v>0.5</x:v>
      </x:c>
      <x:c r="E264" s="1" t="n">
        <x:v>1</x:v>
      </x:c>
      <x:c r="F264" s="7" t="n">
        <x:f>AD264*'損益分岐設定'!$B$5+AE264*'損益分岐設定'!$B$6+AF264*'損益分岐設定'!$B$7</x:f>
        <x:v>8000</x:v>
      </x:c>
      <x:c r="G264" s="7" t="n">
        <x:f>AG264+(AH264+AI264)*('損益分岐設定'!$B$29+0.5*'損益分岐設定'!$B$30)+AK264*'損益分岐設定'!$B$33</x:f>
        <x:v>1031.4341073865594</x:v>
      </x:c>
      <x:c r="H264" s="7" t="n">
        <x:f>AL264*E264</x:f>
        <x:v>866.6666666666667</x:v>
      </x:c>
      <x:c r="I264" s="7" t="n">
        <x:f>F264*(1-D264-'損益分岐設定'!$B$10)-G264-H264</x:f>
        <x:v>1813.8992259467739</x:v>
      </x:c>
      <x:c r="J264" s="1" t="n">
        <x:f>IF(MIN(V264:Y264)&gt;1000,"範囲内なし",MIN(V264:Y264))</x:f>
        <x:v>38</x:v>
      </x:c>
      <x:c r="K264" s="1" t="n">
        <x:f>IF(MAX(Z264:AC264)&gt;=1000,"範囲内なし",MAX(1,MAX(Z264:AC264)+1))</x:f>
        <x:v>38</x:v>
      </x:c>
      <x:c r="L264" s="7" t="n">
        <x:f>10*I264-R264</x:f>
        <x:v>-33300.80443083758</x:v>
      </x:c>
      <x:c r="M264" s="7" t="n">
        <x:f>30*I264-S264</x:f>
        <x:v>-13962.616602207418</x:v>
      </x:c>
      <x:c r="N264" s="7" t="n">
        <x:f>50*I264-S264</x:f>
        <x:v>22315.367916728064</x:v>
      </x:c>
      <x:c r="O264" s="7" t="n">
        <x:f>100*I264-S264</x:f>
        <x:v>113010.32921406676</x:v>
      </x:c>
      <x:c r="P264" s="7" t="n">
        <x:f>300*I264-T264</x:f>
        <x:v>453790.1744034215</x:v>
      </x:c>
      <x:c r="Q264" s="7" t="n">
        <x:f>1000*I264-U264</x:f>
        <x:v>1681079.8358758579</x:v>
      </x:c>
      <x:c r="R264" s="7" t="n">
        <x:f>'損益分岐設定'!$B$18+'損益分岐設定'!$B$19+'損益分岐設定'!$B$20+'損益分岐設定'!E37+'損益分岐設定'!D37+AM264*('損益分岐設定'!$B$15+'損益分岐設定'!$B$16)+'損益分岐設定'!$B$17+E264*('損益分岐設定'!$B$13+(AM264-1)*'損益分岐設定'!$B$14)*'損益分岐設定'!$B$11</x:f>
        <x:v>51439.79669030532</x:v>
      </x:c>
      <x:c r="S264" s="7" t="n">
        <x:f>'損益分岐設定'!$B$18+'損益分岐設定'!$B$19+'損益分岐設定'!$B$20+'損益分岐設定'!E38+'損益分岐設定'!D38+AN264*('損益分岐設定'!$B$15+'損益分岐設定'!$B$16)+'損益分岐設定'!$B$17+E264*('損益分岐設定'!$B$13+(AN264-1)*'損益分岐設定'!$B$14)*'損益分岐設定'!$B$11</x:f>
        <x:v>68379.59338061063</x:v>
      </x:c>
      <x:c r="T264" s="7" t="n">
        <x:f>'損益分岐設定'!$B$18+'損益分岐設定'!$B$19+'損益分岐設定'!$B$20+'損益分岐設定'!E39+'損益分岐設定'!D39+AO264*('損益分岐設定'!$B$15+'損益分岐設定'!$B$16)+'損益分岐設定'!$B$17+E264*('損益分岐設定'!$B$13+(AO264-1)*'損益分岐設定'!$B$14)*'損益分岐設定'!$B$11</x:f>
        <x:v>90379.59338061063</x:v>
      </x:c>
      <x:c r="U264" s="7" t="n">
        <x:f>'損益分岐設定'!$B$18+'損益分岐設定'!$B$19+'損益分岐設定'!$B$20+'損益分岐設定'!E40+'損益分岐設定'!D40+AP264*('損益分岐設定'!$B$15+'損益分岐設定'!$B$16)+'損益分岐設定'!$B$17+E264*('損益分岐設定'!$B$13+(AP264-1)*'損益分岐設定'!$B$14)*'損益分岐設定'!$B$11</x:f>
        <x:v>132819.39007091595</x:v>
      </x:c>
      <x:c r="V264" s="1" t="n">
        <x:f>IF(I264&lt;=0,1001,IF(MAX('損益分岐設定'!B37,ROUNDUP(R264/I264,0))&lt;='損益分岐設定'!C37,MAX('損益分岐設定'!B37,ROUNDUP(R264/I264,0)),1001))</x:f>
        <x:v>1001</x:v>
      </x:c>
      <x:c r="W264" s="1" t="n">
        <x:f>IF(I264&lt;=0,1001,IF(MAX('損益分岐設定'!B38,ROUNDUP(S264/I264,0))&lt;='損益分岐設定'!C38,MAX('損益分岐設定'!B38,ROUNDUP(S264/I264,0)),1001))</x:f>
        <x:v>38</x:v>
      </x:c>
      <x:c r="X264" s="1" t="n">
        <x:f>IF(I264&lt;=0,1001,IF(MAX('損益分岐設定'!B39,ROUNDUP(T264/I264,0))&lt;='損益分岐設定'!C39,MAX('損益分岐設定'!B39,ROUNDUP(T264/I264,0)),1001))</x:f>
        <x:v>101</x:v>
      </x:c>
      <x:c r="Y264" s="1" t="n">
        <x:f>IF(I264&lt;=0,1001,IF(MAX('損益分岐設定'!B40,ROUNDUP(U264/I264,0))&lt;='損益分岐設定'!C40,MAX('損益分岐設定'!B40,ROUNDUP(U264/I264,0)),1001))</x:f>
        <x:v>501</x:v>
      </x:c>
      <x:c r="Z264" s="1" t="n">
        <x:f>IF(I264&lt;=0,'損益分岐設定'!C37,IF('損益分岐設定'!C37*I264-R264&lt;0,'損益分岐設定'!C37,IF('損益分岐設定'!B37*I264-R264&gt;=0,0,ROUNDUP(R264/I264,0)-1)))</x:f>
        <x:v>10</x:v>
      </x:c>
      <x:c r="AA264" s="1" t="n">
        <x:f>IF(I264&lt;=0,'損益分岐設定'!C38,IF('損益分岐設定'!C38*I264-S264&lt;0,'損益分岐設定'!C38,IF('損益分岐設定'!B38*I264-S264&gt;=0,0,ROUNDUP(S264/I264,0)-1)))</x:f>
        <x:v>37</x:v>
      </x:c>
      <x:c r="AB264" s="1" t="n">
        <x:f>IF(I264&lt;=0,'損益分岐設定'!C39,IF('損益分岐設定'!C39*I264-T264&lt;0,'損益分岐設定'!C39,IF('損益分岐設定'!B39*I264-T264&gt;=0,0,ROUNDUP(T264/I264,0)-1)))</x:f>
        <x:v>0</x:v>
      </x:c>
      <x:c r="AC264" s="1" t="n">
        <x:f>IF(I264&lt;=0,'損益分岐設定'!C40,IF('損益分岐設定'!C40*I264-U264&lt;0,'損益分岐設定'!C40,IF('損益分岐設定'!B40*I264-U264&gt;=0,0,ROUNDUP(U264/I264,0)-1)))</x:f>
        <x:v>0</x:v>
      </x:c>
      <x:c r="AD264" s="1" t="n">
        <x:v>0</x:v>
      </x:c>
      <x:c r="AE264" s="1" t="n">
        <x:v>0</x:v>
      </x:c>
      <x:c r="AF264" s="1" t="n">
        <x:v>1</x:v>
      </x:c>
      <x:c r="AG264" s="1" t="n">
        <x:f>AD264*'損益分岐設定'!$C$57+AE264*'損益分岐設定'!$C$60+AF264*'損益分岐設定'!$C$63</x:f>
        <x:v>1028.9614318847655</x:v>
      </x:c>
      <x:c r="AH264" s="1" t="n">
        <x:f>AD264*'損益分岐設定'!$D$57+AE264*'損益分岐設定'!$D$60+AF264*'損益分岐設定'!$D$63</x:f>
        <x:v>300</x:v>
      </x:c>
      <x:c r="AI264" s="1" t="n">
        <x:f>AD264*'損益分岐設定'!$E$57+AE264*'損益分岐設定'!$E$60+AF264*'損益分岐設定'!$E$63</x:f>
        <x:v>300</x:v>
      </x:c>
      <x:c r="AJ264" s="1" t="n">
        <x:f>(AD264*'損益分岐設定'!$F$57+AE264*'損益分岐設定'!$F$60+AF264*'損益分岐設定'!$F$63*1)*'損益分岐設定'!$B$22</x:f>
        <x:v>1200</x:v>
      </x:c>
      <x:c r="AK264" s="1" t="n">
        <x:f>AD264*'損益分岐設定'!$G$57+AE264*'損益分岐設定'!$G$60+AF264*'損益分岐設定'!$G$63</x:f>
        <x:v>2000</x:v>
      </x:c>
      <x:c r="AL264" s="1" t="n">
        <x:f>AD264*'損益分岐設定'!$H$57+AE264*'損益分岐設定'!$H$60+AF264*'損益分岐設定'!$H$63</x:f>
        <x:v>866.6666666666667</x:v>
      </x:c>
      <x:c r="AM264" s="1" t="n">
        <x:f>MAX(1,ROUNDUP('損益分岐設定'!C37*AJ264/('損益分岐設定'!$B$23*'損益分岐設定'!$B$24*3600*'損益分岐設定'!$B$25),0))</x:f>
        <x:v>1</x:v>
      </x:c>
      <x:c r="AN264" s="1" t="n">
        <x:f>MAX(2,ROUNDUP('損益分岐設定'!C38*AJ264/('損益分岐設定'!$B$23*'損益分岐設定'!$B$24*3600*'損益分岐設定'!$B$25),0))</x:f>
        <x:v>2</x:v>
      </x:c>
      <x:c r="AO264" s="1" t="n">
        <x:f>MAX(2,ROUNDUP('損益分岐設定'!C39*AJ264/('損益分岐設定'!$B$23*'損益分岐設定'!$B$24*3600*'損益分岐設定'!$B$25),0))</x:f>
        <x:v>2</x:v>
      </x:c>
      <x:c r="AP264" s="1" t="n">
        <x:f>MAX(2,ROUNDUP('損益分岐設定'!C40*AJ264/('損益分岐設定'!$B$23*'損益分岐設定'!$B$24*3600*'損益分岐設定'!$B$25),0))</x:f>
        <x:v>3</x:v>
      </x:c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 ht="23" customHeight="1">
      <x:c r="A265" s="1" t="str">
        <x:v>Hybrid</x:v>
      </x:c>
      <x:c r="B265" s="1" t="str">
        <x:v>Business Plus</x:v>
      </x:c>
      <x:c r="C265" s="1" t="str">
        <x:v>高位</x:v>
      </x:c>
      <x:c r="D265" s="21" t="n">
        <x:v>0</x:v>
      </x:c>
      <x:c r="E265" s="1" t="n">
        <x:v>0</x:v>
      </x:c>
      <x:c r="F265" s="7" t="n">
        <x:f>AD265*'損益分岐設定'!$B$5+AE265*'損益分岐設定'!$B$6+AF265*'損益分岐設定'!$B$7</x:f>
        <x:v>8000</x:v>
      </x:c>
      <x:c r="G265" s="7" t="n">
        <x:f>AG265+(AH265+AI265)*('損益分岐設定'!$B$29+0.5*'損益分岐設定'!$B$30)+AK265*'損益分岐設定'!$B$33</x:f>
        <x:v>24723.333432203155</x:v>
      </x:c>
      <x:c r="H265" s="7" t="n">
        <x:f>AL265*E265</x:f>
        <x:v>0</x:v>
      </x:c>
      <x:c r="I265" s="7" t="n">
        <x:f>F265*(1-D265-'損益分岐設定'!$B$10)-G265-H265</x:f>
        <x:v>-17011.333432203155</x:v>
      </x:c>
      <x:c r="J265" s="1" t="str">
        <x:f>IF(MIN(V265:Y265)&gt;1000,"範囲内なし",MIN(V265:Y265))</x:f>
        <x:v>範囲内なし</x:v>
      </x:c>
      <x:c r="K265" s="1" t="str">
        <x:f>IF(MAX(Z265:AC265)&gt;=1000,"範囲内なし",MAX(1,MAX(Z265:AC265)+1))</x:f>
        <x:v>範囲内なし</x:v>
      </x:c>
      <x:c r="L265" s="7" t="n">
        <x:f>10*I265-R265</x:f>
        <x:v>-205553.13101233687</x:v>
      </x:c>
      <x:c r="M265" s="7" t="n">
        <x:f>30*I265-S265</x:f>
        <x:v>-581599.1897273159</x:v>
      </x:c>
      <x:c r="N265" s="7" t="n">
        <x:f>50*I265-S265</x:f>
        <x:v>-921825.858371379</x:v>
      </x:c>
      <x:c r="O265" s="7" t="n">
        <x:f>100*I265-S265</x:f>
        <x:v>-1772392.5299815368</x:v>
      </x:c>
      <x:c r="P265" s="7" t="n">
        <x:f>300*I265-T265</x:f>
        <x:v>-5342816.370086443</x:v>
      </x:c>
      <x:c r="Q265" s="7" t="n">
        <x:f>1000*I265-U265</x:f>
        <x:v>-17468666.113054145</x:v>
      </x:c>
      <x:c r="R265" s="7" t="n">
        <x:f>'損益分岐設定'!$B$18+'損益分岐設定'!$B$19+'損益分岐設定'!$B$20+'損益分岐設定'!E37+'損益分岐設定'!D37+AM265*('損益分岐設定'!$B$15+'損益分岐設定'!$B$16)+'損益分岐設定'!$B$17+E265*('損益分岐設定'!$B$13+(AM265-1)*'損益分岐設定'!$B$14)*'損益分岐設定'!$B$11</x:f>
        <x:v>35439.79669030532</x:v>
      </x:c>
      <x:c r="S265" s="7" t="n">
        <x:f>'損益分岐設定'!$B$18+'損益分岐設定'!$B$19+'損益分岐設定'!$B$20+'損益分岐設定'!E38+'損益分岐設定'!D38+AN265*('損益分岐設定'!$B$15+'損益分岐設定'!$B$16)+'損益分岐設定'!$B$17+E265*('損益分岐設定'!$B$13+(AN265-1)*'損益分岐設定'!$B$14)*'損益分岐設定'!$B$11</x:f>
        <x:v>71259.18676122127</x:v>
      </x:c>
      <x:c r="T265" s="7" t="n">
        <x:f>'損益分岐設定'!$B$18+'損益分岐設定'!$B$19+'損益分岐設定'!$B$20+'損益分岐設定'!E39+'損益分岐設定'!D39+AO265*('損益分岐設定'!$B$15+'損益分岐設定'!$B$16)+'損益分岐設定'!$B$17+E265*('損益分岐設定'!$B$13+(AO265-1)*'損益分岐設定'!$B$14)*'損益分岐設定'!$B$11</x:f>
        <x:v>239416.34042549573</x:v>
      </x:c>
      <x:c r="U265" s="7" t="n">
        <x:f>'損益分岐設定'!$B$18+'損益分岐設定'!$B$19+'損益分岐設定'!$B$20+'損益分岐設定'!E40+'損益分岐設定'!D40+AP265*('損益分岐設定'!$B$15+'損益分岐設定'!$B$16)+'損益分岐設定'!$B$17+E265*('損益分岐設定'!$B$13+(AP265-1)*'損益分岐設定'!$B$14)*'損益分岐設定'!$B$11</x:f>
        <x:v>457332.68085099146</x:v>
      </x:c>
      <x:c r="V265" s="1" t="n">
        <x:f>IF(I265&lt;=0,1001,IF(MAX('損益分岐設定'!B37,ROUNDUP(R265/I265,0))&lt;='損益分岐設定'!C37,MAX('損益分岐設定'!B37,ROUNDUP(R265/I265,0)),1001))</x:f>
        <x:v>1001</x:v>
      </x:c>
      <x:c r="W265" s="1" t="n">
        <x:f>IF(I265&lt;=0,1001,IF(MAX('損益分岐設定'!B38,ROUNDUP(S265/I265,0))&lt;='損益分岐設定'!C38,MAX('損益分岐設定'!B38,ROUNDUP(S265/I265,0)),1001))</x:f>
        <x:v>1001</x:v>
      </x:c>
      <x:c r="X265" s="1" t="n">
        <x:f>IF(I265&lt;=0,1001,IF(MAX('損益分岐設定'!B39,ROUNDUP(T265/I265,0))&lt;='損益分岐設定'!C39,MAX('損益分岐設定'!B39,ROUNDUP(T265/I265,0)),1001))</x:f>
        <x:v>1001</x:v>
      </x:c>
      <x:c r="Y265" s="1" t="n">
        <x:f>IF(I265&lt;=0,1001,IF(MAX('損益分岐設定'!B40,ROUNDUP(U265/I265,0))&lt;='損益分岐設定'!C40,MAX('損益分岐設定'!B40,ROUNDUP(U265/I265,0)),1001))</x:f>
        <x:v>1001</x:v>
      </x:c>
      <x:c r="Z265" s="1" t="n">
        <x:f>IF(I265&lt;=0,'損益分岐設定'!C37,IF('損益分岐設定'!C37*I265-R265&lt;0,'損益分岐設定'!C37,IF('損益分岐設定'!B37*I265-R265&gt;=0,0,ROUNDUP(R265/I265,0)-1)))</x:f>
        <x:v>10</x:v>
      </x:c>
      <x:c r="AA265" s="1" t="n">
        <x:f>IF(I265&lt;=0,'損益分岐設定'!C38,IF('損益分岐設定'!C38*I265-S265&lt;0,'損益分岐設定'!C38,IF('損益分岐設定'!B38*I265-S265&gt;=0,0,ROUNDUP(S265/I265,0)-1)))</x:f>
        <x:v>100</x:v>
      </x:c>
      <x:c r="AB265" s="1" t="n">
        <x:f>IF(I265&lt;=0,'損益分岐設定'!C39,IF('損益分岐設定'!C39*I265-T265&lt;0,'損益分岐設定'!C39,IF('損益分岐設定'!B39*I265-T265&gt;=0,0,ROUNDUP(T265/I265,0)-1)))</x:f>
        <x:v>500</x:v>
      </x:c>
      <x:c r="AC265" s="1" t="n">
        <x:f>IF(I265&lt;=0,'損益分岐設定'!C40,IF('損益分岐設定'!C40*I265-U265&lt;0,'損益分岐設定'!C40,IF('損益分岐設定'!B40*I265-U265&gt;=0,0,ROUNDUP(U265/I265,0)-1)))</x:f>
        <x:v>1000</x:v>
      </x:c>
      <x:c r="AD265" s="1" t="n">
        <x:v>0</x:v>
      </x:c>
      <x:c r="AE265" s="1" t="n">
        <x:v>0</x:v>
      </x:c>
      <x:c r="AF265" s="1" t="n">
        <x:v>1</x:v>
      </x:c>
      <x:c r="AG265" s="1" t="n">
        <x:f>AD265*'損益分岐設定'!$C$58+AE265*'損益分岐設定'!$C$61+AF265*'損益分岐設定'!$C$64</x:f>
        <x:v>24711.76447753906</x:v>
      </x:c>
      <x:c r="AH265" s="1" t="n">
        <x:f>AD265*'損益分岐設定'!$D$58+AE265*'損益分岐設定'!$D$61+AF265*'損益分岐設定'!$D$64</x:f>
        <x:v>1200</x:v>
      </x:c>
      <x:c r="AI265" s="1" t="n">
        <x:f>AD265*'損益分岐設定'!$E$58+AE265*'損益分岐設定'!$E$61+AF265*'損益分岐設定'!$E$64</x:f>
        <x:v>1600</x:v>
      </x:c>
      <x:c r="AJ265" s="1" t="n">
        <x:f>(AD265*'損益分岐設定'!$F$58+AE265*'損益分岐設定'!$F$61+AF265*'損益分岐設定'!$F$64*1)*'損益分岐設定'!$B$22</x:f>
        <x:v>18000</x:v>
      </x:c>
      <x:c r="AK265" s="1" t="n">
        <x:f>AD265*'損益分岐設定'!$G$58+AE265*'損益分岐設定'!$G$61+AF265*'損益分岐設定'!$G$64</x:f>
        <x:v>12000</x:v>
      </x:c>
      <x:c r="AL265" s="1" t="n">
        <x:f>AD265*'損益分岐設定'!$H$58+AE265*'損益分岐設定'!$H$61+AF265*'損益分岐設定'!$H$64</x:f>
        <x:v>1666.6666666666667</x:v>
      </x:c>
      <x:c r="AM265" s="1" t="n">
        <x:f>MAX(1,ROUNDUP('損益分岐設定'!C37*AJ265/('損益分岐設定'!$B$23*'損益分岐設定'!$B$24*3600*'損益分岐設定'!$B$25),0))</x:f>
        <x:v>1</x:v>
      </x:c>
      <x:c r="AN265" s="1" t="n">
        <x:f>MAX(2,ROUNDUP('損益分岐設定'!C38*AJ265/('損益分岐設定'!$B$23*'損益分岐設定'!$B$24*3600*'損益分岐設定'!$B$25),0))</x:f>
        <x:v>4</x:v>
      </x:c>
      <x:c r="AO265" s="1" t="n">
        <x:f>MAX(2,ROUNDUP('損益分岐設定'!C39*AJ265/('損益分岐設定'!$B$23*'損益分岐設定'!$B$24*3600*'損益分岐設定'!$B$25),0))</x:f>
        <x:v>18</x:v>
      </x:c>
      <x:c r="AP265" s="1" t="n">
        <x:f>MAX(2,ROUNDUP('損益分岐設定'!C40*AJ265/('損益分岐設定'!$B$23*'損益分岐設定'!$B$24*3600*'損益分岐設定'!$B$25),0))</x:f>
        <x:v>36</x:v>
      </x:c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 ht="23" customHeight="1">
      <x:c r="A266" s="1" t="str">
        <x:v>Hybrid</x:v>
      </x:c>
      <x:c r="B266" s="1" t="str">
        <x:v>Business Plus</x:v>
      </x:c>
      <x:c r="C266" s="1" t="str">
        <x:v>高位</x:v>
      </x:c>
      <x:c r="D266" s="21" t="n">
        <x:v>0</x:v>
      </x:c>
      <x:c r="E266" s="1" t="n">
        <x:v>1</x:v>
      </x:c>
      <x:c r="F266" s="7" t="n">
        <x:f>AD266*'損益分岐設定'!$B$5+AE266*'損益分岐設定'!$B$6+AF266*'損益分岐設定'!$B$7</x:f>
        <x:v>8000</x:v>
      </x:c>
      <x:c r="G266" s="7" t="n">
        <x:f>AG266+(AH266+AI266)*('損益分岐設定'!$B$29+0.5*'損益分岐設定'!$B$30)+AK266*'損益分岐設定'!$B$33</x:f>
        <x:v>24723.333432203155</x:v>
      </x:c>
      <x:c r="H266" s="7" t="n">
        <x:f>AL266*E266</x:f>
        <x:v>1666.6666666666667</x:v>
      </x:c>
      <x:c r="I266" s="7" t="n">
        <x:f>F266*(1-D266-'損益分岐設定'!$B$10)-G266-H266</x:f>
        <x:v>-18678.000098869823</x:v>
      </x:c>
      <x:c r="J266" s="1" t="str">
        <x:f>IF(MIN(V266:Y266)&gt;1000,"範囲内なし",MIN(V266:Y266))</x:f>
        <x:v>範囲内なし</x:v>
      </x:c>
      <x:c r="K266" s="1" t="str">
        <x:f>IF(MAX(Z266:AC266)&gt;=1000,"範囲内なし",MAX(1,MAX(Z266:AC266)+1))</x:f>
        <x:v>範囲内なし</x:v>
      </x:c>
      <x:c r="L266" s="7" t="n">
        <x:f>10*I266-R266</x:f>
        <x:v>-238219.79767900353</x:v>
      </x:c>
      <x:c r="M266" s="7" t="n">
        <x:f>30*I266-S266</x:f>
        <x:v>-653599.1897273159</x:v>
      </x:c>
      <x:c r="N266" s="7" t="n">
        <x:f>50*I266-S266</x:f>
        <x:v>-1027159.1917047125</x:v>
      </x:c>
      <x:c r="O266" s="7" t="n">
        <x:f>100*I266-S266</x:f>
        <x:v>-1961059.1966482038</x:v>
      </x:c>
      <x:c r="P266" s="7" t="n">
        <x:f>300*I266-T266</x:f>
        <x:v>-5892816.370086443</x:v>
      </x:c>
      <x:c r="Q266" s="7" t="n">
        <x:f>1000*I266-U266</x:f>
        <x:v>-19221332.779720813</x:v>
      </x:c>
      <x:c r="R266" s="7" t="n">
        <x:f>'損益分岐設定'!$B$18+'損益分岐設定'!$B$19+'損益分岐設定'!$B$20+'損益分岐設定'!E37+'損益分岐設定'!D37+AM266*('損益分岐設定'!$B$15+'損益分岐設定'!$B$16)+'損益分岐設定'!$B$17+E266*('損益分岐設定'!$B$13+(AM266-1)*'損益分岐設定'!$B$14)*'損益分岐設定'!$B$11</x:f>
        <x:v>51439.79669030532</x:v>
      </x:c>
      <x:c r="S266" s="7" t="n">
        <x:f>'損益分岐設定'!$B$18+'損益分岐設定'!$B$19+'損益分岐設定'!$B$20+'損益分岐設定'!E38+'損益分岐設定'!D38+AN266*('損益分岐設定'!$B$15+'損益分岐設定'!$B$16)+'損益分岐設定'!$B$17+E266*('損益分岐設定'!$B$13+(AN266-1)*'損益分岐設定'!$B$14)*'損益分岐設定'!$B$11</x:f>
        <x:v>93259.18676122127</x:v>
      </x:c>
      <x:c r="T266" s="7" t="n">
        <x:f>'損益分岐設定'!$B$18+'損益分岐設定'!$B$19+'損益分岐設定'!$B$20+'損益分岐設定'!E39+'損益分岐設定'!D39+AO266*('損益分岐設定'!$B$15+'損益分岐設定'!$B$16)+'損益分岐設定'!$B$17+E266*('損益分岐設定'!$B$13+(AO266-1)*'損益分岐設定'!$B$14)*'損益分岐設定'!$B$11</x:f>
        <x:v>289416.34042549576</x:v>
      </x:c>
      <x:c r="U266" s="7" t="n">
        <x:f>'損益分岐設定'!$B$18+'損益分岐設定'!$B$19+'損益分岐設定'!$B$20+'損益分岐設定'!E40+'損益分岐設定'!D40+AP266*('損益分岐設定'!$B$15+'損益分岐設定'!$B$16)+'損益分岐設定'!$B$17+E266*('損益分岐設定'!$B$13+(AP266-1)*'損益分岐設定'!$B$14)*'損益分岐設定'!$B$11</x:f>
        <x:v>543332.6808509915</x:v>
      </x:c>
      <x:c r="V266" s="1" t="n">
        <x:f>IF(I266&lt;=0,1001,IF(MAX('損益分岐設定'!B37,ROUNDUP(R266/I266,0))&lt;='損益分岐設定'!C37,MAX('損益分岐設定'!B37,ROUNDUP(R266/I266,0)),1001))</x:f>
        <x:v>1001</x:v>
      </x:c>
      <x:c r="W266" s="1" t="n">
        <x:f>IF(I266&lt;=0,1001,IF(MAX('損益分岐設定'!B38,ROUNDUP(S266/I266,0))&lt;='損益分岐設定'!C38,MAX('損益分岐設定'!B38,ROUNDUP(S266/I266,0)),1001))</x:f>
        <x:v>1001</x:v>
      </x:c>
      <x:c r="X266" s="1" t="n">
        <x:f>IF(I266&lt;=0,1001,IF(MAX('損益分岐設定'!B39,ROUNDUP(T266/I266,0))&lt;='損益分岐設定'!C39,MAX('損益分岐設定'!B39,ROUNDUP(T266/I266,0)),1001))</x:f>
        <x:v>1001</x:v>
      </x:c>
      <x:c r="Y266" s="1" t="n">
        <x:f>IF(I266&lt;=0,1001,IF(MAX('損益分岐設定'!B40,ROUNDUP(U266/I266,0))&lt;='損益分岐設定'!C40,MAX('損益分岐設定'!B40,ROUNDUP(U266/I266,0)),1001))</x:f>
        <x:v>1001</x:v>
      </x:c>
      <x:c r="Z266" s="1" t="n">
        <x:f>IF(I266&lt;=0,'損益分岐設定'!C37,IF('損益分岐設定'!C37*I266-R266&lt;0,'損益分岐設定'!C37,IF('損益分岐設定'!B37*I266-R266&gt;=0,0,ROUNDUP(R266/I266,0)-1)))</x:f>
        <x:v>10</x:v>
      </x:c>
      <x:c r="AA266" s="1" t="n">
        <x:f>IF(I266&lt;=0,'損益分岐設定'!C38,IF('損益分岐設定'!C38*I266-S266&lt;0,'損益分岐設定'!C38,IF('損益分岐設定'!B38*I266-S266&gt;=0,0,ROUNDUP(S266/I266,0)-1)))</x:f>
        <x:v>100</x:v>
      </x:c>
      <x:c r="AB266" s="1" t="n">
        <x:f>IF(I266&lt;=0,'損益分岐設定'!C39,IF('損益分岐設定'!C39*I266-T266&lt;0,'損益分岐設定'!C39,IF('損益分岐設定'!B39*I266-T266&gt;=0,0,ROUNDUP(T266/I266,0)-1)))</x:f>
        <x:v>500</x:v>
      </x:c>
      <x:c r="AC266" s="1" t="n">
        <x:f>IF(I266&lt;=0,'損益分岐設定'!C40,IF('損益分岐設定'!C40*I266-U266&lt;0,'損益分岐設定'!C40,IF('損益分岐設定'!B40*I266-U266&gt;=0,0,ROUNDUP(U266/I266,0)-1)))</x:f>
        <x:v>1000</x:v>
      </x:c>
      <x:c r="AD266" s="1" t="n">
        <x:v>0</x:v>
      </x:c>
      <x:c r="AE266" s="1" t="n">
        <x:v>0</x:v>
      </x:c>
      <x:c r="AF266" s="1" t="n">
        <x:v>1</x:v>
      </x:c>
      <x:c r="AG266" s="1" t="n">
        <x:f>AD266*'損益分岐設定'!$C$58+AE266*'損益分岐設定'!$C$61+AF266*'損益分岐設定'!$C$64</x:f>
        <x:v>24711.76447753906</x:v>
      </x:c>
      <x:c r="AH266" s="1" t="n">
        <x:f>AD266*'損益分岐設定'!$D$58+AE266*'損益分岐設定'!$D$61+AF266*'損益分岐設定'!$D$64</x:f>
        <x:v>1200</x:v>
      </x:c>
      <x:c r="AI266" s="1" t="n">
        <x:f>AD266*'損益分岐設定'!$E$58+AE266*'損益分岐設定'!$E$61+AF266*'損益分岐設定'!$E$64</x:f>
        <x:v>1600</x:v>
      </x:c>
      <x:c r="AJ266" s="1" t="n">
        <x:f>(AD266*'損益分岐設定'!$F$58+AE266*'損益分岐設定'!$F$61+AF266*'損益分岐設定'!$F$64*1)*'損益分岐設定'!$B$22</x:f>
        <x:v>18000</x:v>
      </x:c>
      <x:c r="AK266" s="1" t="n">
        <x:f>AD266*'損益分岐設定'!$G$58+AE266*'損益分岐設定'!$G$61+AF266*'損益分岐設定'!$G$64</x:f>
        <x:v>12000</x:v>
      </x:c>
      <x:c r="AL266" s="1" t="n">
        <x:f>AD266*'損益分岐設定'!$H$58+AE266*'損益分岐設定'!$H$61+AF266*'損益分岐設定'!$H$64</x:f>
        <x:v>1666.6666666666667</x:v>
      </x:c>
      <x:c r="AM266" s="1" t="n">
        <x:f>MAX(1,ROUNDUP('損益分岐設定'!C37*AJ266/('損益分岐設定'!$B$23*'損益分岐設定'!$B$24*3600*'損益分岐設定'!$B$25),0))</x:f>
        <x:v>1</x:v>
      </x:c>
      <x:c r="AN266" s="1" t="n">
        <x:f>MAX(2,ROUNDUP('損益分岐設定'!C38*AJ266/('損益分岐設定'!$B$23*'損益分岐設定'!$B$24*3600*'損益分岐設定'!$B$25),0))</x:f>
        <x:v>4</x:v>
      </x:c>
      <x:c r="AO266" s="1" t="n">
        <x:f>MAX(2,ROUNDUP('損益分岐設定'!C39*AJ266/('損益分岐設定'!$B$23*'損益分岐設定'!$B$24*3600*'損益分岐設定'!$B$25),0))</x:f>
        <x:v>18</x:v>
      </x:c>
      <x:c r="AP266" s="1" t="n">
        <x:f>MAX(2,ROUNDUP('損益分岐設定'!C40*AJ266/('損益分岐設定'!$B$23*'損益分岐設定'!$B$24*3600*'損益分岐設定'!$B$25),0))</x:f>
        <x:v>36</x:v>
      </x:c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 ht="23" customHeight="1">
      <x:c r="A267" s="1" t="str">
        <x:v>Hybrid</x:v>
      </x:c>
      <x:c r="B267" s="1" t="str">
        <x:v>Business Plus</x:v>
      </x:c>
      <x:c r="C267" s="1" t="str">
        <x:v>高位</x:v>
      </x:c>
      <x:c r="D267" s="21" t="n">
        <x:v>0.2</x:v>
      </x:c>
      <x:c r="E267" s="1" t="n">
        <x:v>0</x:v>
      </x:c>
      <x:c r="F267" s="7" t="n">
        <x:f>AD267*'損益分岐設定'!$B$5+AE267*'損益分岐設定'!$B$6+AF267*'損益分岐設定'!$B$7</x:f>
        <x:v>8000</x:v>
      </x:c>
      <x:c r="G267" s="7" t="n">
        <x:f>AG267+(AH267+AI267)*('損益分岐設定'!$B$29+0.5*'損益分岐設定'!$B$30)+AK267*'損益分岐設定'!$B$33</x:f>
        <x:v>24723.333432203155</x:v>
      </x:c>
      <x:c r="H267" s="7" t="n">
        <x:f>AL267*E267</x:f>
        <x:v>0</x:v>
      </x:c>
      <x:c r="I267" s="7" t="n">
        <x:f>F267*(1-D267-'損益分岐設定'!$B$10)-G267-H267</x:f>
        <x:v>-18611.333432203155</x:v>
      </x:c>
      <x:c r="J267" s="1" t="str">
        <x:f>IF(MIN(V267:Y267)&gt;1000,"範囲内なし",MIN(V267:Y267))</x:f>
        <x:v>範囲内なし</x:v>
      </x:c>
      <x:c r="K267" s="1" t="str">
        <x:f>IF(MAX(Z267:AC267)&gt;=1000,"範囲内なし",MAX(1,MAX(Z267:AC267)+1))</x:f>
        <x:v>範囲内なし</x:v>
      </x:c>
      <x:c r="L267" s="7" t="n">
        <x:f>10*I267-R267</x:f>
        <x:v>-221553.13101233687</x:v>
      </x:c>
      <x:c r="M267" s="7" t="n">
        <x:f>30*I267-S267</x:f>
        <x:v>-629599.1897273159</x:v>
      </x:c>
      <x:c r="N267" s="7" t="n">
        <x:f>50*I267-S267</x:f>
        <x:v>-1001825.858371379</x:v>
      </x:c>
      <x:c r="O267" s="7" t="n">
        <x:f>100*I267-S267</x:f>
        <x:v>-1932392.5299815368</x:v>
      </x:c>
      <x:c r="P267" s="7" t="n">
        <x:f>300*I267-T267</x:f>
        <x:v>-5822816.370086443</x:v>
      </x:c>
      <x:c r="Q267" s="7" t="n">
        <x:f>1000*I267-U267</x:f>
        <x:v>-19068666.113054145</x:v>
      </x:c>
      <x:c r="R267" s="7" t="n">
        <x:f>'損益分岐設定'!$B$18+'損益分岐設定'!$B$19+'損益分岐設定'!$B$20+'損益分岐設定'!E37+'損益分岐設定'!D37+AM267*('損益分岐設定'!$B$15+'損益分岐設定'!$B$16)+'損益分岐設定'!$B$17+E267*('損益分岐設定'!$B$13+(AM267-1)*'損益分岐設定'!$B$14)*'損益分岐設定'!$B$11</x:f>
        <x:v>35439.79669030532</x:v>
      </x:c>
      <x:c r="S267" s="7" t="n">
        <x:f>'損益分岐設定'!$B$18+'損益分岐設定'!$B$19+'損益分岐設定'!$B$20+'損益分岐設定'!E38+'損益分岐設定'!D38+AN267*('損益分岐設定'!$B$15+'損益分岐設定'!$B$16)+'損益分岐設定'!$B$17+E267*('損益分岐設定'!$B$13+(AN267-1)*'損益分岐設定'!$B$14)*'損益分岐設定'!$B$11</x:f>
        <x:v>71259.18676122127</x:v>
      </x:c>
      <x:c r="T267" s="7" t="n">
        <x:f>'損益分岐設定'!$B$18+'損益分岐設定'!$B$19+'損益分岐設定'!$B$20+'損益分岐設定'!E39+'損益分岐設定'!D39+AO267*('損益分岐設定'!$B$15+'損益分岐設定'!$B$16)+'損益分岐設定'!$B$17+E267*('損益分岐設定'!$B$13+(AO267-1)*'損益分岐設定'!$B$14)*'損益分岐設定'!$B$11</x:f>
        <x:v>239416.34042549573</x:v>
      </x:c>
      <x:c r="U267" s="7" t="n">
        <x:f>'損益分岐設定'!$B$18+'損益分岐設定'!$B$19+'損益分岐設定'!$B$20+'損益分岐設定'!E40+'損益分岐設定'!D40+AP267*('損益分岐設定'!$B$15+'損益分岐設定'!$B$16)+'損益分岐設定'!$B$17+E267*('損益分岐設定'!$B$13+(AP267-1)*'損益分岐設定'!$B$14)*'損益分岐設定'!$B$11</x:f>
        <x:v>457332.68085099146</x:v>
      </x:c>
      <x:c r="V267" s="1" t="n">
        <x:f>IF(I267&lt;=0,1001,IF(MAX('損益分岐設定'!B37,ROUNDUP(R267/I267,0))&lt;='損益分岐設定'!C37,MAX('損益分岐設定'!B37,ROUNDUP(R267/I267,0)),1001))</x:f>
        <x:v>1001</x:v>
      </x:c>
      <x:c r="W267" s="1" t="n">
        <x:f>IF(I267&lt;=0,1001,IF(MAX('損益分岐設定'!B38,ROUNDUP(S267/I267,0))&lt;='損益分岐設定'!C38,MAX('損益分岐設定'!B38,ROUNDUP(S267/I267,0)),1001))</x:f>
        <x:v>1001</x:v>
      </x:c>
      <x:c r="X267" s="1" t="n">
        <x:f>IF(I267&lt;=0,1001,IF(MAX('損益分岐設定'!B39,ROUNDUP(T267/I267,0))&lt;='損益分岐設定'!C39,MAX('損益分岐設定'!B39,ROUNDUP(T267/I267,0)),1001))</x:f>
        <x:v>1001</x:v>
      </x:c>
      <x:c r="Y267" s="1" t="n">
        <x:f>IF(I267&lt;=0,1001,IF(MAX('損益分岐設定'!B40,ROUNDUP(U267/I267,0))&lt;='損益分岐設定'!C40,MAX('損益分岐設定'!B40,ROUNDUP(U267/I267,0)),1001))</x:f>
        <x:v>1001</x:v>
      </x:c>
      <x:c r="Z267" s="1" t="n">
        <x:f>IF(I267&lt;=0,'損益分岐設定'!C37,IF('損益分岐設定'!C37*I267-R267&lt;0,'損益分岐設定'!C37,IF('損益分岐設定'!B37*I267-R267&gt;=0,0,ROUNDUP(R267/I267,0)-1)))</x:f>
        <x:v>10</x:v>
      </x:c>
      <x:c r="AA267" s="1" t="n">
        <x:f>IF(I267&lt;=0,'損益分岐設定'!C38,IF('損益分岐設定'!C38*I267-S267&lt;0,'損益分岐設定'!C38,IF('損益分岐設定'!B38*I267-S267&gt;=0,0,ROUNDUP(S267/I267,0)-1)))</x:f>
        <x:v>100</x:v>
      </x:c>
      <x:c r="AB267" s="1" t="n">
        <x:f>IF(I267&lt;=0,'損益分岐設定'!C39,IF('損益分岐設定'!C39*I267-T267&lt;0,'損益分岐設定'!C39,IF('損益分岐設定'!B39*I267-T267&gt;=0,0,ROUNDUP(T267/I267,0)-1)))</x:f>
        <x:v>500</x:v>
      </x:c>
      <x:c r="AC267" s="1" t="n">
        <x:f>IF(I267&lt;=0,'損益分岐設定'!C40,IF('損益分岐設定'!C40*I267-U267&lt;0,'損益分岐設定'!C40,IF('損益分岐設定'!B40*I267-U267&gt;=0,0,ROUNDUP(U267/I267,0)-1)))</x:f>
        <x:v>1000</x:v>
      </x:c>
      <x:c r="AD267" s="1" t="n">
        <x:v>0</x:v>
      </x:c>
      <x:c r="AE267" s="1" t="n">
        <x:v>0</x:v>
      </x:c>
      <x:c r="AF267" s="1" t="n">
        <x:v>1</x:v>
      </x:c>
      <x:c r="AG267" s="1" t="n">
        <x:f>AD267*'損益分岐設定'!$C$58+AE267*'損益分岐設定'!$C$61+AF267*'損益分岐設定'!$C$64</x:f>
        <x:v>24711.76447753906</x:v>
      </x:c>
      <x:c r="AH267" s="1" t="n">
        <x:f>AD267*'損益分岐設定'!$D$58+AE267*'損益分岐設定'!$D$61+AF267*'損益分岐設定'!$D$64</x:f>
        <x:v>1200</x:v>
      </x:c>
      <x:c r="AI267" s="1" t="n">
        <x:f>AD267*'損益分岐設定'!$E$58+AE267*'損益分岐設定'!$E$61+AF267*'損益分岐設定'!$E$64</x:f>
        <x:v>1600</x:v>
      </x:c>
      <x:c r="AJ267" s="1" t="n">
        <x:f>(AD267*'損益分岐設定'!$F$58+AE267*'損益分岐設定'!$F$61+AF267*'損益分岐設定'!$F$64*1)*'損益分岐設定'!$B$22</x:f>
        <x:v>18000</x:v>
      </x:c>
      <x:c r="AK267" s="1" t="n">
        <x:f>AD267*'損益分岐設定'!$G$58+AE267*'損益分岐設定'!$G$61+AF267*'損益分岐設定'!$G$64</x:f>
        <x:v>12000</x:v>
      </x:c>
      <x:c r="AL267" s="1" t="n">
        <x:f>AD267*'損益分岐設定'!$H$58+AE267*'損益分岐設定'!$H$61+AF267*'損益分岐設定'!$H$64</x:f>
        <x:v>1666.6666666666667</x:v>
      </x:c>
      <x:c r="AM267" s="1" t="n">
        <x:f>MAX(1,ROUNDUP('損益分岐設定'!C37*AJ267/('損益分岐設定'!$B$23*'損益分岐設定'!$B$24*3600*'損益分岐設定'!$B$25),0))</x:f>
        <x:v>1</x:v>
      </x:c>
      <x:c r="AN267" s="1" t="n">
        <x:f>MAX(2,ROUNDUP('損益分岐設定'!C38*AJ267/('損益分岐設定'!$B$23*'損益分岐設定'!$B$24*3600*'損益分岐設定'!$B$25),0))</x:f>
        <x:v>4</x:v>
      </x:c>
      <x:c r="AO267" s="1" t="n">
        <x:f>MAX(2,ROUNDUP('損益分岐設定'!C39*AJ267/('損益分岐設定'!$B$23*'損益分岐設定'!$B$24*3600*'損益分岐設定'!$B$25),0))</x:f>
        <x:v>18</x:v>
      </x:c>
      <x:c r="AP267" s="1" t="n">
        <x:f>MAX(2,ROUNDUP('損益分岐設定'!C40*AJ267/('損益分岐設定'!$B$23*'損益分岐設定'!$B$24*3600*'損益分岐設定'!$B$25),0))</x:f>
        <x:v>36</x:v>
      </x:c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 ht="23" customHeight="1">
      <x:c r="A268" s="1" t="str">
        <x:v>Hybrid</x:v>
      </x:c>
      <x:c r="B268" s="1" t="str">
        <x:v>Business Plus</x:v>
      </x:c>
      <x:c r="C268" s="1" t="str">
        <x:v>高位</x:v>
      </x:c>
      <x:c r="D268" s="21" t="n">
        <x:v>0.2</x:v>
      </x:c>
      <x:c r="E268" s="1" t="n">
        <x:v>1</x:v>
      </x:c>
      <x:c r="F268" s="7" t="n">
        <x:f>AD268*'損益分岐設定'!$B$5+AE268*'損益分岐設定'!$B$6+AF268*'損益分岐設定'!$B$7</x:f>
        <x:v>8000</x:v>
      </x:c>
      <x:c r="G268" s="7" t="n">
        <x:f>AG268+(AH268+AI268)*('損益分岐設定'!$B$29+0.5*'損益分岐設定'!$B$30)+AK268*'損益分岐設定'!$B$33</x:f>
        <x:v>24723.333432203155</x:v>
      </x:c>
      <x:c r="H268" s="7" t="n">
        <x:f>AL268*E268</x:f>
        <x:v>1666.6666666666667</x:v>
      </x:c>
      <x:c r="I268" s="7" t="n">
        <x:f>F268*(1-D268-'損益分岐設定'!$B$10)-G268-H268</x:f>
        <x:v>-20278.000098869823</x:v>
      </x:c>
      <x:c r="J268" s="1" t="str">
        <x:f>IF(MIN(V268:Y268)&gt;1000,"範囲内なし",MIN(V268:Y268))</x:f>
        <x:v>範囲内なし</x:v>
      </x:c>
      <x:c r="K268" s="1" t="str">
        <x:f>IF(MAX(Z268:AC268)&gt;=1000,"範囲内なし",MAX(1,MAX(Z268:AC268)+1))</x:f>
        <x:v>範囲内なし</x:v>
      </x:c>
      <x:c r="L268" s="7" t="n">
        <x:f>10*I268-R268</x:f>
        <x:v>-254219.79767900353</x:v>
      </x:c>
      <x:c r="M268" s="7" t="n">
        <x:f>30*I268-S268</x:f>
        <x:v>-701599.1897273159</x:v>
      </x:c>
      <x:c r="N268" s="7" t="n">
        <x:f>50*I268-S268</x:f>
        <x:v>-1107159.1917047123</x:v>
      </x:c>
      <x:c r="O268" s="7" t="n">
        <x:f>100*I268-S268</x:f>
        <x:v>-2121059.196648204</x:v>
      </x:c>
      <x:c r="P268" s="7" t="n">
        <x:f>300*I268-T268</x:f>
        <x:v>-6372816.370086443</x:v>
      </x:c>
      <x:c r="Q268" s="7" t="n">
        <x:f>1000*I268-U268</x:f>
        <x:v>-20821332.779720813</x:v>
      </x:c>
      <x:c r="R268" s="7" t="n">
        <x:f>'損益分岐設定'!$B$18+'損益分岐設定'!$B$19+'損益分岐設定'!$B$20+'損益分岐設定'!E37+'損益分岐設定'!D37+AM268*('損益分岐設定'!$B$15+'損益分岐設定'!$B$16)+'損益分岐設定'!$B$17+E268*('損益分岐設定'!$B$13+(AM268-1)*'損益分岐設定'!$B$14)*'損益分岐設定'!$B$11</x:f>
        <x:v>51439.79669030532</x:v>
      </x:c>
      <x:c r="S268" s="7" t="n">
        <x:f>'損益分岐設定'!$B$18+'損益分岐設定'!$B$19+'損益分岐設定'!$B$20+'損益分岐設定'!E38+'損益分岐設定'!D38+AN268*('損益分岐設定'!$B$15+'損益分岐設定'!$B$16)+'損益分岐設定'!$B$17+E268*('損益分岐設定'!$B$13+(AN268-1)*'損益分岐設定'!$B$14)*'損益分岐設定'!$B$11</x:f>
        <x:v>93259.18676122127</x:v>
      </x:c>
      <x:c r="T268" s="7" t="n">
        <x:f>'損益分岐設定'!$B$18+'損益分岐設定'!$B$19+'損益分岐設定'!$B$20+'損益分岐設定'!E39+'損益分岐設定'!D39+AO268*('損益分岐設定'!$B$15+'損益分岐設定'!$B$16)+'損益分岐設定'!$B$17+E268*('損益分岐設定'!$B$13+(AO268-1)*'損益分岐設定'!$B$14)*'損益分岐設定'!$B$11</x:f>
        <x:v>289416.34042549576</x:v>
      </x:c>
      <x:c r="U268" s="7" t="n">
        <x:f>'損益分岐設定'!$B$18+'損益分岐設定'!$B$19+'損益分岐設定'!$B$20+'損益分岐設定'!E40+'損益分岐設定'!D40+AP268*('損益分岐設定'!$B$15+'損益分岐設定'!$B$16)+'損益分岐設定'!$B$17+E268*('損益分岐設定'!$B$13+(AP268-1)*'損益分岐設定'!$B$14)*'損益分岐設定'!$B$11</x:f>
        <x:v>543332.6808509915</x:v>
      </x:c>
      <x:c r="V268" s="1" t="n">
        <x:f>IF(I268&lt;=0,1001,IF(MAX('損益分岐設定'!B37,ROUNDUP(R268/I268,0))&lt;='損益分岐設定'!C37,MAX('損益分岐設定'!B37,ROUNDUP(R268/I268,0)),1001))</x:f>
        <x:v>1001</x:v>
      </x:c>
      <x:c r="W268" s="1" t="n">
        <x:f>IF(I268&lt;=0,1001,IF(MAX('損益分岐設定'!B38,ROUNDUP(S268/I268,0))&lt;='損益分岐設定'!C38,MAX('損益分岐設定'!B38,ROUNDUP(S268/I268,0)),1001))</x:f>
        <x:v>1001</x:v>
      </x:c>
      <x:c r="X268" s="1" t="n">
        <x:f>IF(I268&lt;=0,1001,IF(MAX('損益分岐設定'!B39,ROUNDUP(T268/I268,0))&lt;='損益分岐設定'!C39,MAX('損益分岐設定'!B39,ROUNDUP(T268/I268,0)),1001))</x:f>
        <x:v>1001</x:v>
      </x:c>
      <x:c r="Y268" s="1" t="n">
        <x:f>IF(I268&lt;=0,1001,IF(MAX('損益分岐設定'!B40,ROUNDUP(U268/I268,0))&lt;='損益分岐設定'!C40,MAX('損益分岐設定'!B40,ROUNDUP(U268/I268,0)),1001))</x:f>
        <x:v>1001</x:v>
      </x:c>
      <x:c r="Z268" s="1" t="n">
        <x:f>IF(I268&lt;=0,'損益分岐設定'!C37,IF('損益分岐設定'!C37*I268-R268&lt;0,'損益分岐設定'!C37,IF('損益分岐設定'!B37*I268-R268&gt;=0,0,ROUNDUP(R268/I268,0)-1)))</x:f>
        <x:v>10</x:v>
      </x:c>
      <x:c r="AA268" s="1" t="n">
        <x:f>IF(I268&lt;=0,'損益分岐設定'!C38,IF('損益分岐設定'!C38*I268-S268&lt;0,'損益分岐設定'!C38,IF('損益分岐設定'!B38*I268-S268&gt;=0,0,ROUNDUP(S268/I268,0)-1)))</x:f>
        <x:v>100</x:v>
      </x:c>
      <x:c r="AB268" s="1" t="n">
        <x:f>IF(I268&lt;=0,'損益分岐設定'!C39,IF('損益分岐設定'!C39*I268-T268&lt;0,'損益分岐設定'!C39,IF('損益分岐設定'!B39*I268-T268&gt;=0,0,ROUNDUP(T268/I268,0)-1)))</x:f>
        <x:v>500</x:v>
      </x:c>
      <x:c r="AC268" s="1" t="n">
        <x:f>IF(I268&lt;=0,'損益分岐設定'!C40,IF('損益分岐設定'!C40*I268-U268&lt;0,'損益分岐設定'!C40,IF('損益分岐設定'!B40*I268-U268&gt;=0,0,ROUNDUP(U268/I268,0)-1)))</x:f>
        <x:v>1000</x:v>
      </x:c>
      <x:c r="AD268" s="1" t="n">
        <x:v>0</x:v>
      </x:c>
      <x:c r="AE268" s="1" t="n">
        <x:v>0</x:v>
      </x:c>
      <x:c r="AF268" s="1" t="n">
        <x:v>1</x:v>
      </x:c>
      <x:c r="AG268" s="1" t="n">
        <x:f>AD268*'損益分岐設定'!$C$58+AE268*'損益分岐設定'!$C$61+AF268*'損益分岐設定'!$C$64</x:f>
        <x:v>24711.76447753906</x:v>
      </x:c>
      <x:c r="AH268" s="1" t="n">
        <x:f>AD268*'損益分岐設定'!$D$58+AE268*'損益分岐設定'!$D$61+AF268*'損益分岐設定'!$D$64</x:f>
        <x:v>1200</x:v>
      </x:c>
      <x:c r="AI268" s="1" t="n">
        <x:f>AD268*'損益分岐設定'!$E$58+AE268*'損益分岐設定'!$E$61+AF268*'損益分岐設定'!$E$64</x:f>
        <x:v>1600</x:v>
      </x:c>
      <x:c r="AJ268" s="1" t="n">
        <x:f>(AD268*'損益分岐設定'!$F$58+AE268*'損益分岐設定'!$F$61+AF268*'損益分岐設定'!$F$64*1)*'損益分岐設定'!$B$22</x:f>
        <x:v>18000</x:v>
      </x:c>
      <x:c r="AK268" s="1" t="n">
        <x:f>AD268*'損益分岐設定'!$G$58+AE268*'損益分岐設定'!$G$61+AF268*'損益分岐設定'!$G$64</x:f>
        <x:v>12000</x:v>
      </x:c>
      <x:c r="AL268" s="1" t="n">
        <x:f>AD268*'損益分岐設定'!$H$58+AE268*'損益分岐設定'!$H$61+AF268*'損益分岐設定'!$H$64</x:f>
        <x:v>1666.6666666666667</x:v>
      </x:c>
      <x:c r="AM268" s="1" t="n">
        <x:f>MAX(1,ROUNDUP('損益分岐設定'!C37*AJ268/('損益分岐設定'!$B$23*'損益分岐設定'!$B$24*3600*'損益分岐設定'!$B$25),0))</x:f>
        <x:v>1</x:v>
      </x:c>
      <x:c r="AN268" s="1" t="n">
        <x:f>MAX(2,ROUNDUP('損益分岐設定'!C38*AJ268/('損益分岐設定'!$B$23*'損益分岐設定'!$B$24*3600*'損益分岐設定'!$B$25),0))</x:f>
        <x:v>4</x:v>
      </x:c>
      <x:c r="AO268" s="1" t="n">
        <x:f>MAX(2,ROUNDUP('損益分岐設定'!C39*AJ268/('損益分岐設定'!$B$23*'損益分岐設定'!$B$24*3600*'損益分岐設定'!$B$25),0))</x:f>
        <x:v>18</x:v>
      </x:c>
      <x:c r="AP268" s="1" t="n">
        <x:f>MAX(2,ROUNDUP('損益分岐設定'!C40*AJ268/('損益分岐設定'!$B$23*'損益分岐設定'!$B$24*3600*'損益分岐設定'!$B$25),0))</x:f>
        <x:v>36</x:v>
      </x:c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 ht="23" customHeight="1">
      <x:c r="A269" s="1" t="str">
        <x:v>Hybrid</x:v>
      </x:c>
      <x:c r="B269" s="1" t="str">
        <x:v>Business Plus</x:v>
      </x:c>
      <x:c r="C269" s="1" t="str">
        <x:v>高位</x:v>
      </x:c>
      <x:c r="D269" s="21" t="n">
        <x:v>0.3</x:v>
      </x:c>
      <x:c r="E269" s="1" t="n">
        <x:v>0</x:v>
      </x:c>
      <x:c r="F269" s="7" t="n">
        <x:f>AD269*'損益分岐設定'!$B$5+AE269*'損益分岐設定'!$B$6+AF269*'損益分岐設定'!$B$7</x:f>
        <x:v>8000</x:v>
      </x:c>
      <x:c r="G269" s="7" t="n">
        <x:f>AG269+(AH269+AI269)*('損益分岐設定'!$B$29+0.5*'損益分岐設定'!$B$30)+AK269*'損益分岐設定'!$B$33</x:f>
        <x:v>24723.333432203155</x:v>
      </x:c>
      <x:c r="H269" s="7" t="n">
        <x:f>AL269*E269</x:f>
        <x:v>0</x:v>
      </x:c>
      <x:c r="I269" s="7" t="n">
        <x:f>F269*(1-D269-'損益分岐設定'!$B$10)-G269-H269</x:f>
        <x:v>-19411.333432203155</x:v>
      </x:c>
      <x:c r="J269" s="1" t="str">
        <x:f>IF(MIN(V269:Y269)&gt;1000,"範囲内なし",MIN(V269:Y269))</x:f>
        <x:v>範囲内なし</x:v>
      </x:c>
      <x:c r="K269" s="1" t="str">
        <x:f>IF(MAX(Z269:AC269)&gt;=1000,"範囲内なし",MAX(1,MAX(Z269:AC269)+1))</x:f>
        <x:v>範囲内なし</x:v>
      </x:c>
      <x:c r="L269" s="7" t="n">
        <x:f>10*I269-R269</x:f>
        <x:v>-229553.13101233687</x:v>
      </x:c>
      <x:c r="M269" s="7" t="n">
        <x:f>30*I269-S269</x:f>
        <x:v>-653599.1897273159</x:v>
      </x:c>
      <x:c r="N269" s="7" t="n">
        <x:f>50*I269-S269</x:f>
        <x:v>-1041825.858371379</x:v>
      </x:c>
      <x:c r="O269" s="7" t="n">
        <x:f>100*I269-S269</x:f>
        <x:v>-2012392.5299815368</x:v>
      </x:c>
      <x:c r="P269" s="7" t="n">
        <x:f>300*I269-T269</x:f>
        <x:v>-6062816.370086443</x:v>
      </x:c>
      <x:c r="Q269" s="7" t="n">
        <x:f>1000*I269-U269</x:f>
        <x:v>-19868666.113054145</x:v>
      </x:c>
      <x:c r="R269" s="7" t="n">
        <x:f>'損益分岐設定'!$B$18+'損益分岐設定'!$B$19+'損益分岐設定'!$B$20+'損益分岐設定'!E37+'損益分岐設定'!D37+AM269*('損益分岐設定'!$B$15+'損益分岐設定'!$B$16)+'損益分岐設定'!$B$17+E269*('損益分岐設定'!$B$13+(AM269-1)*'損益分岐設定'!$B$14)*'損益分岐設定'!$B$11</x:f>
        <x:v>35439.79669030532</x:v>
      </x:c>
      <x:c r="S269" s="7" t="n">
        <x:f>'損益分岐設定'!$B$18+'損益分岐設定'!$B$19+'損益分岐設定'!$B$20+'損益分岐設定'!E38+'損益分岐設定'!D38+AN269*('損益分岐設定'!$B$15+'損益分岐設定'!$B$16)+'損益分岐設定'!$B$17+E269*('損益分岐設定'!$B$13+(AN269-1)*'損益分岐設定'!$B$14)*'損益分岐設定'!$B$11</x:f>
        <x:v>71259.18676122127</x:v>
      </x:c>
      <x:c r="T269" s="7" t="n">
        <x:f>'損益分岐設定'!$B$18+'損益分岐設定'!$B$19+'損益分岐設定'!$B$20+'損益分岐設定'!E39+'損益分岐設定'!D39+AO269*('損益分岐設定'!$B$15+'損益分岐設定'!$B$16)+'損益分岐設定'!$B$17+E269*('損益分岐設定'!$B$13+(AO269-1)*'損益分岐設定'!$B$14)*'損益分岐設定'!$B$11</x:f>
        <x:v>239416.34042549573</x:v>
      </x:c>
      <x:c r="U269" s="7" t="n">
        <x:f>'損益分岐設定'!$B$18+'損益分岐設定'!$B$19+'損益分岐設定'!$B$20+'損益分岐設定'!E40+'損益分岐設定'!D40+AP269*('損益分岐設定'!$B$15+'損益分岐設定'!$B$16)+'損益分岐設定'!$B$17+E269*('損益分岐設定'!$B$13+(AP269-1)*'損益分岐設定'!$B$14)*'損益分岐設定'!$B$11</x:f>
        <x:v>457332.68085099146</x:v>
      </x:c>
      <x:c r="V269" s="1" t="n">
        <x:f>IF(I269&lt;=0,1001,IF(MAX('損益分岐設定'!B37,ROUNDUP(R269/I269,0))&lt;='損益分岐設定'!C37,MAX('損益分岐設定'!B37,ROUNDUP(R269/I269,0)),1001))</x:f>
        <x:v>1001</x:v>
      </x:c>
      <x:c r="W269" s="1" t="n">
        <x:f>IF(I269&lt;=0,1001,IF(MAX('損益分岐設定'!B38,ROUNDUP(S269/I269,0))&lt;='損益分岐設定'!C38,MAX('損益分岐設定'!B38,ROUNDUP(S269/I269,0)),1001))</x:f>
        <x:v>1001</x:v>
      </x:c>
      <x:c r="X269" s="1" t="n">
        <x:f>IF(I269&lt;=0,1001,IF(MAX('損益分岐設定'!B39,ROUNDUP(T269/I269,0))&lt;='損益分岐設定'!C39,MAX('損益分岐設定'!B39,ROUNDUP(T269/I269,0)),1001))</x:f>
        <x:v>1001</x:v>
      </x:c>
      <x:c r="Y269" s="1" t="n">
        <x:f>IF(I269&lt;=0,1001,IF(MAX('損益分岐設定'!B40,ROUNDUP(U269/I269,0))&lt;='損益分岐設定'!C40,MAX('損益分岐設定'!B40,ROUNDUP(U269/I269,0)),1001))</x:f>
        <x:v>1001</x:v>
      </x:c>
      <x:c r="Z269" s="1" t="n">
        <x:f>IF(I269&lt;=0,'損益分岐設定'!C37,IF('損益分岐設定'!C37*I269-R269&lt;0,'損益分岐設定'!C37,IF('損益分岐設定'!B37*I269-R269&gt;=0,0,ROUNDUP(R269/I269,0)-1)))</x:f>
        <x:v>10</x:v>
      </x:c>
      <x:c r="AA269" s="1" t="n">
        <x:f>IF(I269&lt;=0,'損益分岐設定'!C38,IF('損益分岐設定'!C38*I269-S269&lt;0,'損益分岐設定'!C38,IF('損益分岐設定'!B38*I269-S269&gt;=0,0,ROUNDUP(S269/I269,0)-1)))</x:f>
        <x:v>100</x:v>
      </x:c>
      <x:c r="AB269" s="1" t="n">
        <x:f>IF(I269&lt;=0,'損益分岐設定'!C39,IF('損益分岐設定'!C39*I269-T269&lt;0,'損益分岐設定'!C39,IF('損益分岐設定'!B39*I269-T269&gt;=0,0,ROUNDUP(T269/I269,0)-1)))</x:f>
        <x:v>500</x:v>
      </x:c>
      <x:c r="AC269" s="1" t="n">
        <x:f>IF(I269&lt;=0,'損益分岐設定'!C40,IF('損益分岐設定'!C40*I269-U269&lt;0,'損益分岐設定'!C40,IF('損益分岐設定'!B40*I269-U269&gt;=0,0,ROUNDUP(U269/I269,0)-1)))</x:f>
        <x:v>1000</x:v>
      </x:c>
      <x:c r="AD269" s="1" t="n">
        <x:v>0</x:v>
      </x:c>
      <x:c r="AE269" s="1" t="n">
        <x:v>0</x:v>
      </x:c>
      <x:c r="AF269" s="1" t="n">
        <x:v>1</x:v>
      </x:c>
      <x:c r="AG269" s="1" t="n">
        <x:f>AD269*'損益分岐設定'!$C$58+AE269*'損益分岐設定'!$C$61+AF269*'損益分岐設定'!$C$64</x:f>
        <x:v>24711.76447753906</x:v>
      </x:c>
      <x:c r="AH269" s="1" t="n">
        <x:f>AD269*'損益分岐設定'!$D$58+AE269*'損益分岐設定'!$D$61+AF269*'損益分岐設定'!$D$64</x:f>
        <x:v>1200</x:v>
      </x:c>
      <x:c r="AI269" s="1" t="n">
        <x:f>AD269*'損益分岐設定'!$E$58+AE269*'損益分岐設定'!$E$61+AF269*'損益分岐設定'!$E$64</x:f>
        <x:v>1600</x:v>
      </x:c>
      <x:c r="AJ269" s="1" t="n">
        <x:f>(AD269*'損益分岐設定'!$F$58+AE269*'損益分岐設定'!$F$61+AF269*'損益分岐設定'!$F$64*1)*'損益分岐設定'!$B$22</x:f>
        <x:v>18000</x:v>
      </x:c>
      <x:c r="AK269" s="1" t="n">
        <x:f>AD269*'損益分岐設定'!$G$58+AE269*'損益分岐設定'!$G$61+AF269*'損益分岐設定'!$G$64</x:f>
        <x:v>12000</x:v>
      </x:c>
      <x:c r="AL269" s="1" t="n">
        <x:f>AD269*'損益分岐設定'!$H$58+AE269*'損益分岐設定'!$H$61+AF269*'損益分岐設定'!$H$64</x:f>
        <x:v>1666.6666666666667</x:v>
      </x:c>
      <x:c r="AM269" s="1" t="n">
        <x:f>MAX(1,ROUNDUP('損益分岐設定'!C37*AJ269/('損益分岐設定'!$B$23*'損益分岐設定'!$B$24*3600*'損益分岐設定'!$B$25),0))</x:f>
        <x:v>1</x:v>
      </x:c>
      <x:c r="AN269" s="1" t="n">
        <x:f>MAX(2,ROUNDUP('損益分岐設定'!C38*AJ269/('損益分岐設定'!$B$23*'損益分岐設定'!$B$24*3600*'損益分岐設定'!$B$25),0))</x:f>
        <x:v>4</x:v>
      </x:c>
      <x:c r="AO269" s="1" t="n">
        <x:f>MAX(2,ROUNDUP('損益分岐設定'!C39*AJ269/('損益分岐設定'!$B$23*'損益分岐設定'!$B$24*3600*'損益分岐設定'!$B$25),0))</x:f>
        <x:v>18</x:v>
      </x:c>
      <x:c r="AP269" s="1" t="n">
        <x:f>MAX(2,ROUNDUP('損益分岐設定'!C40*AJ269/('損益分岐設定'!$B$23*'損益分岐設定'!$B$24*3600*'損益分岐設定'!$B$25),0))</x:f>
        <x:v>36</x:v>
      </x:c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 ht="23" customHeight="1">
      <x:c r="A270" s="1" t="str">
        <x:v>Hybrid</x:v>
      </x:c>
      <x:c r="B270" s="1" t="str">
        <x:v>Business Plus</x:v>
      </x:c>
      <x:c r="C270" s="1" t="str">
        <x:v>高位</x:v>
      </x:c>
      <x:c r="D270" s="21" t="n">
        <x:v>0.3</x:v>
      </x:c>
      <x:c r="E270" s="1" t="n">
        <x:v>1</x:v>
      </x:c>
      <x:c r="F270" s="7" t="n">
        <x:f>AD270*'損益分岐設定'!$B$5+AE270*'損益分岐設定'!$B$6+AF270*'損益分岐設定'!$B$7</x:f>
        <x:v>8000</x:v>
      </x:c>
      <x:c r="G270" s="7" t="n">
        <x:f>AG270+(AH270+AI270)*('損益分岐設定'!$B$29+0.5*'損益分岐設定'!$B$30)+AK270*'損益分岐設定'!$B$33</x:f>
        <x:v>24723.333432203155</x:v>
      </x:c>
      <x:c r="H270" s="7" t="n">
        <x:f>AL270*E270</x:f>
        <x:v>1666.6666666666667</x:v>
      </x:c>
      <x:c r="I270" s="7" t="n">
        <x:f>F270*(1-D270-'損益分岐設定'!$B$10)-G270-H270</x:f>
        <x:v>-21078.000098869823</x:v>
      </x:c>
      <x:c r="J270" s="1" t="str">
        <x:f>IF(MIN(V270:Y270)&gt;1000,"範囲内なし",MIN(V270:Y270))</x:f>
        <x:v>範囲内なし</x:v>
      </x:c>
      <x:c r="K270" s="1" t="str">
        <x:f>IF(MAX(Z270:AC270)&gt;=1000,"範囲内なし",MAX(1,MAX(Z270:AC270)+1))</x:f>
        <x:v>範囲内なし</x:v>
      </x:c>
      <x:c r="L270" s="7" t="n">
        <x:f>10*I270-R270</x:f>
        <x:v>-262219.79767900356</x:v>
      </x:c>
      <x:c r="M270" s="7" t="n">
        <x:f>30*I270-S270</x:f>
        <x:v>-725599.1897273159</x:v>
      </x:c>
      <x:c r="N270" s="7" t="n">
        <x:f>50*I270-S270</x:f>
        <x:v>-1147159.1917047123</x:v>
      </x:c>
      <x:c r="O270" s="7" t="n">
        <x:f>100*I270-S270</x:f>
        <x:v>-2201059.196648204</x:v>
      </x:c>
      <x:c r="P270" s="7" t="n">
        <x:f>300*I270-T270</x:f>
        <x:v>-6612816.370086443</x:v>
      </x:c>
      <x:c r="Q270" s="7" t="n">
        <x:f>1000*I270-U270</x:f>
        <x:v>-21621332.779720813</x:v>
      </x:c>
      <x:c r="R270" s="7" t="n">
        <x:f>'損益分岐設定'!$B$18+'損益分岐設定'!$B$19+'損益分岐設定'!$B$20+'損益分岐設定'!E37+'損益分岐設定'!D37+AM270*('損益分岐設定'!$B$15+'損益分岐設定'!$B$16)+'損益分岐設定'!$B$17+E270*('損益分岐設定'!$B$13+(AM270-1)*'損益分岐設定'!$B$14)*'損益分岐設定'!$B$11</x:f>
        <x:v>51439.79669030532</x:v>
      </x:c>
      <x:c r="S270" s="7" t="n">
        <x:f>'損益分岐設定'!$B$18+'損益分岐設定'!$B$19+'損益分岐設定'!$B$20+'損益分岐設定'!E38+'損益分岐設定'!D38+AN270*('損益分岐設定'!$B$15+'損益分岐設定'!$B$16)+'損益分岐設定'!$B$17+E270*('損益分岐設定'!$B$13+(AN270-1)*'損益分岐設定'!$B$14)*'損益分岐設定'!$B$11</x:f>
        <x:v>93259.18676122127</x:v>
      </x:c>
      <x:c r="T270" s="7" t="n">
        <x:f>'損益分岐設定'!$B$18+'損益分岐設定'!$B$19+'損益分岐設定'!$B$20+'損益分岐設定'!E39+'損益分岐設定'!D39+AO270*('損益分岐設定'!$B$15+'損益分岐設定'!$B$16)+'損益分岐設定'!$B$17+E270*('損益分岐設定'!$B$13+(AO270-1)*'損益分岐設定'!$B$14)*'損益分岐設定'!$B$11</x:f>
        <x:v>289416.34042549576</x:v>
      </x:c>
      <x:c r="U270" s="7" t="n">
        <x:f>'損益分岐設定'!$B$18+'損益分岐設定'!$B$19+'損益分岐設定'!$B$20+'損益分岐設定'!E40+'損益分岐設定'!D40+AP270*('損益分岐設定'!$B$15+'損益分岐設定'!$B$16)+'損益分岐設定'!$B$17+E270*('損益分岐設定'!$B$13+(AP270-1)*'損益分岐設定'!$B$14)*'損益分岐設定'!$B$11</x:f>
        <x:v>543332.6808509915</x:v>
      </x:c>
      <x:c r="V270" s="1" t="n">
        <x:f>IF(I270&lt;=0,1001,IF(MAX('損益分岐設定'!B37,ROUNDUP(R270/I270,0))&lt;='損益分岐設定'!C37,MAX('損益分岐設定'!B37,ROUNDUP(R270/I270,0)),1001))</x:f>
        <x:v>1001</x:v>
      </x:c>
      <x:c r="W270" s="1" t="n">
        <x:f>IF(I270&lt;=0,1001,IF(MAX('損益分岐設定'!B38,ROUNDUP(S270/I270,0))&lt;='損益分岐設定'!C38,MAX('損益分岐設定'!B38,ROUNDUP(S270/I270,0)),1001))</x:f>
        <x:v>1001</x:v>
      </x:c>
      <x:c r="X270" s="1" t="n">
        <x:f>IF(I270&lt;=0,1001,IF(MAX('損益分岐設定'!B39,ROUNDUP(T270/I270,0))&lt;='損益分岐設定'!C39,MAX('損益分岐設定'!B39,ROUNDUP(T270/I270,0)),1001))</x:f>
        <x:v>1001</x:v>
      </x:c>
      <x:c r="Y270" s="1" t="n">
        <x:f>IF(I270&lt;=0,1001,IF(MAX('損益分岐設定'!B40,ROUNDUP(U270/I270,0))&lt;='損益分岐設定'!C40,MAX('損益分岐設定'!B40,ROUNDUP(U270/I270,0)),1001))</x:f>
        <x:v>1001</x:v>
      </x:c>
      <x:c r="Z270" s="1" t="n">
        <x:f>IF(I270&lt;=0,'損益分岐設定'!C37,IF('損益分岐設定'!C37*I270-R270&lt;0,'損益分岐設定'!C37,IF('損益分岐設定'!B37*I270-R270&gt;=0,0,ROUNDUP(R270/I270,0)-1)))</x:f>
        <x:v>10</x:v>
      </x:c>
      <x:c r="AA270" s="1" t="n">
        <x:f>IF(I270&lt;=0,'損益分岐設定'!C38,IF('損益分岐設定'!C38*I270-S270&lt;0,'損益分岐設定'!C38,IF('損益分岐設定'!B38*I270-S270&gt;=0,0,ROUNDUP(S270/I270,0)-1)))</x:f>
        <x:v>100</x:v>
      </x:c>
      <x:c r="AB270" s="1" t="n">
        <x:f>IF(I270&lt;=0,'損益分岐設定'!C39,IF('損益分岐設定'!C39*I270-T270&lt;0,'損益分岐設定'!C39,IF('損益分岐設定'!B39*I270-T270&gt;=0,0,ROUNDUP(T270/I270,0)-1)))</x:f>
        <x:v>500</x:v>
      </x:c>
      <x:c r="AC270" s="1" t="n">
        <x:f>IF(I270&lt;=0,'損益分岐設定'!C40,IF('損益分岐設定'!C40*I270-U270&lt;0,'損益分岐設定'!C40,IF('損益分岐設定'!B40*I270-U270&gt;=0,0,ROUNDUP(U270/I270,0)-1)))</x:f>
        <x:v>1000</x:v>
      </x:c>
      <x:c r="AD270" s="1" t="n">
        <x:v>0</x:v>
      </x:c>
      <x:c r="AE270" s="1" t="n">
        <x:v>0</x:v>
      </x:c>
      <x:c r="AF270" s="1" t="n">
        <x:v>1</x:v>
      </x:c>
      <x:c r="AG270" s="1" t="n">
        <x:f>AD270*'損益分岐設定'!$C$58+AE270*'損益分岐設定'!$C$61+AF270*'損益分岐設定'!$C$64</x:f>
        <x:v>24711.76447753906</x:v>
      </x:c>
      <x:c r="AH270" s="1" t="n">
        <x:f>AD270*'損益分岐設定'!$D$58+AE270*'損益分岐設定'!$D$61+AF270*'損益分岐設定'!$D$64</x:f>
        <x:v>1200</x:v>
      </x:c>
      <x:c r="AI270" s="1" t="n">
        <x:f>AD270*'損益分岐設定'!$E$58+AE270*'損益分岐設定'!$E$61+AF270*'損益分岐設定'!$E$64</x:f>
        <x:v>1600</x:v>
      </x:c>
      <x:c r="AJ270" s="1" t="n">
        <x:f>(AD270*'損益分岐設定'!$F$58+AE270*'損益分岐設定'!$F$61+AF270*'損益分岐設定'!$F$64*1)*'損益分岐設定'!$B$22</x:f>
        <x:v>18000</x:v>
      </x:c>
      <x:c r="AK270" s="1" t="n">
        <x:f>AD270*'損益分岐設定'!$G$58+AE270*'損益分岐設定'!$G$61+AF270*'損益分岐設定'!$G$64</x:f>
        <x:v>12000</x:v>
      </x:c>
      <x:c r="AL270" s="1" t="n">
        <x:f>AD270*'損益分岐設定'!$H$58+AE270*'損益分岐設定'!$H$61+AF270*'損益分岐設定'!$H$64</x:f>
        <x:v>1666.6666666666667</x:v>
      </x:c>
      <x:c r="AM270" s="1" t="n">
        <x:f>MAX(1,ROUNDUP('損益分岐設定'!C37*AJ270/('損益分岐設定'!$B$23*'損益分岐設定'!$B$24*3600*'損益分岐設定'!$B$25),0))</x:f>
        <x:v>1</x:v>
      </x:c>
      <x:c r="AN270" s="1" t="n">
        <x:f>MAX(2,ROUNDUP('損益分岐設定'!C38*AJ270/('損益分岐設定'!$B$23*'損益分岐設定'!$B$24*3600*'損益分岐設定'!$B$25),0))</x:f>
        <x:v>4</x:v>
      </x:c>
      <x:c r="AO270" s="1" t="n">
        <x:f>MAX(2,ROUNDUP('損益分岐設定'!C39*AJ270/('損益分岐設定'!$B$23*'損益分岐設定'!$B$24*3600*'損益分岐設定'!$B$25),0))</x:f>
        <x:v>18</x:v>
      </x:c>
      <x:c r="AP270" s="1" t="n">
        <x:f>MAX(2,ROUNDUP('損益分岐設定'!C40*AJ270/('損益分岐設定'!$B$23*'損益分岐設定'!$B$24*3600*'損益分岐設定'!$B$25),0))</x:f>
        <x:v>36</x:v>
      </x:c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 ht="23" customHeight="1">
      <x:c r="A271" s="1" t="str">
        <x:v>Hybrid</x:v>
      </x:c>
      <x:c r="B271" s="1" t="str">
        <x:v>Business Plus</x:v>
      </x:c>
      <x:c r="C271" s="1" t="str">
        <x:v>高位</x:v>
      </x:c>
      <x:c r="D271" s="21" t="n">
        <x:v>0.4</x:v>
      </x:c>
      <x:c r="E271" s="1" t="n">
        <x:v>0</x:v>
      </x:c>
      <x:c r="F271" s="7" t="n">
        <x:f>AD271*'損益分岐設定'!$B$5+AE271*'損益分岐設定'!$B$6+AF271*'損益分岐設定'!$B$7</x:f>
        <x:v>8000</x:v>
      </x:c>
      <x:c r="G271" s="7" t="n">
        <x:f>AG271+(AH271+AI271)*('損益分岐設定'!$B$29+0.5*'損益分岐設定'!$B$30)+AK271*'損益分岐設定'!$B$33</x:f>
        <x:v>24723.333432203155</x:v>
      </x:c>
      <x:c r="H271" s="7" t="n">
        <x:f>AL271*E271</x:f>
        <x:v>0</x:v>
      </x:c>
      <x:c r="I271" s="7" t="n">
        <x:f>F271*(1-D271-'損益分岐設定'!$B$10)-G271-H271</x:f>
        <x:v>-20211.333432203155</x:v>
      </x:c>
      <x:c r="J271" s="1" t="str">
        <x:f>IF(MIN(V271:Y271)&gt;1000,"範囲内なし",MIN(V271:Y271))</x:f>
        <x:v>範囲内なし</x:v>
      </x:c>
      <x:c r="K271" s="1" t="str">
        <x:f>IF(MAX(Z271:AC271)&gt;=1000,"範囲内なし",MAX(1,MAX(Z271:AC271)+1))</x:f>
        <x:v>範囲内なし</x:v>
      </x:c>
      <x:c r="L271" s="7" t="n">
        <x:f>10*I271-R271</x:f>
        <x:v>-237553.13101233687</x:v>
      </x:c>
      <x:c r="M271" s="7" t="n">
        <x:f>30*I271-S271</x:f>
        <x:v>-677599.1897273159</x:v>
      </x:c>
      <x:c r="N271" s="7" t="n">
        <x:f>50*I271-S271</x:f>
        <x:v>-1081825.8583713789</x:v>
      </x:c>
      <x:c r="O271" s="7" t="n">
        <x:f>100*I271-S271</x:f>
        <x:v>-2092392.5299815368</x:v>
      </x:c>
      <x:c r="P271" s="7" t="n">
        <x:f>300*I271-T271</x:f>
        <x:v>-6302816.370086443</x:v>
      </x:c>
      <x:c r="Q271" s="7" t="n">
        <x:f>1000*I271-U271</x:f>
        <x:v>-20668666.113054145</x:v>
      </x:c>
      <x:c r="R271" s="7" t="n">
        <x:f>'損益分岐設定'!$B$18+'損益分岐設定'!$B$19+'損益分岐設定'!$B$20+'損益分岐設定'!E37+'損益分岐設定'!D37+AM271*('損益分岐設定'!$B$15+'損益分岐設定'!$B$16)+'損益分岐設定'!$B$17+E271*('損益分岐設定'!$B$13+(AM271-1)*'損益分岐設定'!$B$14)*'損益分岐設定'!$B$11</x:f>
        <x:v>35439.79669030532</x:v>
      </x:c>
      <x:c r="S271" s="7" t="n">
        <x:f>'損益分岐設定'!$B$18+'損益分岐設定'!$B$19+'損益分岐設定'!$B$20+'損益分岐設定'!E38+'損益分岐設定'!D38+AN271*('損益分岐設定'!$B$15+'損益分岐設定'!$B$16)+'損益分岐設定'!$B$17+E271*('損益分岐設定'!$B$13+(AN271-1)*'損益分岐設定'!$B$14)*'損益分岐設定'!$B$11</x:f>
        <x:v>71259.18676122127</x:v>
      </x:c>
      <x:c r="T271" s="7" t="n">
        <x:f>'損益分岐設定'!$B$18+'損益分岐設定'!$B$19+'損益分岐設定'!$B$20+'損益分岐設定'!E39+'損益分岐設定'!D39+AO271*('損益分岐設定'!$B$15+'損益分岐設定'!$B$16)+'損益分岐設定'!$B$17+E271*('損益分岐設定'!$B$13+(AO271-1)*'損益分岐設定'!$B$14)*'損益分岐設定'!$B$11</x:f>
        <x:v>239416.34042549573</x:v>
      </x:c>
      <x:c r="U271" s="7" t="n">
        <x:f>'損益分岐設定'!$B$18+'損益分岐設定'!$B$19+'損益分岐設定'!$B$20+'損益分岐設定'!E40+'損益分岐設定'!D40+AP271*('損益分岐設定'!$B$15+'損益分岐設定'!$B$16)+'損益分岐設定'!$B$17+E271*('損益分岐設定'!$B$13+(AP271-1)*'損益分岐設定'!$B$14)*'損益分岐設定'!$B$11</x:f>
        <x:v>457332.68085099146</x:v>
      </x:c>
      <x:c r="V271" s="1" t="n">
        <x:f>IF(I271&lt;=0,1001,IF(MAX('損益分岐設定'!B37,ROUNDUP(R271/I271,0))&lt;='損益分岐設定'!C37,MAX('損益分岐設定'!B37,ROUNDUP(R271/I271,0)),1001))</x:f>
        <x:v>1001</x:v>
      </x:c>
      <x:c r="W271" s="1" t="n">
        <x:f>IF(I271&lt;=0,1001,IF(MAX('損益分岐設定'!B38,ROUNDUP(S271/I271,0))&lt;='損益分岐設定'!C38,MAX('損益分岐設定'!B38,ROUNDUP(S271/I271,0)),1001))</x:f>
        <x:v>1001</x:v>
      </x:c>
      <x:c r="X271" s="1" t="n">
        <x:f>IF(I271&lt;=0,1001,IF(MAX('損益分岐設定'!B39,ROUNDUP(T271/I271,0))&lt;='損益分岐設定'!C39,MAX('損益分岐設定'!B39,ROUNDUP(T271/I271,0)),1001))</x:f>
        <x:v>1001</x:v>
      </x:c>
      <x:c r="Y271" s="1" t="n">
        <x:f>IF(I271&lt;=0,1001,IF(MAX('損益分岐設定'!B40,ROUNDUP(U271/I271,0))&lt;='損益分岐設定'!C40,MAX('損益分岐設定'!B40,ROUNDUP(U271/I271,0)),1001))</x:f>
        <x:v>1001</x:v>
      </x:c>
      <x:c r="Z271" s="1" t="n">
        <x:f>IF(I271&lt;=0,'損益分岐設定'!C37,IF('損益分岐設定'!C37*I271-R271&lt;0,'損益分岐設定'!C37,IF('損益分岐設定'!B37*I271-R271&gt;=0,0,ROUNDUP(R271/I271,0)-1)))</x:f>
        <x:v>10</x:v>
      </x:c>
      <x:c r="AA271" s="1" t="n">
        <x:f>IF(I271&lt;=0,'損益分岐設定'!C38,IF('損益分岐設定'!C38*I271-S271&lt;0,'損益分岐設定'!C38,IF('損益分岐設定'!B38*I271-S271&gt;=0,0,ROUNDUP(S271/I271,0)-1)))</x:f>
        <x:v>100</x:v>
      </x:c>
      <x:c r="AB271" s="1" t="n">
        <x:f>IF(I271&lt;=0,'損益分岐設定'!C39,IF('損益分岐設定'!C39*I271-T271&lt;0,'損益分岐設定'!C39,IF('損益分岐設定'!B39*I271-T271&gt;=0,0,ROUNDUP(T271/I271,0)-1)))</x:f>
        <x:v>500</x:v>
      </x:c>
      <x:c r="AC271" s="1" t="n">
        <x:f>IF(I271&lt;=0,'損益分岐設定'!C40,IF('損益分岐設定'!C40*I271-U271&lt;0,'損益分岐設定'!C40,IF('損益分岐設定'!B40*I271-U271&gt;=0,0,ROUNDUP(U271/I271,0)-1)))</x:f>
        <x:v>1000</x:v>
      </x:c>
      <x:c r="AD271" s="1" t="n">
        <x:v>0</x:v>
      </x:c>
      <x:c r="AE271" s="1" t="n">
        <x:v>0</x:v>
      </x:c>
      <x:c r="AF271" s="1" t="n">
        <x:v>1</x:v>
      </x:c>
      <x:c r="AG271" s="1" t="n">
        <x:f>AD271*'損益分岐設定'!$C$58+AE271*'損益分岐設定'!$C$61+AF271*'損益分岐設定'!$C$64</x:f>
        <x:v>24711.76447753906</x:v>
      </x:c>
      <x:c r="AH271" s="1" t="n">
        <x:f>AD271*'損益分岐設定'!$D$58+AE271*'損益分岐設定'!$D$61+AF271*'損益分岐設定'!$D$64</x:f>
        <x:v>1200</x:v>
      </x:c>
      <x:c r="AI271" s="1" t="n">
        <x:f>AD271*'損益分岐設定'!$E$58+AE271*'損益分岐設定'!$E$61+AF271*'損益分岐設定'!$E$64</x:f>
        <x:v>1600</x:v>
      </x:c>
      <x:c r="AJ271" s="1" t="n">
        <x:f>(AD271*'損益分岐設定'!$F$58+AE271*'損益分岐設定'!$F$61+AF271*'損益分岐設定'!$F$64*1)*'損益分岐設定'!$B$22</x:f>
        <x:v>18000</x:v>
      </x:c>
      <x:c r="AK271" s="1" t="n">
        <x:f>AD271*'損益分岐設定'!$G$58+AE271*'損益分岐設定'!$G$61+AF271*'損益分岐設定'!$G$64</x:f>
        <x:v>12000</x:v>
      </x:c>
      <x:c r="AL271" s="1" t="n">
        <x:f>AD271*'損益分岐設定'!$H$58+AE271*'損益分岐設定'!$H$61+AF271*'損益分岐設定'!$H$64</x:f>
        <x:v>1666.6666666666667</x:v>
      </x:c>
      <x:c r="AM271" s="1" t="n">
        <x:f>MAX(1,ROUNDUP('損益分岐設定'!C37*AJ271/('損益分岐設定'!$B$23*'損益分岐設定'!$B$24*3600*'損益分岐設定'!$B$25),0))</x:f>
        <x:v>1</x:v>
      </x:c>
      <x:c r="AN271" s="1" t="n">
        <x:f>MAX(2,ROUNDUP('損益分岐設定'!C38*AJ271/('損益分岐設定'!$B$23*'損益分岐設定'!$B$24*3600*'損益分岐設定'!$B$25),0))</x:f>
        <x:v>4</x:v>
      </x:c>
      <x:c r="AO271" s="1" t="n">
        <x:f>MAX(2,ROUNDUP('損益分岐設定'!C39*AJ271/('損益分岐設定'!$B$23*'損益分岐設定'!$B$24*3600*'損益分岐設定'!$B$25),0))</x:f>
        <x:v>18</x:v>
      </x:c>
      <x:c r="AP271" s="1" t="n">
        <x:f>MAX(2,ROUNDUP('損益分岐設定'!C40*AJ271/('損益分岐設定'!$B$23*'損益分岐設定'!$B$24*3600*'損益分岐設定'!$B$25),0))</x:f>
        <x:v>36</x:v>
      </x:c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 ht="23" customHeight="1">
      <x:c r="A272" s="1" t="str">
        <x:v>Hybrid</x:v>
      </x:c>
      <x:c r="B272" s="1" t="str">
        <x:v>Business Plus</x:v>
      </x:c>
      <x:c r="C272" s="1" t="str">
        <x:v>高位</x:v>
      </x:c>
      <x:c r="D272" s="21" t="n">
        <x:v>0.4</x:v>
      </x:c>
      <x:c r="E272" s="1" t="n">
        <x:v>1</x:v>
      </x:c>
      <x:c r="F272" s="7" t="n">
        <x:f>AD272*'損益分岐設定'!$B$5+AE272*'損益分岐設定'!$B$6+AF272*'損益分岐設定'!$B$7</x:f>
        <x:v>8000</x:v>
      </x:c>
      <x:c r="G272" s="7" t="n">
        <x:f>AG272+(AH272+AI272)*('損益分岐設定'!$B$29+0.5*'損益分岐設定'!$B$30)+AK272*'損益分岐設定'!$B$33</x:f>
        <x:v>24723.333432203155</x:v>
      </x:c>
      <x:c r="H272" s="7" t="n">
        <x:f>AL272*E272</x:f>
        <x:v>1666.6666666666667</x:v>
      </x:c>
      <x:c r="I272" s="7" t="n">
        <x:f>F272*(1-D272-'損益分岐設定'!$B$10)-G272-H272</x:f>
        <x:v>-21878.000098869823</x:v>
      </x:c>
      <x:c r="J272" s="1" t="str">
        <x:f>IF(MIN(V272:Y272)&gt;1000,"範囲内なし",MIN(V272:Y272))</x:f>
        <x:v>範囲内なし</x:v>
      </x:c>
      <x:c r="K272" s="1" t="str">
        <x:f>IF(MAX(Z272:AC272)&gt;=1000,"範囲内なし",MAX(1,MAX(Z272:AC272)+1))</x:f>
        <x:v>範囲内なし</x:v>
      </x:c>
      <x:c r="L272" s="7" t="n">
        <x:f>10*I272-R272</x:f>
        <x:v>-270219.79767900356</x:v>
      </x:c>
      <x:c r="M272" s="7" t="n">
        <x:f>30*I272-S272</x:f>
        <x:v>-749599.1897273159</x:v>
      </x:c>
      <x:c r="N272" s="7" t="n">
        <x:f>50*I272-S272</x:f>
        <x:v>-1187159.1917047123</x:v>
      </x:c>
      <x:c r="O272" s="7" t="n">
        <x:f>100*I272-S272</x:f>
        <x:v>-2281059.196648204</x:v>
      </x:c>
      <x:c r="P272" s="7" t="n">
        <x:f>300*I272-T272</x:f>
        <x:v>-6852816.370086443</x:v>
      </x:c>
      <x:c r="Q272" s="7" t="n">
        <x:f>1000*I272-U272</x:f>
        <x:v>-22421332.779720813</x:v>
      </x:c>
      <x:c r="R272" s="7" t="n">
        <x:f>'損益分岐設定'!$B$18+'損益分岐設定'!$B$19+'損益分岐設定'!$B$20+'損益分岐設定'!E37+'損益分岐設定'!D37+AM272*('損益分岐設定'!$B$15+'損益分岐設定'!$B$16)+'損益分岐設定'!$B$17+E272*('損益分岐設定'!$B$13+(AM272-1)*'損益分岐設定'!$B$14)*'損益分岐設定'!$B$11</x:f>
        <x:v>51439.79669030532</x:v>
      </x:c>
      <x:c r="S272" s="7" t="n">
        <x:f>'損益分岐設定'!$B$18+'損益分岐設定'!$B$19+'損益分岐設定'!$B$20+'損益分岐設定'!E38+'損益分岐設定'!D38+AN272*('損益分岐設定'!$B$15+'損益分岐設定'!$B$16)+'損益分岐設定'!$B$17+E272*('損益分岐設定'!$B$13+(AN272-1)*'損益分岐設定'!$B$14)*'損益分岐設定'!$B$11</x:f>
        <x:v>93259.18676122127</x:v>
      </x:c>
      <x:c r="T272" s="7" t="n">
        <x:f>'損益分岐設定'!$B$18+'損益分岐設定'!$B$19+'損益分岐設定'!$B$20+'損益分岐設定'!E39+'損益分岐設定'!D39+AO272*('損益分岐設定'!$B$15+'損益分岐設定'!$B$16)+'損益分岐設定'!$B$17+E272*('損益分岐設定'!$B$13+(AO272-1)*'損益分岐設定'!$B$14)*'損益分岐設定'!$B$11</x:f>
        <x:v>289416.34042549576</x:v>
      </x:c>
      <x:c r="U272" s="7" t="n">
        <x:f>'損益分岐設定'!$B$18+'損益分岐設定'!$B$19+'損益分岐設定'!$B$20+'損益分岐設定'!E40+'損益分岐設定'!D40+AP272*('損益分岐設定'!$B$15+'損益分岐設定'!$B$16)+'損益分岐設定'!$B$17+E272*('損益分岐設定'!$B$13+(AP272-1)*'損益分岐設定'!$B$14)*'損益分岐設定'!$B$11</x:f>
        <x:v>543332.6808509915</x:v>
      </x:c>
      <x:c r="V272" s="1" t="n">
        <x:f>IF(I272&lt;=0,1001,IF(MAX('損益分岐設定'!B37,ROUNDUP(R272/I272,0))&lt;='損益分岐設定'!C37,MAX('損益分岐設定'!B37,ROUNDUP(R272/I272,0)),1001))</x:f>
        <x:v>1001</x:v>
      </x:c>
      <x:c r="W272" s="1" t="n">
        <x:f>IF(I272&lt;=0,1001,IF(MAX('損益分岐設定'!B38,ROUNDUP(S272/I272,0))&lt;='損益分岐設定'!C38,MAX('損益分岐設定'!B38,ROUNDUP(S272/I272,0)),1001))</x:f>
        <x:v>1001</x:v>
      </x:c>
      <x:c r="X272" s="1" t="n">
        <x:f>IF(I272&lt;=0,1001,IF(MAX('損益分岐設定'!B39,ROUNDUP(T272/I272,0))&lt;='損益分岐設定'!C39,MAX('損益分岐設定'!B39,ROUNDUP(T272/I272,0)),1001))</x:f>
        <x:v>1001</x:v>
      </x:c>
      <x:c r="Y272" s="1" t="n">
        <x:f>IF(I272&lt;=0,1001,IF(MAX('損益分岐設定'!B40,ROUNDUP(U272/I272,0))&lt;='損益分岐設定'!C40,MAX('損益分岐設定'!B40,ROUNDUP(U272/I272,0)),1001))</x:f>
        <x:v>1001</x:v>
      </x:c>
      <x:c r="Z272" s="1" t="n">
        <x:f>IF(I272&lt;=0,'損益分岐設定'!C37,IF('損益分岐設定'!C37*I272-R272&lt;0,'損益分岐設定'!C37,IF('損益分岐設定'!B37*I272-R272&gt;=0,0,ROUNDUP(R272/I272,0)-1)))</x:f>
        <x:v>10</x:v>
      </x:c>
      <x:c r="AA272" s="1" t="n">
        <x:f>IF(I272&lt;=0,'損益分岐設定'!C38,IF('損益分岐設定'!C38*I272-S272&lt;0,'損益分岐設定'!C38,IF('損益分岐設定'!B38*I272-S272&gt;=0,0,ROUNDUP(S272/I272,0)-1)))</x:f>
        <x:v>100</x:v>
      </x:c>
      <x:c r="AB272" s="1" t="n">
        <x:f>IF(I272&lt;=0,'損益分岐設定'!C39,IF('損益分岐設定'!C39*I272-T272&lt;0,'損益分岐設定'!C39,IF('損益分岐設定'!B39*I272-T272&gt;=0,0,ROUNDUP(T272/I272,0)-1)))</x:f>
        <x:v>500</x:v>
      </x:c>
      <x:c r="AC272" s="1" t="n">
        <x:f>IF(I272&lt;=0,'損益分岐設定'!C40,IF('損益分岐設定'!C40*I272-U272&lt;0,'損益分岐設定'!C40,IF('損益分岐設定'!B40*I272-U272&gt;=0,0,ROUNDUP(U272/I272,0)-1)))</x:f>
        <x:v>1000</x:v>
      </x:c>
      <x:c r="AD272" s="1" t="n">
        <x:v>0</x:v>
      </x:c>
      <x:c r="AE272" s="1" t="n">
        <x:v>0</x:v>
      </x:c>
      <x:c r="AF272" s="1" t="n">
        <x:v>1</x:v>
      </x:c>
      <x:c r="AG272" s="1" t="n">
        <x:f>AD272*'損益分岐設定'!$C$58+AE272*'損益分岐設定'!$C$61+AF272*'損益分岐設定'!$C$64</x:f>
        <x:v>24711.76447753906</x:v>
      </x:c>
      <x:c r="AH272" s="1" t="n">
        <x:f>AD272*'損益分岐設定'!$D$58+AE272*'損益分岐設定'!$D$61+AF272*'損益分岐設定'!$D$64</x:f>
        <x:v>1200</x:v>
      </x:c>
      <x:c r="AI272" s="1" t="n">
        <x:f>AD272*'損益分岐設定'!$E$58+AE272*'損益分岐設定'!$E$61+AF272*'損益分岐設定'!$E$64</x:f>
        <x:v>1600</x:v>
      </x:c>
      <x:c r="AJ272" s="1" t="n">
        <x:f>(AD272*'損益分岐設定'!$F$58+AE272*'損益分岐設定'!$F$61+AF272*'損益分岐設定'!$F$64*1)*'損益分岐設定'!$B$22</x:f>
        <x:v>18000</x:v>
      </x:c>
      <x:c r="AK272" s="1" t="n">
        <x:f>AD272*'損益分岐設定'!$G$58+AE272*'損益分岐設定'!$G$61+AF272*'損益分岐設定'!$G$64</x:f>
        <x:v>12000</x:v>
      </x:c>
      <x:c r="AL272" s="1" t="n">
        <x:f>AD272*'損益分岐設定'!$H$58+AE272*'損益分岐設定'!$H$61+AF272*'損益分岐設定'!$H$64</x:f>
        <x:v>1666.6666666666667</x:v>
      </x:c>
      <x:c r="AM272" s="1" t="n">
        <x:f>MAX(1,ROUNDUP('損益分岐設定'!C37*AJ272/('損益分岐設定'!$B$23*'損益分岐設定'!$B$24*3600*'損益分岐設定'!$B$25),0))</x:f>
        <x:v>1</x:v>
      </x:c>
      <x:c r="AN272" s="1" t="n">
        <x:f>MAX(2,ROUNDUP('損益分岐設定'!C38*AJ272/('損益分岐設定'!$B$23*'損益分岐設定'!$B$24*3600*'損益分岐設定'!$B$25),0))</x:f>
        <x:v>4</x:v>
      </x:c>
      <x:c r="AO272" s="1" t="n">
        <x:f>MAX(2,ROUNDUP('損益分岐設定'!C39*AJ272/('損益分岐設定'!$B$23*'損益分岐設定'!$B$24*3600*'損益分岐設定'!$B$25),0))</x:f>
        <x:v>18</x:v>
      </x:c>
      <x:c r="AP272" s="1" t="n">
        <x:f>MAX(2,ROUNDUP('損益分岐設定'!C40*AJ272/('損益分岐設定'!$B$23*'損益分岐設定'!$B$24*3600*'損益分岐設定'!$B$25),0))</x:f>
        <x:v>36</x:v>
      </x:c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 ht="23" customHeight="1">
      <x:c r="A273" s="1" t="str">
        <x:v>Hybrid</x:v>
      </x:c>
      <x:c r="B273" s="1" t="str">
        <x:v>Business Plus</x:v>
      </x:c>
      <x:c r="C273" s="1" t="str">
        <x:v>高位</x:v>
      </x:c>
      <x:c r="D273" s="21" t="n">
        <x:v>0.5</x:v>
      </x:c>
      <x:c r="E273" s="1" t="n">
        <x:v>0</x:v>
      </x:c>
      <x:c r="F273" s="7" t="n">
        <x:f>AD273*'損益分岐設定'!$B$5+AE273*'損益分岐設定'!$B$6+AF273*'損益分岐設定'!$B$7</x:f>
        <x:v>8000</x:v>
      </x:c>
      <x:c r="G273" s="7" t="n">
        <x:f>AG273+(AH273+AI273)*('損益分岐設定'!$B$29+0.5*'損益分岐設定'!$B$30)+AK273*'損益分岐設定'!$B$33</x:f>
        <x:v>24723.333432203155</x:v>
      </x:c>
      <x:c r="H273" s="7" t="n">
        <x:f>AL273*E273</x:f>
        <x:v>0</x:v>
      </x:c>
      <x:c r="I273" s="7" t="n">
        <x:f>F273*(1-D273-'損益分岐設定'!$B$10)-G273-H273</x:f>
        <x:v>-21011.333432203155</x:v>
      </x:c>
      <x:c r="J273" s="1" t="str">
        <x:f>IF(MIN(V273:Y273)&gt;1000,"範囲内なし",MIN(V273:Y273))</x:f>
        <x:v>範囲内なし</x:v>
      </x:c>
      <x:c r="K273" s="1" t="str">
        <x:f>IF(MAX(Z273:AC273)&gt;=1000,"範囲内なし",MAX(1,MAX(Z273:AC273)+1))</x:f>
        <x:v>範囲内なし</x:v>
      </x:c>
      <x:c r="L273" s="7" t="n">
        <x:f>10*I273-R273</x:f>
        <x:v>-245553.13101233687</x:v>
      </x:c>
      <x:c r="M273" s="7" t="n">
        <x:f>30*I273-S273</x:f>
        <x:v>-701599.1897273159</x:v>
      </x:c>
      <x:c r="N273" s="7" t="n">
        <x:f>50*I273-S273</x:f>
        <x:v>-1121825.8583713789</x:v>
      </x:c>
      <x:c r="O273" s="7" t="n">
        <x:f>100*I273-S273</x:f>
        <x:v>-2172392.529981537</x:v>
      </x:c>
      <x:c r="P273" s="7" t="n">
        <x:f>300*I273-T273</x:f>
        <x:v>-6542816.370086443</x:v>
      </x:c>
      <x:c r="Q273" s="7" t="n">
        <x:f>1000*I273-U273</x:f>
        <x:v>-21468666.113054145</x:v>
      </x:c>
      <x:c r="R273" s="7" t="n">
        <x:f>'損益分岐設定'!$B$18+'損益分岐設定'!$B$19+'損益分岐設定'!$B$20+'損益分岐設定'!E37+'損益分岐設定'!D37+AM273*('損益分岐設定'!$B$15+'損益分岐設定'!$B$16)+'損益分岐設定'!$B$17+E273*('損益分岐設定'!$B$13+(AM273-1)*'損益分岐設定'!$B$14)*'損益分岐設定'!$B$11</x:f>
        <x:v>35439.79669030532</x:v>
      </x:c>
      <x:c r="S273" s="7" t="n">
        <x:f>'損益分岐設定'!$B$18+'損益分岐設定'!$B$19+'損益分岐設定'!$B$20+'損益分岐設定'!E38+'損益分岐設定'!D38+AN273*('損益分岐設定'!$B$15+'損益分岐設定'!$B$16)+'損益分岐設定'!$B$17+E273*('損益分岐設定'!$B$13+(AN273-1)*'損益分岐設定'!$B$14)*'損益分岐設定'!$B$11</x:f>
        <x:v>71259.18676122127</x:v>
      </x:c>
      <x:c r="T273" s="7" t="n">
        <x:f>'損益分岐設定'!$B$18+'損益分岐設定'!$B$19+'損益分岐設定'!$B$20+'損益分岐設定'!E39+'損益分岐設定'!D39+AO273*('損益分岐設定'!$B$15+'損益分岐設定'!$B$16)+'損益分岐設定'!$B$17+E273*('損益分岐設定'!$B$13+(AO273-1)*'損益分岐設定'!$B$14)*'損益分岐設定'!$B$11</x:f>
        <x:v>239416.34042549573</x:v>
      </x:c>
      <x:c r="U273" s="7" t="n">
        <x:f>'損益分岐設定'!$B$18+'損益分岐設定'!$B$19+'損益分岐設定'!$B$20+'損益分岐設定'!E40+'損益分岐設定'!D40+AP273*('損益分岐設定'!$B$15+'損益分岐設定'!$B$16)+'損益分岐設定'!$B$17+E273*('損益分岐設定'!$B$13+(AP273-1)*'損益分岐設定'!$B$14)*'損益分岐設定'!$B$11</x:f>
        <x:v>457332.68085099146</x:v>
      </x:c>
      <x:c r="V273" s="1" t="n">
        <x:f>IF(I273&lt;=0,1001,IF(MAX('損益分岐設定'!B37,ROUNDUP(R273/I273,0))&lt;='損益分岐設定'!C37,MAX('損益分岐設定'!B37,ROUNDUP(R273/I273,0)),1001))</x:f>
        <x:v>1001</x:v>
      </x:c>
      <x:c r="W273" s="1" t="n">
        <x:f>IF(I273&lt;=0,1001,IF(MAX('損益分岐設定'!B38,ROUNDUP(S273/I273,0))&lt;='損益分岐設定'!C38,MAX('損益分岐設定'!B38,ROUNDUP(S273/I273,0)),1001))</x:f>
        <x:v>1001</x:v>
      </x:c>
      <x:c r="X273" s="1" t="n">
        <x:f>IF(I273&lt;=0,1001,IF(MAX('損益分岐設定'!B39,ROUNDUP(T273/I273,0))&lt;='損益分岐設定'!C39,MAX('損益分岐設定'!B39,ROUNDUP(T273/I273,0)),1001))</x:f>
        <x:v>1001</x:v>
      </x:c>
      <x:c r="Y273" s="1" t="n">
        <x:f>IF(I273&lt;=0,1001,IF(MAX('損益分岐設定'!B40,ROUNDUP(U273/I273,0))&lt;='損益分岐設定'!C40,MAX('損益分岐設定'!B40,ROUNDUP(U273/I273,0)),1001))</x:f>
        <x:v>1001</x:v>
      </x:c>
      <x:c r="Z273" s="1" t="n">
        <x:f>IF(I273&lt;=0,'損益分岐設定'!C37,IF('損益分岐設定'!C37*I273-R273&lt;0,'損益分岐設定'!C37,IF('損益分岐設定'!B37*I273-R273&gt;=0,0,ROUNDUP(R273/I273,0)-1)))</x:f>
        <x:v>10</x:v>
      </x:c>
      <x:c r="AA273" s="1" t="n">
        <x:f>IF(I273&lt;=0,'損益分岐設定'!C38,IF('損益分岐設定'!C38*I273-S273&lt;0,'損益分岐設定'!C38,IF('損益分岐設定'!B38*I273-S273&gt;=0,0,ROUNDUP(S273/I273,0)-1)))</x:f>
        <x:v>100</x:v>
      </x:c>
      <x:c r="AB273" s="1" t="n">
        <x:f>IF(I273&lt;=0,'損益分岐設定'!C39,IF('損益分岐設定'!C39*I273-T273&lt;0,'損益分岐設定'!C39,IF('損益分岐設定'!B39*I273-T273&gt;=0,0,ROUNDUP(T273/I273,0)-1)))</x:f>
        <x:v>500</x:v>
      </x:c>
      <x:c r="AC273" s="1" t="n">
        <x:f>IF(I273&lt;=0,'損益分岐設定'!C40,IF('損益分岐設定'!C40*I273-U273&lt;0,'損益分岐設定'!C40,IF('損益分岐設定'!B40*I273-U273&gt;=0,0,ROUNDUP(U273/I273,0)-1)))</x:f>
        <x:v>1000</x:v>
      </x:c>
      <x:c r="AD273" s="1" t="n">
        <x:v>0</x:v>
      </x:c>
      <x:c r="AE273" s="1" t="n">
        <x:v>0</x:v>
      </x:c>
      <x:c r="AF273" s="1" t="n">
        <x:v>1</x:v>
      </x:c>
      <x:c r="AG273" s="1" t="n">
        <x:f>AD273*'損益分岐設定'!$C$58+AE273*'損益分岐設定'!$C$61+AF273*'損益分岐設定'!$C$64</x:f>
        <x:v>24711.76447753906</x:v>
      </x:c>
      <x:c r="AH273" s="1" t="n">
        <x:f>AD273*'損益分岐設定'!$D$58+AE273*'損益分岐設定'!$D$61+AF273*'損益分岐設定'!$D$64</x:f>
        <x:v>1200</x:v>
      </x:c>
      <x:c r="AI273" s="1" t="n">
        <x:f>AD273*'損益分岐設定'!$E$58+AE273*'損益分岐設定'!$E$61+AF273*'損益分岐設定'!$E$64</x:f>
        <x:v>1600</x:v>
      </x:c>
      <x:c r="AJ273" s="1" t="n">
        <x:f>(AD273*'損益分岐設定'!$F$58+AE273*'損益分岐設定'!$F$61+AF273*'損益分岐設定'!$F$64*1)*'損益分岐設定'!$B$22</x:f>
        <x:v>18000</x:v>
      </x:c>
      <x:c r="AK273" s="1" t="n">
        <x:f>AD273*'損益分岐設定'!$G$58+AE273*'損益分岐設定'!$G$61+AF273*'損益分岐設定'!$G$64</x:f>
        <x:v>12000</x:v>
      </x:c>
      <x:c r="AL273" s="1" t="n">
        <x:f>AD273*'損益分岐設定'!$H$58+AE273*'損益分岐設定'!$H$61+AF273*'損益分岐設定'!$H$64</x:f>
        <x:v>1666.6666666666667</x:v>
      </x:c>
      <x:c r="AM273" s="1" t="n">
        <x:f>MAX(1,ROUNDUP('損益分岐設定'!C37*AJ273/('損益分岐設定'!$B$23*'損益分岐設定'!$B$24*3600*'損益分岐設定'!$B$25),0))</x:f>
        <x:v>1</x:v>
      </x:c>
      <x:c r="AN273" s="1" t="n">
        <x:f>MAX(2,ROUNDUP('損益分岐設定'!C38*AJ273/('損益分岐設定'!$B$23*'損益分岐設定'!$B$24*3600*'損益分岐設定'!$B$25),0))</x:f>
        <x:v>4</x:v>
      </x:c>
      <x:c r="AO273" s="1" t="n">
        <x:f>MAX(2,ROUNDUP('損益分岐設定'!C39*AJ273/('損益分岐設定'!$B$23*'損益分岐設定'!$B$24*3600*'損益分岐設定'!$B$25),0))</x:f>
        <x:v>18</x:v>
      </x:c>
      <x:c r="AP273" s="1" t="n">
        <x:f>MAX(2,ROUNDUP('損益分岐設定'!C40*AJ273/('損益分岐設定'!$B$23*'損益分岐設定'!$B$24*3600*'損益分岐設定'!$B$25),0))</x:f>
        <x:v>36</x:v>
      </x:c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 ht="23" customHeight="1">
      <x:c r="A274" s="1" t="str">
        <x:v>Hybrid</x:v>
      </x:c>
      <x:c r="B274" s="1" t="str">
        <x:v>Business Plus</x:v>
      </x:c>
      <x:c r="C274" s="1" t="str">
        <x:v>高位</x:v>
      </x:c>
      <x:c r="D274" s="21" t="n">
        <x:v>0.5</x:v>
      </x:c>
      <x:c r="E274" s="1" t="n">
        <x:v>1</x:v>
      </x:c>
      <x:c r="F274" s="7" t="n">
        <x:f>AD274*'損益分岐設定'!$B$5+AE274*'損益分岐設定'!$B$6+AF274*'損益分岐設定'!$B$7</x:f>
        <x:v>8000</x:v>
      </x:c>
      <x:c r="G274" s="7" t="n">
        <x:f>AG274+(AH274+AI274)*('損益分岐設定'!$B$29+0.5*'損益分岐設定'!$B$30)+AK274*'損益分岐設定'!$B$33</x:f>
        <x:v>24723.333432203155</x:v>
      </x:c>
      <x:c r="H274" s="7" t="n">
        <x:f>AL274*E274</x:f>
        <x:v>1666.6666666666667</x:v>
      </x:c>
      <x:c r="I274" s="7" t="n">
        <x:f>F274*(1-D274-'損益分岐設定'!$B$10)-G274-H274</x:f>
        <x:v>-22678.000098869823</x:v>
      </x:c>
      <x:c r="J274" s="1" t="str">
        <x:f>IF(MIN(V274:Y274)&gt;1000,"範囲内なし",MIN(V274:Y274))</x:f>
        <x:v>範囲内なし</x:v>
      </x:c>
      <x:c r="K274" s="1" t="str">
        <x:f>IF(MAX(Z274:AC274)&gt;=1000,"範囲内なし",MAX(1,MAX(Z274:AC274)+1))</x:f>
        <x:v>範囲内なし</x:v>
      </x:c>
      <x:c r="L274" s="7" t="n">
        <x:f>10*I274-R274</x:f>
        <x:v>-278219.79767900356</x:v>
      </x:c>
      <x:c r="M274" s="7" t="n">
        <x:f>30*I274-S274</x:f>
        <x:v>-773599.1897273159</x:v>
      </x:c>
      <x:c r="N274" s="7" t="n">
        <x:f>50*I274-S274</x:f>
        <x:v>-1227159.1917047123</x:v>
      </x:c>
      <x:c r="O274" s="7" t="n">
        <x:f>100*I274-S274</x:f>
        <x:v>-2361059.196648204</x:v>
      </x:c>
      <x:c r="P274" s="7" t="n">
        <x:f>300*I274-T274</x:f>
        <x:v>-7092816.370086443</x:v>
      </x:c>
      <x:c r="Q274" s="7" t="n">
        <x:f>1000*I274-U274</x:f>
        <x:v>-23221332.779720813</x:v>
      </x:c>
      <x:c r="R274" s="7" t="n">
        <x:f>'損益分岐設定'!$B$18+'損益分岐設定'!$B$19+'損益分岐設定'!$B$20+'損益分岐設定'!E37+'損益分岐設定'!D37+AM274*('損益分岐設定'!$B$15+'損益分岐設定'!$B$16)+'損益分岐設定'!$B$17+E274*('損益分岐設定'!$B$13+(AM274-1)*'損益分岐設定'!$B$14)*'損益分岐設定'!$B$11</x:f>
        <x:v>51439.79669030532</x:v>
      </x:c>
      <x:c r="S274" s="7" t="n">
        <x:f>'損益分岐設定'!$B$18+'損益分岐設定'!$B$19+'損益分岐設定'!$B$20+'損益分岐設定'!E38+'損益分岐設定'!D38+AN274*('損益分岐設定'!$B$15+'損益分岐設定'!$B$16)+'損益分岐設定'!$B$17+E274*('損益分岐設定'!$B$13+(AN274-1)*'損益分岐設定'!$B$14)*'損益分岐設定'!$B$11</x:f>
        <x:v>93259.18676122127</x:v>
      </x:c>
      <x:c r="T274" s="7" t="n">
        <x:f>'損益分岐設定'!$B$18+'損益分岐設定'!$B$19+'損益分岐設定'!$B$20+'損益分岐設定'!E39+'損益分岐設定'!D39+AO274*('損益分岐設定'!$B$15+'損益分岐設定'!$B$16)+'損益分岐設定'!$B$17+E274*('損益分岐設定'!$B$13+(AO274-1)*'損益分岐設定'!$B$14)*'損益分岐設定'!$B$11</x:f>
        <x:v>289416.34042549576</x:v>
      </x:c>
      <x:c r="U274" s="7" t="n">
        <x:f>'損益分岐設定'!$B$18+'損益分岐設定'!$B$19+'損益分岐設定'!$B$20+'損益分岐設定'!E40+'損益分岐設定'!D40+AP274*('損益分岐設定'!$B$15+'損益分岐設定'!$B$16)+'損益分岐設定'!$B$17+E274*('損益分岐設定'!$B$13+(AP274-1)*'損益分岐設定'!$B$14)*'損益分岐設定'!$B$11</x:f>
        <x:v>543332.6808509915</x:v>
      </x:c>
      <x:c r="V274" s="1" t="n">
        <x:f>IF(I274&lt;=0,1001,IF(MAX('損益分岐設定'!B37,ROUNDUP(R274/I274,0))&lt;='損益分岐設定'!C37,MAX('損益分岐設定'!B37,ROUNDUP(R274/I274,0)),1001))</x:f>
        <x:v>1001</x:v>
      </x:c>
      <x:c r="W274" s="1" t="n">
        <x:f>IF(I274&lt;=0,1001,IF(MAX('損益分岐設定'!B38,ROUNDUP(S274/I274,0))&lt;='損益分岐設定'!C38,MAX('損益分岐設定'!B38,ROUNDUP(S274/I274,0)),1001))</x:f>
        <x:v>1001</x:v>
      </x:c>
      <x:c r="X274" s="1" t="n">
        <x:f>IF(I274&lt;=0,1001,IF(MAX('損益分岐設定'!B39,ROUNDUP(T274/I274,0))&lt;='損益分岐設定'!C39,MAX('損益分岐設定'!B39,ROUNDUP(T274/I274,0)),1001))</x:f>
        <x:v>1001</x:v>
      </x:c>
      <x:c r="Y274" s="1" t="n">
        <x:f>IF(I274&lt;=0,1001,IF(MAX('損益分岐設定'!B40,ROUNDUP(U274/I274,0))&lt;='損益分岐設定'!C40,MAX('損益分岐設定'!B40,ROUNDUP(U274/I274,0)),1001))</x:f>
        <x:v>1001</x:v>
      </x:c>
      <x:c r="Z274" s="1" t="n">
        <x:f>IF(I274&lt;=0,'損益分岐設定'!C37,IF('損益分岐設定'!C37*I274-R274&lt;0,'損益分岐設定'!C37,IF('損益分岐設定'!B37*I274-R274&gt;=0,0,ROUNDUP(R274/I274,0)-1)))</x:f>
        <x:v>10</x:v>
      </x:c>
      <x:c r="AA274" s="1" t="n">
        <x:f>IF(I274&lt;=0,'損益分岐設定'!C38,IF('損益分岐設定'!C38*I274-S274&lt;0,'損益分岐設定'!C38,IF('損益分岐設定'!B38*I274-S274&gt;=0,0,ROUNDUP(S274/I274,0)-1)))</x:f>
        <x:v>100</x:v>
      </x:c>
      <x:c r="AB274" s="1" t="n">
        <x:f>IF(I274&lt;=0,'損益分岐設定'!C39,IF('損益分岐設定'!C39*I274-T274&lt;0,'損益分岐設定'!C39,IF('損益分岐設定'!B39*I274-T274&gt;=0,0,ROUNDUP(T274/I274,0)-1)))</x:f>
        <x:v>500</x:v>
      </x:c>
      <x:c r="AC274" s="1" t="n">
        <x:f>IF(I274&lt;=0,'損益分岐設定'!C40,IF('損益分岐設定'!C40*I274-U274&lt;0,'損益分岐設定'!C40,IF('損益分岐設定'!B40*I274-U274&gt;=0,0,ROUNDUP(U274/I274,0)-1)))</x:f>
        <x:v>1000</x:v>
      </x:c>
      <x:c r="AD274" s="1" t="n">
        <x:v>0</x:v>
      </x:c>
      <x:c r="AE274" s="1" t="n">
        <x:v>0</x:v>
      </x:c>
      <x:c r="AF274" s="1" t="n">
        <x:v>1</x:v>
      </x:c>
      <x:c r="AG274" s="1" t="n">
        <x:f>AD274*'損益分岐設定'!$C$58+AE274*'損益分岐設定'!$C$61+AF274*'損益分岐設定'!$C$64</x:f>
        <x:v>24711.76447753906</x:v>
      </x:c>
      <x:c r="AH274" s="1" t="n">
        <x:f>AD274*'損益分岐設定'!$D$58+AE274*'損益分岐設定'!$D$61+AF274*'損益分岐設定'!$D$64</x:f>
        <x:v>1200</x:v>
      </x:c>
      <x:c r="AI274" s="1" t="n">
        <x:f>AD274*'損益分岐設定'!$E$58+AE274*'損益分岐設定'!$E$61+AF274*'損益分岐設定'!$E$64</x:f>
        <x:v>1600</x:v>
      </x:c>
      <x:c r="AJ274" s="1" t="n">
        <x:f>(AD274*'損益分岐設定'!$F$58+AE274*'損益分岐設定'!$F$61+AF274*'損益分岐設定'!$F$64*1)*'損益分岐設定'!$B$22</x:f>
        <x:v>18000</x:v>
      </x:c>
      <x:c r="AK274" s="1" t="n">
        <x:f>AD274*'損益分岐設定'!$G$58+AE274*'損益分岐設定'!$G$61+AF274*'損益分岐設定'!$G$64</x:f>
        <x:v>12000</x:v>
      </x:c>
      <x:c r="AL274" s="1" t="n">
        <x:f>AD274*'損益分岐設定'!$H$58+AE274*'損益分岐設定'!$H$61+AF274*'損益分岐設定'!$H$64</x:f>
        <x:v>1666.6666666666667</x:v>
      </x:c>
      <x:c r="AM274" s="1" t="n">
        <x:f>MAX(1,ROUNDUP('損益分岐設定'!C37*AJ274/('損益分岐設定'!$B$23*'損益分岐設定'!$B$24*3600*'損益分岐設定'!$B$25),0))</x:f>
        <x:v>1</x:v>
      </x:c>
      <x:c r="AN274" s="1" t="n">
        <x:f>MAX(2,ROUNDUP('損益分岐設定'!C38*AJ274/('損益分岐設定'!$B$23*'損益分岐設定'!$B$24*3600*'損益分岐設定'!$B$25),0))</x:f>
        <x:v>4</x:v>
      </x:c>
      <x:c r="AO274" s="1" t="n">
        <x:f>MAX(2,ROUNDUP('損益分岐設定'!C39*AJ274/('損益分岐設定'!$B$23*'損益分岐設定'!$B$24*3600*'損益分岐設定'!$B$25),0))</x:f>
        <x:v>18</x:v>
      </x:c>
      <x:c r="AP274" s="1" t="n">
        <x:f>MAX(2,ROUNDUP('損益分岐設定'!C40*AJ274/('損益分岐設定'!$B$23*'損益分岐設定'!$B$24*3600*'損益分岐設定'!$B$25),0))</x:f>
        <x:v>36</x:v>
      </x:c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 ht="23" customHeight="1">
      <x:c r="A275" s="1" t="str">
        <x:v>Hybrid</x:v>
      </x:c>
      <x:c r="B275" s="1" t="str">
        <x:v>Business Plus</x:v>
      </x:c>
      <x:c r="C275" s="1" t="str">
        <x:v>標準+高位混在</x:v>
      </x:c>
      <x:c r="D275" s="21" t="n">
        <x:v>0</x:v>
      </x:c>
      <x:c r="E275" s="1" t="n">
        <x:v>0</x:v>
      </x:c>
      <x:c r="F275" s="7" t="n">
        <x:f>AD275*'損益分岐設定'!$B$5+AE275*'損益分岐設定'!$B$6+AF275*'損益分岐設定'!$B$7</x:f>
        <x:v>8000</x:v>
      </x:c>
      <x:c r="G275" s="7" t="n">
        <x:f>AG275+(AH275+AI275)*('損益分岐設定'!$B$29+0.5*'損益分岐設定'!$B$30)+AK275*'損益分岐設定'!$B$33</x:f>
        <x:v>5769.813972349879</x:v>
      </x:c>
      <x:c r="H275" s="7" t="n">
        <x:f>AL275*E275</x:f>
        <x:v>0</x:v>
      </x:c>
      <x:c r="I275" s="7" t="n">
        <x:f>F275*(1-D275-'損益分岐設定'!$B$10)-G275-H275</x:f>
        <x:v>1942.186027650121</x:v>
      </x:c>
      <x:c r="J275" s="1" t="n">
        <x:f>IF(MIN(V275:Y275)&gt;1000,"範囲内なし",MIN(V275:Y275))</x:f>
        <x:v>26</x:v>
      </x:c>
      <x:c r="K275" s="1" t="n">
        <x:f>IF(MAX(Z275:AC275)&gt;=1000,"範囲内なし",MAX(1,MAX(Z275:AC275)+1))</x:f>
        <x:v>26</x:v>
      </x:c>
      <x:c r="L275" s="7" t="n">
        <x:f>10*I275-R275</x:f>
        <x:v>-16017.936413804106</x:v>
      </x:c>
      <x:c r="M275" s="7" t="n">
        <x:f>30*I275-S275</x:f>
        <x:v>7885.987448893</x:v>
      </x:c>
      <x:c r="N275" s="7" t="n">
        <x:f>50*I275-S275</x:f>
        <x:v>46729.70800189543</x:v>
      </x:c>
      <x:c r="O275" s="7" t="n">
        <x:f>100*I275-S275</x:f>
        <x:v>143839.0093844015</x:v>
      </x:c>
      <x:c r="P275" s="7" t="n">
        <x:f>300*I275-T275</x:f>
        <x:v>478956.8248435097</x:v>
      </x:c>
      <x:c r="Q275" s="7" t="n">
        <x:f>1000*I275-U275</x:f>
        <x:v>1766727.8574373731</x:v>
      </x:c>
      <x:c r="R275" s="7" t="n">
        <x:f>'損益分岐設定'!$B$18+'損益分岐設定'!$B$19+'損益分岐設定'!$B$20+'損益分岐設定'!E37+'損益分岐設定'!D37+AM275*('損益分岐設定'!$B$15+'損益分岐設定'!$B$16)+'損益分岐設定'!$B$17+E275*('損益分岐設定'!$B$13+(AM275-1)*'損益分岐設定'!$B$14)*'損益分岐設定'!$B$11</x:f>
        <x:v>35439.79669030532</x:v>
      </x:c>
      <x:c r="S275" s="7" t="n">
        <x:f>'損益分岐設定'!$B$18+'損益分岐設定'!$B$19+'損益分岐設定'!$B$20+'損益分岐設定'!E38+'損益分岐設定'!D38+AN275*('損益分岐設定'!$B$15+'損益分岐設定'!$B$16)+'損益分岐設定'!$B$17+E275*('損益分岐設定'!$B$13+(AN275-1)*'損益分岐設定'!$B$14)*'損益分岐設定'!$B$11</x:f>
        <x:v>50379.59338061063</x:v>
      </x:c>
      <x:c r="T275" s="7" t="n">
        <x:f>'損益分岐設定'!$B$18+'損益分岐設定'!$B$19+'損益分岐設定'!$B$20+'損益分岐設定'!E39+'損益分岐設定'!D39+AO275*('損益分岐設定'!$B$15+'損益分岐設定'!$B$16)+'損益分岐設定'!$B$17+E275*('損益分岐設定'!$B$13+(AO275-1)*'損益分岐設定'!$B$14)*'損益分岐設定'!$B$11</x:f>
        <x:v>103698.98345152658</x:v>
      </x:c>
      <x:c r="U275" s="7" t="n">
        <x:f>'損益分岐設定'!$B$18+'損益分岐設定'!$B$19+'損益分岐設定'!$B$20+'損益分岐設定'!E40+'損益分岐設定'!D40+AP275*('損益分岐設定'!$B$15+'損益分岐設定'!$B$16)+'損益分岐設定'!$B$17+E275*('損益分岐設定'!$B$13+(AP275-1)*'損益分岐設定'!$B$14)*'損益分岐設定'!$B$11</x:f>
        <x:v>175458.17021274788</x:v>
      </x:c>
      <x:c r="V275" s="1" t="n">
        <x:f>IF(I275&lt;=0,1001,IF(MAX('損益分岐設定'!B37,ROUNDUP(R275/I275,0))&lt;='損益分岐設定'!C37,MAX('損益分岐設定'!B37,ROUNDUP(R275/I275,0)),1001))</x:f>
        <x:v>1001</x:v>
      </x:c>
      <x:c r="W275" s="1" t="n">
        <x:f>IF(I275&lt;=0,1001,IF(MAX('損益分岐設定'!B38,ROUNDUP(S275/I275,0))&lt;='損益分岐設定'!C38,MAX('損益分岐設定'!B38,ROUNDUP(S275/I275,0)),1001))</x:f>
        <x:v>26</x:v>
      </x:c>
      <x:c r="X275" s="1" t="n">
        <x:f>IF(I275&lt;=0,1001,IF(MAX('損益分岐設定'!B39,ROUNDUP(T275/I275,0))&lt;='損益分岐設定'!C39,MAX('損益分岐設定'!B39,ROUNDUP(T275/I275,0)),1001))</x:f>
        <x:v>101</x:v>
      </x:c>
      <x:c r="Y275" s="1" t="n">
        <x:f>IF(I275&lt;=0,1001,IF(MAX('損益分岐設定'!B40,ROUNDUP(U275/I275,0))&lt;='損益分岐設定'!C40,MAX('損益分岐設定'!B40,ROUNDUP(U275/I275,0)),1001))</x:f>
        <x:v>501</x:v>
      </x:c>
      <x:c r="Z275" s="1" t="n">
        <x:f>IF(I275&lt;=0,'損益分岐設定'!C37,IF('損益分岐設定'!C37*I275-R275&lt;0,'損益分岐設定'!C37,IF('損益分岐設定'!B37*I275-R275&gt;=0,0,ROUNDUP(R275/I275,0)-1)))</x:f>
        <x:v>10</x:v>
      </x:c>
      <x:c r="AA275" s="1" t="n">
        <x:f>IF(I275&lt;=0,'損益分岐設定'!C38,IF('損益分岐設定'!C38*I275-S275&lt;0,'損益分岐設定'!C38,IF('損益分岐設定'!B38*I275-S275&gt;=0,0,ROUNDUP(S275/I275,0)-1)))</x:f>
        <x:v>25</x:v>
      </x:c>
      <x:c r="AB275" s="1" t="n">
        <x:f>IF(I275&lt;=0,'損益分岐設定'!C39,IF('損益分岐設定'!C39*I275-T275&lt;0,'損益分岐設定'!C39,IF('損益分岐設定'!B39*I275-T275&gt;=0,0,ROUNDUP(T275/I275,0)-1)))</x:f>
        <x:v>0</x:v>
      </x:c>
      <x:c r="AC275" s="1" t="n">
        <x:f>IF(I275&lt;=0,'損益分岐設定'!C40,IF('損益分岐設定'!C40*I275-U275&lt;0,'損益分岐設定'!C40,IF('損益分岐設定'!B40*I275-U275&gt;=0,0,ROUNDUP(U275/I275,0)-1)))</x:f>
        <x:v>0</x:v>
      </x:c>
      <x:c r="AD275" s="1" t="n">
        <x:v>0</x:v>
      </x:c>
      <x:c r="AE275" s="1" t="n">
        <x:v>0</x:v>
      </x:c>
      <x:c r="AF275" s="1" t="n">
        <x:v>1</x:v>
      </x:c>
      <x:c r="AG275" s="1" t="n">
        <x:f>AD275*('損益分岐設定'!$C$57*(1-'損益分岐設定'!$B$51)+'損益分岐設定'!$C$58*'損益分岐設定'!$B$51)+AE275*('損益分岐設定'!$C$60*(1-'損益分岐設定'!$B$51)+'損益分岐設定'!$C$61*'損益分岐設定'!$B$51)+AF275*('損益分岐設定'!$C$63*(1-'損益分岐設定'!$B$51)+'損益分岐設定'!$C$64*'損益分岐設定'!$B$51)</x:f>
        <x:v>5765.522041015625</x:v>
      </x:c>
      <x:c r="AH275" s="1" t="n">
        <x:f>AD275*('損益分岐設定'!$D$57*(1-'損益分岐設定'!$B$51)+'損益分岐設定'!$D$58*'損益分岐設定'!$B$51)+AE275*('損益分岐設定'!$D$60*(1-'損益分岐設定'!$B$51)+'損益分岐設定'!$D$61*'損益分岐設定'!$B$51)+AF275*('損益分岐設定'!$D$63*(1-'損益分岐設定'!$B$51)+'損益分岐設定'!$D$64*'損益分岐設定'!$B$51)</x:f>
        <x:v>480</x:v>
      </x:c>
      <x:c r="AI275" s="1" t="n">
        <x:f>AD275*('損益分岐設定'!$E$57*(1-'損益分岐設定'!$B$51)+'損益分岐設定'!$E$58*'損益分岐設定'!$B$51)+AE275*('損益分岐設定'!$E$60*(1-'損益分岐設定'!$B$51)+'損益分岐設定'!$E$61*'損益分岐設定'!$B$51)+AF275*('損益分岐設定'!$E$63*(1-'損益分岐設定'!$B$51)+'損益分岐設定'!$E$64*'損益分岐設定'!$B$51)</x:f>
        <x:v>560</x:v>
      </x:c>
      <x:c r="AJ275" s="1" t="n">
        <x:f>(AD275*('損益分岐設定'!$F$57*(1-'損益分岐設定'!$B$51)+'損益分岐設定'!$F$58*'損益分岐設定'!$B$51)+AE275*('損益分岐設定'!$F$60*(1-'損益分岐設定'!$B$51)+'損益分岐設定'!$F$61*'損益分岐設定'!$B$51)+AF275*('損益分岐設定'!$F$63*(1-'損益分岐設定'!$B$51)+'損益分岐設定'!$F$64*'損益分岐設定'!$B$51)*1)*'損益分岐設定'!$B$22</x:f>
        <x:v>4560</x:v>
      </x:c>
      <x:c r="AK275" s="1" t="n">
        <x:f>AD275*('損益分岐設定'!$G$57*(1-'損益分岐設定'!$B$51)+'損益分岐設定'!$G$58*'損益分岐設定'!$B$51)+AE275*('損益分岐設定'!$G$60*(1-'損益分岐設定'!$B$51)+'損益分岐設定'!$G$61*'損益分岐設定'!$B$51)+AF275*('損益分岐設定'!$G$63*(1-'損益分岐設定'!$B$51)+'損益分岐設定'!$G$64*'損益分岐設定'!$B$51)</x:f>
        <x:v>4000</x:v>
      </x:c>
      <x:c r="AL275" s="1" t="n">
        <x:f>AD275*('損益分岐設定'!$H$57*(1-'損益分岐設定'!$B$51)+'損益分岐設定'!$H$58*'損益分岐設定'!$B$51)+AE275*('損益分岐設定'!$H$60*(1-'損益分岐設定'!$B$51)+'損益分岐設定'!$H$61*'損益分岐設定'!$B$51)+AF275*('損益分岐設定'!$H$63*(1-'損益分岐設定'!$B$51)+'損益分岐設定'!$H$64*'損益分岐設定'!$B$51)</x:f>
        <x:v>1026.666666666667</x:v>
      </x:c>
      <x:c r="AM275" s="1" t="n">
        <x:f>MAX(1,ROUNDUP('損益分岐設定'!C37*AJ275/('損益分岐設定'!$B$23*'損益分岐設定'!$B$24*3600*'損益分岐設定'!$B$25),0))</x:f>
        <x:v>1</x:v>
      </x:c>
      <x:c r="AN275" s="1" t="n">
        <x:f>MAX(2,ROUNDUP('損益分岐設定'!C38*AJ275/('損益分岐設定'!$B$23*'損益分岐設定'!$B$24*3600*'損益分岐設定'!$B$25),0))</x:f>
        <x:v>2</x:v>
      </x:c>
      <x:c r="AO275" s="1" t="n">
        <x:f>MAX(2,ROUNDUP('損益分岐設定'!C39*AJ275/('損益分岐設定'!$B$23*'損益分岐設定'!$B$24*3600*'損益分岐設定'!$B$25),0))</x:f>
        <x:v>5</x:v>
      </x:c>
      <x:c r="AP275" s="1" t="n">
        <x:f>MAX(2,ROUNDUP('損益分岐設定'!C40*AJ275/('損益分岐設定'!$B$23*'損益分岐設定'!$B$24*3600*'損益分岐設定'!$B$25),0))</x:f>
        <x:v>9</x:v>
      </x:c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 ht="23" customHeight="1">
      <x:c r="A276" s="1" t="str">
        <x:v>Hybrid</x:v>
      </x:c>
      <x:c r="B276" s="1" t="str">
        <x:v>Business Plus</x:v>
      </x:c>
      <x:c r="C276" s="1" t="str">
        <x:v>標準+高位混在</x:v>
      </x:c>
      <x:c r="D276" s="21" t="n">
        <x:v>0</x:v>
      </x:c>
      <x:c r="E276" s="1" t="n">
        <x:v>1</x:v>
      </x:c>
      <x:c r="F276" s="7" t="n">
        <x:f>AD276*'損益分岐設定'!$B$5+AE276*'損益分岐設定'!$B$6+AF276*'損益分岐設定'!$B$7</x:f>
        <x:v>8000</x:v>
      </x:c>
      <x:c r="G276" s="7" t="n">
        <x:f>AG276+(AH276+AI276)*('損益分岐設定'!$B$29+0.5*'損益分岐設定'!$B$30)+AK276*'損益分岐設定'!$B$33</x:f>
        <x:v>5769.813972349879</x:v>
      </x:c>
      <x:c r="H276" s="7" t="n">
        <x:f>AL276*E276</x:f>
        <x:v>1026.666666666667</x:v>
      </x:c>
      <x:c r="I276" s="7" t="n">
        <x:f>F276*(1-D276-'損益分岐設定'!$B$10)-G276-H276</x:f>
        <x:v>915.5193609834541</x:v>
      </x:c>
      <x:c r="J276" s="1" t="n">
        <x:f>IF(MIN(V276:Y276)&gt;1000,"範囲内なし",MIN(V276:Y276))</x:f>
        <x:v>75</x:v>
      </x:c>
      <x:c r="K276" s="1" t="n">
        <x:f>IF(MAX(Z276:AC276)&gt;=1000,"範囲内なし",MAX(1,MAX(Z276:AC276)+1))</x:f>
        <x:v>140</x:v>
      </x:c>
      <x:c r="L276" s="7" t="n">
        <x:f>10*I276-R276</x:f>
        <x:v>-42284.60308047078</x:v>
      </x:c>
      <x:c r="M276" s="7" t="n">
        <x:f>30*I276-S276</x:f>
        <x:v>-40914.01255110701</x:v>
      </x:c>
      <x:c r="N276" s="7" t="n">
        <x:f>50*I276-S276</x:f>
        <x:v>-22603.62533143793</x:v>
      </x:c>
      <x:c r="O276" s="7" t="n">
        <x:f>100*I276-S276</x:f>
        <x:v>23172.342717734777</x:v>
      </x:c>
      <x:c r="P276" s="7" t="n">
        <x:f>300*I276-T276</x:f>
        <x:v>146956.82484350968</x:v>
      </x:c>
      <x:c r="Q276" s="7" t="n">
        <x:f>1000*I276-U276</x:f>
        <x:v>708061.1907707063</x:v>
      </x:c>
      <x:c r="R276" s="7" t="n">
        <x:f>'損益分岐設定'!$B$18+'損益分岐設定'!$B$19+'損益分岐設定'!$B$20+'損益分岐設定'!E37+'損益分岐設定'!D37+AM276*('損益分岐設定'!$B$15+'損益分岐設定'!$B$16)+'損益分岐設定'!$B$17+E276*('損益分岐設定'!$B$13+(AM276-1)*'損益分岐設定'!$B$14)*'損益分岐設定'!$B$11</x:f>
        <x:v>51439.79669030532</x:v>
      </x:c>
      <x:c r="S276" s="7" t="n">
        <x:f>'損益分岐設定'!$B$18+'損益分岐設定'!$B$19+'損益分岐設定'!$B$20+'損益分岐設定'!E38+'損益分岐設定'!D38+AN276*('損益分岐設定'!$B$15+'損益分岐設定'!$B$16)+'損益分岐設定'!$B$17+E276*('損益分岐設定'!$B$13+(AN276-1)*'損益分岐設定'!$B$14)*'損益分岐設定'!$B$11</x:f>
        <x:v>68379.59338061063</x:v>
      </x:c>
      <x:c r="T276" s="7" t="n">
        <x:f>'損益分岐設定'!$B$18+'損益分岐設定'!$B$19+'損益分岐設定'!$B$20+'損益分岐設定'!E39+'損益分岐設定'!D39+AO276*('損益分岐設定'!$B$15+'損益分岐設定'!$B$16)+'損益分岐設定'!$B$17+E276*('損益分岐設定'!$B$13+(AO276-1)*'損益分岐設定'!$B$14)*'損益分岐設定'!$B$11</x:f>
        <x:v>127698.98345152658</x:v>
      </x:c>
      <x:c r="U276" s="7" t="n">
        <x:f>'損益分岐設定'!$B$18+'損益分岐設定'!$B$19+'損益分岐設定'!$B$20+'損益分岐設定'!E40+'損益分岐設定'!D40+AP276*('損益分岐設定'!$B$15+'損益分岐設定'!$B$16)+'損益分岐設定'!$B$17+E276*('損益分岐設定'!$B$13+(AP276-1)*'損益分岐設定'!$B$14)*'損益分岐設定'!$B$11</x:f>
        <x:v>207458.17021274788</x:v>
      </x:c>
      <x:c r="V276" s="1" t="n">
        <x:f>IF(I276&lt;=0,1001,IF(MAX('損益分岐設定'!B37,ROUNDUP(R276/I276,0))&lt;='損益分岐設定'!C37,MAX('損益分岐設定'!B37,ROUNDUP(R276/I276,0)),1001))</x:f>
        <x:v>1001</x:v>
      </x:c>
      <x:c r="W276" s="1" t="n">
        <x:f>IF(I276&lt;=0,1001,IF(MAX('損益分岐設定'!B38,ROUNDUP(S276/I276,0))&lt;='損益分岐設定'!C38,MAX('損益分岐設定'!B38,ROUNDUP(S276/I276,0)),1001))</x:f>
        <x:v>75</x:v>
      </x:c>
      <x:c r="X276" s="1" t="n">
        <x:f>IF(I276&lt;=0,1001,IF(MAX('損益分岐設定'!B39,ROUNDUP(T276/I276,0))&lt;='損益分岐設定'!C39,MAX('損益分岐設定'!B39,ROUNDUP(T276/I276,0)),1001))</x:f>
        <x:v>140</x:v>
      </x:c>
      <x:c r="Y276" s="1" t="n">
        <x:f>IF(I276&lt;=0,1001,IF(MAX('損益分岐設定'!B40,ROUNDUP(U276/I276,0))&lt;='損益分岐設定'!C40,MAX('損益分岐設定'!B40,ROUNDUP(U276/I276,0)),1001))</x:f>
        <x:v>501</x:v>
      </x:c>
      <x:c r="Z276" s="1" t="n">
        <x:f>IF(I276&lt;=0,'損益分岐設定'!C37,IF('損益分岐設定'!C37*I276-R276&lt;0,'損益分岐設定'!C37,IF('損益分岐設定'!B37*I276-R276&gt;=0,0,ROUNDUP(R276/I276,0)-1)))</x:f>
        <x:v>10</x:v>
      </x:c>
      <x:c r="AA276" s="1" t="n">
        <x:f>IF(I276&lt;=0,'損益分岐設定'!C38,IF('損益分岐設定'!C38*I276-S276&lt;0,'損益分岐設定'!C38,IF('損益分岐設定'!B38*I276-S276&gt;=0,0,ROUNDUP(S276/I276,0)-1)))</x:f>
        <x:v>74</x:v>
      </x:c>
      <x:c r="AB276" s="1" t="n">
        <x:f>IF(I276&lt;=0,'損益分岐設定'!C39,IF('損益分岐設定'!C39*I276-T276&lt;0,'損益分岐設定'!C39,IF('損益分岐設定'!B39*I276-T276&gt;=0,0,ROUNDUP(T276/I276,0)-1)))</x:f>
        <x:v>139</x:v>
      </x:c>
      <x:c r="AC276" s="1" t="n">
        <x:f>IF(I276&lt;=0,'損益分岐設定'!C40,IF('損益分岐設定'!C40*I276-U276&lt;0,'損益分岐設定'!C40,IF('損益分岐設定'!B40*I276-U276&gt;=0,0,ROUNDUP(U276/I276,0)-1)))</x:f>
        <x:v>0</x:v>
      </x:c>
      <x:c r="AD276" s="1" t="n">
        <x:v>0</x:v>
      </x:c>
      <x:c r="AE276" s="1" t="n">
        <x:v>0</x:v>
      </x:c>
      <x:c r="AF276" s="1" t="n">
        <x:v>1</x:v>
      </x:c>
      <x:c r="AG276" s="1" t="n">
        <x:f>AD276*('損益分岐設定'!$C$57*(1-'損益分岐設定'!$B$51)+'損益分岐設定'!$C$58*'損益分岐設定'!$B$51)+AE276*('損益分岐設定'!$C$60*(1-'損益分岐設定'!$B$51)+'損益分岐設定'!$C$61*'損益分岐設定'!$B$51)+AF276*('損益分岐設定'!$C$63*(1-'損益分岐設定'!$B$51)+'損益分岐設定'!$C$64*'損益分岐設定'!$B$51)</x:f>
        <x:v>5765.522041015625</x:v>
      </x:c>
      <x:c r="AH276" s="1" t="n">
        <x:f>AD276*('損益分岐設定'!$D$57*(1-'損益分岐設定'!$B$51)+'損益分岐設定'!$D$58*'損益分岐設定'!$B$51)+AE276*('損益分岐設定'!$D$60*(1-'損益分岐設定'!$B$51)+'損益分岐設定'!$D$61*'損益分岐設定'!$B$51)+AF276*('損益分岐設定'!$D$63*(1-'損益分岐設定'!$B$51)+'損益分岐設定'!$D$64*'損益分岐設定'!$B$51)</x:f>
        <x:v>480</x:v>
      </x:c>
      <x:c r="AI276" s="1" t="n">
        <x:f>AD276*('損益分岐設定'!$E$57*(1-'損益分岐設定'!$B$51)+'損益分岐設定'!$E$58*'損益分岐設定'!$B$51)+AE276*('損益分岐設定'!$E$60*(1-'損益分岐設定'!$B$51)+'損益分岐設定'!$E$61*'損益分岐設定'!$B$51)+AF276*('損益分岐設定'!$E$63*(1-'損益分岐設定'!$B$51)+'損益分岐設定'!$E$64*'損益分岐設定'!$B$51)</x:f>
        <x:v>560</x:v>
      </x:c>
      <x:c r="AJ276" s="1" t="n">
        <x:f>(AD276*('損益分岐設定'!$F$57*(1-'損益分岐設定'!$B$51)+'損益分岐設定'!$F$58*'損益分岐設定'!$B$51)+AE276*('損益分岐設定'!$F$60*(1-'損益分岐設定'!$B$51)+'損益分岐設定'!$F$61*'損益分岐設定'!$B$51)+AF276*('損益分岐設定'!$F$63*(1-'損益分岐設定'!$B$51)+'損益分岐設定'!$F$64*'損益分岐設定'!$B$51)*1)*'損益分岐設定'!$B$22</x:f>
        <x:v>4560</x:v>
      </x:c>
      <x:c r="AK276" s="1" t="n">
        <x:f>AD276*('損益分岐設定'!$G$57*(1-'損益分岐設定'!$B$51)+'損益分岐設定'!$G$58*'損益分岐設定'!$B$51)+AE276*('損益分岐設定'!$G$60*(1-'損益分岐設定'!$B$51)+'損益分岐設定'!$G$61*'損益分岐設定'!$B$51)+AF276*('損益分岐設定'!$G$63*(1-'損益分岐設定'!$B$51)+'損益分岐設定'!$G$64*'損益分岐設定'!$B$51)</x:f>
        <x:v>4000</x:v>
      </x:c>
      <x:c r="AL276" s="1" t="n">
        <x:f>AD276*('損益分岐設定'!$H$57*(1-'損益分岐設定'!$B$51)+'損益分岐設定'!$H$58*'損益分岐設定'!$B$51)+AE276*('損益分岐設定'!$H$60*(1-'損益分岐設定'!$B$51)+'損益分岐設定'!$H$61*'損益分岐設定'!$B$51)+AF276*('損益分岐設定'!$H$63*(1-'損益分岐設定'!$B$51)+'損益分岐設定'!$H$64*'損益分岐設定'!$B$51)</x:f>
        <x:v>1026.666666666667</x:v>
      </x:c>
      <x:c r="AM276" s="1" t="n">
        <x:f>MAX(1,ROUNDUP('損益分岐設定'!C37*AJ276/('損益分岐設定'!$B$23*'損益分岐設定'!$B$24*3600*'損益分岐設定'!$B$25),0))</x:f>
        <x:v>1</x:v>
      </x:c>
      <x:c r="AN276" s="1" t="n">
        <x:f>MAX(2,ROUNDUP('損益分岐設定'!C38*AJ276/('損益分岐設定'!$B$23*'損益分岐設定'!$B$24*3600*'損益分岐設定'!$B$25),0))</x:f>
        <x:v>2</x:v>
      </x:c>
      <x:c r="AO276" s="1" t="n">
        <x:f>MAX(2,ROUNDUP('損益分岐設定'!C39*AJ276/('損益分岐設定'!$B$23*'損益分岐設定'!$B$24*3600*'損益分岐設定'!$B$25),0))</x:f>
        <x:v>5</x:v>
      </x:c>
      <x:c r="AP276" s="1" t="n">
        <x:f>MAX(2,ROUNDUP('損益分岐設定'!C40*AJ276/('損益分岐設定'!$B$23*'損益分岐設定'!$B$24*3600*'損益分岐設定'!$B$25),0))</x:f>
        <x:v>9</x:v>
      </x:c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 ht="23" customHeight="1">
      <x:c r="A277" s="1" t="str">
        <x:v>Hybrid</x:v>
      </x:c>
      <x:c r="B277" s="1" t="str">
        <x:v>Business Plus</x:v>
      </x:c>
      <x:c r="C277" s="1" t="str">
        <x:v>標準+高位混在</x:v>
      </x:c>
      <x:c r="D277" s="21" t="n">
        <x:v>0.2</x:v>
      </x:c>
      <x:c r="E277" s="1" t="n">
        <x:v>0</x:v>
      </x:c>
      <x:c r="F277" s="7" t="n">
        <x:f>AD277*'損益分岐設定'!$B$5+AE277*'損益分岐設定'!$B$6+AF277*'損益分岐設定'!$B$7</x:f>
        <x:v>8000</x:v>
      </x:c>
      <x:c r="G277" s="7" t="n">
        <x:f>AG277+(AH277+AI277)*('損益分岐設定'!$B$29+0.5*'損益分岐設定'!$B$30)+AK277*'損益分岐設定'!$B$33</x:f>
        <x:v>5769.813972349879</x:v>
      </x:c>
      <x:c r="H277" s="7" t="n">
        <x:f>AL277*E277</x:f>
        <x:v>0</x:v>
      </x:c>
      <x:c r="I277" s="7" t="n">
        <x:f>F277*(1-D277-'損益分岐設定'!$B$10)-G277-H277</x:f>
        <x:v>342.1860276501211</x:v>
      </x:c>
      <x:c r="J277" s="1" t="n">
        <x:f>IF(MIN(V277:Y277)&gt;1000,"範囲内なし",MIN(V277:Y277))</x:f>
        <x:v>304</x:v>
      </x:c>
      <x:c r="K277" s="1" t="n">
        <x:f>IF(MAX(Z277:AC277)&gt;=1000,"範囲内なし",MAX(1,MAX(Z277:AC277)+1))</x:f>
        <x:v>513</x:v>
      </x:c>
      <x:c r="L277" s="7" t="n">
        <x:f>10*I277-R277</x:f>
        <x:v>-32017.936413804106</x:v>
      </x:c>
      <x:c r="M277" s="7" t="n">
        <x:f>30*I277-S277</x:f>
        <x:v>-40114.012551107</x:v>
      </x:c>
      <x:c r="N277" s="7" t="n">
        <x:f>50*I277-S277</x:f>
        <x:v>-33270.29199810458</x:v>
      </x:c>
      <x:c r="O277" s="7" t="n">
        <x:f>100*I277-S277</x:f>
        <x:v>-16160.990615598523</x:v>
      </x:c>
      <x:c r="P277" s="7" t="n">
        <x:f>300*I277-T277</x:f>
        <x:v>-1043.1751564902515</x:v>
      </x:c>
      <x:c r="Q277" s="7" t="n">
        <x:f>1000*I277-U277</x:f>
        <x:v>166727.85743737326</x:v>
      </x:c>
      <x:c r="R277" s="7" t="n">
        <x:f>'損益分岐設定'!$B$18+'損益分岐設定'!$B$19+'損益分岐設定'!$B$20+'損益分岐設定'!E37+'損益分岐設定'!D37+AM277*('損益分岐設定'!$B$15+'損益分岐設定'!$B$16)+'損益分岐設定'!$B$17+E277*('損益分岐設定'!$B$13+(AM277-1)*'損益分岐設定'!$B$14)*'損益分岐設定'!$B$11</x:f>
        <x:v>35439.79669030532</x:v>
      </x:c>
      <x:c r="S277" s="7" t="n">
        <x:f>'損益分岐設定'!$B$18+'損益分岐設定'!$B$19+'損益分岐設定'!$B$20+'損益分岐設定'!E38+'損益分岐設定'!D38+AN277*('損益分岐設定'!$B$15+'損益分岐設定'!$B$16)+'損益分岐設定'!$B$17+E277*('損益分岐設定'!$B$13+(AN277-1)*'損益分岐設定'!$B$14)*'損益分岐設定'!$B$11</x:f>
        <x:v>50379.59338061063</x:v>
      </x:c>
      <x:c r="T277" s="7" t="n">
        <x:f>'損益分岐設定'!$B$18+'損益分岐設定'!$B$19+'損益分岐設定'!$B$20+'損益分岐設定'!E39+'損益分岐設定'!D39+AO277*('損益分岐設定'!$B$15+'損益分岐設定'!$B$16)+'損益分岐設定'!$B$17+E277*('損益分岐設定'!$B$13+(AO277-1)*'損益分岐設定'!$B$14)*'損益分岐設定'!$B$11</x:f>
        <x:v>103698.98345152658</x:v>
      </x:c>
      <x:c r="U277" s="7" t="n">
        <x:f>'損益分岐設定'!$B$18+'損益分岐設定'!$B$19+'損益分岐設定'!$B$20+'損益分岐設定'!E40+'損益分岐設定'!D40+AP277*('損益分岐設定'!$B$15+'損益分岐設定'!$B$16)+'損益分岐設定'!$B$17+E277*('損益分岐設定'!$B$13+(AP277-1)*'損益分岐設定'!$B$14)*'損益分岐設定'!$B$11</x:f>
        <x:v>175458.17021274788</x:v>
      </x:c>
      <x:c r="V277" s="1" t="n">
        <x:f>IF(I277&lt;=0,1001,IF(MAX('損益分岐設定'!B37,ROUNDUP(R277/I277,0))&lt;='損益分岐設定'!C37,MAX('損益分岐設定'!B37,ROUNDUP(R277/I277,0)),1001))</x:f>
        <x:v>1001</x:v>
      </x:c>
      <x:c r="W277" s="1" t="n">
        <x:f>IF(I277&lt;=0,1001,IF(MAX('損益分岐設定'!B38,ROUNDUP(S277/I277,0))&lt;='損益分岐設定'!C38,MAX('損益分岐設定'!B38,ROUNDUP(S277/I277,0)),1001))</x:f>
        <x:v>1001</x:v>
      </x:c>
      <x:c r="X277" s="1" t="n">
        <x:f>IF(I277&lt;=0,1001,IF(MAX('損益分岐設定'!B39,ROUNDUP(T277/I277,0))&lt;='損益分岐設定'!C39,MAX('損益分岐設定'!B39,ROUNDUP(T277/I277,0)),1001))</x:f>
        <x:v>304</x:v>
      </x:c>
      <x:c r="Y277" s="1" t="n">
        <x:f>IF(I277&lt;=0,1001,IF(MAX('損益分岐設定'!B40,ROUNDUP(U277/I277,0))&lt;='損益分岐設定'!C40,MAX('損益分岐設定'!B40,ROUNDUP(U277/I277,0)),1001))</x:f>
        <x:v>513</x:v>
      </x:c>
      <x:c r="Z277" s="1" t="n">
        <x:f>IF(I277&lt;=0,'損益分岐設定'!C37,IF('損益分岐設定'!C37*I277-R277&lt;0,'損益分岐設定'!C37,IF('損益分岐設定'!B37*I277-R277&gt;=0,0,ROUNDUP(R277/I277,0)-1)))</x:f>
        <x:v>10</x:v>
      </x:c>
      <x:c r="AA277" s="1" t="n">
        <x:f>IF(I277&lt;=0,'損益分岐設定'!C38,IF('損益分岐設定'!C38*I277-S277&lt;0,'損益分岐設定'!C38,IF('損益分岐設定'!B38*I277-S277&gt;=0,0,ROUNDUP(S277/I277,0)-1)))</x:f>
        <x:v>100</x:v>
      </x:c>
      <x:c r="AB277" s="1" t="n">
        <x:f>IF(I277&lt;=0,'損益分岐設定'!C39,IF('損益分岐設定'!C39*I277-T277&lt;0,'損益分岐設定'!C39,IF('損益分岐設定'!B39*I277-T277&gt;=0,0,ROUNDUP(T277/I277,0)-1)))</x:f>
        <x:v>303</x:v>
      </x:c>
      <x:c r="AC277" s="1" t="n">
        <x:f>IF(I277&lt;=0,'損益分岐設定'!C40,IF('損益分岐設定'!C40*I277-U277&lt;0,'損益分岐設定'!C40,IF('損益分岐設定'!B40*I277-U277&gt;=0,0,ROUNDUP(U277/I277,0)-1)))</x:f>
        <x:v>512</x:v>
      </x:c>
      <x:c r="AD277" s="1" t="n">
        <x:v>0</x:v>
      </x:c>
      <x:c r="AE277" s="1" t="n">
        <x:v>0</x:v>
      </x:c>
      <x:c r="AF277" s="1" t="n">
        <x:v>1</x:v>
      </x:c>
      <x:c r="AG277" s="1" t="n">
        <x:f>AD277*('損益分岐設定'!$C$57*(1-'損益分岐設定'!$B$51)+'損益分岐設定'!$C$58*'損益分岐設定'!$B$51)+AE277*('損益分岐設定'!$C$60*(1-'損益分岐設定'!$B$51)+'損益分岐設定'!$C$61*'損益分岐設定'!$B$51)+AF277*('損益分岐設定'!$C$63*(1-'損益分岐設定'!$B$51)+'損益分岐設定'!$C$64*'損益分岐設定'!$B$51)</x:f>
        <x:v>5765.522041015625</x:v>
      </x:c>
      <x:c r="AH277" s="1" t="n">
        <x:f>AD277*('損益分岐設定'!$D$57*(1-'損益分岐設定'!$B$51)+'損益分岐設定'!$D$58*'損益分岐設定'!$B$51)+AE277*('損益分岐設定'!$D$60*(1-'損益分岐設定'!$B$51)+'損益分岐設定'!$D$61*'損益分岐設定'!$B$51)+AF277*('損益分岐設定'!$D$63*(1-'損益分岐設定'!$B$51)+'損益分岐設定'!$D$64*'損益分岐設定'!$B$51)</x:f>
        <x:v>480</x:v>
      </x:c>
      <x:c r="AI277" s="1" t="n">
        <x:f>AD277*('損益分岐設定'!$E$57*(1-'損益分岐設定'!$B$51)+'損益分岐設定'!$E$58*'損益分岐設定'!$B$51)+AE277*('損益分岐設定'!$E$60*(1-'損益分岐設定'!$B$51)+'損益分岐設定'!$E$61*'損益分岐設定'!$B$51)+AF277*('損益分岐設定'!$E$63*(1-'損益分岐設定'!$B$51)+'損益分岐設定'!$E$64*'損益分岐設定'!$B$51)</x:f>
        <x:v>560</x:v>
      </x:c>
      <x:c r="AJ277" s="1" t="n">
        <x:f>(AD277*('損益分岐設定'!$F$57*(1-'損益分岐設定'!$B$51)+'損益分岐設定'!$F$58*'損益分岐設定'!$B$51)+AE277*('損益分岐設定'!$F$60*(1-'損益分岐設定'!$B$51)+'損益分岐設定'!$F$61*'損益分岐設定'!$B$51)+AF277*('損益分岐設定'!$F$63*(1-'損益分岐設定'!$B$51)+'損益分岐設定'!$F$64*'損益分岐設定'!$B$51)*1)*'損益分岐設定'!$B$22</x:f>
        <x:v>4560</x:v>
      </x:c>
      <x:c r="AK277" s="1" t="n">
        <x:f>AD277*('損益分岐設定'!$G$57*(1-'損益分岐設定'!$B$51)+'損益分岐設定'!$G$58*'損益分岐設定'!$B$51)+AE277*('損益分岐設定'!$G$60*(1-'損益分岐設定'!$B$51)+'損益分岐設定'!$G$61*'損益分岐設定'!$B$51)+AF277*('損益分岐設定'!$G$63*(1-'損益分岐設定'!$B$51)+'損益分岐設定'!$G$64*'損益分岐設定'!$B$51)</x:f>
        <x:v>4000</x:v>
      </x:c>
      <x:c r="AL277" s="1" t="n">
        <x:f>AD277*('損益分岐設定'!$H$57*(1-'損益分岐設定'!$B$51)+'損益分岐設定'!$H$58*'損益分岐設定'!$B$51)+AE277*('損益分岐設定'!$H$60*(1-'損益分岐設定'!$B$51)+'損益分岐設定'!$H$61*'損益分岐設定'!$B$51)+AF277*('損益分岐設定'!$H$63*(1-'損益分岐設定'!$B$51)+'損益分岐設定'!$H$64*'損益分岐設定'!$B$51)</x:f>
        <x:v>1026.666666666667</x:v>
      </x:c>
      <x:c r="AM277" s="1" t="n">
        <x:f>MAX(1,ROUNDUP('損益分岐設定'!C37*AJ277/('損益分岐設定'!$B$23*'損益分岐設定'!$B$24*3600*'損益分岐設定'!$B$25),0))</x:f>
        <x:v>1</x:v>
      </x:c>
      <x:c r="AN277" s="1" t="n">
        <x:f>MAX(2,ROUNDUP('損益分岐設定'!C38*AJ277/('損益分岐設定'!$B$23*'損益分岐設定'!$B$24*3600*'損益分岐設定'!$B$25),0))</x:f>
        <x:v>2</x:v>
      </x:c>
      <x:c r="AO277" s="1" t="n">
        <x:f>MAX(2,ROUNDUP('損益分岐設定'!C39*AJ277/('損益分岐設定'!$B$23*'損益分岐設定'!$B$24*3600*'損益分岐設定'!$B$25),0))</x:f>
        <x:v>5</x:v>
      </x:c>
      <x:c r="AP277" s="1" t="n">
        <x:f>MAX(2,ROUNDUP('損益分岐設定'!C40*AJ277/('損益分岐設定'!$B$23*'損益分岐設定'!$B$24*3600*'損益分岐設定'!$B$25),0))</x:f>
        <x:v>9</x:v>
      </x:c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 ht="23" customHeight="1">
      <x:c r="A278" s="1" t="str">
        <x:v>Hybrid</x:v>
      </x:c>
      <x:c r="B278" s="1" t="str">
        <x:v>Business Plus</x:v>
      </x:c>
      <x:c r="C278" s="1" t="str">
        <x:v>標準+高位混在</x:v>
      </x:c>
      <x:c r="D278" s="21" t="n">
        <x:v>0.2</x:v>
      </x:c>
      <x:c r="E278" s="1" t="n">
        <x:v>1</x:v>
      </x:c>
      <x:c r="F278" s="7" t="n">
        <x:f>AD278*'損益分岐設定'!$B$5+AE278*'損益分岐設定'!$B$6+AF278*'損益分岐設定'!$B$7</x:f>
        <x:v>8000</x:v>
      </x:c>
      <x:c r="G278" s="7" t="n">
        <x:f>AG278+(AH278+AI278)*('損益分岐設定'!$B$29+0.5*'損益分岐設定'!$B$30)+AK278*'損益分岐設定'!$B$33</x:f>
        <x:v>5769.813972349879</x:v>
      </x:c>
      <x:c r="H278" s="7" t="n">
        <x:f>AL278*E278</x:f>
        <x:v>1026.666666666667</x:v>
      </x:c>
      <x:c r="I278" s="7" t="n">
        <x:f>F278*(1-D278-'損益分岐設定'!$B$10)-G278-H278</x:f>
        <x:v>-684.4806390165459</x:v>
      </x:c>
      <x:c r="J278" s="1" t="str">
        <x:f>IF(MIN(V278:Y278)&gt;1000,"範囲内なし",MIN(V278:Y278))</x:f>
        <x:v>範囲内なし</x:v>
      </x:c>
      <x:c r="K278" s="1" t="str">
        <x:f>IF(MAX(Z278:AC278)&gt;=1000,"範囲内なし",MAX(1,MAX(Z278:AC278)+1))</x:f>
        <x:v>範囲内なし</x:v>
      </x:c>
      <x:c r="L278" s="7" t="n">
        <x:f>10*I278-R278</x:f>
        <x:v>-58284.60308047078</x:v>
      </x:c>
      <x:c r="M278" s="7" t="n">
        <x:f>30*I278-S278</x:f>
        <x:v>-88914.01255110701</x:v>
      </x:c>
      <x:c r="N278" s="7" t="n">
        <x:f>50*I278-S278</x:f>
        <x:v>-102603.62533143793</x:v>
      </x:c>
      <x:c r="O278" s="7" t="n">
        <x:f>100*I278-S278</x:f>
        <x:v>-136827.65728226522</x:v>
      </x:c>
      <x:c r="P278" s="7" t="n">
        <x:f>300*I278-T278</x:f>
        <x:v>-333043.17515649035</x:v>
      </x:c>
      <x:c r="Q278" s="7" t="n">
        <x:f>1000*I278-U278</x:f>
        <x:v>-891938.8092292937</x:v>
      </x:c>
      <x:c r="R278" s="7" t="n">
        <x:f>'損益分岐設定'!$B$18+'損益分岐設定'!$B$19+'損益分岐設定'!$B$20+'損益分岐設定'!E37+'損益分岐設定'!D37+AM278*('損益分岐設定'!$B$15+'損益分岐設定'!$B$16)+'損益分岐設定'!$B$17+E278*('損益分岐設定'!$B$13+(AM278-1)*'損益分岐設定'!$B$14)*'損益分岐設定'!$B$11</x:f>
        <x:v>51439.79669030532</x:v>
      </x:c>
      <x:c r="S278" s="7" t="n">
        <x:f>'損益分岐設定'!$B$18+'損益分岐設定'!$B$19+'損益分岐設定'!$B$20+'損益分岐設定'!E38+'損益分岐設定'!D38+AN278*('損益分岐設定'!$B$15+'損益分岐設定'!$B$16)+'損益分岐設定'!$B$17+E278*('損益分岐設定'!$B$13+(AN278-1)*'損益分岐設定'!$B$14)*'損益分岐設定'!$B$11</x:f>
        <x:v>68379.59338061063</x:v>
      </x:c>
      <x:c r="T278" s="7" t="n">
        <x:f>'損益分岐設定'!$B$18+'損益分岐設定'!$B$19+'損益分岐設定'!$B$20+'損益分岐設定'!E39+'損益分岐設定'!D39+AO278*('損益分岐設定'!$B$15+'損益分岐設定'!$B$16)+'損益分岐設定'!$B$17+E278*('損益分岐設定'!$B$13+(AO278-1)*'損益分岐設定'!$B$14)*'損益分岐設定'!$B$11</x:f>
        <x:v>127698.98345152658</x:v>
      </x:c>
      <x:c r="U278" s="7" t="n">
        <x:f>'損益分岐設定'!$B$18+'損益分岐設定'!$B$19+'損益分岐設定'!$B$20+'損益分岐設定'!E40+'損益分岐設定'!D40+AP278*('損益分岐設定'!$B$15+'損益分岐設定'!$B$16)+'損益分岐設定'!$B$17+E278*('損益分岐設定'!$B$13+(AP278-1)*'損益分岐設定'!$B$14)*'損益分岐設定'!$B$11</x:f>
        <x:v>207458.17021274788</x:v>
      </x:c>
      <x:c r="V278" s="1" t="n">
        <x:f>IF(I278&lt;=0,1001,IF(MAX('損益分岐設定'!B37,ROUNDUP(R278/I278,0))&lt;='損益分岐設定'!C37,MAX('損益分岐設定'!B37,ROUNDUP(R278/I278,0)),1001))</x:f>
        <x:v>1001</x:v>
      </x:c>
      <x:c r="W278" s="1" t="n">
        <x:f>IF(I278&lt;=0,1001,IF(MAX('損益分岐設定'!B38,ROUNDUP(S278/I278,0))&lt;='損益分岐設定'!C38,MAX('損益分岐設定'!B38,ROUNDUP(S278/I278,0)),1001))</x:f>
        <x:v>1001</x:v>
      </x:c>
      <x:c r="X278" s="1" t="n">
        <x:f>IF(I278&lt;=0,1001,IF(MAX('損益分岐設定'!B39,ROUNDUP(T278/I278,0))&lt;='損益分岐設定'!C39,MAX('損益分岐設定'!B39,ROUNDUP(T278/I278,0)),1001))</x:f>
        <x:v>1001</x:v>
      </x:c>
      <x:c r="Y278" s="1" t="n">
        <x:f>IF(I278&lt;=0,1001,IF(MAX('損益分岐設定'!B40,ROUNDUP(U278/I278,0))&lt;='損益分岐設定'!C40,MAX('損益分岐設定'!B40,ROUNDUP(U278/I278,0)),1001))</x:f>
        <x:v>1001</x:v>
      </x:c>
      <x:c r="Z278" s="1" t="n">
        <x:f>IF(I278&lt;=0,'損益分岐設定'!C37,IF('損益分岐設定'!C37*I278-R278&lt;0,'損益分岐設定'!C37,IF('損益分岐設定'!B37*I278-R278&gt;=0,0,ROUNDUP(R278/I278,0)-1)))</x:f>
        <x:v>10</x:v>
      </x:c>
      <x:c r="AA278" s="1" t="n">
        <x:f>IF(I278&lt;=0,'損益分岐設定'!C38,IF('損益分岐設定'!C38*I278-S278&lt;0,'損益分岐設定'!C38,IF('損益分岐設定'!B38*I278-S278&gt;=0,0,ROUNDUP(S278/I278,0)-1)))</x:f>
        <x:v>100</x:v>
      </x:c>
      <x:c r="AB278" s="1" t="n">
        <x:f>IF(I278&lt;=0,'損益分岐設定'!C39,IF('損益分岐設定'!C39*I278-T278&lt;0,'損益分岐設定'!C39,IF('損益分岐設定'!B39*I278-T278&gt;=0,0,ROUNDUP(T278/I278,0)-1)))</x:f>
        <x:v>500</x:v>
      </x:c>
      <x:c r="AC278" s="1" t="n">
        <x:f>IF(I278&lt;=0,'損益分岐設定'!C40,IF('損益分岐設定'!C40*I278-U278&lt;0,'損益分岐設定'!C40,IF('損益分岐設定'!B40*I278-U278&gt;=0,0,ROUNDUP(U278/I278,0)-1)))</x:f>
        <x:v>1000</x:v>
      </x:c>
      <x:c r="AD278" s="1" t="n">
        <x:v>0</x:v>
      </x:c>
      <x:c r="AE278" s="1" t="n">
        <x:v>0</x:v>
      </x:c>
      <x:c r="AF278" s="1" t="n">
        <x:v>1</x:v>
      </x:c>
      <x:c r="AG278" s="1" t="n">
        <x:f>AD278*('損益分岐設定'!$C$57*(1-'損益分岐設定'!$B$51)+'損益分岐設定'!$C$58*'損益分岐設定'!$B$51)+AE278*('損益分岐設定'!$C$60*(1-'損益分岐設定'!$B$51)+'損益分岐設定'!$C$61*'損益分岐設定'!$B$51)+AF278*('損益分岐設定'!$C$63*(1-'損益分岐設定'!$B$51)+'損益分岐設定'!$C$64*'損益分岐設定'!$B$51)</x:f>
        <x:v>5765.522041015625</x:v>
      </x:c>
      <x:c r="AH278" s="1" t="n">
        <x:f>AD278*('損益分岐設定'!$D$57*(1-'損益分岐設定'!$B$51)+'損益分岐設定'!$D$58*'損益分岐設定'!$B$51)+AE278*('損益分岐設定'!$D$60*(1-'損益分岐設定'!$B$51)+'損益分岐設定'!$D$61*'損益分岐設定'!$B$51)+AF278*('損益分岐設定'!$D$63*(1-'損益分岐設定'!$B$51)+'損益分岐設定'!$D$64*'損益分岐設定'!$B$51)</x:f>
        <x:v>480</x:v>
      </x:c>
      <x:c r="AI278" s="1" t="n">
        <x:f>AD278*('損益分岐設定'!$E$57*(1-'損益分岐設定'!$B$51)+'損益分岐設定'!$E$58*'損益分岐設定'!$B$51)+AE278*('損益分岐設定'!$E$60*(1-'損益分岐設定'!$B$51)+'損益分岐設定'!$E$61*'損益分岐設定'!$B$51)+AF278*('損益分岐設定'!$E$63*(1-'損益分岐設定'!$B$51)+'損益分岐設定'!$E$64*'損益分岐設定'!$B$51)</x:f>
        <x:v>560</x:v>
      </x:c>
      <x:c r="AJ278" s="1" t="n">
        <x:f>(AD278*('損益分岐設定'!$F$57*(1-'損益分岐設定'!$B$51)+'損益分岐設定'!$F$58*'損益分岐設定'!$B$51)+AE278*('損益分岐設定'!$F$60*(1-'損益分岐設定'!$B$51)+'損益分岐設定'!$F$61*'損益分岐設定'!$B$51)+AF278*('損益分岐設定'!$F$63*(1-'損益分岐設定'!$B$51)+'損益分岐設定'!$F$64*'損益分岐設定'!$B$51)*1)*'損益分岐設定'!$B$22</x:f>
        <x:v>4560</x:v>
      </x:c>
      <x:c r="AK278" s="1" t="n">
        <x:f>AD278*('損益分岐設定'!$G$57*(1-'損益分岐設定'!$B$51)+'損益分岐設定'!$G$58*'損益分岐設定'!$B$51)+AE278*('損益分岐設定'!$G$60*(1-'損益分岐設定'!$B$51)+'損益分岐設定'!$G$61*'損益分岐設定'!$B$51)+AF278*('損益分岐設定'!$G$63*(1-'損益分岐設定'!$B$51)+'損益分岐設定'!$G$64*'損益分岐設定'!$B$51)</x:f>
        <x:v>4000</x:v>
      </x:c>
      <x:c r="AL278" s="1" t="n">
        <x:f>AD278*('損益分岐設定'!$H$57*(1-'損益分岐設定'!$B$51)+'損益分岐設定'!$H$58*'損益分岐設定'!$B$51)+AE278*('損益分岐設定'!$H$60*(1-'損益分岐設定'!$B$51)+'損益分岐設定'!$H$61*'損益分岐設定'!$B$51)+AF278*('損益分岐設定'!$H$63*(1-'損益分岐設定'!$B$51)+'損益分岐設定'!$H$64*'損益分岐設定'!$B$51)</x:f>
        <x:v>1026.666666666667</x:v>
      </x:c>
      <x:c r="AM278" s="1" t="n">
        <x:f>MAX(1,ROUNDUP('損益分岐設定'!C37*AJ278/('損益分岐設定'!$B$23*'損益分岐設定'!$B$24*3600*'損益分岐設定'!$B$25),0))</x:f>
        <x:v>1</x:v>
      </x:c>
      <x:c r="AN278" s="1" t="n">
        <x:f>MAX(2,ROUNDUP('損益分岐設定'!C38*AJ278/('損益分岐設定'!$B$23*'損益分岐設定'!$B$24*3600*'損益分岐設定'!$B$25),0))</x:f>
        <x:v>2</x:v>
      </x:c>
      <x:c r="AO278" s="1" t="n">
        <x:f>MAX(2,ROUNDUP('損益分岐設定'!C39*AJ278/('損益分岐設定'!$B$23*'損益分岐設定'!$B$24*3600*'損益分岐設定'!$B$25),0))</x:f>
        <x:v>5</x:v>
      </x:c>
      <x:c r="AP278" s="1" t="n">
        <x:f>MAX(2,ROUNDUP('損益分岐設定'!C40*AJ278/('損益分岐設定'!$B$23*'損益分岐設定'!$B$24*3600*'損益分岐設定'!$B$25),0))</x:f>
        <x:v>9</x:v>
      </x:c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 ht="23" customHeight="1">
      <x:c r="A279" s="1" t="str">
        <x:v>Hybrid</x:v>
      </x:c>
      <x:c r="B279" s="1" t="str">
        <x:v>Business Plus</x:v>
      </x:c>
      <x:c r="C279" s="1" t="str">
        <x:v>標準+高位混在</x:v>
      </x:c>
      <x:c r="D279" s="21" t="n">
        <x:v>0.3</x:v>
      </x:c>
      <x:c r="E279" s="1" t="n">
        <x:v>0</x:v>
      </x:c>
      <x:c r="F279" s="7" t="n">
        <x:f>AD279*'損益分岐設定'!$B$5+AE279*'損益分岐設定'!$B$6+AF279*'損益分岐設定'!$B$7</x:f>
        <x:v>8000</x:v>
      </x:c>
      <x:c r="G279" s="7" t="n">
        <x:f>AG279+(AH279+AI279)*('損益分岐設定'!$B$29+0.5*'損益分岐設定'!$B$30)+AK279*'損益分岐設定'!$B$33</x:f>
        <x:v>5769.813972349879</x:v>
      </x:c>
      <x:c r="H279" s="7" t="n">
        <x:f>AL279*E279</x:f>
        <x:v>0</x:v>
      </x:c>
      <x:c r="I279" s="7" t="n">
        <x:f>F279*(1-D279-'損益分岐設定'!$B$10)-G279-H279</x:f>
        <x:v>-457.8139723498798</x:v>
      </x:c>
      <x:c r="J279" s="1" t="str">
        <x:f>IF(MIN(V279:Y279)&gt;1000,"範囲内なし",MIN(V279:Y279))</x:f>
        <x:v>範囲内なし</x:v>
      </x:c>
      <x:c r="K279" s="1" t="str">
        <x:f>IF(MAX(Z279:AC279)&gt;=1000,"範囲内なし",MAX(1,MAX(Z279:AC279)+1))</x:f>
        <x:v>範囲内なし</x:v>
      </x:c>
      <x:c r="L279" s="7" t="n">
        <x:f>10*I279-R279</x:f>
        <x:v>-40017.93641380411</x:v>
      </x:c>
      <x:c r="M279" s="7" t="n">
        <x:f>30*I279-S279</x:f>
        <x:v>-64114.01255110703</x:v>
      </x:c>
      <x:c r="N279" s="7" t="n">
        <x:f>50*I279-S279</x:f>
        <x:v>-73270.29199810463</x:v>
      </x:c>
      <x:c r="O279" s="7" t="n">
        <x:f>100*I279-S279</x:f>
        <x:v>-96160.99061559861</x:v>
      </x:c>
      <x:c r="P279" s="7" t="n">
        <x:f>300*I279-T279</x:f>
        <x:v>-241043.17515649053</x:v>
      </x:c>
      <x:c r="Q279" s="7" t="n">
        <x:f>1000*I279-U279</x:f>
        <x:v>-633272.1425626277</x:v>
      </x:c>
      <x:c r="R279" s="7" t="n">
        <x:f>'損益分岐設定'!$B$18+'損益分岐設定'!$B$19+'損益分岐設定'!$B$20+'損益分岐設定'!E37+'損益分岐設定'!D37+AM279*('損益分岐設定'!$B$15+'損益分岐設定'!$B$16)+'損益分岐設定'!$B$17+E279*('損益分岐設定'!$B$13+(AM279-1)*'損益分岐設定'!$B$14)*'損益分岐設定'!$B$11</x:f>
        <x:v>35439.79669030532</x:v>
      </x:c>
      <x:c r="S279" s="7" t="n">
        <x:f>'損益分岐設定'!$B$18+'損益分岐設定'!$B$19+'損益分岐設定'!$B$20+'損益分岐設定'!E38+'損益分岐設定'!D38+AN279*('損益分岐設定'!$B$15+'損益分岐設定'!$B$16)+'損益分岐設定'!$B$17+E279*('損益分岐設定'!$B$13+(AN279-1)*'損益分岐設定'!$B$14)*'損益分岐設定'!$B$11</x:f>
        <x:v>50379.59338061063</x:v>
      </x:c>
      <x:c r="T279" s="7" t="n">
        <x:f>'損益分岐設定'!$B$18+'損益分岐設定'!$B$19+'損益分岐設定'!$B$20+'損益分岐設定'!E39+'損益分岐設定'!D39+AO279*('損益分岐設定'!$B$15+'損益分岐設定'!$B$16)+'損益分岐設定'!$B$17+E279*('損益分岐設定'!$B$13+(AO279-1)*'損益分岐設定'!$B$14)*'損益分岐設定'!$B$11</x:f>
        <x:v>103698.98345152658</x:v>
      </x:c>
      <x:c r="U279" s="7" t="n">
        <x:f>'損益分岐設定'!$B$18+'損益分岐設定'!$B$19+'損益分岐設定'!$B$20+'損益分岐設定'!E40+'損益分岐設定'!D40+AP279*('損益分岐設定'!$B$15+'損益分岐設定'!$B$16)+'損益分岐設定'!$B$17+E279*('損益分岐設定'!$B$13+(AP279-1)*'損益分岐設定'!$B$14)*'損益分岐設定'!$B$11</x:f>
        <x:v>175458.17021274788</x:v>
      </x:c>
      <x:c r="V279" s="1" t="n">
        <x:f>IF(I279&lt;=0,1001,IF(MAX('損益分岐設定'!B37,ROUNDUP(R279/I279,0))&lt;='損益分岐設定'!C37,MAX('損益分岐設定'!B37,ROUNDUP(R279/I279,0)),1001))</x:f>
        <x:v>1001</x:v>
      </x:c>
      <x:c r="W279" s="1" t="n">
        <x:f>IF(I279&lt;=0,1001,IF(MAX('損益分岐設定'!B38,ROUNDUP(S279/I279,0))&lt;='損益分岐設定'!C38,MAX('損益分岐設定'!B38,ROUNDUP(S279/I279,0)),1001))</x:f>
        <x:v>1001</x:v>
      </x:c>
      <x:c r="X279" s="1" t="n">
        <x:f>IF(I279&lt;=0,1001,IF(MAX('損益分岐設定'!B39,ROUNDUP(T279/I279,0))&lt;='損益分岐設定'!C39,MAX('損益分岐設定'!B39,ROUNDUP(T279/I279,0)),1001))</x:f>
        <x:v>1001</x:v>
      </x:c>
      <x:c r="Y279" s="1" t="n">
        <x:f>IF(I279&lt;=0,1001,IF(MAX('損益分岐設定'!B40,ROUNDUP(U279/I279,0))&lt;='損益分岐設定'!C40,MAX('損益分岐設定'!B40,ROUNDUP(U279/I279,0)),1001))</x:f>
        <x:v>1001</x:v>
      </x:c>
      <x:c r="Z279" s="1" t="n">
        <x:f>IF(I279&lt;=0,'損益分岐設定'!C37,IF('損益分岐設定'!C37*I279-R279&lt;0,'損益分岐設定'!C37,IF('損益分岐設定'!B37*I279-R279&gt;=0,0,ROUNDUP(R279/I279,0)-1)))</x:f>
        <x:v>10</x:v>
      </x:c>
      <x:c r="AA279" s="1" t="n">
        <x:f>IF(I279&lt;=0,'損益分岐設定'!C38,IF('損益分岐設定'!C38*I279-S279&lt;0,'損益分岐設定'!C38,IF('損益分岐設定'!B38*I279-S279&gt;=0,0,ROUNDUP(S279/I279,0)-1)))</x:f>
        <x:v>100</x:v>
      </x:c>
      <x:c r="AB279" s="1" t="n">
        <x:f>IF(I279&lt;=0,'損益分岐設定'!C39,IF('損益分岐設定'!C39*I279-T279&lt;0,'損益分岐設定'!C39,IF('損益分岐設定'!B39*I279-T279&gt;=0,0,ROUNDUP(T279/I279,0)-1)))</x:f>
        <x:v>500</x:v>
      </x:c>
      <x:c r="AC279" s="1" t="n">
        <x:f>IF(I279&lt;=0,'損益分岐設定'!C40,IF('損益分岐設定'!C40*I279-U279&lt;0,'損益分岐設定'!C40,IF('損益分岐設定'!B40*I279-U279&gt;=0,0,ROUNDUP(U279/I279,0)-1)))</x:f>
        <x:v>1000</x:v>
      </x:c>
      <x:c r="AD279" s="1" t="n">
        <x:v>0</x:v>
      </x:c>
      <x:c r="AE279" s="1" t="n">
        <x:v>0</x:v>
      </x:c>
      <x:c r="AF279" s="1" t="n">
        <x:v>1</x:v>
      </x:c>
      <x:c r="AG279" s="1" t="n">
        <x:f>AD279*('損益分岐設定'!$C$57*(1-'損益分岐設定'!$B$51)+'損益分岐設定'!$C$58*'損益分岐設定'!$B$51)+AE279*('損益分岐設定'!$C$60*(1-'損益分岐設定'!$B$51)+'損益分岐設定'!$C$61*'損益分岐設定'!$B$51)+AF279*('損益分岐設定'!$C$63*(1-'損益分岐設定'!$B$51)+'損益分岐設定'!$C$64*'損益分岐設定'!$B$51)</x:f>
        <x:v>5765.522041015625</x:v>
      </x:c>
      <x:c r="AH279" s="1" t="n">
        <x:f>AD279*('損益分岐設定'!$D$57*(1-'損益分岐設定'!$B$51)+'損益分岐設定'!$D$58*'損益分岐設定'!$B$51)+AE279*('損益分岐設定'!$D$60*(1-'損益分岐設定'!$B$51)+'損益分岐設定'!$D$61*'損益分岐設定'!$B$51)+AF279*('損益分岐設定'!$D$63*(1-'損益分岐設定'!$B$51)+'損益分岐設定'!$D$64*'損益分岐設定'!$B$51)</x:f>
        <x:v>480</x:v>
      </x:c>
      <x:c r="AI279" s="1" t="n">
        <x:f>AD279*('損益分岐設定'!$E$57*(1-'損益分岐設定'!$B$51)+'損益分岐設定'!$E$58*'損益分岐設定'!$B$51)+AE279*('損益分岐設定'!$E$60*(1-'損益分岐設定'!$B$51)+'損益分岐設定'!$E$61*'損益分岐設定'!$B$51)+AF279*('損益分岐設定'!$E$63*(1-'損益分岐設定'!$B$51)+'損益分岐設定'!$E$64*'損益分岐設定'!$B$51)</x:f>
        <x:v>560</x:v>
      </x:c>
      <x:c r="AJ279" s="1" t="n">
        <x:f>(AD279*('損益分岐設定'!$F$57*(1-'損益分岐設定'!$B$51)+'損益分岐設定'!$F$58*'損益分岐設定'!$B$51)+AE279*('損益分岐設定'!$F$60*(1-'損益分岐設定'!$B$51)+'損益分岐設定'!$F$61*'損益分岐設定'!$B$51)+AF279*('損益分岐設定'!$F$63*(1-'損益分岐設定'!$B$51)+'損益分岐設定'!$F$64*'損益分岐設定'!$B$51)*1)*'損益分岐設定'!$B$22</x:f>
        <x:v>4560</x:v>
      </x:c>
      <x:c r="AK279" s="1" t="n">
        <x:f>AD279*('損益分岐設定'!$G$57*(1-'損益分岐設定'!$B$51)+'損益分岐設定'!$G$58*'損益分岐設定'!$B$51)+AE279*('損益分岐設定'!$G$60*(1-'損益分岐設定'!$B$51)+'損益分岐設定'!$G$61*'損益分岐設定'!$B$51)+AF279*('損益分岐設定'!$G$63*(1-'損益分岐設定'!$B$51)+'損益分岐設定'!$G$64*'損益分岐設定'!$B$51)</x:f>
        <x:v>4000</x:v>
      </x:c>
      <x:c r="AL279" s="1" t="n">
        <x:f>AD279*('損益分岐設定'!$H$57*(1-'損益分岐設定'!$B$51)+'損益分岐設定'!$H$58*'損益分岐設定'!$B$51)+AE279*('損益分岐設定'!$H$60*(1-'損益分岐設定'!$B$51)+'損益分岐設定'!$H$61*'損益分岐設定'!$B$51)+AF279*('損益分岐設定'!$H$63*(1-'損益分岐設定'!$B$51)+'損益分岐設定'!$H$64*'損益分岐設定'!$B$51)</x:f>
        <x:v>1026.666666666667</x:v>
      </x:c>
      <x:c r="AM279" s="1" t="n">
        <x:f>MAX(1,ROUNDUP('損益分岐設定'!C37*AJ279/('損益分岐設定'!$B$23*'損益分岐設定'!$B$24*3600*'損益分岐設定'!$B$25),0))</x:f>
        <x:v>1</x:v>
      </x:c>
      <x:c r="AN279" s="1" t="n">
        <x:f>MAX(2,ROUNDUP('損益分岐設定'!C38*AJ279/('損益分岐設定'!$B$23*'損益分岐設定'!$B$24*3600*'損益分岐設定'!$B$25),0))</x:f>
        <x:v>2</x:v>
      </x:c>
      <x:c r="AO279" s="1" t="n">
        <x:f>MAX(2,ROUNDUP('損益分岐設定'!C39*AJ279/('損益分岐設定'!$B$23*'損益分岐設定'!$B$24*3600*'損益分岐設定'!$B$25),0))</x:f>
        <x:v>5</x:v>
      </x:c>
      <x:c r="AP279" s="1" t="n">
        <x:f>MAX(2,ROUNDUP('損益分岐設定'!C40*AJ279/('損益分岐設定'!$B$23*'損益分岐設定'!$B$24*3600*'損益分岐設定'!$B$25),0))</x:f>
        <x:v>9</x:v>
      </x:c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 ht="23" customHeight="1">
      <x:c r="A280" s="1" t="str">
        <x:v>Hybrid</x:v>
      </x:c>
      <x:c r="B280" s="1" t="str">
        <x:v>Business Plus</x:v>
      </x:c>
      <x:c r="C280" s="1" t="str">
        <x:v>標準+高位混在</x:v>
      </x:c>
      <x:c r="D280" s="21" t="n">
        <x:v>0.3</x:v>
      </x:c>
      <x:c r="E280" s="1" t="n">
        <x:v>1</x:v>
      </x:c>
      <x:c r="F280" s="7" t="n">
        <x:f>AD280*'損益分岐設定'!$B$5+AE280*'損益分岐設定'!$B$6+AF280*'損益分岐設定'!$B$7</x:f>
        <x:v>8000</x:v>
      </x:c>
      <x:c r="G280" s="7" t="n">
        <x:f>AG280+(AH280+AI280)*('損益分岐設定'!$B$29+0.5*'損益分岐設定'!$B$30)+AK280*'損益分岐設定'!$B$33</x:f>
        <x:v>5769.813972349879</x:v>
      </x:c>
      <x:c r="H280" s="7" t="n">
        <x:f>AL280*E280</x:f>
        <x:v>1026.666666666667</x:v>
      </x:c>
      <x:c r="I280" s="7" t="n">
        <x:f>F280*(1-D280-'損益分岐設定'!$B$10)-G280-H280</x:f>
        <x:v>-1484.4806390165468</x:v>
      </x:c>
      <x:c r="J280" s="1" t="str">
        <x:f>IF(MIN(V280:Y280)&gt;1000,"範囲内なし",MIN(V280:Y280))</x:f>
        <x:v>範囲内なし</x:v>
      </x:c>
      <x:c r="K280" s="1" t="str">
        <x:f>IF(MAX(Z280:AC280)&gt;=1000,"範囲内なし",MAX(1,MAX(Z280:AC280)+1))</x:f>
        <x:v>範囲内なし</x:v>
      </x:c>
      <x:c r="L280" s="7" t="n">
        <x:f>10*I280-R280</x:f>
        <x:v>-66284.60308047078</x:v>
      </x:c>
      <x:c r="M280" s="7" t="n">
        <x:f>30*I280-S280</x:f>
        <x:v>-112914.01255110704</x:v>
      </x:c>
      <x:c r="N280" s="7" t="n">
        <x:f>50*I280-S280</x:f>
        <x:v>-142603.62533143797</x:v>
      </x:c>
      <x:c r="O280" s="7" t="n">
        <x:f>100*I280-S280</x:f>
        <x:v>-216827.6572822653</x:v>
      </x:c>
      <x:c r="P280" s="7" t="n">
        <x:f>300*I280-T280</x:f>
        <x:v>-573043.1751564906</x:v>
      </x:c>
      <x:c r="Q280" s="7" t="n">
        <x:f>1000*I280-U280</x:f>
        <x:v>-1691938.8092292948</x:v>
      </x:c>
      <x:c r="R280" s="7" t="n">
        <x:f>'損益分岐設定'!$B$18+'損益分岐設定'!$B$19+'損益分岐設定'!$B$20+'損益分岐設定'!E37+'損益分岐設定'!D37+AM280*('損益分岐設定'!$B$15+'損益分岐設定'!$B$16)+'損益分岐設定'!$B$17+E280*('損益分岐設定'!$B$13+(AM280-1)*'損益分岐設定'!$B$14)*'損益分岐設定'!$B$11</x:f>
        <x:v>51439.79669030532</x:v>
      </x:c>
      <x:c r="S280" s="7" t="n">
        <x:f>'損益分岐設定'!$B$18+'損益分岐設定'!$B$19+'損益分岐設定'!$B$20+'損益分岐設定'!E38+'損益分岐設定'!D38+AN280*('損益分岐設定'!$B$15+'損益分岐設定'!$B$16)+'損益分岐設定'!$B$17+E280*('損益分岐設定'!$B$13+(AN280-1)*'損益分岐設定'!$B$14)*'損益分岐設定'!$B$11</x:f>
        <x:v>68379.59338061063</x:v>
      </x:c>
      <x:c r="T280" s="7" t="n">
        <x:f>'損益分岐設定'!$B$18+'損益分岐設定'!$B$19+'損益分岐設定'!$B$20+'損益分岐設定'!E39+'損益分岐設定'!D39+AO280*('損益分岐設定'!$B$15+'損益分岐設定'!$B$16)+'損益分岐設定'!$B$17+E280*('損益分岐設定'!$B$13+(AO280-1)*'損益分岐設定'!$B$14)*'損益分岐設定'!$B$11</x:f>
        <x:v>127698.98345152658</x:v>
      </x:c>
      <x:c r="U280" s="7" t="n">
        <x:f>'損益分岐設定'!$B$18+'損益分岐設定'!$B$19+'損益分岐設定'!$B$20+'損益分岐設定'!E40+'損益分岐設定'!D40+AP280*('損益分岐設定'!$B$15+'損益分岐設定'!$B$16)+'損益分岐設定'!$B$17+E280*('損益分岐設定'!$B$13+(AP280-1)*'損益分岐設定'!$B$14)*'損益分岐設定'!$B$11</x:f>
        <x:v>207458.17021274788</x:v>
      </x:c>
      <x:c r="V280" s="1" t="n">
        <x:f>IF(I280&lt;=0,1001,IF(MAX('損益分岐設定'!B37,ROUNDUP(R280/I280,0))&lt;='損益分岐設定'!C37,MAX('損益分岐設定'!B37,ROUNDUP(R280/I280,0)),1001))</x:f>
        <x:v>1001</x:v>
      </x:c>
      <x:c r="W280" s="1" t="n">
        <x:f>IF(I280&lt;=0,1001,IF(MAX('損益分岐設定'!B38,ROUNDUP(S280/I280,0))&lt;='損益分岐設定'!C38,MAX('損益分岐設定'!B38,ROUNDUP(S280/I280,0)),1001))</x:f>
        <x:v>1001</x:v>
      </x:c>
      <x:c r="X280" s="1" t="n">
        <x:f>IF(I280&lt;=0,1001,IF(MAX('損益分岐設定'!B39,ROUNDUP(T280/I280,0))&lt;='損益分岐設定'!C39,MAX('損益分岐設定'!B39,ROUNDUP(T280/I280,0)),1001))</x:f>
        <x:v>1001</x:v>
      </x:c>
      <x:c r="Y280" s="1" t="n">
        <x:f>IF(I280&lt;=0,1001,IF(MAX('損益分岐設定'!B40,ROUNDUP(U280/I280,0))&lt;='損益分岐設定'!C40,MAX('損益分岐設定'!B40,ROUNDUP(U280/I280,0)),1001))</x:f>
        <x:v>1001</x:v>
      </x:c>
      <x:c r="Z280" s="1" t="n">
        <x:f>IF(I280&lt;=0,'損益分岐設定'!C37,IF('損益分岐設定'!C37*I280-R280&lt;0,'損益分岐設定'!C37,IF('損益分岐設定'!B37*I280-R280&gt;=0,0,ROUNDUP(R280/I280,0)-1)))</x:f>
        <x:v>10</x:v>
      </x:c>
      <x:c r="AA280" s="1" t="n">
        <x:f>IF(I280&lt;=0,'損益分岐設定'!C38,IF('損益分岐設定'!C38*I280-S280&lt;0,'損益分岐設定'!C38,IF('損益分岐設定'!B38*I280-S280&gt;=0,0,ROUNDUP(S280/I280,0)-1)))</x:f>
        <x:v>100</x:v>
      </x:c>
      <x:c r="AB280" s="1" t="n">
        <x:f>IF(I280&lt;=0,'損益分岐設定'!C39,IF('損益分岐設定'!C39*I280-T280&lt;0,'損益分岐設定'!C39,IF('損益分岐設定'!B39*I280-T280&gt;=0,0,ROUNDUP(T280/I280,0)-1)))</x:f>
        <x:v>500</x:v>
      </x:c>
      <x:c r="AC280" s="1" t="n">
        <x:f>IF(I280&lt;=0,'損益分岐設定'!C40,IF('損益分岐設定'!C40*I280-U280&lt;0,'損益分岐設定'!C40,IF('損益分岐設定'!B40*I280-U280&gt;=0,0,ROUNDUP(U280/I280,0)-1)))</x:f>
        <x:v>1000</x:v>
      </x:c>
      <x:c r="AD280" s="1" t="n">
        <x:v>0</x:v>
      </x:c>
      <x:c r="AE280" s="1" t="n">
        <x:v>0</x:v>
      </x:c>
      <x:c r="AF280" s="1" t="n">
        <x:v>1</x:v>
      </x:c>
      <x:c r="AG280" s="1" t="n">
        <x:f>AD280*('損益分岐設定'!$C$57*(1-'損益分岐設定'!$B$51)+'損益分岐設定'!$C$58*'損益分岐設定'!$B$51)+AE280*('損益分岐設定'!$C$60*(1-'損益分岐設定'!$B$51)+'損益分岐設定'!$C$61*'損益分岐設定'!$B$51)+AF280*('損益分岐設定'!$C$63*(1-'損益分岐設定'!$B$51)+'損益分岐設定'!$C$64*'損益分岐設定'!$B$51)</x:f>
        <x:v>5765.522041015625</x:v>
      </x:c>
      <x:c r="AH280" s="1" t="n">
        <x:f>AD280*('損益分岐設定'!$D$57*(1-'損益分岐設定'!$B$51)+'損益分岐設定'!$D$58*'損益分岐設定'!$B$51)+AE280*('損益分岐設定'!$D$60*(1-'損益分岐設定'!$B$51)+'損益分岐設定'!$D$61*'損益分岐設定'!$B$51)+AF280*('損益分岐設定'!$D$63*(1-'損益分岐設定'!$B$51)+'損益分岐設定'!$D$64*'損益分岐設定'!$B$51)</x:f>
        <x:v>480</x:v>
      </x:c>
      <x:c r="AI280" s="1" t="n">
        <x:f>AD280*('損益分岐設定'!$E$57*(1-'損益分岐設定'!$B$51)+'損益分岐設定'!$E$58*'損益分岐設定'!$B$51)+AE280*('損益分岐設定'!$E$60*(1-'損益分岐設定'!$B$51)+'損益分岐設定'!$E$61*'損益分岐設定'!$B$51)+AF280*('損益分岐設定'!$E$63*(1-'損益分岐設定'!$B$51)+'損益分岐設定'!$E$64*'損益分岐設定'!$B$51)</x:f>
        <x:v>560</x:v>
      </x:c>
      <x:c r="AJ280" s="1" t="n">
        <x:f>(AD280*('損益分岐設定'!$F$57*(1-'損益分岐設定'!$B$51)+'損益分岐設定'!$F$58*'損益分岐設定'!$B$51)+AE280*('損益分岐設定'!$F$60*(1-'損益分岐設定'!$B$51)+'損益分岐設定'!$F$61*'損益分岐設定'!$B$51)+AF280*('損益分岐設定'!$F$63*(1-'損益分岐設定'!$B$51)+'損益分岐設定'!$F$64*'損益分岐設定'!$B$51)*1)*'損益分岐設定'!$B$22</x:f>
        <x:v>4560</x:v>
      </x:c>
      <x:c r="AK280" s="1" t="n">
        <x:f>AD280*('損益分岐設定'!$G$57*(1-'損益分岐設定'!$B$51)+'損益分岐設定'!$G$58*'損益分岐設定'!$B$51)+AE280*('損益分岐設定'!$G$60*(1-'損益分岐設定'!$B$51)+'損益分岐設定'!$G$61*'損益分岐設定'!$B$51)+AF280*('損益分岐設定'!$G$63*(1-'損益分岐設定'!$B$51)+'損益分岐設定'!$G$64*'損益分岐設定'!$B$51)</x:f>
        <x:v>4000</x:v>
      </x:c>
      <x:c r="AL280" s="1" t="n">
        <x:f>AD280*('損益分岐設定'!$H$57*(1-'損益分岐設定'!$B$51)+'損益分岐設定'!$H$58*'損益分岐設定'!$B$51)+AE280*('損益分岐設定'!$H$60*(1-'損益分岐設定'!$B$51)+'損益分岐設定'!$H$61*'損益分岐設定'!$B$51)+AF280*('損益分岐設定'!$H$63*(1-'損益分岐設定'!$B$51)+'損益分岐設定'!$H$64*'損益分岐設定'!$B$51)</x:f>
        <x:v>1026.666666666667</x:v>
      </x:c>
      <x:c r="AM280" s="1" t="n">
        <x:f>MAX(1,ROUNDUP('損益分岐設定'!C37*AJ280/('損益分岐設定'!$B$23*'損益分岐設定'!$B$24*3600*'損益分岐設定'!$B$25),0))</x:f>
        <x:v>1</x:v>
      </x:c>
      <x:c r="AN280" s="1" t="n">
        <x:f>MAX(2,ROUNDUP('損益分岐設定'!C38*AJ280/('損益分岐設定'!$B$23*'損益分岐設定'!$B$24*3600*'損益分岐設定'!$B$25),0))</x:f>
        <x:v>2</x:v>
      </x:c>
      <x:c r="AO280" s="1" t="n">
        <x:f>MAX(2,ROUNDUP('損益分岐設定'!C39*AJ280/('損益分岐設定'!$B$23*'損益分岐設定'!$B$24*3600*'損益分岐設定'!$B$25),0))</x:f>
        <x:v>5</x:v>
      </x:c>
      <x:c r="AP280" s="1" t="n">
        <x:f>MAX(2,ROUNDUP('損益分岐設定'!C40*AJ280/('損益分岐設定'!$B$23*'損益分岐設定'!$B$24*3600*'損益分岐設定'!$B$25),0))</x:f>
        <x:v>9</x:v>
      </x:c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 ht="23" customHeight="1">
      <x:c r="A281" s="1" t="str">
        <x:v>Hybrid</x:v>
      </x:c>
      <x:c r="B281" s="1" t="str">
        <x:v>Business Plus</x:v>
      </x:c>
      <x:c r="C281" s="1" t="str">
        <x:v>標準+高位混在</x:v>
      </x:c>
      <x:c r="D281" s="21" t="n">
        <x:v>0.4</x:v>
      </x:c>
      <x:c r="E281" s="1" t="n">
        <x:v>0</x:v>
      </x:c>
      <x:c r="F281" s="7" t="n">
        <x:f>AD281*'損益分岐設定'!$B$5+AE281*'損益分岐設定'!$B$6+AF281*'損益分岐設定'!$B$7</x:f>
        <x:v>8000</x:v>
      </x:c>
      <x:c r="G281" s="7" t="n">
        <x:f>AG281+(AH281+AI281)*('損益分岐設定'!$B$29+0.5*'損益分岐設定'!$B$30)+AK281*'損益分岐設定'!$B$33</x:f>
        <x:v>5769.813972349879</x:v>
      </x:c>
      <x:c r="H281" s="7" t="n">
        <x:f>AL281*E281</x:f>
        <x:v>0</x:v>
      </x:c>
      <x:c r="I281" s="7" t="n">
        <x:f>F281*(1-D281-'損益分岐設定'!$B$10)-G281-H281</x:f>
        <x:v>-1257.813972349879</x:v>
      </x:c>
      <x:c r="J281" s="1" t="str">
        <x:f>IF(MIN(V281:Y281)&gt;1000,"範囲内なし",MIN(V281:Y281))</x:f>
        <x:v>範囲内なし</x:v>
      </x:c>
      <x:c r="K281" s="1" t="str">
        <x:f>IF(MAX(Z281:AC281)&gt;=1000,"範囲内なし",MAX(1,MAX(Z281:AC281)+1))</x:f>
        <x:v>範囲内なし</x:v>
      </x:c>
      <x:c r="L281" s="7" t="n">
        <x:f>10*I281-R281</x:f>
        <x:v>-48017.936413804106</x:v>
      </x:c>
      <x:c r="M281" s="7" t="n">
        <x:f>30*I281-S281</x:f>
        <x:v>-88114.01255110701</x:v>
      </x:c>
      <x:c r="N281" s="7" t="n">
        <x:f>50*I281-S281</x:f>
        <x:v>-113270.29199810457</x:v>
      </x:c>
      <x:c r="O281" s="7" t="n">
        <x:f>100*I281-S281</x:f>
        <x:v>-176160.9906155985</x:v>
      </x:c>
      <x:c r="P281" s="7" t="n">
        <x:f>300*I281-T281</x:f>
        <x:v>-481043.1751564903</x:v>
      </x:c>
      <x:c r="Q281" s="7" t="n">
        <x:f>1000*I281-U281</x:f>
        <x:v>-1433272.1425626269</x:v>
      </x:c>
      <x:c r="R281" s="7" t="n">
        <x:f>'損益分岐設定'!$B$18+'損益分岐設定'!$B$19+'損益分岐設定'!$B$20+'損益分岐設定'!E37+'損益分岐設定'!D37+AM281*('損益分岐設定'!$B$15+'損益分岐設定'!$B$16)+'損益分岐設定'!$B$17+E281*('損益分岐設定'!$B$13+(AM281-1)*'損益分岐設定'!$B$14)*'損益分岐設定'!$B$11</x:f>
        <x:v>35439.79669030532</x:v>
      </x:c>
      <x:c r="S281" s="7" t="n">
        <x:f>'損益分岐設定'!$B$18+'損益分岐設定'!$B$19+'損益分岐設定'!$B$20+'損益分岐設定'!E38+'損益分岐設定'!D38+AN281*('損益分岐設定'!$B$15+'損益分岐設定'!$B$16)+'損益分岐設定'!$B$17+E281*('損益分岐設定'!$B$13+(AN281-1)*'損益分岐設定'!$B$14)*'損益分岐設定'!$B$11</x:f>
        <x:v>50379.59338061063</x:v>
      </x:c>
      <x:c r="T281" s="7" t="n">
        <x:f>'損益分岐設定'!$B$18+'損益分岐設定'!$B$19+'損益分岐設定'!$B$20+'損益分岐設定'!E39+'損益分岐設定'!D39+AO281*('損益分岐設定'!$B$15+'損益分岐設定'!$B$16)+'損益分岐設定'!$B$17+E281*('損益分岐設定'!$B$13+(AO281-1)*'損益分岐設定'!$B$14)*'損益分岐設定'!$B$11</x:f>
        <x:v>103698.98345152658</x:v>
      </x:c>
      <x:c r="U281" s="7" t="n">
        <x:f>'損益分岐設定'!$B$18+'損益分岐設定'!$B$19+'損益分岐設定'!$B$20+'損益分岐設定'!E40+'損益分岐設定'!D40+AP281*('損益分岐設定'!$B$15+'損益分岐設定'!$B$16)+'損益分岐設定'!$B$17+E281*('損益分岐設定'!$B$13+(AP281-1)*'損益分岐設定'!$B$14)*'損益分岐設定'!$B$11</x:f>
        <x:v>175458.17021274788</x:v>
      </x:c>
      <x:c r="V281" s="1" t="n">
        <x:f>IF(I281&lt;=0,1001,IF(MAX('損益分岐設定'!B37,ROUNDUP(R281/I281,0))&lt;='損益分岐設定'!C37,MAX('損益分岐設定'!B37,ROUNDUP(R281/I281,0)),1001))</x:f>
        <x:v>1001</x:v>
      </x:c>
      <x:c r="W281" s="1" t="n">
        <x:f>IF(I281&lt;=0,1001,IF(MAX('損益分岐設定'!B38,ROUNDUP(S281/I281,0))&lt;='損益分岐設定'!C38,MAX('損益分岐設定'!B38,ROUNDUP(S281/I281,0)),1001))</x:f>
        <x:v>1001</x:v>
      </x:c>
      <x:c r="X281" s="1" t="n">
        <x:f>IF(I281&lt;=0,1001,IF(MAX('損益分岐設定'!B39,ROUNDUP(T281/I281,0))&lt;='損益分岐設定'!C39,MAX('損益分岐設定'!B39,ROUNDUP(T281/I281,0)),1001))</x:f>
        <x:v>1001</x:v>
      </x:c>
      <x:c r="Y281" s="1" t="n">
        <x:f>IF(I281&lt;=0,1001,IF(MAX('損益分岐設定'!B40,ROUNDUP(U281/I281,0))&lt;='損益分岐設定'!C40,MAX('損益分岐設定'!B40,ROUNDUP(U281/I281,0)),1001))</x:f>
        <x:v>1001</x:v>
      </x:c>
      <x:c r="Z281" s="1" t="n">
        <x:f>IF(I281&lt;=0,'損益分岐設定'!C37,IF('損益分岐設定'!C37*I281-R281&lt;0,'損益分岐設定'!C37,IF('損益分岐設定'!B37*I281-R281&gt;=0,0,ROUNDUP(R281/I281,0)-1)))</x:f>
        <x:v>10</x:v>
      </x:c>
      <x:c r="AA281" s="1" t="n">
        <x:f>IF(I281&lt;=0,'損益分岐設定'!C38,IF('損益分岐設定'!C38*I281-S281&lt;0,'損益分岐設定'!C38,IF('損益分岐設定'!B38*I281-S281&gt;=0,0,ROUNDUP(S281/I281,0)-1)))</x:f>
        <x:v>100</x:v>
      </x:c>
      <x:c r="AB281" s="1" t="n">
        <x:f>IF(I281&lt;=0,'損益分岐設定'!C39,IF('損益分岐設定'!C39*I281-T281&lt;0,'損益分岐設定'!C39,IF('損益分岐設定'!B39*I281-T281&gt;=0,0,ROUNDUP(T281/I281,0)-1)))</x:f>
        <x:v>500</x:v>
      </x:c>
      <x:c r="AC281" s="1" t="n">
        <x:f>IF(I281&lt;=0,'損益分岐設定'!C40,IF('損益分岐設定'!C40*I281-U281&lt;0,'損益分岐設定'!C40,IF('損益分岐設定'!B40*I281-U281&gt;=0,0,ROUNDUP(U281/I281,0)-1)))</x:f>
        <x:v>1000</x:v>
      </x:c>
      <x:c r="AD281" s="1" t="n">
        <x:v>0</x:v>
      </x:c>
      <x:c r="AE281" s="1" t="n">
        <x:v>0</x:v>
      </x:c>
      <x:c r="AF281" s="1" t="n">
        <x:v>1</x:v>
      </x:c>
      <x:c r="AG281" s="1" t="n">
        <x:f>AD281*('損益分岐設定'!$C$57*(1-'損益分岐設定'!$B$51)+'損益分岐設定'!$C$58*'損益分岐設定'!$B$51)+AE281*('損益分岐設定'!$C$60*(1-'損益分岐設定'!$B$51)+'損益分岐設定'!$C$61*'損益分岐設定'!$B$51)+AF281*('損益分岐設定'!$C$63*(1-'損益分岐設定'!$B$51)+'損益分岐設定'!$C$64*'損益分岐設定'!$B$51)</x:f>
        <x:v>5765.522041015625</x:v>
      </x:c>
      <x:c r="AH281" s="1" t="n">
        <x:f>AD281*('損益分岐設定'!$D$57*(1-'損益分岐設定'!$B$51)+'損益分岐設定'!$D$58*'損益分岐設定'!$B$51)+AE281*('損益分岐設定'!$D$60*(1-'損益分岐設定'!$B$51)+'損益分岐設定'!$D$61*'損益分岐設定'!$B$51)+AF281*('損益分岐設定'!$D$63*(1-'損益分岐設定'!$B$51)+'損益分岐設定'!$D$64*'損益分岐設定'!$B$51)</x:f>
        <x:v>480</x:v>
      </x:c>
      <x:c r="AI281" s="1" t="n">
        <x:f>AD281*('損益分岐設定'!$E$57*(1-'損益分岐設定'!$B$51)+'損益分岐設定'!$E$58*'損益分岐設定'!$B$51)+AE281*('損益分岐設定'!$E$60*(1-'損益分岐設定'!$B$51)+'損益分岐設定'!$E$61*'損益分岐設定'!$B$51)+AF281*('損益分岐設定'!$E$63*(1-'損益分岐設定'!$B$51)+'損益分岐設定'!$E$64*'損益分岐設定'!$B$51)</x:f>
        <x:v>560</x:v>
      </x:c>
      <x:c r="AJ281" s="1" t="n">
        <x:f>(AD281*('損益分岐設定'!$F$57*(1-'損益分岐設定'!$B$51)+'損益分岐設定'!$F$58*'損益分岐設定'!$B$51)+AE281*('損益分岐設定'!$F$60*(1-'損益分岐設定'!$B$51)+'損益分岐設定'!$F$61*'損益分岐設定'!$B$51)+AF281*('損益分岐設定'!$F$63*(1-'損益分岐設定'!$B$51)+'損益分岐設定'!$F$64*'損益分岐設定'!$B$51)*1)*'損益分岐設定'!$B$22</x:f>
        <x:v>4560</x:v>
      </x:c>
      <x:c r="AK281" s="1" t="n">
        <x:f>AD281*('損益分岐設定'!$G$57*(1-'損益分岐設定'!$B$51)+'損益分岐設定'!$G$58*'損益分岐設定'!$B$51)+AE281*('損益分岐設定'!$G$60*(1-'損益分岐設定'!$B$51)+'損益分岐設定'!$G$61*'損益分岐設定'!$B$51)+AF281*('損益分岐設定'!$G$63*(1-'損益分岐設定'!$B$51)+'損益分岐設定'!$G$64*'損益分岐設定'!$B$51)</x:f>
        <x:v>4000</x:v>
      </x:c>
      <x:c r="AL281" s="1" t="n">
        <x:f>AD281*('損益分岐設定'!$H$57*(1-'損益分岐設定'!$B$51)+'損益分岐設定'!$H$58*'損益分岐設定'!$B$51)+AE281*('損益分岐設定'!$H$60*(1-'損益分岐設定'!$B$51)+'損益分岐設定'!$H$61*'損益分岐設定'!$B$51)+AF281*('損益分岐設定'!$H$63*(1-'損益分岐設定'!$B$51)+'損益分岐設定'!$H$64*'損益分岐設定'!$B$51)</x:f>
        <x:v>1026.666666666667</x:v>
      </x:c>
      <x:c r="AM281" s="1" t="n">
        <x:f>MAX(1,ROUNDUP('損益分岐設定'!C37*AJ281/('損益分岐設定'!$B$23*'損益分岐設定'!$B$24*3600*'損益分岐設定'!$B$25),0))</x:f>
        <x:v>1</x:v>
      </x:c>
      <x:c r="AN281" s="1" t="n">
        <x:f>MAX(2,ROUNDUP('損益分岐設定'!C38*AJ281/('損益分岐設定'!$B$23*'損益分岐設定'!$B$24*3600*'損益分岐設定'!$B$25),0))</x:f>
        <x:v>2</x:v>
      </x:c>
      <x:c r="AO281" s="1" t="n">
        <x:f>MAX(2,ROUNDUP('損益分岐設定'!C39*AJ281/('損益分岐設定'!$B$23*'損益分岐設定'!$B$24*3600*'損益分岐設定'!$B$25),0))</x:f>
        <x:v>5</x:v>
      </x:c>
      <x:c r="AP281" s="1" t="n">
        <x:f>MAX(2,ROUNDUP('損益分岐設定'!C40*AJ281/('損益分岐設定'!$B$23*'損益分岐設定'!$B$24*3600*'損益分岐設定'!$B$25),0))</x:f>
        <x:v>9</x:v>
      </x:c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 ht="23" customHeight="1">
      <x:c r="A282" s="1" t="str">
        <x:v>Hybrid</x:v>
      </x:c>
      <x:c r="B282" s="1" t="str">
        <x:v>Business Plus</x:v>
      </x:c>
      <x:c r="C282" s="1" t="str">
        <x:v>標準+高位混在</x:v>
      </x:c>
      <x:c r="D282" s="21" t="n">
        <x:v>0.4</x:v>
      </x:c>
      <x:c r="E282" s="1" t="n">
        <x:v>1</x:v>
      </x:c>
      <x:c r="F282" s="7" t="n">
        <x:f>AD282*'損益分岐設定'!$B$5+AE282*'損益分岐設定'!$B$6+AF282*'損益分岐設定'!$B$7</x:f>
        <x:v>8000</x:v>
      </x:c>
      <x:c r="G282" s="7" t="n">
        <x:f>AG282+(AH282+AI282)*('損益分岐設定'!$B$29+0.5*'損益分岐設定'!$B$30)+AK282*'損益分岐設定'!$B$33</x:f>
        <x:v>5769.813972349879</x:v>
      </x:c>
      <x:c r="H282" s="7" t="n">
        <x:f>AL282*E282</x:f>
        <x:v>1026.666666666667</x:v>
      </x:c>
      <x:c r="I282" s="7" t="n">
        <x:f>F282*(1-D282-'損益分岐設定'!$B$10)-G282-H282</x:f>
        <x:v>-2284.480639016546</x:v>
      </x:c>
      <x:c r="J282" s="1" t="str">
        <x:f>IF(MIN(V282:Y282)&gt;1000,"範囲内なし",MIN(V282:Y282))</x:f>
        <x:v>範囲内なし</x:v>
      </x:c>
      <x:c r="K282" s="1" t="str">
        <x:f>IF(MAX(Z282:AC282)&gt;=1000,"範囲内なし",MAX(1,MAX(Z282:AC282)+1))</x:f>
        <x:v>範囲内なし</x:v>
      </x:c>
      <x:c r="L282" s="7" t="n">
        <x:f>10*I282-R282</x:f>
        <x:v>-74284.60308047078</x:v>
      </x:c>
      <x:c r="M282" s="7" t="n">
        <x:f>30*I282-S282</x:f>
        <x:v>-136914.012551107</x:v>
      </x:c>
      <x:c r="N282" s="7" t="n">
        <x:f>50*I282-S282</x:f>
        <x:v>-182603.6253314379</x:v>
      </x:c>
      <x:c r="O282" s="7" t="n">
        <x:f>100*I282-S282</x:f>
        <x:v>-296827.65728226525</x:v>
      </x:c>
      <x:c r="P282" s="7" t="n">
        <x:f>300*I282-T282</x:f>
        <x:v>-813043.1751564904</x:v>
      </x:c>
      <x:c r="Q282" s="7" t="n">
        <x:f>1000*I282-U282</x:f>
        <x:v>-2491938.809229294</x:v>
      </x:c>
      <x:c r="R282" s="7" t="n">
        <x:f>'損益分岐設定'!$B$18+'損益分岐設定'!$B$19+'損益分岐設定'!$B$20+'損益分岐設定'!E37+'損益分岐設定'!D37+AM282*('損益分岐設定'!$B$15+'損益分岐設定'!$B$16)+'損益分岐設定'!$B$17+E282*('損益分岐設定'!$B$13+(AM282-1)*'損益分岐設定'!$B$14)*'損益分岐設定'!$B$11</x:f>
        <x:v>51439.79669030532</x:v>
      </x:c>
      <x:c r="S282" s="7" t="n">
        <x:f>'損益分岐設定'!$B$18+'損益分岐設定'!$B$19+'損益分岐設定'!$B$20+'損益分岐設定'!E38+'損益分岐設定'!D38+AN282*('損益分岐設定'!$B$15+'損益分岐設定'!$B$16)+'損益分岐設定'!$B$17+E282*('損益分岐設定'!$B$13+(AN282-1)*'損益分岐設定'!$B$14)*'損益分岐設定'!$B$11</x:f>
        <x:v>68379.59338061063</x:v>
      </x:c>
      <x:c r="T282" s="7" t="n">
        <x:f>'損益分岐設定'!$B$18+'損益分岐設定'!$B$19+'損益分岐設定'!$B$20+'損益分岐設定'!E39+'損益分岐設定'!D39+AO282*('損益分岐設定'!$B$15+'損益分岐設定'!$B$16)+'損益分岐設定'!$B$17+E282*('損益分岐設定'!$B$13+(AO282-1)*'損益分岐設定'!$B$14)*'損益分岐設定'!$B$11</x:f>
        <x:v>127698.98345152658</x:v>
      </x:c>
      <x:c r="U282" s="7" t="n">
        <x:f>'損益分岐設定'!$B$18+'損益分岐設定'!$B$19+'損益分岐設定'!$B$20+'損益分岐設定'!E40+'損益分岐設定'!D40+AP282*('損益分岐設定'!$B$15+'損益分岐設定'!$B$16)+'損益分岐設定'!$B$17+E282*('損益分岐設定'!$B$13+(AP282-1)*'損益分岐設定'!$B$14)*'損益分岐設定'!$B$11</x:f>
        <x:v>207458.17021274788</x:v>
      </x:c>
      <x:c r="V282" s="1" t="n">
        <x:f>IF(I282&lt;=0,1001,IF(MAX('損益分岐設定'!B37,ROUNDUP(R282/I282,0))&lt;='損益分岐設定'!C37,MAX('損益分岐設定'!B37,ROUNDUP(R282/I282,0)),1001))</x:f>
        <x:v>1001</x:v>
      </x:c>
      <x:c r="W282" s="1" t="n">
        <x:f>IF(I282&lt;=0,1001,IF(MAX('損益分岐設定'!B38,ROUNDUP(S282/I282,0))&lt;='損益分岐設定'!C38,MAX('損益分岐設定'!B38,ROUNDUP(S282/I282,0)),1001))</x:f>
        <x:v>1001</x:v>
      </x:c>
      <x:c r="X282" s="1" t="n">
        <x:f>IF(I282&lt;=0,1001,IF(MAX('損益分岐設定'!B39,ROUNDUP(T282/I282,0))&lt;='損益分岐設定'!C39,MAX('損益分岐設定'!B39,ROUNDUP(T282/I282,0)),1001))</x:f>
        <x:v>1001</x:v>
      </x:c>
      <x:c r="Y282" s="1" t="n">
        <x:f>IF(I282&lt;=0,1001,IF(MAX('損益分岐設定'!B40,ROUNDUP(U282/I282,0))&lt;='損益分岐設定'!C40,MAX('損益分岐設定'!B40,ROUNDUP(U282/I282,0)),1001))</x:f>
        <x:v>1001</x:v>
      </x:c>
      <x:c r="Z282" s="1" t="n">
        <x:f>IF(I282&lt;=0,'損益分岐設定'!C37,IF('損益分岐設定'!C37*I282-R282&lt;0,'損益分岐設定'!C37,IF('損益分岐設定'!B37*I282-R282&gt;=0,0,ROUNDUP(R282/I282,0)-1)))</x:f>
        <x:v>10</x:v>
      </x:c>
      <x:c r="AA282" s="1" t="n">
        <x:f>IF(I282&lt;=0,'損益分岐設定'!C38,IF('損益分岐設定'!C38*I282-S282&lt;0,'損益分岐設定'!C38,IF('損益分岐設定'!B38*I282-S282&gt;=0,0,ROUNDUP(S282/I282,0)-1)))</x:f>
        <x:v>100</x:v>
      </x:c>
      <x:c r="AB282" s="1" t="n">
        <x:f>IF(I282&lt;=0,'損益分岐設定'!C39,IF('損益分岐設定'!C39*I282-T282&lt;0,'損益分岐設定'!C39,IF('損益分岐設定'!B39*I282-T282&gt;=0,0,ROUNDUP(T282/I282,0)-1)))</x:f>
        <x:v>500</x:v>
      </x:c>
      <x:c r="AC282" s="1" t="n">
        <x:f>IF(I282&lt;=0,'損益分岐設定'!C40,IF('損益分岐設定'!C40*I282-U282&lt;0,'損益分岐設定'!C40,IF('損益分岐設定'!B40*I282-U282&gt;=0,0,ROUNDUP(U282/I282,0)-1)))</x:f>
        <x:v>1000</x:v>
      </x:c>
      <x:c r="AD282" s="1" t="n">
        <x:v>0</x:v>
      </x:c>
      <x:c r="AE282" s="1" t="n">
        <x:v>0</x:v>
      </x:c>
      <x:c r="AF282" s="1" t="n">
        <x:v>1</x:v>
      </x:c>
      <x:c r="AG282" s="1" t="n">
        <x:f>AD282*('損益分岐設定'!$C$57*(1-'損益分岐設定'!$B$51)+'損益分岐設定'!$C$58*'損益分岐設定'!$B$51)+AE282*('損益分岐設定'!$C$60*(1-'損益分岐設定'!$B$51)+'損益分岐設定'!$C$61*'損益分岐設定'!$B$51)+AF282*('損益分岐設定'!$C$63*(1-'損益分岐設定'!$B$51)+'損益分岐設定'!$C$64*'損益分岐設定'!$B$51)</x:f>
        <x:v>5765.522041015625</x:v>
      </x:c>
      <x:c r="AH282" s="1" t="n">
        <x:f>AD282*('損益分岐設定'!$D$57*(1-'損益分岐設定'!$B$51)+'損益分岐設定'!$D$58*'損益分岐設定'!$B$51)+AE282*('損益分岐設定'!$D$60*(1-'損益分岐設定'!$B$51)+'損益分岐設定'!$D$61*'損益分岐設定'!$B$51)+AF282*('損益分岐設定'!$D$63*(1-'損益分岐設定'!$B$51)+'損益分岐設定'!$D$64*'損益分岐設定'!$B$51)</x:f>
        <x:v>480</x:v>
      </x:c>
      <x:c r="AI282" s="1" t="n">
        <x:f>AD282*('損益分岐設定'!$E$57*(1-'損益分岐設定'!$B$51)+'損益分岐設定'!$E$58*'損益分岐設定'!$B$51)+AE282*('損益分岐設定'!$E$60*(1-'損益分岐設定'!$B$51)+'損益分岐設定'!$E$61*'損益分岐設定'!$B$51)+AF282*('損益分岐設定'!$E$63*(1-'損益分岐設定'!$B$51)+'損益分岐設定'!$E$64*'損益分岐設定'!$B$51)</x:f>
        <x:v>560</x:v>
      </x:c>
      <x:c r="AJ282" s="1" t="n">
        <x:f>(AD282*('損益分岐設定'!$F$57*(1-'損益分岐設定'!$B$51)+'損益分岐設定'!$F$58*'損益分岐設定'!$B$51)+AE282*('損益分岐設定'!$F$60*(1-'損益分岐設定'!$B$51)+'損益分岐設定'!$F$61*'損益分岐設定'!$B$51)+AF282*('損益分岐設定'!$F$63*(1-'損益分岐設定'!$B$51)+'損益分岐設定'!$F$64*'損益分岐設定'!$B$51)*1)*'損益分岐設定'!$B$22</x:f>
        <x:v>4560</x:v>
      </x:c>
      <x:c r="AK282" s="1" t="n">
        <x:f>AD282*('損益分岐設定'!$G$57*(1-'損益分岐設定'!$B$51)+'損益分岐設定'!$G$58*'損益分岐設定'!$B$51)+AE282*('損益分岐設定'!$G$60*(1-'損益分岐設定'!$B$51)+'損益分岐設定'!$G$61*'損益分岐設定'!$B$51)+AF282*('損益分岐設定'!$G$63*(1-'損益分岐設定'!$B$51)+'損益分岐設定'!$G$64*'損益分岐設定'!$B$51)</x:f>
        <x:v>4000</x:v>
      </x:c>
      <x:c r="AL282" s="1" t="n">
        <x:f>AD282*('損益分岐設定'!$H$57*(1-'損益分岐設定'!$B$51)+'損益分岐設定'!$H$58*'損益分岐設定'!$B$51)+AE282*('損益分岐設定'!$H$60*(1-'損益分岐設定'!$B$51)+'損益分岐設定'!$H$61*'損益分岐設定'!$B$51)+AF282*('損益分岐設定'!$H$63*(1-'損益分岐設定'!$B$51)+'損益分岐設定'!$H$64*'損益分岐設定'!$B$51)</x:f>
        <x:v>1026.666666666667</x:v>
      </x:c>
      <x:c r="AM282" s="1" t="n">
        <x:f>MAX(1,ROUNDUP('損益分岐設定'!C37*AJ282/('損益分岐設定'!$B$23*'損益分岐設定'!$B$24*3600*'損益分岐設定'!$B$25),0))</x:f>
        <x:v>1</x:v>
      </x:c>
      <x:c r="AN282" s="1" t="n">
        <x:f>MAX(2,ROUNDUP('損益分岐設定'!C38*AJ282/('損益分岐設定'!$B$23*'損益分岐設定'!$B$24*3600*'損益分岐設定'!$B$25),0))</x:f>
        <x:v>2</x:v>
      </x:c>
      <x:c r="AO282" s="1" t="n">
        <x:f>MAX(2,ROUNDUP('損益分岐設定'!C39*AJ282/('損益分岐設定'!$B$23*'損益分岐設定'!$B$24*3600*'損益分岐設定'!$B$25),0))</x:f>
        <x:v>5</x:v>
      </x:c>
      <x:c r="AP282" s="1" t="n">
        <x:f>MAX(2,ROUNDUP('損益分岐設定'!C40*AJ282/('損益分岐設定'!$B$23*'損益分岐設定'!$B$24*3600*'損益分岐設定'!$B$25),0))</x:f>
        <x:v>9</x:v>
      </x:c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 ht="23" customHeight="1">
      <x:c r="A283" s="1" t="str">
        <x:v>Hybrid</x:v>
      </x:c>
      <x:c r="B283" s="1" t="str">
        <x:v>Business Plus</x:v>
      </x:c>
      <x:c r="C283" s="1" t="str">
        <x:v>標準+高位混在</x:v>
      </x:c>
      <x:c r="D283" s="21" t="n">
        <x:v>0.5</x:v>
      </x:c>
      <x:c r="E283" s="1" t="n">
        <x:v>0</x:v>
      </x:c>
      <x:c r="F283" s="7" t="n">
        <x:f>AD283*'損益分岐設定'!$B$5+AE283*'損益分岐設定'!$B$6+AF283*'損益分岐設定'!$B$7</x:f>
        <x:v>8000</x:v>
      </x:c>
      <x:c r="G283" s="7" t="n">
        <x:f>AG283+(AH283+AI283)*('損益分岐設定'!$B$29+0.5*'損益分岐設定'!$B$30)+AK283*'損益分岐設定'!$B$33</x:f>
        <x:v>5769.813972349879</x:v>
      </x:c>
      <x:c r="H283" s="7" t="n">
        <x:f>AL283*E283</x:f>
        <x:v>0</x:v>
      </x:c>
      <x:c r="I283" s="7" t="n">
        <x:f>F283*(1-D283-'損益分岐設定'!$B$10)-G283-H283</x:f>
        <x:v>-2057.813972349879</x:v>
      </x:c>
      <x:c r="J283" s="1" t="str">
        <x:f>IF(MIN(V283:Y283)&gt;1000,"範囲内なし",MIN(V283:Y283))</x:f>
        <x:v>範囲内なし</x:v>
      </x:c>
      <x:c r="K283" s="1" t="str">
        <x:f>IF(MAX(Z283:AC283)&gt;=1000,"範囲内なし",MAX(1,MAX(Z283:AC283)+1))</x:f>
        <x:v>範囲内なし</x:v>
      </x:c>
      <x:c r="L283" s="7" t="n">
        <x:f>10*I283-R283</x:f>
        <x:v>-56017.936413804106</x:v>
      </x:c>
      <x:c r="M283" s="7" t="n">
        <x:f>30*I283-S283</x:f>
        <x:v>-112114.01255110701</x:v>
      </x:c>
      <x:c r="N283" s="7" t="n">
        <x:f>50*I283-S283</x:f>
        <x:v>-153270.29199810457</x:v>
      </x:c>
      <x:c r="O283" s="7" t="n">
        <x:f>100*I283-S283</x:f>
        <x:v>-256160.9906155985</x:v>
      </x:c>
      <x:c r="P283" s="7" t="n">
        <x:f>300*I283-T283</x:f>
        <x:v>-721043.1751564903</x:v>
      </x:c>
      <x:c r="Q283" s="7" t="n">
        <x:f>1000*I283-U283</x:f>
        <x:v>-2233272.142562627</x:v>
      </x:c>
      <x:c r="R283" s="7" t="n">
        <x:f>'損益分岐設定'!$B$18+'損益分岐設定'!$B$19+'損益分岐設定'!$B$20+'損益分岐設定'!E37+'損益分岐設定'!D37+AM283*('損益分岐設定'!$B$15+'損益分岐設定'!$B$16)+'損益分岐設定'!$B$17+E283*('損益分岐設定'!$B$13+(AM283-1)*'損益分岐設定'!$B$14)*'損益分岐設定'!$B$11</x:f>
        <x:v>35439.79669030532</x:v>
      </x:c>
      <x:c r="S283" s="7" t="n">
        <x:f>'損益分岐設定'!$B$18+'損益分岐設定'!$B$19+'損益分岐設定'!$B$20+'損益分岐設定'!E38+'損益分岐設定'!D38+AN283*('損益分岐設定'!$B$15+'損益分岐設定'!$B$16)+'損益分岐設定'!$B$17+E283*('損益分岐設定'!$B$13+(AN283-1)*'損益分岐設定'!$B$14)*'損益分岐設定'!$B$11</x:f>
        <x:v>50379.59338061063</x:v>
      </x:c>
      <x:c r="T283" s="7" t="n">
        <x:f>'損益分岐設定'!$B$18+'損益分岐設定'!$B$19+'損益分岐設定'!$B$20+'損益分岐設定'!E39+'損益分岐設定'!D39+AO283*('損益分岐設定'!$B$15+'損益分岐設定'!$B$16)+'損益分岐設定'!$B$17+E283*('損益分岐設定'!$B$13+(AO283-1)*'損益分岐設定'!$B$14)*'損益分岐設定'!$B$11</x:f>
        <x:v>103698.98345152658</x:v>
      </x:c>
      <x:c r="U283" s="7" t="n">
        <x:f>'損益分岐設定'!$B$18+'損益分岐設定'!$B$19+'損益分岐設定'!$B$20+'損益分岐設定'!E40+'損益分岐設定'!D40+AP283*('損益分岐設定'!$B$15+'損益分岐設定'!$B$16)+'損益分岐設定'!$B$17+E283*('損益分岐設定'!$B$13+(AP283-1)*'損益分岐設定'!$B$14)*'損益分岐設定'!$B$11</x:f>
        <x:v>175458.17021274788</x:v>
      </x:c>
      <x:c r="V283" s="1" t="n">
        <x:f>IF(I283&lt;=0,1001,IF(MAX('損益分岐設定'!B37,ROUNDUP(R283/I283,0))&lt;='損益分岐設定'!C37,MAX('損益分岐設定'!B37,ROUNDUP(R283/I283,0)),1001))</x:f>
        <x:v>1001</x:v>
      </x:c>
      <x:c r="W283" s="1" t="n">
        <x:f>IF(I283&lt;=0,1001,IF(MAX('損益分岐設定'!B38,ROUNDUP(S283/I283,0))&lt;='損益分岐設定'!C38,MAX('損益分岐設定'!B38,ROUNDUP(S283/I283,0)),1001))</x:f>
        <x:v>1001</x:v>
      </x:c>
      <x:c r="X283" s="1" t="n">
        <x:f>IF(I283&lt;=0,1001,IF(MAX('損益分岐設定'!B39,ROUNDUP(T283/I283,0))&lt;='損益分岐設定'!C39,MAX('損益分岐設定'!B39,ROUNDUP(T283/I283,0)),1001))</x:f>
        <x:v>1001</x:v>
      </x:c>
      <x:c r="Y283" s="1" t="n">
        <x:f>IF(I283&lt;=0,1001,IF(MAX('損益分岐設定'!B40,ROUNDUP(U283/I283,0))&lt;='損益分岐設定'!C40,MAX('損益分岐設定'!B40,ROUNDUP(U283/I283,0)),1001))</x:f>
        <x:v>1001</x:v>
      </x:c>
      <x:c r="Z283" s="1" t="n">
        <x:f>IF(I283&lt;=0,'損益分岐設定'!C37,IF('損益分岐設定'!C37*I283-R283&lt;0,'損益分岐設定'!C37,IF('損益分岐設定'!B37*I283-R283&gt;=0,0,ROUNDUP(R283/I283,0)-1)))</x:f>
        <x:v>10</x:v>
      </x:c>
      <x:c r="AA283" s="1" t="n">
        <x:f>IF(I283&lt;=0,'損益分岐設定'!C38,IF('損益分岐設定'!C38*I283-S283&lt;0,'損益分岐設定'!C38,IF('損益分岐設定'!B38*I283-S283&gt;=0,0,ROUNDUP(S283/I283,0)-1)))</x:f>
        <x:v>100</x:v>
      </x:c>
      <x:c r="AB283" s="1" t="n">
        <x:f>IF(I283&lt;=0,'損益分岐設定'!C39,IF('損益分岐設定'!C39*I283-T283&lt;0,'損益分岐設定'!C39,IF('損益分岐設定'!B39*I283-T283&gt;=0,0,ROUNDUP(T283/I283,0)-1)))</x:f>
        <x:v>500</x:v>
      </x:c>
      <x:c r="AC283" s="1" t="n">
        <x:f>IF(I283&lt;=0,'損益分岐設定'!C40,IF('損益分岐設定'!C40*I283-U283&lt;0,'損益分岐設定'!C40,IF('損益分岐設定'!B40*I283-U283&gt;=0,0,ROUNDUP(U283/I283,0)-1)))</x:f>
        <x:v>1000</x:v>
      </x:c>
      <x:c r="AD283" s="1" t="n">
        <x:v>0</x:v>
      </x:c>
      <x:c r="AE283" s="1" t="n">
        <x:v>0</x:v>
      </x:c>
      <x:c r="AF283" s="1" t="n">
        <x:v>1</x:v>
      </x:c>
      <x:c r="AG283" s="1" t="n">
        <x:f>AD283*('損益分岐設定'!$C$57*(1-'損益分岐設定'!$B$51)+'損益分岐設定'!$C$58*'損益分岐設定'!$B$51)+AE283*('損益分岐設定'!$C$60*(1-'損益分岐設定'!$B$51)+'損益分岐設定'!$C$61*'損益分岐設定'!$B$51)+AF283*('損益分岐設定'!$C$63*(1-'損益分岐設定'!$B$51)+'損益分岐設定'!$C$64*'損益分岐設定'!$B$51)</x:f>
        <x:v>5765.522041015625</x:v>
      </x:c>
      <x:c r="AH283" s="1" t="n">
        <x:f>AD283*('損益分岐設定'!$D$57*(1-'損益分岐設定'!$B$51)+'損益分岐設定'!$D$58*'損益分岐設定'!$B$51)+AE283*('損益分岐設定'!$D$60*(1-'損益分岐設定'!$B$51)+'損益分岐設定'!$D$61*'損益分岐設定'!$B$51)+AF283*('損益分岐設定'!$D$63*(1-'損益分岐設定'!$B$51)+'損益分岐設定'!$D$64*'損益分岐設定'!$B$51)</x:f>
        <x:v>480</x:v>
      </x:c>
      <x:c r="AI283" s="1" t="n">
        <x:f>AD283*('損益分岐設定'!$E$57*(1-'損益分岐設定'!$B$51)+'損益分岐設定'!$E$58*'損益分岐設定'!$B$51)+AE283*('損益分岐設定'!$E$60*(1-'損益分岐設定'!$B$51)+'損益分岐設定'!$E$61*'損益分岐設定'!$B$51)+AF283*('損益分岐設定'!$E$63*(1-'損益分岐設定'!$B$51)+'損益分岐設定'!$E$64*'損益分岐設定'!$B$51)</x:f>
        <x:v>560</x:v>
      </x:c>
      <x:c r="AJ283" s="1" t="n">
        <x:f>(AD283*('損益分岐設定'!$F$57*(1-'損益分岐設定'!$B$51)+'損益分岐設定'!$F$58*'損益分岐設定'!$B$51)+AE283*('損益分岐設定'!$F$60*(1-'損益分岐設定'!$B$51)+'損益分岐設定'!$F$61*'損益分岐設定'!$B$51)+AF283*('損益分岐設定'!$F$63*(1-'損益分岐設定'!$B$51)+'損益分岐設定'!$F$64*'損益分岐設定'!$B$51)*1)*'損益分岐設定'!$B$22</x:f>
        <x:v>4560</x:v>
      </x:c>
      <x:c r="AK283" s="1" t="n">
        <x:f>AD283*('損益分岐設定'!$G$57*(1-'損益分岐設定'!$B$51)+'損益分岐設定'!$G$58*'損益分岐設定'!$B$51)+AE283*('損益分岐設定'!$G$60*(1-'損益分岐設定'!$B$51)+'損益分岐設定'!$G$61*'損益分岐設定'!$B$51)+AF283*('損益分岐設定'!$G$63*(1-'損益分岐設定'!$B$51)+'損益分岐設定'!$G$64*'損益分岐設定'!$B$51)</x:f>
        <x:v>4000</x:v>
      </x:c>
      <x:c r="AL283" s="1" t="n">
        <x:f>AD283*('損益分岐設定'!$H$57*(1-'損益分岐設定'!$B$51)+'損益分岐設定'!$H$58*'損益分岐設定'!$B$51)+AE283*('損益分岐設定'!$H$60*(1-'損益分岐設定'!$B$51)+'損益分岐設定'!$H$61*'損益分岐設定'!$B$51)+AF283*('損益分岐設定'!$H$63*(1-'損益分岐設定'!$B$51)+'損益分岐設定'!$H$64*'損益分岐設定'!$B$51)</x:f>
        <x:v>1026.666666666667</x:v>
      </x:c>
      <x:c r="AM283" s="1" t="n">
        <x:f>MAX(1,ROUNDUP('損益分岐設定'!C37*AJ283/('損益分岐設定'!$B$23*'損益分岐設定'!$B$24*3600*'損益分岐設定'!$B$25),0))</x:f>
        <x:v>1</x:v>
      </x:c>
      <x:c r="AN283" s="1" t="n">
        <x:f>MAX(2,ROUNDUP('損益分岐設定'!C38*AJ283/('損益分岐設定'!$B$23*'損益分岐設定'!$B$24*3600*'損益分岐設定'!$B$25),0))</x:f>
        <x:v>2</x:v>
      </x:c>
      <x:c r="AO283" s="1" t="n">
        <x:f>MAX(2,ROUNDUP('損益分岐設定'!C39*AJ283/('損益分岐設定'!$B$23*'損益分岐設定'!$B$24*3600*'損益分岐設定'!$B$25),0))</x:f>
        <x:v>5</x:v>
      </x:c>
      <x:c r="AP283" s="1" t="n">
        <x:f>MAX(2,ROUNDUP('損益分岐設定'!C40*AJ283/('損益分岐設定'!$B$23*'損益分岐設定'!$B$24*3600*'損益分岐設定'!$B$25),0))</x:f>
        <x:v>9</x:v>
      </x:c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 ht="23" customHeight="1">
      <x:c r="A284" s="1" t="str">
        <x:v>Hybrid</x:v>
      </x:c>
      <x:c r="B284" s="1" t="str">
        <x:v>Business Plus</x:v>
      </x:c>
      <x:c r="C284" s="1" t="str">
        <x:v>標準+高位混在</x:v>
      </x:c>
      <x:c r="D284" s="21" t="n">
        <x:v>0.5</x:v>
      </x:c>
      <x:c r="E284" s="1" t="n">
        <x:v>1</x:v>
      </x:c>
      <x:c r="F284" s="7" t="n">
        <x:f>AD284*'損益分岐設定'!$B$5+AE284*'損益分岐設定'!$B$6+AF284*'損益分岐設定'!$B$7</x:f>
        <x:v>8000</x:v>
      </x:c>
      <x:c r="G284" s="7" t="n">
        <x:f>AG284+(AH284+AI284)*('損益分岐設定'!$B$29+0.5*'損益分岐設定'!$B$30)+AK284*'損益分岐設定'!$B$33</x:f>
        <x:v>5769.813972349879</x:v>
      </x:c>
      <x:c r="H284" s="7" t="n">
        <x:f>AL284*E284</x:f>
        <x:v>1026.666666666667</x:v>
      </x:c>
      <x:c r="I284" s="7" t="n">
        <x:f>F284*(1-D284-'損益分岐設定'!$B$10)-G284-H284</x:f>
        <x:v>-3084.480639016546</x:v>
      </x:c>
      <x:c r="J284" s="1" t="str">
        <x:f>IF(MIN(V284:Y284)&gt;1000,"範囲内なし",MIN(V284:Y284))</x:f>
        <x:v>範囲内なし</x:v>
      </x:c>
      <x:c r="K284" s="1" t="str">
        <x:f>IF(MAX(Z284:AC284)&gt;=1000,"範囲内なし",MAX(1,MAX(Z284:AC284)+1))</x:f>
        <x:v>範囲内なし</x:v>
      </x:c>
      <x:c r="L284" s="7" t="n">
        <x:f>10*I284-R284</x:f>
        <x:v>-82284.60308047078</x:v>
      </x:c>
      <x:c r="M284" s="7" t="n">
        <x:f>30*I284-S284</x:f>
        <x:v>-160914.012551107</x:v>
      </x:c>
      <x:c r="N284" s="7" t="n">
        <x:f>50*I284-S284</x:f>
        <x:v>-222603.6253314379</x:v>
      </x:c>
      <x:c r="O284" s="7" t="n">
        <x:f>100*I284-S284</x:f>
        <x:v>-376827.6572822652</x:v>
      </x:c>
      <x:c r="P284" s="7" t="n">
        <x:f>300*I284-T284</x:f>
        <x:v>-1053043.1751564904</x:v>
      </x:c>
      <x:c r="Q284" s="7" t="n">
        <x:f>1000*I284-U284</x:f>
        <x:v>-3291938.809229294</x:v>
      </x:c>
      <x:c r="R284" s="7" t="n">
        <x:f>'損益分岐設定'!$B$18+'損益分岐設定'!$B$19+'損益分岐設定'!$B$20+'損益分岐設定'!E37+'損益分岐設定'!D37+AM284*('損益分岐設定'!$B$15+'損益分岐設定'!$B$16)+'損益分岐設定'!$B$17+E284*('損益分岐設定'!$B$13+(AM284-1)*'損益分岐設定'!$B$14)*'損益分岐設定'!$B$11</x:f>
        <x:v>51439.79669030532</x:v>
      </x:c>
      <x:c r="S284" s="7" t="n">
        <x:f>'損益分岐設定'!$B$18+'損益分岐設定'!$B$19+'損益分岐設定'!$B$20+'損益分岐設定'!E38+'損益分岐設定'!D38+AN284*('損益分岐設定'!$B$15+'損益分岐設定'!$B$16)+'損益分岐設定'!$B$17+E284*('損益分岐設定'!$B$13+(AN284-1)*'損益分岐設定'!$B$14)*'損益分岐設定'!$B$11</x:f>
        <x:v>68379.59338061063</x:v>
      </x:c>
      <x:c r="T284" s="7" t="n">
        <x:f>'損益分岐設定'!$B$18+'損益分岐設定'!$B$19+'損益分岐設定'!$B$20+'損益分岐設定'!E39+'損益分岐設定'!D39+AO284*('損益分岐設定'!$B$15+'損益分岐設定'!$B$16)+'損益分岐設定'!$B$17+E284*('損益分岐設定'!$B$13+(AO284-1)*'損益分岐設定'!$B$14)*'損益分岐設定'!$B$11</x:f>
        <x:v>127698.98345152658</x:v>
      </x:c>
      <x:c r="U284" s="7" t="n">
        <x:f>'損益分岐設定'!$B$18+'損益分岐設定'!$B$19+'損益分岐設定'!$B$20+'損益分岐設定'!E40+'損益分岐設定'!D40+AP284*('損益分岐設定'!$B$15+'損益分岐設定'!$B$16)+'損益分岐設定'!$B$17+E284*('損益分岐設定'!$B$13+(AP284-1)*'損益分岐設定'!$B$14)*'損益分岐設定'!$B$11</x:f>
        <x:v>207458.17021274788</x:v>
      </x:c>
      <x:c r="V284" s="1" t="n">
        <x:f>IF(I284&lt;=0,1001,IF(MAX('損益分岐設定'!B37,ROUNDUP(R284/I284,0))&lt;='損益分岐設定'!C37,MAX('損益分岐設定'!B37,ROUNDUP(R284/I284,0)),1001))</x:f>
        <x:v>1001</x:v>
      </x:c>
      <x:c r="W284" s="1" t="n">
        <x:f>IF(I284&lt;=0,1001,IF(MAX('損益分岐設定'!B38,ROUNDUP(S284/I284,0))&lt;='損益分岐設定'!C38,MAX('損益分岐設定'!B38,ROUNDUP(S284/I284,0)),1001))</x:f>
        <x:v>1001</x:v>
      </x:c>
      <x:c r="X284" s="1" t="n">
        <x:f>IF(I284&lt;=0,1001,IF(MAX('損益分岐設定'!B39,ROUNDUP(T284/I284,0))&lt;='損益分岐設定'!C39,MAX('損益分岐設定'!B39,ROUNDUP(T284/I284,0)),1001))</x:f>
        <x:v>1001</x:v>
      </x:c>
      <x:c r="Y284" s="1" t="n">
        <x:f>IF(I284&lt;=0,1001,IF(MAX('損益分岐設定'!B40,ROUNDUP(U284/I284,0))&lt;='損益分岐設定'!C40,MAX('損益分岐設定'!B40,ROUNDUP(U284/I284,0)),1001))</x:f>
        <x:v>1001</x:v>
      </x:c>
      <x:c r="Z284" s="1" t="n">
        <x:f>IF(I284&lt;=0,'損益分岐設定'!C37,IF('損益分岐設定'!C37*I284-R284&lt;0,'損益分岐設定'!C37,IF('損益分岐設定'!B37*I284-R284&gt;=0,0,ROUNDUP(R284/I284,0)-1)))</x:f>
        <x:v>10</x:v>
      </x:c>
      <x:c r="AA284" s="1" t="n">
        <x:f>IF(I284&lt;=0,'損益分岐設定'!C38,IF('損益分岐設定'!C38*I284-S284&lt;0,'損益分岐設定'!C38,IF('損益分岐設定'!B38*I284-S284&gt;=0,0,ROUNDUP(S284/I284,0)-1)))</x:f>
        <x:v>100</x:v>
      </x:c>
      <x:c r="AB284" s="1" t="n">
        <x:f>IF(I284&lt;=0,'損益分岐設定'!C39,IF('損益分岐設定'!C39*I284-T284&lt;0,'損益分岐設定'!C39,IF('損益分岐設定'!B39*I284-T284&gt;=0,0,ROUNDUP(T284/I284,0)-1)))</x:f>
        <x:v>500</x:v>
      </x:c>
      <x:c r="AC284" s="1" t="n">
        <x:f>IF(I284&lt;=0,'損益分岐設定'!C40,IF('損益分岐設定'!C40*I284-U284&lt;0,'損益分岐設定'!C40,IF('損益分岐設定'!B40*I284-U284&gt;=0,0,ROUNDUP(U284/I284,0)-1)))</x:f>
        <x:v>1000</x:v>
      </x:c>
      <x:c r="AD284" s="1" t="n">
        <x:v>0</x:v>
      </x:c>
      <x:c r="AE284" s="1" t="n">
        <x:v>0</x:v>
      </x:c>
      <x:c r="AF284" s="1" t="n">
        <x:v>1</x:v>
      </x:c>
      <x:c r="AG284" s="1" t="n">
        <x:f>AD284*('損益分岐設定'!$C$57*(1-'損益分岐設定'!$B$51)+'損益分岐設定'!$C$58*'損益分岐設定'!$B$51)+AE284*('損益分岐設定'!$C$60*(1-'損益分岐設定'!$B$51)+'損益分岐設定'!$C$61*'損益分岐設定'!$B$51)+AF284*('損益分岐設定'!$C$63*(1-'損益分岐設定'!$B$51)+'損益分岐設定'!$C$64*'損益分岐設定'!$B$51)</x:f>
        <x:v>5765.522041015625</x:v>
      </x:c>
      <x:c r="AH284" s="1" t="n">
        <x:f>AD284*('損益分岐設定'!$D$57*(1-'損益分岐設定'!$B$51)+'損益分岐設定'!$D$58*'損益分岐設定'!$B$51)+AE284*('損益分岐設定'!$D$60*(1-'損益分岐設定'!$B$51)+'損益分岐設定'!$D$61*'損益分岐設定'!$B$51)+AF284*('損益分岐設定'!$D$63*(1-'損益分岐設定'!$B$51)+'損益分岐設定'!$D$64*'損益分岐設定'!$B$51)</x:f>
        <x:v>480</x:v>
      </x:c>
      <x:c r="AI284" s="1" t="n">
        <x:f>AD284*('損益分岐設定'!$E$57*(1-'損益分岐設定'!$B$51)+'損益分岐設定'!$E$58*'損益分岐設定'!$B$51)+AE284*('損益分岐設定'!$E$60*(1-'損益分岐設定'!$B$51)+'損益分岐設定'!$E$61*'損益分岐設定'!$B$51)+AF284*('損益分岐設定'!$E$63*(1-'損益分岐設定'!$B$51)+'損益分岐設定'!$E$64*'損益分岐設定'!$B$51)</x:f>
        <x:v>560</x:v>
      </x:c>
      <x:c r="AJ284" s="1" t="n">
        <x:f>(AD284*('損益分岐設定'!$F$57*(1-'損益分岐設定'!$B$51)+'損益分岐設定'!$F$58*'損益分岐設定'!$B$51)+AE284*('損益分岐設定'!$F$60*(1-'損益分岐設定'!$B$51)+'損益分岐設定'!$F$61*'損益分岐設定'!$B$51)+AF284*('損益分岐設定'!$F$63*(1-'損益分岐設定'!$B$51)+'損益分岐設定'!$F$64*'損益分岐設定'!$B$51)*1)*'損益分岐設定'!$B$22</x:f>
        <x:v>4560</x:v>
      </x:c>
      <x:c r="AK284" s="1" t="n">
        <x:f>AD284*('損益分岐設定'!$G$57*(1-'損益分岐設定'!$B$51)+'損益分岐設定'!$G$58*'損益分岐設定'!$B$51)+AE284*('損益分岐設定'!$G$60*(1-'損益分岐設定'!$B$51)+'損益分岐設定'!$G$61*'損益分岐設定'!$B$51)+AF284*('損益分岐設定'!$G$63*(1-'損益分岐設定'!$B$51)+'損益分岐設定'!$G$64*'損益分岐設定'!$B$51)</x:f>
        <x:v>4000</x:v>
      </x:c>
      <x:c r="AL284" s="1" t="n">
        <x:f>AD284*('損益分岐設定'!$H$57*(1-'損益分岐設定'!$B$51)+'損益分岐設定'!$H$58*'損益分岐設定'!$B$51)+AE284*('損益分岐設定'!$H$60*(1-'損益分岐設定'!$B$51)+'損益分岐設定'!$H$61*'損益分岐設定'!$B$51)+AF284*('損益分岐設定'!$H$63*(1-'損益分岐設定'!$B$51)+'損益分岐設定'!$H$64*'損益分岐設定'!$B$51)</x:f>
        <x:v>1026.666666666667</x:v>
      </x:c>
      <x:c r="AM284" s="1" t="n">
        <x:f>MAX(1,ROUNDUP('損益分岐設定'!C37*AJ284/('損益分岐設定'!$B$23*'損益分岐設定'!$B$24*3600*'損益分岐設定'!$B$25),0))</x:f>
        <x:v>1</x:v>
      </x:c>
      <x:c r="AN284" s="1" t="n">
        <x:f>MAX(2,ROUNDUP('損益分岐設定'!C38*AJ284/('損益分岐設定'!$B$23*'損益分岐設定'!$B$24*3600*'損益分岐設定'!$B$25),0))</x:f>
        <x:v>2</x:v>
      </x:c>
      <x:c r="AO284" s="1" t="n">
        <x:f>MAX(2,ROUNDUP('損益分岐設定'!C39*AJ284/('損益分岐設定'!$B$23*'損益分岐設定'!$B$24*3600*'損益分岐設定'!$B$25),0))</x:f>
        <x:v>5</x:v>
      </x:c>
      <x:c r="AP284" s="1" t="n">
        <x:f>MAX(2,ROUNDUP('損益分岐設定'!C40*AJ284/('損益分岐設定'!$B$23*'損益分岐設定'!$B$24*3600*'損益分岐設定'!$B$25),0))</x:f>
        <x:v>9</x:v>
      </x:c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 ht="23" customHeight="1">
      <x:c r="A285" s="1" t="str">
        <x:v>Hybrid</x:v>
      </x:c>
      <x:c r="B285" s="1" t="str">
        <x:v>混在</x:v>
      </x:c>
      <x:c r="C285" s="1" t="str">
        <x:v>低位</x:v>
      </x:c>
      <x:c r="D285" s="21" t="n">
        <x:v>0</x:v>
      </x:c>
      <x:c r="E285" s="1" t="n">
        <x:v>0</x:v>
      </x:c>
      <x:c r="F285" s="7" t="n">
        <x:f>AD285*'損益分岐設定'!$B$5+AE285*'損益分岐設定'!$B$6+AF285*'損益分岐設定'!$B$7</x:f>
        <x:v>4600</x:v>
      </x:c>
      <x:c r="G285" s="7" t="n">
        <x:f>AG285+(AH285+AI285)*('損益分岐設定'!$B$29+0.5*'損益分岐設定'!$B$30)+AK285*'損益分岐設定'!$B$33</x:f>
        <x:v>110.70900862181557</x:v>
      </x:c>
      <x:c r="H285" s="7" t="n">
        <x:f>AL285*E285</x:f>
        <x:v>0</x:v>
      </x:c>
      <x:c r="I285" s="7" t="n">
        <x:f>F285*(1-D285-'損益分岐設定'!$B$10)-G285-H285</x:f>
        <x:v>4323.690991378184</x:v>
      </x:c>
      <x:c r="J285" s="1" t="n">
        <x:f>IF(MIN(V285:Y285)&gt;1000,"範囲内なし",MIN(V285:Y285))</x:f>
        <x:v>9</x:v>
      </x:c>
      <x:c r="K285" s="1" t="n">
        <x:f>IF(MAX(Z285:AC285)&gt;=1000,"範囲内なし",MAX(1,MAX(Z285:AC285)+1))</x:f>
        <x:v>12</x:v>
      </x:c>
      <x:c r="L285" s="7" t="n">
        <x:f>10*I285-R285</x:f>
        <x:v>7797.113223476525</x:v>
      </x:c>
      <x:c r="M285" s="7" t="n">
        <x:f>30*I285-S285</x:f>
        <x:v>79331.13636073488</x:v>
      </x:c>
      <x:c r="N285" s="7" t="n">
        <x:f>50*I285-S285</x:f>
        <x:v>165804.95618829856</x:v>
      </x:c>
      <x:c r="O285" s="7" t="n">
        <x:f>100*I285-S285</x:f>
        <x:v>381989.50575720775</x:v>
      </x:c>
      <x:c r="P285" s="7" t="n">
        <x:f>300*I285-T285</x:f>
        <x:v>1224727.7040328444</x:v>
      </x:c>
      <x:c r="Q285" s="7" t="n">
        <x:f>1000*I285-U285</x:f>
        <x:v>4221311.397997573</x:v>
      </x:c>
      <x:c r="R285" s="7" t="n">
        <x:f>'損益分岐設定'!$B$18+'損益分岐設定'!$B$19+'損益分岐設定'!$B$20+'損益分岐設定'!E37+'損益分岐設定'!D37+AM285*('損益分岐設定'!$B$15+'損益分岐設定'!$B$16)+'損益分岐設定'!$B$17+E285*('損益分岐設定'!$B$13+(AM285-1)*'損益分岐設定'!$B$14)*'損益分岐設定'!$B$11</x:f>
        <x:v>35439.79669030532</x:v>
      </x:c>
      <x:c r="S285" s="7" t="n">
        <x:f>'損益分岐設定'!$B$18+'損益分岐設定'!$B$19+'損益分岐設定'!$B$20+'損益分岐設定'!E38+'損益分岐設定'!D38+AN285*('損益分岐設定'!$B$15+'損益分岐設定'!$B$16)+'損益分岐設定'!$B$17+E285*('損益分岐設定'!$B$13+(AN285-1)*'損益分岐設定'!$B$14)*'損益分岐設定'!$B$11</x:f>
        <x:v>50379.59338061063</x:v>
      </x:c>
      <x:c r="T285" s="7" t="n">
        <x:f>'損益分岐設定'!$B$18+'損益分岐設定'!$B$19+'損益分岐設定'!$B$20+'損益分岐設定'!E39+'損益分岐設定'!D39+AO285*('損益分岐設定'!$B$15+'損益分岐設定'!$B$16)+'損益分岐設定'!$B$17+E285*('損益分岐設定'!$B$13+(AO285-1)*'損益分岐設定'!$B$14)*'損益分岐設定'!$B$11</x:f>
        <x:v>72379.59338061063</x:v>
      </x:c>
      <x:c r="U285" s="7" t="n">
        <x:f>'損益分岐設定'!$B$18+'損益分岐設定'!$B$19+'損益分岐設定'!$B$20+'損益分岐設定'!E40+'損益分岐設定'!D40+AP285*('損益分岐設定'!$B$15+'損益分岐設定'!$B$16)+'損益分岐設定'!$B$17+E285*('損益分岐設定'!$B$13+(AP285-1)*'損益分岐設定'!$B$14)*'損益分岐設定'!$B$11</x:f>
        <x:v>102379.59338061063</x:v>
      </x:c>
      <x:c r="V285" s="1" t="n">
        <x:f>IF(I285&lt;=0,1001,IF(MAX('損益分岐設定'!B37,ROUNDUP(R285/I285,0))&lt;='損益分岐設定'!C37,MAX('損益分岐設定'!B37,ROUNDUP(R285/I285,0)),1001))</x:f>
        <x:v>9</x:v>
      </x:c>
      <x:c r="W285" s="1" t="n">
        <x:f>IF(I285&lt;=0,1001,IF(MAX('損益分岐設定'!B38,ROUNDUP(S285/I285,0))&lt;='損益分岐設定'!C38,MAX('損益分岐設定'!B38,ROUNDUP(S285/I285,0)),1001))</x:f>
        <x:v>12</x:v>
      </x:c>
      <x:c r="X285" s="1" t="n">
        <x:f>IF(I285&lt;=0,1001,IF(MAX('損益分岐設定'!B39,ROUNDUP(T285/I285,0))&lt;='損益分岐設定'!C39,MAX('損益分岐設定'!B39,ROUNDUP(T285/I285,0)),1001))</x:f>
        <x:v>101</x:v>
      </x:c>
      <x:c r="Y285" s="1" t="n">
        <x:f>IF(I285&lt;=0,1001,IF(MAX('損益分岐設定'!B40,ROUNDUP(U285/I285,0))&lt;='損益分岐設定'!C40,MAX('損益分岐設定'!B40,ROUNDUP(U285/I285,0)),1001))</x:f>
        <x:v>501</x:v>
      </x:c>
      <x:c r="Z285" s="1" t="n">
        <x:f>IF(I285&lt;=0,'損益分岐設定'!C37,IF('損益分岐設定'!C37*I285-R285&lt;0,'損益分岐設定'!C37,IF('損益分岐設定'!B37*I285-R285&gt;=0,0,ROUNDUP(R285/I285,0)-1)))</x:f>
        <x:v>8</x:v>
      </x:c>
      <x:c r="AA285" s="1" t="n">
        <x:f>IF(I285&lt;=0,'損益分岐設定'!C38,IF('損益分岐設定'!C38*I285-S285&lt;0,'損益分岐設定'!C38,IF('損益分岐設定'!B38*I285-S285&gt;=0,0,ROUNDUP(S285/I285,0)-1)))</x:f>
        <x:v>11</x:v>
      </x:c>
      <x:c r="AB285" s="1" t="n">
        <x:f>IF(I285&lt;=0,'損益分岐設定'!C39,IF('損益分岐設定'!C39*I285-T285&lt;0,'損益分岐設定'!C39,IF('損益分岐設定'!B39*I285-T285&gt;=0,0,ROUNDUP(T285/I285,0)-1)))</x:f>
        <x:v>0</x:v>
      </x:c>
      <x:c r="AC285" s="1" t="n">
        <x:f>IF(I285&lt;=0,'損益分岐設定'!C40,IF('損益分岐設定'!C40*I285-U285&lt;0,'損益分岐設定'!C40,IF('損益分岐設定'!B40*I285-U285&gt;=0,0,ROUNDUP(U285/I285,0)-1)))</x:f>
        <x:v>0</x:v>
      </x:c>
      <x:c r="AD285" s="1" t="n">
        <x:f>'損益分岐設定'!$D$5/SUM('損益分岐設定'!$D$5:$D$7)</x:f>
        <x:v>0.5</x:v>
      </x:c>
      <x:c r="AE285" s="1" t="n">
        <x:f>'損益分岐設定'!$D$6/SUM('損益分岐設定'!$D$5:$D$7)</x:f>
        <x:v>0.3</x:v>
      </x:c>
      <x:c r="AF285" s="1" t="n">
        <x:f>'損益分岐設定'!$D$7/SUM('損益分岐設定'!$D$5:$D$7)</x:f>
        <x:v>0.2</x:v>
      </x:c>
      <x:c r="AG285" s="1" t="n">
        <x:f>AD285*'損益分岐設定'!$C$56+AE285*'損益分岐設定'!$C$59+AF285*'損益分岐設定'!$C$62</x:f>
        <x:v>110.51909573059083</x:v>
      </x:c>
      <x:c r="AH285" s="1" t="n">
        <x:f>AD285*'損益分岐設定'!$D$56+AE285*'損益分岐設定'!$D$59+AF285*'損益分岐設定'!$D$62</x:f>
        <x:v>27.75</x:v>
      </x:c>
      <x:c r="AI285" s="1" t="n">
        <x:f>AD285*'損益分岐設定'!$E$56+AE285*'損益分岐設定'!$E$59+AF285*'損益分岐設定'!$E$62</x:f>
        <x:v>18.5</x:v>
      </x:c>
      <x:c r="AJ285" s="1" t="n">
        <x:f>(AD285*'損益分岐設定'!$F$56+AE285*'損益分岐設定'!$F$59+AF285*'損益分岐設定'!$F$62*1)*'損益分岐設定'!$B$22</x:f>
        <x:v>27.75</x:v>
      </x:c>
      <x:c r="AK285" s="1" t="n">
        <x:f>AD285*'損益分岐設定'!$G$56+AE285*'損益分岐設定'!$G$59+AF285*'損益分岐設定'!$G$62</x:f>
        <x:v>92.5</x:v>
      </x:c>
      <x:c r="AL285" s="1" t="n">
        <x:f>AD285*'損益分岐設定'!$H$56+AE285*'損益分岐設定'!$H$59+AF285*'損益分岐設定'!$H$62</x:f>
        <x:v>323.33333333333337</x:v>
      </x:c>
      <x:c r="AM285" s="1" t="n">
        <x:f>MAX(1,ROUNDUP('損益分岐設定'!C37*AJ285/('損益分岐設定'!$B$23*'損益分岐設定'!$B$24*3600*'損益分岐設定'!$B$25),0))</x:f>
        <x:v>1</x:v>
      </x:c>
      <x:c r="AN285" s="1" t="n">
        <x:f>MAX(2,ROUNDUP('損益分岐設定'!C38*AJ285/('損益分岐設定'!$B$23*'損益分岐設定'!$B$24*3600*'損益分岐設定'!$B$25),0))</x:f>
        <x:v>2</x:v>
      </x:c>
      <x:c r="AO285" s="1" t="n">
        <x:f>MAX(2,ROUNDUP('損益分岐設定'!C39*AJ285/('損益分岐設定'!$B$23*'損益分岐設定'!$B$24*3600*'損益分岐設定'!$B$25),0))</x:f>
        <x:v>2</x:v>
      </x:c>
      <x:c r="AP285" s="1" t="n">
        <x:f>MAX(2,ROUNDUP('損益分岐設定'!C40*AJ285/('損益分岐設定'!$B$23*'損益分岐設定'!$B$24*3600*'損益分岐設定'!$B$25),0))</x:f>
        <x:v>2</x:v>
      </x:c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 ht="23" customHeight="1">
      <x:c r="A286" s="1" t="str">
        <x:v>Hybrid</x:v>
      </x:c>
      <x:c r="B286" s="1" t="str">
        <x:v>混在</x:v>
      </x:c>
      <x:c r="C286" s="1" t="str">
        <x:v>低位</x:v>
      </x:c>
      <x:c r="D286" s="21" t="n">
        <x:v>0</x:v>
      </x:c>
      <x:c r="E286" s="1" t="n">
        <x:v>1</x:v>
      </x:c>
      <x:c r="F286" s="7" t="n">
        <x:f>AD286*'損益分岐設定'!$B$5+AE286*'損益分岐設定'!$B$6+AF286*'損益分岐設定'!$B$7</x:f>
        <x:v>4600</x:v>
      </x:c>
      <x:c r="G286" s="7" t="n">
        <x:f>AG286+(AH286+AI286)*('損益分岐設定'!$B$29+0.5*'損益分岐設定'!$B$30)+AK286*'損益分岐設定'!$B$33</x:f>
        <x:v>110.70900862181557</x:v>
      </x:c>
      <x:c r="H286" s="7" t="n">
        <x:f>AL286*E286</x:f>
        <x:v>323.33333333333337</x:v>
      </x:c>
      <x:c r="I286" s="7" t="n">
        <x:f>F286*(1-D286-'損益分岐設定'!$B$10)-G286-H286</x:f>
        <x:v>4000.3576580448503</x:v>
      </x:c>
      <x:c r="J286" s="1" t="n">
        <x:f>IF(MIN(V286:Y286)&gt;1000,"範囲内なし",MIN(V286:Y286))</x:f>
        <x:v>18</x:v>
      </x:c>
      <x:c r="K286" s="1" t="n">
        <x:f>IF(MAX(Z286:AC286)&gt;=1000,"範囲内なし",MAX(1,MAX(Z286:AC286)+1))</x:f>
        <x:v>18</x:v>
      </x:c>
      <x:c r="L286" s="7" t="n">
        <x:f>10*I286-R286</x:f>
        <x:v>-11436.220109856811</x:v>
      </x:c>
      <x:c r="M286" s="7" t="n">
        <x:f>30*I286-S286</x:f>
        <x:v>51631.136360734876</x:v>
      </x:c>
      <x:c r="N286" s="7" t="n">
        <x:f>50*I286-S286</x:f>
        <x:v>131638.28952163187</x:v>
      </x:c>
      <x:c r="O286" s="7" t="n">
        <x:f>100*I286-S286</x:f>
        <x:v>331656.1724238744</x:v>
      </x:c>
      <x:c r="P286" s="7" t="n">
        <x:f>300*I286-T286</x:f>
        <x:v>1109727.7040328444</x:v>
      </x:c>
      <x:c r="Q286" s="7" t="n">
        <x:f>1000*I286-U286</x:f>
        <x:v>3879978.06466424</x:v>
      </x:c>
      <x:c r="R286" s="7" t="n">
        <x:f>'損益分岐設定'!$B$18+'損益分岐設定'!$B$19+'損益分岐設定'!$B$20+'損益分岐設定'!E37+'損益分岐設定'!D37+AM286*('損益分岐設定'!$B$15+'損益分岐設定'!$B$16)+'損益分岐設定'!$B$17+E286*('損益分岐設定'!$B$13+(AM286-1)*'損益分岐設定'!$B$14)*'損益分岐設定'!$B$11</x:f>
        <x:v>51439.79669030532</x:v>
      </x:c>
      <x:c r="S286" s="7" t="n">
        <x:f>'損益分岐設定'!$B$18+'損益分岐設定'!$B$19+'損益分岐設定'!$B$20+'損益分岐設定'!E38+'損益分岐設定'!D38+AN286*('損益分岐設定'!$B$15+'損益分岐設定'!$B$16)+'損益分岐設定'!$B$17+E286*('損益分岐設定'!$B$13+(AN286-1)*'損益分岐設定'!$B$14)*'損益分岐設定'!$B$11</x:f>
        <x:v>68379.59338061063</x:v>
      </x:c>
      <x:c r="T286" s="7" t="n">
        <x:f>'損益分岐設定'!$B$18+'損益分岐設定'!$B$19+'損益分岐設定'!$B$20+'損益分岐設定'!E39+'損益分岐設定'!D39+AO286*('損益分岐設定'!$B$15+'損益分岐設定'!$B$16)+'損益分岐設定'!$B$17+E286*('損益分岐設定'!$B$13+(AO286-1)*'損益分岐設定'!$B$14)*'損益分岐設定'!$B$11</x:f>
        <x:v>90379.59338061063</x:v>
      </x:c>
      <x:c r="U286" s="7" t="n">
        <x:f>'損益分岐設定'!$B$18+'損益分岐設定'!$B$19+'損益分岐設定'!$B$20+'損益分岐設定'!E40+'損益分岐設定'!D40+AP286*('損益分岐設定'!$B$15+'損益分岐設定'!$B$16)+'損益分岐設定'!$B$17+E286*('損益分岐設定'!$B$13+(AP286-1)*'損益分岐設定'!$B$14)*'損益分岐設定'!$B$11</x:f>
        <x:v>120379.59338061063</x:v>
      </x:c>
      <x:c r="V286" s="1" t="n">
        <x:f>IF(I286&lt;=0,1001,IF(MAX('損益分岐設定'!B37,ROUNDUP(R286/I286,0))&lt;='損益分岐設定'!C37,MAX('損益分岐設定'!B37,ROUNDUP(R286/I286,0)),1001))</x:f>
        <x:v>1001</x:v>
      </x:c>
      <x:c r="W286" s="1" t="n">
        <x:f>IF(I286&lt;=0,1001,IF(MAX('損益分岐設定'!B38,ROUNDUP(S286/I286,0))&lt;='損益分岐設定'!C38,MAX('損益分岐設定'!B38,ROUNDUP(S286/I286,0)),1001))</x:f>
        <x:v>18</x:v>
      </x:c>
      <x:c r="X286" s="1" t="n">
        <x:f>IF(I286&lt;=0,1001,IF(MAX('損益分岐設定'!B39,ROUNDUP(T286/I286,0))&lt;='損益分岐設定'!C39,MAX('損益分岐設定'!B39,ROUNDUP(T286/I286,0)),1001))</x:f>
        <x:v>101</x:v>
      </x:c>
      <x:c r="Y286" s="1" t="n">
        <x:f>IF(I286&lt;=0,1001,IF(MAX('損益分岐設定'!B40,ROUNDUP(U286/I286,0))&lt;='損益分岐設定'!C40,MAX('損益分岐設定'!B40,ROUNDUP(U286/I286,0)),1001))</x:f>
        <x:v>501</x:v>
      </x:c>
      <x:c r="Z286" s="1" t="n">
        <x:f>IF(I286&lt;=0,'損益分岐設定'!C37,IF('損益分岐設定'!C37*I286-R286&lt;0,'損益分岐設定'!C37,IF('損益分岐設定'!B37*I286-R286&gt;=0,0,ROUNDUP(R286/I286,0)-1)))</x:f>
        <x:v>10</x:v>
      </x:c>
      <x:c r="AA286" s="1" t="n">
        <x:f>IF(I286&lt;=0,'損益分岐設定'!C38,IF('損益分岐設定'!C38*I286-S286&lt;0,'損益分岐設定'!C38,IF('損益分岐設定'!B38*I286-S286&gt;=0,0,ROUNDUP(S286/I286,0)-1)))</x:f>
        <x:v>17</x:v>
      </x:c>
      <x:c r="AB286" s="1" t="n">
        <x:f>IF(I286&lt;=0,'損益分岐設定'!C39,IF('損益分岐設定'!C39*I286-T286&lt;0,'損益分岐設定'!C39,IF('損益分岐設定'!B39*I286-T286&gt;=0,0,ROUNDUP(T286/I286,0)-1)))</x:f>
        <x:v>0</x:v>
      </x:c>
      <x:c r="AC286" s="1" t="n">
        <x:f>IF(I286&lt;=0,'損益分岐設定'!C40,IF('損益分岐設定'!C40*I286-U286&lt;0,'損益分岐設定'!C40,IF('損益分岐設定'!B40*I286-U286&gt;=0,0,ROUNDUP(U286/I286,0)-1)))</x:f>
        <x:v>0</x:v>
      </x:c>
      <x:c r="AD286" s="1" t="n">
        <x:f>'損益分岐設定'!$D$5/SUM('損益分岐設定'!$D$5:$D$7)</x:f>
        <x:v>0.5</x:v>
      </x:c>
      <x:c r="AE286" s="1" t="n">
        <x:f>'損益分岐設定'!$D$6/SUM('損益分岐設定'!$D$5:$D$7)</x:f>
        <x:v>0.3</x:v>
      </x:c>
      <x:c r="AF286" s="1" t="n">
        <x:f>'損益分岐設定'!$D$7/SUM('損益分岐設定'!$D$5:$D$7)</x:f>
        <x:v>0.2</x:v>
      </x:c>
      <x:c r="AG286" s="1" t="n">
        <x:f>AD286*'損益分岐設定'!$C$56+AE286*'損益分岐設定'!$C$59+AF286*'損益分岐設定'!$C$62</x:f>
        <x:v>110.51909573059083</x:v>
      </x:c>
      <x:c r="AH286" s="1" t="n">
        <x:f>AD286*'損益分岐設定'!$D$56+AE286*'損益分岐設定'!$D$59+AF286*'損益分岐設定'!$D$62</x:f>
        <x:v>27.75</x:v>
      </x:c>
      <x:c r="AI286" s="1" t="n">
        <x:f>AD286*'損益分岐設定'!$E$56+AE286*'損益分岐設定'!$E$59+AF286*'損益分岐設定'!$E$62</x:f>
        <x:v>18.5</x:v>
      </x:c>
      <x:c r="AJ286" s="1" t="n">
        <x:f>(AD286*'損益分岐設定'!$F$56+AE286*'損益分岐設定'!$F$59+AF286*'損益分岐設定'!$F$62*1)*'損益分岐設定'!$B$22</x:f>
        <x:v>27.75</x:v>
      </x:c>
      <x:c r="AK286" s="1" t="n">
        <x:f>AD286*'損益分岐設定'!$G$56+AE286*'損益分岐設定'!$G$59+AF286*'損益分岐設定'!$G$62</x:f>
        <x:v>92.5</x:v>
      </x:c>
      <x:c r="AL286" s="1" t="n">
        <x:f>AD286*'損益分岐設定'!$H$56+AE286*'損益分岐設定'!$H$59+AF286*'損益分岐設定'!$H$62</x:f>
        <x:v>323.33333333333337</x:v>
      </x:c>
      <x:c r="AM286" s="1" t="n">
        <x:f>MAX(1,ROUNDUP('損益分岐設定'!C37*AJ286/('損益分岐設定'!$B$23*'損益分岐設定'!$B$24*3600*'損益分岐設定'!$B$25),0))</x:f>
        <x:v>1</x:v>
      </x:c>
      <x:c r="AN286" s="1" t="n">
        <x:f>MAX(2,ROUNDUP('損益分岐設定'!C38*AJ286/('損益分岐設定'!$B$23*'損益分岐設定'!$B$24*3600*'損益分岐設定'!$B$25),0))</x:f>
        <x:v>2</x:v>
      </x:c>
      <x:c r="AO286" s="1" t="n">
        <x:f>MAX(2,ROUNDUP('損益分岐設定'!C39*AJ286/('損益分岐設定'!$B$23*'損益分岐設定'!$B$24*3600*'損益分岐設定'!$B$25),0))</x:f>
        <x:v>2</x:v>
      </x:c>
      <x:c r="AP286" s="1" t="n">
        <x:f>MAX(2,ROUNDUP('損益分岐設定'!C40*AJ286/('損益分岐設定'!$B$23*'損益分岐設定'!$B$24*3600*'損益分岐設定'!$B$25),0))</x:f>
        <x:v>2</x:v>
      </x:c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 ht="23" customHeight="1">
      <x:c r="A287" s="1" t="str">
        <x:v>Hybrid</x:v>
      </x:c>
      <x:c r="B287" s="1" t="str">
        <x:v>混在</x:v>
      </x:c>
      <x:c r="C287" s="1" t="str">
        <x:v>低位</x:v>
      </x:c>
      <x:c r="D287" s="21" t="n">
        <x:v>0.2</x:v>
      </x:c>
      <x:c r="E287" s="1" t="n">
        <x:v>0</x:v>
      </x:c>
      <x:c r="F287" s="7" t="n">
        <x:f>AD287*'損益分岐設定'!$B$5+AE287*'損益分岐設定'!$B$6+AF287*'損益分岐設定'!$B$7</x:f>
        <x:v>4600</x:v>
      </x:c>
      <x:c r="G287" s="7" t="n">
        <x:f>AG287+(AH287+AI287)*('損益分岐設定'!$B$29+0.5*'損益分岐設定'!$B$30)+AK287*'損益分岐設定'!$B$33</x:f>
        <x:v>110.70900862181557</x:v>
      </x:c>
      <x:c r="H287" s="7" t="n">
        <x:f>AL287*E287</x:f>
        <x:v>0</x:v>
      </x:c>
      <x:c r="I287" s="7" t="n">
        <x:f>F287*(1-D287-'損益分岐設定'!$B$10)-G287-H287</x:f>
        <x:v>3403.6909913781847</x:v>
      </x:c>
      <x:c r="J287" s="1" t="n">
        <x:f>IF(MIN(V287:Y287)&gt;1000,"範囲内なし",MIN(V287:Y287))</x:f>
        <x:v>15</x:v>
      </x:c>
      <x:c r="K287" s="1" t="n">
        <x:f>IF(MAX(Z287:AC287)&gt;=1000,"範囲内なし",MAX(1,MAX(Z287:AC287)+1))</x:f>
        <x:v>15</x:v>
      </x:c>
      <x:c r="L287" s="7" t="n">
        <x:f>10*I287-R287</x:f>
        <x:v>-1402.8867765234681</x:v>
      </x:c>
      <x:c r="M287" s="7" t="n">
        <x:f>30*I287-S287</x:f>
        <x:v>51731.136360734905</x:v>
      </x:c>
      <x:c r="N287" s="7" t="n">
        <x:f>50*I287-S287</x:f>
        <x:v>119804.95618829859</x:v>
      </x:c>
      <x:c r="O287" s="7" t="n">
        <x:f>100*I287-S287</x:f>
        <x:v>289989.5057572078</x:v>
      </x:c>
      <x:c r="P287" s="7" t="n">
        <x:f>300*I287-T287</x:f>
        <x:v>948727.7040328449</x:v>
      </x:c>
      <x:c r="Q287" s="7" t="n">
        <x:f>1000*I287-U287</x:f>
        <x:v>3301311.3979975744</x:v>
      </x:c>
      <x:c r="R287" s="7" t="n">
        <x:f>'損益分岐設定'!$B$18+'損益分岐設定'!$B$19+'損益分岐設定'!$B$20+'損益分岐設定'!E37+'損益分岐設定'!D37+AM287*('損益分岐設定'!$B$15+'損益分岐設定'!$B$16)+'損益分岐設定'!$B$17+E287*('損益分岐設定'!$B$13+(AM287-1)*'損益分岐設定'!$B$14)*'損益分岐設定'!$B$11</x:f>
        <x:v>35439.79669030532</x:v>
      </x:c>
      <x:c r="S287" s="7" t="n">
        <x:f>'損益分岐設定'!$B$18+'損益分岐設定'!$B$19+'損益分岐設定'!$B$20+'損益分岐設定'!E38+'損益分岐設定'!D38+AN287*('損益分岐設定'!$B$15+'損益分岐設定'!$B$16)+'損益分岐設定'!$B$17+E287*('損益分岐設定'!$B$13+(AN287-1)*'損益分岐設定'!$B$14)*'損益分岐設定'!$B$11</x:f>
        <x:v>50379.59338061063</x:v>
      </x:c>
      <x:c r="T287" s="7" t="n">
        <x:f>'損益分岐設定'!$B$18+'損益分岐設定'!$B$19+'損益分岐設定'!$B$20+'損益分岐設定'!E39+'損益分岐設定'!D39+AO287*('損益分岐設定'!$B$15+'損益分岐設定'!$B$16)+'損益分岐設定'!$B$17+E287*('損益分岐設定'!$B$13+(AO287-1)*'損益分岐設定'!$B$14)*'損益分岐設定'!$B$11</x:f>
        <x:v>72379.59338061063</x:v>
      </x:c>
      <x:c r="U287" s="7" t="n">
        <x:f>'損益分岐設定'!$B$18+'損益分岐設定'!$B$19+'損益分岐設定'!$B$20+'損益分岐設定'!E40+'損益分岐設定'!D40+AP287*('損益分岐設定'!$B$15+'損益分岐設定'!$B$16)+'損益分岐設定'!$B$17+E287*('損益分岐設定'!$B$13+(AP287-1)*'損益分岐設定'!$B$14)*'損益分岐設定'!$B$11</x:f>
        <x:v>102379.59338061063</x:v>
      </x:c>
      <x:c r="V287" s="1" t="n">
        <x:f>IF(I287&lt;=0,1001,IF(MAX('損益分岐設定'!B37,ROUNDUP(R287/I287,0))&lt;='損益分岐設定'!C37,MAX('損益分岐設定'!B37,ROUNDUP(R287/I287,0)),1001))</x:f>
        <x:v>1001</x:v>
      </x:c>
      <x:c r="W287" s="1" t="n">
        <x:f>IF(I287&lt;=0,1001,IF(MAX('損益分岐設定'!B38,ROUNDUP(S287/I287,0))&lt;='損益分岐設定'!C38,MAX('損益分岐設定'!B38,ROUNDUP(S287/I287,0)),1001))</x:f>
        <x:v>15</x:v>
      </x:c>
      <x:c r="X287" s="1" t="n">
        <x:f>IF(I287&lt;=0,1001,IF(MAX('損益分岐設定'!B39,ROUNDUP(T287/I287,0))&lt;='損益分岐設定'!C39,MAX('損益分岐設定'!B39,ROUNDUP(T287/I287,0)),1001))</x:f>
        <x:v>101</x:v>
      </x:c>
      <x:c r="Y287" s="1" t="n">
        <x:f>IF(I287&lt;=0,1001,IF(MAX('損益分岐設定'!B40,ROUNDUP(U287/I287,0))&lt;='損益分岐設定'!C40,MAX('損益分岐設定'!B40,ROUNDUP(U287/I287,0)),1001))</x:f>
        <x:v>501</x:v>
      </x:c>
      <x:c r="Z287" s="1" t="n">
        <x:f>IF(I287&lt;=0,'損益分岐設定'!C37,IF('損益分岐設定'!C37*I287-R287&lt;0,'損益分岐設定'!C37,IF('損益分岐設定'!B37*I287-R287&gt;=0,0,ROUNDUP(R287/I287,0)-1)))</x:f>
        <x:v>10</x:v>
      </x:c>
      <x:c r="AA287" s="1" t="n">
        <x:f>IF(I287&lt;=0,'損益分岐設定'!C38,IF('損益分岐設定'!C38*I287-S287&lt;0,'損益分岐設定'!C38,IF('損益分岐設定'!B38*I287-S287&gt;=0,0,ROUNDUP(S287/I287,0)-1)))</x:f>
        <x:v>14</x:v>
      </x:c>
      <x:c r="AB287" s="1" t="n">
        <x:f>IF(I287&lt;=0,'損益分岐設定'!C39,IF('損益分岐設定'!C39*I287-T287&lt;0,'損益分岐設定'!C39,IF('損益分岐設定'!B39*I287-T287&gt;=0,0,ROUNDUP(T287/I287,0)-1)))</x:f>
        <x:v>0</x:v>
      </x:c>
      <x:c r="AC287" s="1" t="n">
        <x:f>IF(I287&lt;=0,'損益分岐設定'!C40,IF('損益分岐設定'!C40*I287-U287&lt;0,'損益分岐設定'!C40,IF('損益分岐設定'!B40*I287-U287&gt;=0,0,ROUNDUP(U287/I287,0)-1)))</x:f>
        <x:v>0</x:v>
      </x:c>
      <x:c r="AD287" s="1" t="n">
        <x:f>'損益分岐設定'!$D$5/SUM('損益分岐設定'!$D$5:$D$7)</x:f>
        <x:v>0.5</x:v>
      </x:c>
      <x:c r="AE287" s="1" t="n">
        <x:f>'損益分岐設定'!$D$6/SUM('損益分岐設定'!$D$5:$D$7)</x:f>
        <x:v>0.3</x:v>
      </x:c>
      <x:c r="AF287" s="1" t="n">
        <x:f>'損益分岐設定'!$D$7/SUM('損益分岐設定'!$D$5:$D$7)</x:f>
        <x:v>0.2</x:v>
      </x:c>
      <x:c r="AG287" s="1" t="n">
        <x:f>AD287*'損益分岐設定'!$C$56+AE287*'損益分岐設定'!$C$59+AF287*'損益分岐設定'!$C$62</x:f>
        <x:v>110.51909573059083</x:v>
      </x:c>
      <x:c r="AH287" s="1" t="n">
        <x:f>AD287*'損益分岐設定'!$D$56+AE287*'損益分岐設定'!$D$59+AF287*'損益分岐設定'!$D$62</x:f>
        <x:v>27.75</x:v>
      </x:c>
      <x:c r="AI287" s="1" t="n">
        <x:f>AD287*'損益分岐設定'!$E$56+AE287*'損益分岐設定'!$E$59+AF287*'損益分岐設定'!$E$62</x:f>
        <x:v>18.5</x:v>
      </x:c>
      <x:c r="AJ287" s="1" t="n">
        <x:f>(AD287*'損益分岐設定'!$F$56+AE287*'損益分岐設定'!$F$59+AF287*'損益分岐設定'!$F$62*1)*'損益分岐設定'!$B$22</x:f>
        <x:v>27.75</x:v>
      </x:c>
      <x:c r="AK287" s="1" t="n">
        <x:f>AD287*'損益分岐設定'!$G$56+AE287*'損益分岐設定'!$G$59+AF287*'損益分岐設定'!$G$62</x:f>
        <x:v>92.5</x:v>
      </x:c>
      <x:c r="AL287" s="1" t="n">
        <x:f>AD287*'損益分岐設定'!$H$56+AE287*'損益分岐設定'!$H$59+AF287*'損益分岐設定'!$H$62</x:f>
        <x:v>323.33333333333337</x:v>
      </x:c>
      <x:c r="AM287" s="1" t="n">
        <x:f>MAX(1,ROUNDUP('損益分岐設定'!C37*AJ287/('損益分岐設定'!$B$23*'損益分岐設定'!$B$24*3600*'損益分岐設定'!$B$25),0))</x:f>
        <x:v>1</x:v>
      </x:c>
      <x:c r="AN287" s="1" t="n">
        <x:f>MAX(2,ROUNDUP('損益分岐設定'!C38*AJ287/('損益分岐設定'!$B$23*'損益分岐設定'!$B$24*3600*'損益分岐設定'!$B$25),0))</x:f>
        <x:v>2</x:v>
      </x:c>
      <x:c r="AO287" s="1" t="n">
        <x:f>MAX(2,ROUNDUP('損益分岐設定'!C39*AJ287/('損益分岐設定'!$B$23*'損益分岐設定'!$B$24*3600*'損益分岐設定'!$B$25),0))</x:f>
        <x:v>2</x:v>
      </x:c>
      <x:c r="AP287" s="1" t="n">
        <x:f>MAX(2,ROUNDUP('損益分岐設定'!C40*AJ287/('損益分岐設定'!$B$23*'損益分岐設定'!$B$24*3600*'損益分岐設定'!$B$25),0))</x:f>
        <x:v>2</x:v>
      </x:c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 ht="23" customHeight="1">
      <x:c r="A288" s="1" t="str">
        <x:v>Hybrid</x:v>
      </x:c>
      <x:c r="B288" s="1" t="str">
        <x:v>混在</x:v>
      </x:c>
      <x:c r="C288" s="1" t="str">
        <x:v>低位</x:v>
      </x:c>
      <x:c r="D288" s="21" t="n">
        <x:v>0.2</x:v>
      </x:c>
      <x:c r="E288" s="1" t="n">
        <x:v>1</x:v>
      </x:c>
      <x:c r="F288" s="7" t="n">
        <x:f>AD288*'損益分岐設定'!$B$5+AE288*'損益分岐設定'!$B$6+AF288*'損益分岐設定'!$B$7</x:f>
        <x:v>4600</x:v>
      </x:c>
      <x:c r="G288" s="7" t="n">
        <x:f>AG288+(AH288+AI288)*('損益分岐設定'!$B$29+0.5*'損益分岐設定'!$B$30)+AK288*'損益分岐設定'!$B$33</x:f>
        <x:v>110.70900862181557</x:v>
      </x:c>
      <x:c r="H288" s="7" t="n">
        <x:f>AL288*E288</x:f>
        <x:v>323.33333333333337</x:v>
      </x:c>
      <x:c r="I288" s="7" t="n">
        <x:f>F288*(1-D288-'損益分岐設定'!$B$10)-G288-H288</x:f>
        <x:v>3080.357658044851</x:v>
      </x:c>
      <x:c r="J288" s="1" t="n">
        <x:f>IF(MIN(V288:Y288)&gt;1000,"範囲内なし",MIN(V288:Y288))</x:f>
        <x:v>23</x:v>
      </x:c>
      <x:c r="K288" s="1" t="n">
        <x:f>IF(MAX(Z288:AC288)&gt;=1000,"範囲内なし",MAX(1,MAX(Z288:AC288)+1))</x:f>
        <x:v>23</x:v>
      </x:c>
      <x:c r="L288" s="7" t="n">
        <x:f>10*I288-R288</x:f>
        <x:v>-20636.220109856804</x:v>
      </x:c>
      <x:c r="M288" s="7" t="n">
        <x:f>30*I288-S288</x:f>
        <x:v>24031.136360734905</x:v>
      </x:c>
      <x:c r="N288" s="7" t="n">
        <x:f>50*I288-S288</x:f>
        <x:v>85638.28952163193</x:v>
      </x:c>
      <x:c r="O288" s="7" t="n">
        <x:f>100*I288-S288</x:f>
        <x:v>239656.1724238745</x:v>
      </x:c>
      <x:c r="P288" s="7" t="n">
        <x:f>300*I288-T288</x:f>
        <x:v>833727.7040328446</x:v>
      </x:c>
      <x:c r="Q288" s="7" t="n">
        <x:f>1000*I288-U288</x:f>
        <x:v>2959978.064664241</x:v>
      </x:c>
      <x:c r="R288" s="7" t="n">
        <x:f>'損益分岐設定'!$B$18+'損益分岐設定'!$B$19+'損益分岐設定'!$B$20+'損益分岐設定'!E37+'損益分岐設定'!D37+AM288*('損益分岐設定'!$B$15+'損益分岐設定'!$B$16)+'損益分岐設定'!$B$17+E288*('損益分岐設定'!$B$13+(AM288-1)*'損益分岐設定'!$B$14)*'損益分岐設定'!$B$11</x:f>
        <x:v>51439.79669030532</x:v>
      </x:c>
      <x:c r="S288" s="7" t="n">
        <x:f>'損益分岐設定'!$B$18+'損益分岐設定'!$B$19+'損益分岐設定'!$B$20+'損益分岐設定'!E38+'損益分岐設定'!D38+AN288*('損益分岐設定'!$B$15+'損益分岐設定'!$B$16)+'損益分岐設定'!$B$17+E288*('損益分岐設定'!$B$13+(AN288-1)*'損益分岐設定'!$B$14)*'損益分岐設定'!$B$11</x:f>
        <x:v>68379.59338061063</x:v>
      </x:c>
      <x:c r="T288" s="7" t="n">
        <x:f>'損益分岐設定'!$B$18+'損益分岐設定'!$B$19+'損益分岐設定'!$B$20+'損益分岐設定'!E39+'損益分岐設定'!D39+AO288*('損益分岐設定'!$B$15+'損益分岐設定'!$B$16)+'損益分岐設定'!$B$17+E288*('損益分岐設定'!$B$13+(AO288-1)*'損益分岐設定'!$B$14)*'損益分岐設定'!$B$11</x:f>
        <x:v>90379.59338061063</x:v>
      </x:c>
      <x:c r="U288" s="7" t="n">
        <x:f>'損益分岐設定'!$B$18+'損益分岐設定'!$B$19+'損益分岐設定'!$B$20+'損益分岐設定'!E40+'損益分岐設定'!D40+AP288*('損益分岐設定'!$B$15+'損益分岐設定'!$B$16)+'損益分岐設定'!$B$17+E288*('損益分岐設定'!$B$13+(AP288-1)*'損益分岐設定'!$B$14)*'損益分岐設定'!$B$11</x:f>
        <x:v>120379.59338061063</x:v>
      </x:c>
      <x:c r="V288" s="1" t="n">
        <x:f>IF(I288&lt;=0,1001,IF(MAX('損益分岐設定'!B37,ROUNDUP(R288/I288,0))&lt;='損益分岐設定'!C37,MAX('損益分岐設定'!B37,ROUNDUP(R288/I288,0)),1001))</x:f>
        <x:v>1001</x:v>
      </x:c>
      <x:c r="W288" s="1" t="n">
        <x:f>IF(I288&lt;=0,1001,IF(MAX('損益分岐設定'!B38,ROUNDUP(S288/I288,0))&lt;='損益分岐設定'!C38,MAX('損益分岐設定'!B38,ROUNDUP(S288/I288,0)),1001))</x:f>
        <x:v>23</x:v>
      </x:c>
      <x:c r="X288" s="1" t="n">
        <x:f>IF(I288&lt;=0,1001,IF(MAX('損益分岐設定'!B39,ROUNDUP(T288/I288,0))&lt;='損益分岐設定'!C39,MAX('損益分岐設定'!B39,ROUNDUP(T288/I288,0)),1001))</x:f>
        <x:v>101</x:v>
      </x:c>
      <x:c r="Y288" s="1" t="n">
        <x:f>IF(I288&lt;=0,1001,IF(MAX('損益分岐設定'!B40,ROUNDUP(U288/I288,0))&lt;='損益分岐設定'!C40,MAX('損益分岐設定'!B40,ROUNDUP(U288/I288,0)),1001))</x:f>
        <x:v>501</x:v>
      </x:c>
      <x:c r="Z288" s="1" t="n">
        <x:f>IF(I288&lt;=0,'損益分岐設定'!C37,IF('損益分岐設定'!C37*I288-R288&lt;0,'損益分岐設定'!C37,IF('損益分岐設定'!B37*I288-R288&gt;=0,0,ROUNDUP(R288/I288,0)-1)))</x:f>
        <x:v>10</x:v>
      </x:c>
      <x:c r="AA288" s="1" t="n">
        <x:f>IF(I288&lt;=0,'損益分岐設定'!C38,IF('損益分岐設定'!C38*I288-S288&lt;0,'損益分岐設定'!C38,IF('損益分岐設定'!B38*I288-S288&gt;=0,0,ROUNDUP(S288/I288,0)-1)))</x:f>
        <x:v>22</x:v>
      </x:c>
      <x:c r="AB288" s="1" t="n">
        <x:f>IF(I288&lt;=0,'損益分岐設定'!C39,IF('損益分岐設定'!C39*I288-T288&lt;0,'損益分岐設定'!C39,IF('損益分岐設定'!B39*I288-T288&gt;=0,0,ROUNDUP(T288/I288,0)-1)))</x:f>
        <x:v>0</x:v>
      </x:c>
      <x:c r="AC288" s="1" t="n">
        <x:f>IF(I288&lt;=0,'損益分岐設定'!C40,IF('損益分岐設定'!C40*I288-U288&lt;0,'損益分岐設定'!C40,IF('損益分岐設定'!B40*I288-U288&gt;=0,0,ROUNDUP(U288/I288,0)-1)))</x:f>
        <x:v>0</x:v>
      </x:c>
      <x:c r="AD288" s="1" t="n">
        <x:f>'損益分岐設定'!$D$5/SUM('損益分岐設定'!$D$5:$D$7)</x:f>
        <x:v>0.5</x:v>
      </x:c>
      <x:c r="AE288" s="1" t="n">
        <x:f>'損益分岐設定'!$D$6/SUM('損益分岐設定'!$D$5:$D$7)</x:f>
        <x:v>0.3</x:v>
      </x:c>
      <x:c r="AF288" s="1" t="n">
        <x:f>'損益分岐設定'!$D$7/SUM('損益分岐設定'!$D$5:$D$7)</x:f>
        <x:v>0.2</x:v>
      </x:c>
      <x:c r="AG288" s="1" t="n">
        <x:f>AD288*'損益分岐設定'!$C$56+AE288*'損益分岐設定'!$C$59+AF288*'損益分岐設定'!$C$62</x:f>
        <x:v>110.51909573059083</x:v>
      </x:c>
      <x:c r="AH288" s="1" t="n">
        <x:f>AD288*'損益分岐設定'!$D$56+AE288*'損益分岐設定'!$D$59+AF288*'損益分岐設定'!$D$62</x:f>
        <x:v>27.75</x:v>
      </x:c>
      <x:c r="AI288" s="1" t="n">
        <x:f>AD288*'損益分岐設定'!$E$56+AE288*'損益分岐設定'!$E$59+AF288*'損益分岐設定'!$E$62</x:f>
        <x:v>18.5</x:v>
      </x:c>
      <x:c r="AJ288" s="1" t="n">
        <x:f>(AD288*'損益分岐設定'!$F$56+AE288*'損益分岐設定'!$F$59+AF288*'損益分岐設定'!$F$62*1)*'損益分岐設定'!$B$22</x:f>
        <x:v>27.75</x:v>
      </x:c>
      <x:c r="AK288" s="1" t="n">
        <x:f>AD288*'損益分岐設定'!$G$56+AE288*'損益分岐設定'!$G$59+AF288*'損益分岐設定'!$G$62</x:f>
        <x:v>92.5</x:v>
      </x:c>
      <x:c r="AL288" s="1" t="n">
        <x:f>AD288*'損益分岐設定'!$H$56+AE288*'損益分岐設定'!$H$59+AF288*'損益分岐設定'!$H$62</x:f>
        <x:v>323.33333333333337</x:v>
      </x:c>
      <x:c r="AM288" s="1" t="n">
        <x:f>MAX(1,ROUNDUP('損益分岐設定'!C37*AJ288/('損益分岐設定'!$B$23*'損益分岐設定'!$B$24*3600*'損益分岐設定'!$B$25),0))</x:f>
        <x:v>1</x:v>
      </x:c>
      <x:c r="AN288" s="1" t="n">
        <x:f>MAX(2,ROUNDUP('損益分岐設定'!C38*AJ288/('損益分岐設定'!$B$23*'損益分岐設定'!$B$24*3600*'損益分岐設定'!$B$25),0))</x:f>
        <x:v>2</x:v>
      </x:c>
      <x:c r="AO288" s="1" t="n">
        <x:f>MAX(2,ROUNDUP('損益分岐設定'!C39*AJ288/('損益分岐設定'!$B$23*'損益分岐設定'!$B$24*3600*'損益分岐設定'!$B$25),0))</x:f>
        <x:v>2</x:v>
      </x:c>
      <x:c r="AP288" s="1" t="n">
        <x:f>MAX(2,ROUNDUP('損益分岐設定'!C40*AJ288/('損益分岐設定'!$B$23*'損益分岐設定'!$B$24*3600*'損益分岐設定'!$B$25),0))</x:f>
        <x:v>2</x:v>
      </x:c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 ht="23" customHeight="1">
      <x:c r="A289" s="1" t="str">
        <x:v>Hybrid</x:v>
      </x:c>
      <x:c r="B289" s="1" t="str">
        <x:v>混在</x:v>
      </x:c>
      <x:c r="C289" s="1" t="str">
        <x:v>低位</x:v>
      </x:c>
      <x:c r="D289" s="21" t="n">
        <x:v>0.3</x:v>
      </x:c>
      <x:c r="E289" s="1" t="n">
        <x:v>0</x:v>
      </x:c>
      <x:c r="F289" s="7" t="n">
        <x:f>AD289*'損益分岐設定'!$B$5+AE289*'損益分岐設定'!$B$6+AF289*'損益分岐設定'!$B$7</x:f>
        <x:v>4600</x:v>
      </x:c>
      <x:c r="G289" s="7" t="n">
        <x:f>AG289+(AH289+AI289)*('損益分岐設定'!$B$29+0.5*'損益分岐設定'!$B$30)+AK289*'損益分岐設定'!$B$33</x:f>
        <x:v>110.70900862181557</x:v>
      </x:c>
      <x:c r="H289" s="7" t="n">
        <x:f>AL289*E289</x:f>
        <x:v>0</x:v>
      </x:c>
      <x:c r="I289" s="7" t="n">
        <x:f>F289*(1-D289-'損益分岐設定'!$B$10)-G289-H289</x:f>
        <x:v>2943.690991378184</x:v>
      </x:c>
      <x:c r="J289" s="1" t="n">
        <x:f>IF(MIN(V289:Y289)&gt;1000,"範囲内なし",MIN(V289:Y289))</x:f>
        <x:v>18</x:v>
      </x:c>
      <x:c r="K289" s="1" t="n">
        <x:f>IF(MAX(Z289:AC289)&gt;=1000,"範囲内なし",MAX(1,MAX(Z289:AC289)+1))</x:f>
        <x:v>18</x:v>
      </x:c>
      <x:c r="L289" s="7" t="n">
        <x:f>10*I289-R289</x:f>
        <x:v>-6002.886776523475</x:v>
      </x:c>
      <x:c r="M289" s="7" t="n">
        <x:f>30*I289-S289</x:f>
        <x:v>37931.13636073489</x:v>
      </x:c>
      <x:c r="N289" s="7" t="n">
        <x:f>50*I289-S289</x:f>
        <x:v>96804.95618829859</x:v>
      </x:c>
      <x:c r="O289" s="7" t="n">
        <x:f>100*I289-S289</x:f>
        <x:v>243989.5057572078</x:v>
      </x:c>
      <x:c r="P289" s="7" t="n">
        <x:f>300*I289-T289</x:f>
        <x:v>810727.7040328446</x:v>
      </x:c>
      <x:c r="Q289" s="7" t="n">
        <x:f>1000*I289-U289</x:f>
        <x:v>2841311.397997574</x:v>
      </x:c>
      <x:c r="R289" s="7" t="n">
        <x:f>'損益分岐設定'!$B$18+'損益分岐設定'!$B$19+'損益分岐設定'!$B$20+'損益分岐設定'!E37+'損益分岐設定'!D37+AM289*('損益分岐設定'!$B$15+'損益分岐設定'!$B$16)+'損益分岐設定'!$B$17+E289*('損益分岐設定'!$B$13+(AM289-1)*'損益分岐設定'!$B$14)*'損益分岐設定'!$B$11</x:f>
        <x:v>35439.79669030532</x:v>
      </x:c>
      <x:c r="S289" s="7" t="n">
        <x:f>'損益分岐設定'!$B$18+'損益分岐設定'!$B$19+'損益分岐設定'!$B$20+'損益分岐設定'!E38+'損益分岐設定'!D38+AN289*('損益分岐設定'!$B$15+'損益分岐設定'!$B$16)+'損益分岐設定'!$B$17+E289*('損益分岐設定'!$B$13+(AN289-1)*'損益分岐設定'!$B$14)*'損益分岐設定'!$B$11</x:f>
        <x:v>50379.59338061063</x:v>
      </x:c>
      <x:c r="T289" s="7" t="n">
        <x:f>'損益分岐設定'!$B$18+'損益分岐設定'!$B$19+'損益分岐設定'!$B$20+'損益分岐設定'!E39+'損益分岐設定'!D39+AO289*('損益分岐設定'!$B$15+'損益分岐設定'!$B$16)+'損益分岐設定'!$B$17+E289*('損益分岐設定'!$B$13+(AO289-1)*'損益分岐設定'!$B$14)*'損益分岐設定'!$B$11</x:f>
        <x:v>72379.59338061063</x:v>
      </x:c>
      <x:c r="U289" s="7" t="n">
        <x:f>'損益分岐設定'!$B$18+'損益分岐設定'!$B$19+'損益分岐設定'!$B$20+'損益分岐設定'!E40+'損益分岐設定'!D40+AP289*('損益分岐設定'!$B$15+'損益分岐設定'!$B$16)+'損益分岐設定'!$B$17+E289*('損益分岐設定'!$B$13+(AP289-1)*'損益分岐設定'!$B$14)*'損益分岐設定'!$B$11</x:f>
        <x:v>102379.59338061063</x:v>
      </x:c>
      <x:c r="V289" s="1" t="n">
        <x:f>IF(I289&lt;=0,1001,IF(MAX('損益分岐設定'!B37,ROUNDUP(R289/I289,0))&lt;='損益分岐設定'!C37,MAX('損益分岐設定'!B37,ROUNDUP(R289/I289,0)),1001))</x:f>
        <x:v>1001</x:v>
      </x:c>
      <x:c r="W289" s="1" t="n">
        <x:f>IF(I289&lt;=0,1001,IF(MAX('損益分岐設定'!B38,ROUNDUP(S289/I289,0))&lt;='損益分岐設定'!C38,MAX('損益分岐設定'!B38,ROUNDUP(S289/I289,0)),1001))</x:f>
        <x:v>18</x:v>
      </x:c>
      <x:c r="X289" s="1" t="n">
        <x:f>IF(I289&lt;=0,1001,IF(MAX('損益分岐設定'!B39,ROUNDUP(T289/I289,0))&lt;='損益分岐設定'!C39,MAX('損益分岐設定'!B39,ROUNDUP(T289/I289,0)),1001))</x:f>
        <x:v>101</x:v>
      </x:c>
      <x:c r="Y289" s="1" t="n">
        <x:f>IF(I289&lt;=0,1001,IF(MAX('損益分岐設定'!B40,ROUNDUP(U289/I289,0))&lt;='損益分岐設定'!C40,MAX('損益分岐設定'!B40,ROUNDUP(U289/I289,0)),1001))</x:f>
        <x:v>501</x:v>
      </x:c>
      <x:c r="Z289" s="1" t="n">
        <x:f>IF(I289&lt;=0,'損益分岐設定'!C37,IF('損益分岐設定'!C37*I289-R289&lt;0,'損益分岐設定'!C37,IF('損益分岐設定'!B37*I289-R289&gt;=0,0,ROUNDUP(R289/I289,0)-1)))</x:f>
        <x:v>10</x:v>
      </x:c>
      <x:c r="AA289" s="1" t="n">
        <x:f>IF(I289&lt;=0,'損益分岐設定'!C38,IF('損益分岐設定'!C38*I289-S289&lt;0,'損益分岐設定'!C38,IF('損益分岐設定'!B38*I289-S289&gt;=0,0,ROUNDUP(S289/I289,0)-1)))</x:f>
        <x:v>17</x:v>
      </x:c>
      <x:c r="AB289" s="1" t="n">
        <x:f>IF(I289&lt;=0,'損益分岐設定'!C39,IF('損益分岐設定'!C39*I289-T289&lt;0,'損益分岐設定'!C39,IF('損益分岐設定'!B39*I289-T289&gt;=0,0,ROUNDUP(T289/I289,0)-1)))</x:f>
        <x:v>0</x:v>
      </x:c>
      <x:c r="AC289" s="1" t="n">
        <x:f>IF(I289&lt;=0,'損益分岐設定'!C40,IF('損益分岐設定'!C40*I289-U289&lt;0,'損益分岐設定'!C40,IF('損益分岐設定'!B40*I289-U289&gt;=0,0,ROUNDUP(U289/I289,0)-1)))</x:f>
        <x:v>0</x:v>
      </x:c>
      <x:c r="AD289" s="1" t="n">
        <x:f>'損益分岐設定'!$D$5/SUM('損益分岐設定'!$D$5:$D$7)</x:f>
        <x:v>0.5</x:v>
      </x:c>
      <x:c r="AE289" s="1" t="n">
        <x:f>'損益分岐設定'!$D$6/SUM('損益分岐設定'!$D$5:$D$7)</x:f>
        <x:v>0.3</x:v>
      </x:c>
      <x:c r="AF289" s="1" t="n">
        <x:f>'損益分岐設定'!$D$7/SUM('損益分岐設定'!$D$5:$D$7)</x:f>
        <x:v>0.2</x:v>
      </x:c>
      <x:c r="AG289" s="1" t="n">
        <x:f>AD289*'損益分岐設定'!$C$56+AE289*'損益分岐設定'!$C$59+AF289*'損益分岐設定'!$C$62</x:f>
        <x:v>110.51909573059083</x:v>
      </x:c>
      <x:c r="AH289" s="1" t="n">
        <x:f>AD289*'損益分岐設定'!$D$56+AE289*'損益分岐設定'!$D$59+AF289*'損益分岐設定'!$D$62</x:f>
        <x:v>27.75</x:v>
      </x:c>
      <x:c r="AI289" s="1" t="n">
        <x:f>AD289*'損益分岐設定'!$E$56+AE289*'損益分岐設定'!$E$59+AF289*'損益分岐設定'!$E$62</x:f>
        <x:v>18.5</x:v>
      </x:c>
      <x:c r="AJ289" s="1" t="n">
        <x:f>(AD289*'損益分岐設定'!$F$56+AE289*'損益分岐設定'!$F$59+AF289*'損益分岐設定'!$F$62*1)*'損益分岐設定'!$B$22</x:f>
        <x:v>27.75</x:v>
      </x:c>
      <x:c r="AK289" s="1" t="n">
        <x:f>AD289*'損益分岐設定'!$G$56+AE289*'損益分岐設定'!$G$59+AF289*'損益分岐設定'!$G$62</x:f>
        <x:v>92.5</x:v>
      </x:c>
      <x:c r="AL289" s="1" t="n">
        <x:f>AD289*'損益分岐設定'!$H$56+AE289*'損益分岐設定'!$H$59+AF289*'損益分岐設定'!$H$62</x:f>
        <x:v>323.33333333333337</x:v>
      </x:c>
      <x:c r="AM289" s="1" t="n">
        <x:f>MAX(1,ROUNDUP('損益分岐設定'!C37*AJ289/('損益分岐設定'!$B$23*'損益分岐設定'!$B$24*3600*'損益分岐設定'!$B$25),0))</x:f>
        <x:v>1</x:v>
      </x:c>
      <x:c r="AN289" s="1" t="n">
        <x:f>MAX(2,ROUNDUP('損益分岐設定'!C38*AJ289/('損益分岐設定'!$B$23*'損益分岐設定'!$B$24*3600*'損益分岐設定'!$B$25),0))</x:f>
        <x:v>2</x:v>
      </x:c>
      <x:c r="AO289" s="1" t="n">
        <x:f>MAX(2,ROUNDUP('損益分岐設定'!C39*AJ289/('損益分岐設定'!$B$23*'損益分岐設定'!$B$24*3600*'損益分岐設定'!$B$25),0))</x:f>
        <x:v>2</x:v>
      </x:c>
      <x:c r="AP289" s="1" t="n">
        <x:f>MAX(2,ROUNDUP('損益分岐設定'!C40*AJ289/('損益分岐設定'!$B$23*'損益分岐設定'!$B$24*3600*'損益分岐設定'!$B$25),0))</x:f>
        <x:v>2</x:v>
      </x:c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 ht="23" customHeight="1">
      <x:c r="A290" s="1" t="str">
        <x:v>Hybrid</x:v>
      </x:c>
      <x:c r="B290" s="1" t="str">
        <x:v>混在</x:v>
      </x:c>
      <x:c r="C290" s="1" t="str">
        <x:v>低位</x:v>
      </x:c>
      <x:c r="D290" s="21" t="n">
        <x:v>0.3</x:v>
      </x:c>
      <x:c r="E290" s="1" t="n">
        <x:v>1</x:v>
      </x:c>
      <x:c r="F290" s="7" t="n">
        <x:f>AD290*'損益分岐設定'!$B$5+AE290*'損益分岐設定'!$B$6+AF290*'損益分岐設定'!$B$7</x:f>
        <x:v>4600</x:v>
      </x:c>
      <x:c r="G290" s="7" t="n">
        <x:f>AG290+(AH290+AI290)*('損益分岐設定'!$B$29+0.5*'損益分岐設定'!$B$30)+AK290*'損益分岐設定'!$B$33</x:f>
        <x:v>110.70900862181557</x:v>
      </x:c>
      <x:c r="H290" s="7" t="n">
        <x:f>AL290*E290</x:f>
        <x:v>323.33333333333337</x:v>
      </x:c>
      <x:c r="I290" s="7" t="n">
        <x:f>F290*(1-D290-'損益分岐設定'!$B$10)-G290-H290</x:f>
        <x:v>2620.3576580448507</x:v>
      </x:c>
      <x:c r="J290" s="1" t="n">
        <x:f>IF(MIN(V290:Y290)&gt;1000,"範囲内なし",MIN(V290:Y290))</x:f>
        <x:v>27</x:v>
      </x:c>
      <x:c r="K290" s="1" t="n">
        <x:f>IF(MAX(Z290:AC290)&gt;=1000,"範囲内なし",MAX(1,MAX(Z290:AC290)+1))</x:f>
        <x:v>27</x:v>
      </x:c>
      <x:c r="L290" s="7" t="n">
        <x:f>10*I290-R290</x:f>
        <x:v>-25236.22010985681</x:v>
      </x:c>
      <x:c r="M290" s="7" t="n">
        <x:f>30*I290-S290</x:f>
        <x:v>10231.13636073489</x:v>
      </x:c>
      <x:c r="N290" s="7" t="n">
        <x:f>50*I290-S290</x:f>
        <x:v>62638.2895216319</x:v>
      </x:c>
      <x:c r="O290" s="7" t="n">
        <x:f>100*I290-S290</x:f>
        <x:v>193656.17242387444</x:v>
      </x:c>
      <x:c r="P290" s="7" t="n">
        <x:f>300*I290-T290</x:f>
        <x:v>695727.7040328446</x:v>
      </x:c>
      <x:c r="Q290" s="7" t="n">
        <x:f>1000*I290-U290</x:f>
        <x:v>2499978.0646642405</x:v>
      </x:c>
      <x:c r="R290" s="7" t="n">
        <x:f>'損益分岐設定'!$B$18+'損益分岐設定'!$B$19+'損益分岐設定'!$B$20+'損益分岐設定'!E37+'損益分岐設定'!D37+AM290*('損益分岐設定'!$B$15+'損益分岐設定'!$B$16)+'損益分岐設定'!$B$17+E290*('損益分岐設定'!$B$13+(AM290-1)*'損益分岐設定'!$B$14)*'損益分岐設定'!$B$11</x:f>
        <x:v>51439.79669030532</x:v>
      </x:c>
      <x:c r="S290" s="7" t="n">
        <x:f>'損益分岐設定'!$B$18+'損益分岐設定'!$B$19+'損益分岐設定'!$B$20+'損益分岐設定'!E38+'損益分岐設定'!D38+AN290*('損益分岐設定'!$B$15+'損益分岐設定'!$B$16)+'損益分岐設定'!$B$17+E290*('損益分岐設定'!$B$13+(AN290-1)*'損益分岐設定'!$B$14)*'損益分岐設定'!$B$11</x:f>
        <x:v>68379.59338061063</x:v>
      </x:c>
      <x:c r="T290" s="7" t="n">
        <x:f>'損益分岐設定'!$B$18+'損益分岐設定'!$B$19+'損益分岐設定'!$B$20+'損益分岐設定'!E39+'損益分岐設定'!D39+AO290*('損益分岐設定'!$B$15+'損益分岐設定'!$B$16)+'損益分岐設定'!$B$17+E290*('損益分岐設定'!$B$13+(AO290-1)*'損益分岐設定'!$B$14)*'損益分岐設定'!$B$11</x:f>
        <x:v>90379.59338061063</x:v>
      </x:c>
      <x:c r="U290" s="7" t="n">
        <x:f>'損益分岐設定'!$B$18+'損益分岐設定'!$B$19+'損益分岐設定'!$B$20+'損益分岐設定'!E40+'損益分岐設定'!D40+AP290*('損益分岐設定'!$B$15+'損益分岐設定'!$B$16)+'損益分岐設定'!$B$17+E290*('損益分岐設定'!$B$13+(AP290-1)*'損益分岐設定'!$B$14)*'損益分岐設定'!$B$11</x:f>
        <x:v>120379.59338061063</x:v>
      </x:c>
      <x:c r="V290" s="1" t="n">
        <x:f>IF(I290&lt;=0,1001,IF(MAX('損益分岐設定'!B37,ROUNDUP(R290/I290,0))&lt;='損益分岐設定'!C37,MAX('損益分岐設定'!B37,ROUNDUP(R290/I290,0)),1001))</x:f>
        <x:v>1001</x:v>
      </x:c>
      <x:c r="W290" s="1" t="n">
        <x:f>IF(I290&lt;=0,1001,IF(MAX('損益分岐設定'!B38,ROUNDUP(S290/I290,0))&lt;='損益分岐設定'!C38,MAX('損益分岐設定'!B38,ROUNDUP(S290/I290,0)),1001))</x:f>
        <x:v>27</x:v>
      </x:c>
      <x:c r="X290" s="1" t="n">
        <x:f>IF(I290&lt;=0,1001,IF(MAX('損益分岐設定'!B39,ROUNDUP(T290/I290,0))&lt;='損益分岐設定'!C39,MAX('損益分岐設定'!B39,ROUNDUP(T290/I290,0)),1001))</x:f>
        <x:v>101</x:v>
      </x:c>
      <x:c r="Y290" s="1" t="n">
        <x:f>IF(I290&lt;=0,1001,IF(MAX('損益分岐設定'!B40,ROUNDUP(U290/I290,0))&lt;='損益分岐設定'!C40,MAX('損益分岐設定'!B40,ROUNDUP(U290/I290,0)),1001))</x:f>
        <x:v>501</x:v>
      </x:c>
      <x:c r="Z290" s="1" t="n">
        <x:f>IF(I290&lt;=0,'損益分岐設定'!C37,IF('損益分岐設定'!C37*I290-R290&lt;0,'損益分岐設定'!C37,IF('損益分岐設定'!B37*I290-R290&gt;=0,0,ROUNDUP(R290/I290,0)-1)))</x:f>
        <x:v>10</x:v>
      </x:c>
      <x:c r="AA290" s="1" t="n">
        <x:f>IF(I290&lt;=0,'損益分岐設定'!C38,IF('損益分岐設定'!C38*I290-S290&lt;0,'損益分岐設定'!C38,IF('損益分岐設定'!B38*I290-S290&gt;=0,0,ROUNDUP(S290/I290,0)-1)))</x:f>
        <x:v>26</x:v>
      </x:c>
      <x:c r="AB290" s="1" t="n">
        <x:f>IF(I290&lt;=0,'損益分岐設定'!C39,IF('損益分岐設定'!C39*I290-T290&lt;0,'損益分岐設定'!C39,IF('損益分岐設定'!B39*I290-T290&gt;=0,0,ROUNDUP(T290/I290,0)-1)))</x:f>
        <x:v>0</x:v>
      </x:c>
      <x:c r="AC290" s="1" t="n">
        <x:f>IF(I290&lt;=0,'損益分岐設定'!C40,IF('損益分岐設定'!C40*I290-U290&lt;0,'損益分岐設定'!C40,IF('損益分岐設定'!B40*I290-U290&gt;=0,0,ROUNDUP(U290/I290,0)-1)))</x:f>
        <x:v>0</x:v>
      </x:c>
      <x:c r="AD290" s="1" t="n">
        <x:f>'損益分岐設定'!$D$5/SUM('損益分岐設定'!$D$5:$D$7)</x:f>
        <x:v>0.5</x:v>
      </x:c>
      <x:c r="AE290" s="1" t="n">
        <x:f>'損益分岐設定'!$D$6/SUM('損益分岐設定'!$D$5:$D$7)</x:f>
        <x:v>0.3</x:v>
      </x:c>
      <x:c r="AF290" s="1" t="n">
        <x:f>'損益分岐設定'!$D$7/SUM('損益分岐設定'!$D$5:$D$7)</x:f>
        <x:v>0.2</x:v>
      </x:c>
      <x:c r="AG290" s="1" t="n">
        <x:f>AD290*'損益分岐設定'!$C$56+AE290*'損益分岐設定'!$C$59+AF290*'損益分岐設定'!$C$62</x:f>
        <x:v>110.51909573059083</x:v>
      </x:c>
      <x:c r="AH290" s="1" t="n">
        <x:f>AD290*'損益分岐設定'!$D$56+AE290*'損益分岐設定'!$D$59+AF290*'損益分岐設定'!$D$62</x:f>
        <x:v>27.75</x:v>
      </x:c>
      <x:c r="AI290" s="1" t="n">
        <x:f>AD290*'損益分岐設定'!$E$56+AE290*'損益分岐設定'!$E$59+AF290*'損益分岐設定'!$E$62</x:f>
        <x:v>18.5</x:v>
      </x:c>
      <x:c r="AJ290" s="1" t="n">
        <x:f>(AD290*'損益分岐設定'!$F$56+AE290*'損益分岐設定'!$F$59+AF290*'損益分岐設定'!$F$62*1)*'損益分岐設定'!$B$22</x:f>
        <x:v>27.75</x:v>
      </x:c>
      <x:c r="AK290" s="1" t="n">
        <x:f>AD290*'損益分岐設定'!$G$56+AE290*'損益分岐設定'!$G$59+AF290*'損益分岐設定'!$G$62</x:f>
        <x:v>92.5</x:v>
      </x:c>
      <x:c r="AL290" s="1" t="n">
        <x:f>AD290*'損益分岐設定'!$H$56+AE290*'損益分岐設定'!$H$59+AF290*'損益分岐設定'!$H$62</x:f>
        <x:v>323.33333333333337</x:v>
      </x:c>
      <x:c r="AM290" s="1" t="n">
        <x:f>MAX(1,ROUNDUP('損益分岐設定'!C37*AJ290/('損益分岐設定'!$B$23*'損益分岐設定'!$B$24*3600*'損益分岐設定'!$B$25),0))</x:f>
        <x:v>1</x:v>
      </x:c>
      <x:c r="AN290" s="1" t="n">
        <x:f>MAX(2,ROUNDUP('損益分岐設定'!C38*AJ290/('損益分岐設定'!$B$23*'損益分岐設定'!$B$24*3600*'損益分岐設定'!$B$25),0))</x:f>
        <x:v>2</x:v>
      </x:c>
      <x:c r="AO290" s="1" t="n">
        <x:f>MAX(2,ROUNDUP('損益分岐設定'!C39*AJ290/('損益分岐設定'!$B$23*'損益分岐設定'!$B$24*3600*'損益分岐設定'!$B$25),0))</x:f>
        <x:v>2</x:v>
      </x:c>
      <x:c r="AP290" s="1" t="n">
        <x:f>MAX(2,ROUNDUP('損益分岐設定'!C40*AJ290/('損益分岐設定'!$B$23*'損益分岐設定'!$B$24*3600*'損益分岐設定'!$B$25),0))</x:f>
        <x:v>2</x:v>
      </x:c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 ht="23" customHeight="1">
      <x:c r="A291" s="1" t="str">
        <x:v>Hybrid</x:v>
      </x:c>
      <x:c r="B291" s="1" t="str">
        <x:v>混在</x:v>
      </x:c>
      <x:c r="C291" s="1" t="str">
        <x:v>低位</x:v>
      </x:c>
      <x:c r="D291" s="21" t="n">
        <x:v>0.4</x:v>
      </x:c>
      <x:c r="E291" s="1" t="n">
        <x:v>0</x:v>
      </x:c>
      <x:c r="F291" s="7" t="n">
        <x:f>AD291*'損益分岐設定'!$B$5+AE291*'損益分岐設定'!$B$6+AF291*'損益分岐設定'!$B$7</x:f>
        <x:v>4600</x:v>
      </x:c>
      <x:c r="G291" s="7" t="n">
        <x:f>AG291+(AH291+AI291)*('損益分岐設定'!$B$29+0.5*'損益分岐設定'!$B$30)+AK291*'損益分岐設定'!$B$33</x:f>
        <x:v>110.70900862181557</x:v>
      </x:c>
      <x:c r="H291" s="7" t="n">
        <x:f>AL291*E291</x:f>
        <x:v>0</x:v>
      </x:c>
      <x:c r="I291" s="7" t="n">
        <x:f>F291*(1-D291-'損益分岐設定'!$B$10)-G291-H291</x:f>
        <x:v>2483.690991378184</x:v>
      </x:c>
      <x:c r="J291" s="1" t="n">
        <x:f>IF(MIN(V291:Y291)&gt;1000,"範囲内なし",MIN(V291:Y291))</x:f>
        <x:v>21</x:v>
      </x:c>
      <x:c r="K291" s="1" t="n">
        <x:f>IF(MAX(Z291:AC291)&gt;=1000,"範囲内なし",MAX(1,MAX(Z291:AC291)+1))</x:f>
        <x:v>21</x:v>
      </x:c>
      <x:c r="L291" s="7" t="n">
        <x:f>10*I291-R291</x:f>
        <x:v>-10602.886776523475</x:v>
      </x:c>
      <x:c r="M291" s="7" t="n">
        <x:f>30*I291-S291</x:f>
        <x:v>24131.13636073489</x:v>
      </x:c>
      <x:c r="N291" s="7" t="n">
        <x:f>50*I291-S291</x:f>
        <x:v>73804.95618829857</x:v>
      </x:c>
      <x:c r="O291" s="7" t="n">
        <x:f>100*I291-S291</x:f>
        <x:v>197989.50575720778</x:v>
      </x:c>
      <x:c r="P291" s="7" t="n">
        <x:f>300*I291-T291</x:f>
        <x:v>672727.7040328446</x:v>
      </x:c>
      <x:c r="Q291" s="7" t="n">
        <x:f>1000*I291-U291</x:f>
        <x:v>2381311.397997574</x:v>
      </x:c>
      <x:c r="R291" s="7" t="n">
        <x:f>'損益分岐設定'!$B$18+'損益分岐設定'!$B$19+'損益分岐設定'!$B$20+'損益分岐設定'!E37+'損益分岐設定'!D37+AM291*('損益分岐設定'!$B$15+'損益分岐設定'!$B$16)+'損益分岐設定'!$B$17+E291*('損益分岐設定'!$B$13+(AM291-1)*'損益分岐設定'!$B$14)*'損益分岐設定'!$B$11</x:f>
        <x:v>35439.79669030532</x:v>
      </x:c>
      <x:c r="S291" s="7" t="n">
        <x:f>'損益分岐設定'!$B$18+'損益分岐設定'!$B$19+'損益分岐設定'!$B$20+'損益分岐設定'!E38+'損益分岐設定'!D38+AN291*('損益分岐設定'!$B$15+'損益分岐設定'!$B$16)+'損益分岐設定'!$B$17+E291*('損益分岐設定'!$B$13+(AN291-1)*'損益分岐設定'!$B$14)*'損益分岐設定'!$B$11</x:f>
        <x:v>50379.59338061063</x:v>
      </x:c>
      <x:c r="T291" s="7" t="n">
        <x:f>'損益分岐設定'!$B$18+'損益分岐設定'!$B$19+'損益分岐設定'!$B$20+'損益分岐設定'!E39+'損益分岐設定'!D39+AO291*('損益分岐設定'!$B$15+'損益分岐設定'!$B$16)+'損益分岐設定'!$B$17+E291*('損益分岐設定'!$B$13+(AO291-1)*'損益分岐設定'!$B$14)*'損益分岐設定'!$B$11</x:f>
        <x:v>72379.59338061063</x:v>
      </x:c>
      <x:c r="U291" s="7" t="n">
        <x:f>'損益分岐設定'!$B$18+'損益分岐設定'!$B$19+'損益分岐設定'!$B$20+'損益分岐設定'!E40+'損益分岐設定'!D40+AP291*('損益分岐設定'!$B$15+'損益分岐設定'!$B$16)+'損益分岐設定'!$B$17+E291*('損益分岐設定'!$B$13+(AP291-1)*'損益分岐設定'!$B$14)*'損益分岐設定'!$B$11</x:f>
        <x:v>102379.59338061063</x:v>
      </x:c>
      <x:c r="V291" s="1" t="n">
        <x:f>IF(I291&lt;=0,1001,IF(MAX('損益分岐設定'!B37,ROUNDUP(R291/I291,0))&lt;='損益分岐設定'!C37,MAX('損益分岐設定'!B37,ROUNDUP(R291/I291,0)),1001))</x:f>
        <x:v>1001</x:v>
      </x:c>
      <x:c r="W291" s="1" t="n">
        <x:f>IF(I291&lt;=0,1001,IF(MAX('損益分岐設定'!B38,ROUNDUP(S291/I291,0))&lt;='損益分岐設定'!C38,MAX('損益分岐設定'!B38,ROUNDUP(S291/I291,0)),1001))</x:f>
        <x:v>21</x:v>
      </x:c>
      <x:c r="X291" s="1" t="n">
        <x:f>IF(I291&lt;=0,1001,IF(MAX('損益分岐設定'!B39,ROUNDUP(T291/I291,0))&lt;='損益分岐設定'!C39,MAX('損益分岐設定'!B39,ROUNDUP(T291/I291,0)),1001))</x:f>
        <x:v>101</x:v>
      </x:c>
      <x:c r="Y291" s="1" t="n">
        <x:f>IF(I291&lt;=0,1001,IF(MAX('損益分岐設定'!B40,ROUNDUP(U291/I291,0))&lt;='損益分岐設定'!C40,MAX('損益分岐設定'!B40,ROUNDUP(U291/I291,0)),1001))</x:f>
        <x:v>501</x:v>
      </x:c>
      <x:c r="Z291" s="1" t="n">
        <x:f>IF(I291&lt;=0,'損益分岐設定'!C37,IF('損益分岐設定'!C37*I291-R291&lt;0,'損益分岐設定'!C37,IF('損益分岐設定'!B37*I291-R291&gt;=0,0,ROUNDUP(R291/I291,0)-1)))</x:f>
        <x:v>10</x:v>
      </x:c>
      <x:c r="AA291" s="1" t="n">
        <x:f>IF(I291&lt;=0,'損益分岐設定'!C38,IF('損益分岐設定'!C38*I291-S291&lt;0,'損益分岐設定'!C38,IF('損益分岐設定'!B38*I291-S291&gt;=0,0,ROUNDUP(S291/I291,0)-1)))</x:f>
        <x:v>20</x:v>
      </x:c>
      <x:c r="AB291" s="1" t="n">
        <x:f>IF(I291&lt;=0,'損益分岐設定'!C39,IF('損益分岐設定'!C39*I291-T291&lt;0,'損益分岐設定'!C39,IF('損益分岐設定'!B39*I291-T291&gt;=0,0,ROUNDUP(T291/I291,0)-1)))</x:f>
        <x:v>0</x:v>
      </x:c>
      <x:c r="AC291" s="1" t="n">
        <x:f>IF(I291&lt;=0,'損益分岐設定'!C40,IF('損益分岐設定'!C40*I291-U291&lt;0,'損益分岐設定'!C40,IF('損益分岐設定'!B40*I291-U291&gt;=0,0,ROUNDUP(U291/I291,0)-1)))</x:f>
        <x:v>0</x:v>
      </x:c>
      <x:c r="AD291" s="1" t="n">
        <x:f>'損益分岐設定'!$D$5/SUM('損益分岐設定'!$D$5:$D$7)</x:f>
        <x:v>0.5</x:v>
      </x:c>
      <x:c r="AE291" s="1" t="n">
        <x:f>'損益分岐設定'!$D$6/SUM('損益分岐設定'!$D$5:$D$7)</x:f>
        <x:v>0.3</x:v>
      </x:c>
      <x:c r="AF291" s="1" t="n">
        <x:f>'損益分岐設定'!$D$7/SUM('損益分岐設定'!$D$5:$D$7)</x:f>
        <x:v>0.2</x:v>
      </x:c>
      <x:c r="AG291" s="1" t="n">
        <x:f>AD291*'損益分岐設定'!$C$56+AE291*'損益分岐設定'!$C$59+AF291*'損益分岐設定'!$C$62</x:f>
        <x:v>110.51909573059083</x:v>
      </x:c>
      <x:c r="AH291" s="1" t="n">
        <x:f>AD291*'損益分岐設定'!$D$56+AE291*'損益分岐設定'!$D$59+AF291*'損益分岐設定'!$D$62</x:f>
        <x:v>27.75</x:v>
      </x:c>
      <x:c r="AI291" s="1" t="n">
        <x:f>AD291*'損益分岐設定'!$E$56+AE291*'損益分岐設定'!$E$59+AF291*'損益分岐設定'!$E$62</x:f>
        <x:v>18.5</x:v>
      </x:c>
      <x:c r="AJ291" s="1" t="n">
        <x:f>(AD291*'損益分岐設定'!$F$56+AE291*'損益分岐設定'!$F$59+AF291*'損益分岐設定'!$F$62*1)*'損益分岐設定'!$B$22</x:f>
        <x:v>27.75</x:v>
      </x:c>
      <x:c r="AK291" s="1" t="n">
        <x:f>AD291*'損益分岐設定'!$G$56+AE291*'損益分岐設定'!$G$59+AF291*'損益分岐設定'!$G$62</x:f>
        <x:v>92.5</x:v>
      </x:c>
      <x:c r="AL291" s="1" t="n">
        <x:f>AD291*'損益分岐設定'!$H$56+AE291*'損益分岐設定'!$H$59+AF291*'損益分岐設定'!$H$62</x:f>
        <x:v>323.33333333333337</x:v>
      </x:c>
      <x:c r="AM291" s="1" t="n">
        <x:f>MAX(1,ROUNDUP('損益分岐設定'!C37*AJ291/('損益分岐設定'!$B$23*'損益分岐設定'!$B$24*3600*'損益分岐設定'!$B$25),0))</x:f>
        <x:v>1</x:v>
      </x:c>
      <x:c r="AN291" s="1" t="n">
        <x:f>MAX(2,ROUNDUP('損益分岐設定'!C38*AJ291/('損益分岐設定'!$B$23*'損益分岐設定'!$B$24*3600*'損益分岐設定'!$B$25),0))</x:f>
        <x:v>2</x:v>
      </x:c>
      <x:c r="AO291" s="1" t="n">
        <x:f>MAX(2,ROUNDUP('損益分岐設定'!C39*AJ291/('損益分岐設定'!$B$23*'損益分岐設定'!$B$24*3600*'損益分岐設定'!$B$25),0))</x:f>
        <x:v>2</x:v>
      </x:c>
      <x:c r="AP291" s="1" t="n">
        <x:f>MAX(2,ROUNDUP('損益分岐設定'!C40*AJ291/('損益分岐設定'!$B$23*'損益分岐設定'!$B$24*3600*'損益分岐設定'!$B$25),0))</x:f>
        <x:v>2</x:v>
      </x:c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 ht="23" customHeight="1">
      <x:c r="A292" s="1" t="str">
        <x:v>Hybrid</x:v>
      </x:c>
      <x:c r="B292" s="1" t="str">
        <x:v>混在</x:v>
      </x:c>
      <x:c r="C292" s="1" t="str">
        <x:v>低位</x:v>
      </x:c>
      <x:c r="D292" s="21" t="n">
        <x:v>0.4</x:v>
      </x:c>
      <x:c r="E292" s="1" t="n">
        <x:v>1</x:v>
      </x:c>
      <x:c r="F292" s="7" t="n">
        <x:f>AD292*'損益分岐設定'!$B$5+AE292*'損益分岐設定'!$B$6+AF292*'損益分岐設定'!$B$7</x:f>
        <x:v>4600</x:v>
      </x:c>
      <x:c r="G292" s="7" t="n">
        <x:f>AG292+(AH292+AI292)*('損益分岐設定'!$B$29+0.5*'損益分岐設定'!$B$30)+AK292*'損益分岐設定'!$B$33</x:f>
        <x:v>110.70900862181557</x:v>
      </x:c>
      <x:c r="H292" s="7" t="n">
        <x:f>AL292*E292</x:f>
        <x:v>323.33333333333337</x:v>
      </x:c>
      <x:c r="I292" s="7" t="n">
        <x:f>F292*(1-D292-'損益分岐設定'!$B$10)-G292-H292</x:f>
        <x:v>2160.3576580448507</x:v>
      </x:c>
      <x:c r="J292" s="1" t="n">
        <x:f>IF(MIN(V292:Y292)&gt;1000,"範囲内なし",MIN(V292:Y292))</x:f>
        <x:v>32</x:v>
      </x:c>
      <x:c r="K292" s="1" t="n">
        <x:f>IF(MAX(Z292:AC292)&gt;=1000,"範囲内なし",MAX(1,MAX(Z292:AC292)+1))</x:f>
        <x:v>32</x:v>
      </x:c>
      <x:c r="L292" s="7" t="n">
        <x:f>10*I292-R292</x:f>
        <x:v>-29836.22010985681</x:v>
      </x:c>
      <x:c r="M292" s="7" t="n">
        <x:f>30*I292-S292</x:f>
        <x:v>-3568.8636392651097</x:v>
      </x:c>
      <x:c r="N292" s="7" t="n">
        <x:f>50*I292-S292</x:f>
        <x:v>39638.2895216319</x:v>
      </x:c>
      <x:c r="O292" s="7" t="n">
        <x:f>100*I292-S292</x:f>
        <x:v>147656.17242387444</x:v>
      </x:c>
      <x:c r="P292" s="7" t="n">
        <x:f>300*I292-T292</x:f>
        <x:v>557727.7040328446</x:v>
      </x:c>
      <x:c r="Q292" s="7" t="n">
        <x:f>1000*I292-U292</x:f>
        <x:v>2039978.0646642402</x:v>
      </x:c>
      <x:c r="R292" s="7" t="n">
        <x:f>'損益分岐設定'!$B$18+'損益分岐設定'!$B$19+'損益分岐設定'!$B$20+'損益分岐設定'!E37+'損益分岐設定'!D37+AM292*('損益分岐設定'!$B$15+'損益分岐設定'!$B$16)+'損益分岐設定'!$B$17+E292*('損益分岐設定'!$B$13+(AM292-1)*'損益分岐設定'!$B$14)*'損益分岐設定'!$B$11</x:f>
        <x:v>51439.79669030532</x:v>
      </x:c>
      <x:c r="S292" s="7" t="n">
        <x:f>'損益分岐設定'!$B$18+'損益分岐設定'!$B$19+'損益分岐設定'!$B$20+'損益分岐設定'!E38+'損益分岐設定'!D38+AN292*('損益分岐設定'!$B$15+'損益分岐設定'!$B$16)+'損益分岐設定'!$B$17+E292*('損益分岐設定'!$B$13+(AN292-1)*'損益分岐設定'!$B$14)*'損益分岐設定'!$B$11</x:f>
        <x:v>68379.59338061063</x:v>
      </x:c>
      <x:c r="T292" s="7" t="n">
        <x:f>'損益分岐設定'!$B$18+'損益分岐設定'!$B$19+'損益分岐設定'!$B$20+'損益分岐設定'!E39+'損益分岐設定'!D39+AO292*('損益分岐設定'!$B$15+'損益分岐設定'!$B$16)+'損益分岐設定'!$B$17+E292*('損益分岐設定'!$B$13+(AO292-1)*'損益分岐設定'!$B$14)*'損益分岐設定'!$B$11</x:f>
        <x:v>90379.59338061063</x:v>
      </x:c>
      <x:c r="U292" s="7" t="n">
        <x:f>'損益分岐設定'!$B$18+'損益分岐設定'!$B$19+'損益分岐設定'!$B$20+'損益分岐設定'!E40+'損益分岐設定'!D40+AP292*('損益分岐設定'!$B$15+'損益分岐設定'!$B$16)+'損益分岐設定'!$B$17+E292*('損益分岐設定'!$B$13+(AP292-1)*'損益分岐設定'!$B$14)*'損益分岐設定'!$B$11</x:f>
        <x:v>120379.59338061063</x:v>
      </x:c>
      <x:c r="V292" s="1" t="n">
        <x:f>IF(I292&lt;=0,1001,IF(MAX('損益分岐設定'!B37,ROUNDUP(R292/I292,0))&lt;='損益分岐設定'!C37,MAX('損益分岐設定'!B37,ROUNDUP(R292/I292,0)),1001))</x:f>
        <x:v>1001</x:v>
      </x:c>
      <x:c r="W292" s="1" t="n">
        <x:f>IF(I292&lt;=0,1001,IF(MAX('損益分岐設定'!B38,ROUNDUP(S292/I292,0))&lt;='損益分岐設定'!C38,MAX('損益分岐設定'!B38,ROUNDUP(S292/I292,0)),1001))</x:f>
        <x:v>32</x:v>
      </x:c>
      <x:c r="X292" s="1" t="n">
        <x:f>IF(I292&lt;=0,1001,IF(MAX('損益分岐設定'!B39,ROUNDUP(T292/I292,0))&lt;='損益分岐設定'!C39,MAX('損益分岐設定'!B39,ROUNDUP(T292/I292,0)),1001))</x:f>
        <x:v>101</x:v>
      </x:c>
      <x:c r="Y292" s="1" t="n">
        <x:f>IF(I292&lt;=0,1001,IF(MAX('損益分岐設定'!B40,ROUNDUP(U292/I292,0))&lt;='損益分岐設定'!C40,MAX('損益分岐設定'!B40,ROUNDUP(U292/I292,0)),1001))</x:f>
        <x:v>501</x:v>
      </x:c>
      <x:c r="Z292" s="1" t="n">
        <x:f>IF(I292&lt;=0,'損益分岐設定'!C37,IF('損益分岐設定'!C37*I292-R292&lt;0,'損益分岐設定'!C37,IF('損益分岐設定'!B37*I292-R292&gt;=0,0,ROUNDUP(R292/I292,0)-1)))</x:f>
        <x:v>10</x:v>
      </x:c>
      <x:c r="AA292" s="1" t="n">
        <x:f>IF(I292&lt;=0,'損益分岐設定'!C38,IF('損益分岐設定'!C38*I292-S292&lt;0,'損益分岐設定'!C38,IF('損益分岐設定'!B38*I292-S292&gt;=0,0,ROUNDUP(S292/I292,0)-1)))</x:f>
        <x:v>31</x:v>
      </x:c>
      <x:c r="AB292" s="1" t="n">
        <x:f>IF(I292&lt;=0,'損益分岐設定'!C39,IF('損益分岐設定'!C39*I292-T292&lt;0,'損益分岐設定'!C39,IF('損益分岐設定'!B39*I292-T292&gt;=0,0,ROUNDUP(T292/I292,0)-1)))</x:f>
        <x:v>0</x:v>
      </x:c>
      <x:c r="AC292" s="1" t="n">
        <x:f>IF(I292&lt;=0,'損益分岐設定'!C40,IF('損益分岐設定'!C40*I292-U292&lt;0,'損益分岐設定'!C40,IF('損益分岐設定'!B40*I292-U292&gt;=0,0,ROUNDUP(U292/I292,0)-1)))</x:f>
        <x:v>0</x:v>
      </x:c>
      <x:c r="AD292" s="1" t="n">
        <x:f>'損益分岐設定'!$D$5/SUM('損益分岐設定'!$D$5:$D$7)</x:f>
        <x:v>0.5</x:v>
      </x:c>
      <x:c r="AE292" s="1" t="n">
        <x:f>'損益分岐設定'!$D$6/SUM('損益分岐設定'!$D$5:$D$7)</x:f>
        <x:v>0.3</x:v>
      </x:c>
      <x:c r="AF292" s="1" t="n">
        <x:f>'損益分岐設定'!$D$7/SUM('損益分岐設定'!$D$5:$D$7)</x:f>
        <x:v>0.2</x:v>
      </x:c>
      <x:c r="AG292" s="1" t="n">
        <x:f>AD292*'損益分岐設定'!$C$56+AE292*'損益分岐設定'!$C$59+AF292*'損益分岐設定'!$C$62</x:f>
        <x:v>110.51909573059083</x:v>
      </x:c>
      <x:c r="AH292" s="1" t="n">
        <x:f>AD292*'損益分岐設定'!$D$56+AE292*'損益分岐設定'!$D$59+AF292*'損益分岐設定'!$D$62</x:f>
        <x:v>27.75</x:v>
      </x:c>
      <x:c r="AI292" s="1" t="n">
        <x:f>AD292*'損益分岐設定'!$E$56+AE292*'損益分岐設定'!$E$59+AF292*'損益分岐設定'!$E$62</x:f>
        <x:v>18.5</x:v>
      </x:c>
      <x:c r="AJ292" s="1" t="n">
        <x:f>(AD292*'損益分岐設定'!$F$56+AE292*'損益分岐設定'!$F$59+AF292*'損益分岐設定'!$F$62*1)*'損益分岐設定'!$B$22</x:f>
        <x:v>27.75</x:v>
      </x:c>
      <x:c r="AK292" s="1" t="n">
        <x:f>AD292*'損益分岐設定'!$G$56+AE292*'損益分岐設定'!$G$59+AF292*'損益分岐設定'!$G$62</x:f>
        <x:v>92.5</x:v>
      </x:c>
      <x:c r="AL292" s="1" t="n">
        <x:f>AD292*'損益分岐設定'!$H$56+AE292*'損益分岐設定'!$H$59+AF292*'損益分岐設定'!$H$62</x:f>
        <x:v>323.33333333333337</x:v>
      </x:c>
      <x:c r="AM292" s="1" t="n">
        <x:f>MAX(1,ROUNDUP('損益分岐設定'!C37*AJ292/('損益分岐設定'!$B$23*'損益分岐設定'!$B$24*3600*'損益分岐設定'!$B$25),0))</x:f>
        <x:v>1</x:v>
      </x:c>
      <x:c r="AN292" s="1" t="n">
        <x:f>MAX(2,ROUNDUP('損益分岐設定'!C38*AJ292/('損益分岐設定'!$B$23*'損益分岐設定'!$B$24*3600*'損益分岐設定'!$B$25),0))</x:f>
        <x:v>2</x:v>
      </x:c>
      <x:c r="AO292" s="1" t="n">
        <x:f>MAX(2,ROUNDUP('損益分岐設定'!C39*AJ292/('損益分岐設定'!$B$23*'損益分岐設定'!$B$24*3600*'損益分岐設定'!$B$25),0))</x:f>
        <x:v>2</x:v>
      </x:c>
      <x:c r="AP292" s="1" t="n">
        <x:f>MAX(2,ROUNDUP('損益分岐設定'!C40*AJ292/('損益分岐設定'!$B$23*'損益分岐設定'!$B$24*3600*'損益分岐設定'!$B$25),0))</x:f>
        <x:v>2</x:v>
      </x:c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 ht="23" customHeight="1">
      <x:c r="A293" s="1" t="str">
        <x:v>Hybrid</x:v>
      </x:c>
      <x:c r="B293" s="1" t="str">
        <x:v>混在</x:v>
      </x:c>
      <x:c r="C293" s="1" t="str">
        <x:v>低位</x:v>
      </x:c>
      <x:c r="D293" s="21" t="n">
        <x:v>0.5</x:v>
      </x:c>
      <x:c r="E293" s="1" t="n">
        <x:v>0</x:v>
      </x:c>
      <x:c r="F293" s="7" t="n">
        <x:f>AD293*'損益分岐設定'!$B$5+AE293*'損益分岐設定'!$B$6+AF293*'損益分岐設定'!$B$7</x:f>
        <x:v>4600</x:v>
      </x:c>
      <x:c r="G293" s="7" t="n">
        <x:f>AG293+(AH293+AI293)*('損益分岐設定'!$B$29+0.5*'損益分岐設定'!$B$30)+AK293*'損益分岐設定'!$B$33</x:f>
        <x:v>110.70900862181557</x:v>
      </x:c>
      <x:c r="H293" s="7" t="n">
        <x:f>AL293*E293</x:f>
        <x:v>0</x:v>
      </x:c>
      <x:c r="I293" s="7" t="n">
        <x:f>F293*(1-D293-'損益分岐設定'!$B$10)-G293-H293</x:f>
        <x:v>2023.6909913781844</x:v>
      </x:c>
      <x:c r="J293" s="1" t="n">
        <x:f>IF(MIN(V293:Y293)&gt;1000,"範囲内なし",MIN(V293:Y293))</x:f>
        <x:v>25</x:v>
      </x:c>
      <x:c r="K293" s="1" t="n">
        <x:f>IF(MAX(Z293:AC293)&gt;=1000,"範囲内なし",MAX(1,MAX(Z293:AC293)+1))</x:f>
        <x:v>25</x:v>
      </x:c>
      <x:c r="L293" s="7" t="n">
        <x:f>10*I293-R293</x:f>
        <x:v>-15202.886776523472</x:v>
      </x:c>
      <x:c r="M293" s="7" t="n">
        <x:f>30*I293-S293</x:f>
        <x:v>10331.136360734898</x:v>
      </x:c>
      <x:c r="N293" s="7" t="n">
        <x:f>50*I293-S293</x:f>
        <x:v>50804.95618829859</x:v>
      </x:c>
      <x:c r="O293" s="7" t="n">
        <x:f>100*I293-S293</x:f>
        <x:v>151989.5057572078</x:v>
      </x:c>
      <x:c r="P293" s="7" t="n">
        <x:f>300*I293-T293</x:f>
        <x:v>534727.7040328446</x:v>
      </x:c>
      <x:c r="Q293" s="7" t="n">
        <x:f>1000*I293-U293</x:f>
        <x:v>1921311.3979975737</x:v>
      </x:c>
      <x:c r="R293" s="7" t="n">
        <x:f>'損益分岐設定'!$B$18+'損益分岐設定'!$B$19+'損益分岐設定'!$B$20+'損益分岐設定'!E37+'損益分岐設定'!D37+AM293*('損益分岐設定'!$B$15+'損益分岐設定'!$B$16)+'損益分岐設定'!$B$17+E293*('損益分岐設定'!$B$13+(AM293-1)*'損益分岐設定'!$B$14)*'損益分岐設定'!$B$11</x:f>
        <x:v>35439.79669030532</x:v>
      </x:c>
      <x:c r="S293" s="7" t="n">
        <x:f>'損益分岐設定'!$B$18+'損益分岐設定'!$B$19+'損益分岐設定'!$B$20+'損益分岐設定'!E38+'損益分岐設定'!D38+AN293*('損益分岐設定'!$B$15+'損益分岐設定'!$B$16)+'損益分岐設定'!$B$17+E293*('損益分岐設定'!$B$13+(AN293-1)*'損益分岐設定'!$B$14)*'損益分岐設定'!$B$11</x:f>
        <x:v>50379.59338061063</x:v>
      </x:c>
      <x:c r="T293" s="7" t="n">
        <x:f>'損益分岐設定'!$B$18+'損益分岐設定'!$B$19+'損益分岐設定'!$B$20+'損益分岐設定'!E39+'損益分岐設定'!D39+AO293*('損益分岐設定'!$B$15+'損益分岐設定'!$B$16)+'損益分岐設定'!$B$17+E293*('損益分岐設定'!$B$13+(AO293-1)*'損益分岐設定'!$B$14)*'損益分岐設定'!$B$11</x:f>
        <x:v>72379.59338061063</x:v>
      </x:c>
      <x:c r="U293" s="7" t="n">
        <x:f>'損益分岐設定'!$B$18+'損益分岐設定'!$B$19+'損益分岐設定'!$B$20+'損益分岐設定'!E40+'損益分岐設定'!D40+AP293*('損益分岐設定'!$B$15+'損益分岐設定'!$B$16)+'損益分岐設定'!$B$17+E293*('損益分岐設定'!$B$13+(AP293-1)*'損益分岐設定'!$B$14)*'損益分岐設定'!$B$11</x:f>
        <x:v>102379.59338061063</x:v>
      </x:c>
      <x:c r="V293" s="1" t="n">
        <x:f>IF(I293&lt;=0,1001,IF(MAX('損益分岐設定'!B37,ROUNDUP(R293/I293,0))&lt;='損益分岐設定'!C37,MAX('損益分岐設定'!B37,ROUNDUP(R293/I293,0)),1001))</x:f>
        <x:v>1001</x:v>
      </x:c>
      <x:c r="W293" s="1" t="n">
        <x:f>IF(I293&lt;=0,1001,IF(MAX('損益分岐設定'!B38,ROUNDUP(S293/I293,0))&lt;='損益分岐設定'!C38,MAX('損益分岐設定'!B38,ROUNDUP(S293/I293,0)),1001))</x:f>
        <x:v>25</x:v>
      </x:c>
      <x:c r="X293" s="1" t="n">
        <x:f>IF(I293&lt;=0,1001,IF(MAX('損益分岐設定'!B39,ROUNDUP(T293/I293,0))&lt;='損益分岐設定'!C39,MAX('損益分岐設定'!B39,ROUNDUP(T293/I293,0)),1001))</x:f>
        <x:v>101</x:v>
      </x:c>
      <x:c r="Y293" s="1" t="n">
        <x:f>IF(I293&lt;=0,1001,IF(MAX('損益分岐設定'!B40,ROUNDUP(U293/I293,0))&lt;='損益分岐設定'!C40,MAX('損益分岐設定'!B40,ROUNDUP(U293/I293,0)),1001))</x:f>
        <x:v>501</x:v>
      </x:c>
      <x:c r="Z293" s="1" t="n">
        <x:f>IF(I293&lt;=0,'損益分岐設定'!C37,IF('損益分岐設定'!C37*I293-R293&lt;0,'損益分岐設定'!C37,IF('損益分岐設定'!B37*I293-R293&gt;=0,0,ROUNDUP(R293/I293,0)-1)))</x:f>
        <x:v>10</x:v>
      </x:c>
      <x:c r="AA293" s="1" t="n">
        <x:f>IF(I293&lt;=0,'損益分岐設定'!C38,IF('損益分岐設定'!C38*I293-S293&lt;0,'損益分岐設定'!C38,IF('損益分岐設定'!B38*I293-S293&gt;=0,0,ROUNDUP(S293/I293,0)-1)))</x:f>
        <x:v>24</x:v>
      </x:c>
      <x:c r="AB293" s="1" t="n">
        <x:f>IF(I293&lt;=0,'損益分岐設定'!C39,IF('損益分岐設定'!C39*I293-T293&lt;0,'損益分岐設定'!C39,IF('損益分岐設定'!B39*I293-T293&gt;=0,0,ROUNDUP(T293/I293,0)-1)))</x:f>
        <x:v>0</x:v>
      </x:c>
      <x:c r="AC293" s="1" t="n">
        <x:f>IF(I293&lt;=0,'損益分岐設定'!C40,IF('損益分岐設定'!C40*I293-U293&lt;0,'損益分岐設定'!C40,IF('損益分岐設定'!B40*I293-U293&gt;=0,0,ROUNDUP(U293/I293,0)-1)))</x:f>
        <x:v>0</x:v>
      </x:c>
      <x:c r="AD293" s="1" t="n">
        <x:f>'損益分岐設定'!$D$5/SUM('損益分岐設定'!$D$5:$D$7)</x:f>
        <x:v>0.5</x:v>
      </x:c>
      <x:c r="AE293" s="1" t="n">
        <x:f>'損益分岐設定'!$D$6/SUM('損益分岐設定'!$D$5:$D$7)</x:f>
        <x:v>0.3</x:v>
      </x:c>
      <x:c r="AF293" s="1" t="n">
        <x:f>'損益分岐設定'!$D$7/SUM('損益分岐設定'!$D$5:$D$7)</x:f>
        <x:v>0.2</x:v>
      </x:c>
      <x:c r="AG293" s="1" t="n">
        <x:f>AD293*'損益分岐設定'!$C$56+AE293*'損益分岐設定'!$C$59+AF293*'損益分岐設定'!$C$62</x:f>
        <x:v>110.51909573059083</x:v>
      </x:c>
      <x:c r="AH293" s="1" t="n">
        <x:f>AD293*'損益分岐設定'!$D$56+AE293*'損益分岐設定'!$D$59+AF293*'損益分岐設定'!$D$62</x:f>
        <x:v>27.75</x:v>
      </x:c>
      <x:c r="AI293" s="1" t="n">
        <x:f>AD293*'損益分岐設定'!$E$56+AE293*'損益分岐設定'!$E$59+AF293*'損益分岐設定'!$E$62</x:f>
        <x:v>18.5</x:v>
      </x:c>
      <x:c r="AJ293" s="1" t="n">
        <x:f>(AD293*'損益分岐設定'!$F$56+AE293*'損益分岐設定'!$F$59+AF293*'損益分岐設定'!$F$62*1)*'損益分岐設定'!$B$22</x:f>
        <x:v>27.75</x:v>
      </x:c>
      <x:c r="AK293" s="1" t="n">
        <x:f>AD293*'損益分岐設定'!$G$56+AE293*'損益分岐設定'!$G$59+AF293*'損益分岐設定'!$G$62</x:f>
        <x:v>92.5</x:v>
      </x:c>
      <x:c r="AL293" s="1" t="n">
        <x:f>AD293*'損益分岐設定'!$H$56+AE293*'損益分岐設定'!$H$59+AF293*'損益分岐設定'!$H$62</x:f>
        <x:v>323.33333333333337</x:v>
      </x:c>
      <x:c r="AM293" s="1" t="n">
        <x:f>MAX(1,ROUNDUP('損益分岐設定'!C37*AJ293/('損益分岐設定'!$B$23*'損益分岐設定'!$B$24*3600*'損益分岐設定'!$B$25),0))</x:f>
        <x:v>1</x:v>
      </x:c>
      <x:c r="AN293" s="1" t="n">
        <x:f>MAX(2,ROUNDUP('損益分岐設定'!C38*AJ293/('損益分岐設定'!$B$23*'損益分岐設定'!$B$24*3600*'損益分岐設定'!$B$25),0))</x:f>
        <x:v>2</x:v>
      </x:c>
      <x:c r="AO293" s="1" t="n">
        <x:f>MAX(2,ROUNDUP('損益分岐設定'!C39*AJ293/('損益分岐設定'!$B$23*'損益分岐設定'!$B$24*3600*'損益分岐設定'!$B$25),0))</x:f>
        <x:v>2</x:v>
      </x:c>
      <x:c r="AP293" s="1" t="n">
        <x:f>MAX(2,ROUNDUP('損益分岐設定'!C40*AJ293/('損益分岐設定'!$B$23*'損益分岐設定'!$B$24*3600*'損益分岐設定'!$B$25),0))</x:f>
        <x:v>2</x:v>
      </x:c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 ht="23" customHeight="1">
      <x:c r="A294" s="1" t="str">
        <x:v>Hybrid</x:v>
      </x:c>
      <x:c r="B294" s="1" t="str">
        <x:v>混在</x:v>
      </x:c>
      <x:c r="C294" s="1" t="str">
        <x:v>低位</x:v>
      </x:c>
      <x:c r="D294" s="21" t="n">
        <x:v>0.5</x:v>
      </x:c>
      <x:c r="E294" s="1" t="n">
        <x:v>1</x:v>
      </x:c>
      <x:c r="F294" s="7" t="n">
        <x:f>AD294*'損益分岐設定'!$B$5+AE294*'損益分岐設定'!$B$6+AF294*'損益分岐設定'!$B$7</x:f>
        <x:v>4600</x:v>
      </x:c>
      <x:c r="G294" s="7" t="n">
        <x:f>AG294+(AH294+AI294)*('損益分岐設定'!$B$29+0.5*'損益分岐設定'!$B$30)+AK294*'損益分岐設定'!$B$33</x:f>
        <x:v>110.70900862181557</x:v>
      </x:c>
      <x:c r="H294" s="7" t="n">
        <x:f>AL294*E294</x:f>
        <x:v>323.33333333333337</x:v>
      </x:c>
      <x:c r="I294" s="7" t="n">
        <x:f>F294*(1-D294-'損益分岐設定'!$B$10)-G294-H294</x:f>
        <x:v>1700.3576580448512</x:v>
      </x:c>
      <x:c r="J294" s="1" t="n">
        <x:f>IF(MIN(V294:Y294)&gt;1000,"範囲内なし",MIN(V294:Y294))</x:f>
        <x:v>41</x:v>
      </x:c>
      <x:c r="K294" s="1" t="n">
        <x:f>IF(MAX(Z294:AC294)&gt;=1000,"範囲内なし",MAX(1,MAX(Z294:AC294)+1))</x:f>
        <x:v>41</x:v>
      </x:c>
      <x:c r="L294" s="7" t="n">
        <x:f>10*I294-R294</x:f>
        <x:v>-34436.220109856804</x:v>
      </x:c>
      <x:c r="M294" s="7" t="n">
        <x:f>30*I294-S294</x:f>
        <x:v>-17368.863639265095</x:v>
      </x:c>
      <x:c r="N294" s="7" t="n">
        <x:f>50*I294-S294</x:f>
        <x:v>16638.28952163193</x:v>
      </x:c>
      <x:c r="O294" s="7" t="n">
        <x:f>100*I294-S294</x:f>
        <x:v>101656.1724238745</x:v>
      </x:c>
      <x:c r="P294" s="7" t="n">
        <x:f>300*I294-T294</x:f>
        <x:v>419727.70403284475</x:v>
      </x:c>
      <x:c r="Q294" s="7" t="n">
        <x:f>1000*I294-U294</x:f>
        <x:v>1579978.0646642405</x:v>
      </x:c>
      <x:c r="R294" s="7" t="n">
        <x:f>'損益分岐設定'!$B$18+'損益分岐設定'!$B$19+'損益分岐設定'!$B$20+'損益分岐設定'!E37+'損益分岐設定'!D37+AM294*('損益分岐設定'!$B$15+'損益分岐設定'!$B$16)+'損益分岐設定'!$B$17+E294*('損益分岐設定'!$B$13+(AM294-1)*'損益分岐設定'!$B$14)*'損益分岐設定'!$B$11</x:f>
        <x:v>51439.79669030532</x:v>
      </x:c>
      <x:c r="S294" s="7" t="n">
        <x:f>'損益分岐設定'!$B$18+'損益分岐設定'!$B$19+'損益分岐設定'!$B$20+'損益分岐設定'!E38+'損益分岐設定'!D38+AN294*('損益分岐設定'!$B$15+'損益分岐設定'!$B$16)+'損益分岐設定'!$B$17+E294*('損益分岐設定'!$B$13+(AN294-1)*'損益分岐設定'!$B$14)*'損益分岐設定'!$B$11</x:f>
        <x:v>68379.59338061063</x:v>
      </x:c>
      <x:c r="T294" s="7" t="n">
        <x:f>'損益分岐設定'!$B$18+'損益分岐設定'!$B$19+'損益分岐設定'!$B$20+'損益分岐設定'!E39+'損益分岐設定'!D39+AO294*('損益分岐設定'!$B$15+'損益分岐設定'!$B$16)+'損益分岐設定'!$B$17+E294*('損益分岐設定'!$B$13+(AO294-1)*'損益分岐設定'!$B$14)*'損益分岐設定'!$B$11</x:f>
        <x:v>90379.59338061063</x:v>
      </x:c>
      <x:c r="U294" s="7" t="n">
        <x:f>'損益分岐設定'!$B$18+'損益分岐設定'!$B$19+'損益分岐設定'!$B$20+'損益分岐設定'!E40+'損益分岐設定'!D40+AP294*('損益分岐設定'!$B$15+'損益分岐設定'!$B$16)+'損益分岐設定'!$B$17+E294*('損益分岐設定'!$B$13+(AP294-1)*'損益分岐設定'!$B$14)*'損益分岐設定'!$B$11</x:f>
        <x:v>120379.59338061063</x:v>
      </x:c>
      <x:c r="V294" s="1" t="n">
        <x:f>IF(I294&lt;=0,1001,IF(MAX('損益分岐設定'!B37,ROUNDUP(R294/I294,0))&lt;='損益分岐設定'!C37,MAX('損益分岐設定'!B37,ROUNDUP(R294/I294,0)),1001))</x:f>
        <x:v>1001</x:v>
      </x:c>
      <x:c r="W294" s="1" t="n">
        <x:f>IF(I294&lt;=0,1001,IF(MAX('損益分岐設定'!B38,ROUNDUP(S294/I294,0))&lt;='損益分岐設定'!C38,MAX('損益分岐設定'!B38,ROUNDUP(S294/I294,0)),1001))</x:f>
        <x:v>41</x:v>
      </x:c>
      <x:c r="X294" s="1" t="n">
        <x:f>IF(I294&lt;=0,1001,IF(MAX('損益分岐設定'!B39,ROUNDUP(T294/I294,0))&lt;='損益分岐設定'!C39,MAX('損益分岐設定'!B39,ROUNDUP(T294/I294,0)),1001))</x:f>
        <x:v>101</x:v>
      </x:c>
      <x:c r="Y294" s="1" t="n">
        <x:f>IF(I294&lt;=0,1001,IF(MAX('損益分岐設定'!B40,ROUNDUP(U294/I294,0))&lt;='損益分岐設定'!C40,MAX('損益分岐設定'!B40,ROUNDUP(U294/I294,0)),1001))</x:f>
        <x:v>501</x:v>
      </x:c>
      <x:c r="Z294" s="1" t="n">
        <x:f>IF(I294&lt;=0,'損益分岐設定'!C37,IF('損益分岐設定'!C37*I294-R294&lt;0,'損益分岐設定'!C37,IF('損益分岐設定'!B37*I294-R294&gt;=0,0,ROUNDUP(R294/I294,0)-1)))</x:f>
        <x:v>10</x:v>
      </x:c>
      <x:c r="AA294" s="1" t="n">
        <x:f>IF(I294&lt;=0,'損益分岐設定'!C38,IF('損益分岐設定'!C38*I294-S294&lt;0,'損益分岐設定'!C38,IF('損益分岐設定'!B38*I294-S294&gt;=0,0,ROUNDUP(S294/I294,0)-1)))</x:f>
        <x:v>40</x:v>
      </x:c>
      <x:c r="AB294" s="1" t="n">
        <x:f>IF(I294&lt;=0,'損益分岐設定'!C39,IF('損益分岐設定'!C39*I294-T294&lt;0,'損益分岐設定'!C39,IF('損益分岐設定'!B39*I294-T294&gt;=0,0,ROUNDUP(T294/I294,0)-1)))</x:f>
        <x:v>0</x:v>
      </x:c>
      <x:c r="AC294" s="1" t="n">
        <x:f>IF(I294&lt;=0,'損益分岐設定'!C40,IF('損益分岐設定'!C40*I294-U294&lt;0,'損益分岐設定'!C40,IF('損益分岐設定'!B40*I294-U294&gt;=0,0,ROUNDUP(U294/I294,0)-1)))</x:f>
        <x:v>0</x:v>
      </x:c>
      <x:c r="AD294" s="1" t="n">
        <x:f>'損益分岐設定'!$D$5/SUM('損益分岐設定'!$D$5:$D$7)</x:f>
        <x:v>0.5</x:v>
      </x:c>
      <x:c r="AE294" s="1" t="n">
        <x:f>'損益分岐設定'!$D$6/SUM('損益分岐設定'!$D$5:$D$7)</x:f>
        <x:v>0.3</x:v>
      </x:c>
      <x:c r="AF294" s="1" t="n">
        <x:f>'損益分岐設定'!$D$7/SUM('損益分岐設定'!$D$5:$D$7)</x:f>
        <x:v>0.2</x:v>
      </x:c>
      <x:c r="AG294" s="1" t="n">
        <x:f>AD294*'損益分岐設定'!$C$56+AE294*'損益分岐設定'!$C$59+AF294*'損益分岐設定'!$C$62</x:f>
        <x:v>110.51909573059083</x:v>
      </x:c>
      <x:c r="AH294" s="1" t="n">
        <x:f>AD294*'損益分岐設定'!$D$56+AE294*'損益分岐設定'!$D$59+AF294*'損益分岐設定'!$D$62</x:f>
        <x:v>27.75</x:v>
      </x:c>
      <x:c r="AI294" s="1" t="n">
        <x:f>AD294*'損益分岐設定'!$E$56+AE294*'損益分岐設定'!$E$59+AF294*'損益分岐設定'!$E$62</x:f>
        <x:v>18.5</x:v>
      </x:c>
      <x:c r="AJ294" s="1" t="n">
        <x:f>(AD294*'損益分岐設定'!$F$56+AE294*'損益分岐設定'!$F$59+AF294*'損益分岐設定'!$F$62*1)*'損益分岐設定'!$B$22</x:f>
        <x:v>27.75</x:v>
      </x:c>
      <x:c r="AK294" s="1" t="n">
        <x:f>AD294*'損益分岐設定'!$G$56+AE294*'損益分岐設定'!$G$59+AF294*'損益分岐設定'!$G$62</x:f>
        <x:v>92.5</x:v>
      </x:c>
      <x:c r="AL294" s="1" t="n">
        <x:f>AD294*'損益分岐設定'!$H$56+AE294*'損益分岐設定'!$H$59+AF294*'損益分岐設定'!$H$62</x:f>
        <x:v>323.33333333333337</x:v>
      </x:c>
      <x:c r="AM294" s="1" t="n">
        <x:f>MAX(1,ROUNDUP('損益分岐設定'!C37*AJ294/('損益分岐設定'!$B$23*'損益分岐設定'!$B$24*3600*'損益分岐設定'!$B$25),0))</x:f>
        <x:v>1</x:v>
      </x:c>
      <x:c r="AN294" s="1" t="n">
        <x:f>MAX(2,ROUNDUP('損益分岐設定'!C38*AJ294/('損益分岐設定'!$B$23*'損益分岐設定'!$B$24*3600*'損益分岐設定'!$B$25),0))</x:f>
        <x:v>2</x:v>
      </x:c>
      <x:c r="AO294" s="1" t="n">
        <x:f>MAX(2,ROUNDUP('損益分岐設定'!C39*AJ294/('損益分岐設定'!$B$23*'損益分岐設定'!$B$24*3600*'損益分岐設定'!$B$25),0))</x:f>
        <x:v>2</x:v>
      </x:c>
      <x:c r="AP294" s="1" t="n">
        <x:f>MAX(2,ROUNDUP('損益分岐設定'!C40*AJ294/('損益分岐設定'!$B$23*'損益分岐設定'!$B$24*3600*'損益分岐設定'!$B$25),0))</x:f>
        <x:v>2</x:v>
      </x:c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 ht="23" customHeight="1">
      <x:c r="A295" s="1" t="str">
        <x:v>Hybrid</x:v>
      </x:c>
      <x:c r="B295" s="1" t="str">
        <x:v>混在</x:v>
      </x:c>
      <x:c r="C295" s="1" t="str">
        <x:v>標準</x:v>
      </x:c>
      <x:c r="D295" s="21" t="n">
        <x:v>0</x:v>
      </x:c>
      <x:c r="E295" s="1" t="n">
        <x:v>0</x:v>
      </x:c>
      <x:c r="F295" s="7" t="n">
        <x:f>AD295*'損益分岐設定'!$B$5+AE295*'損益分岐設定'!$B$6+AF295*'損益分岐設定'!$B$7</x:f>
        <x:v>4600</x:v>
      </x:c>
      <x:c r="G295" s="7" t="n">
        <x:f>AG295+(AH295+AI295)*('損益分岐設定'!$B$29+0.5*'損益分岐設定'!$B$30)+AK295*'損益分岐設定'!$B$33</x:f>
        <x:v>413.130619733027</x:v>
      </x:c>
      <x:c r="H295" s="7" t="n">
        <x:f>AL295*E295</x:f>
        <x:v>0</x:v>
      </x:c>
      <x:c r="I295" s="7" t="n">
        <x:f>F295*(1-D295-'損益分岐設定'!$B$10)-G295-H295</x:f>
        <x:v>4021.269380266973</x:v>
      </x:c>
      <x:c r="J295" s="1" t="n">
        <x:f>IF(MIN(V295:Y295)&gt;1000,"範囲内なし",MIN(V295:Y295))</x:f>
        <x:v>9</x:v>
      </x:c>
      <x:c r="K295" s="1" t="n">
        <x:f>IF(MAX(Z295:AC295)&gt;=1000,"範囲内なし",MAX(1,MAX(Z295:AC295)+1))</x:f>
        <x:v>13</x:v>
      </x:c>
      <x:c r="L295" s="7" t="n">
        <x:f>10*I295-R295</x:f>
        <x:v>4772.897112364415</x:v>
      </x:c>
      <x:c r="M295" s="7" t="n">
        <x:f>30*I295-S295</x:f>
        <x:v>70258.48802739855</x:v>
      </x:c>
      <x:c r="N295" s="7" t="n">
        <x:f>50*I295-S295</x:f>
        <x:v>150683.875632738</x:v>
      </x:c>
      <x:c r="O295" s="7" t="n">
        <x:f>100*I295-S295</x:f>
        <x:v>351747.3446460866</x:v>
      </x:c>
      <x:c r="P295" s="7" t="n">
        <x:f>300*I295-T295</x:f>
        <x:v>1134001.2206994812</x:v>
      </x:c>
      <x:c r="Q295" s="7" t="n">
        <x:f>1000*I295-U295</x:f>
        <x:v>3918889.7868863624</x:v>
      </x:c>
      <x:c r="R295" s="7" t="n">
        <x:f>'損益分岐設定'!$B$18+'損益分岐設定'!$B$19+'損益分岐設定'!$B$20+'損益分岐設定'!E37+'損益分岐設定'!D37+AM295*('損益分岐設定'!$B$15+'損益分岐設定'!$B$16)+'損益分岐設定'!$B$17+E295*('損益分岐設定'!$B$13+(AM295-1)*'損益分岐設定'!$B$14)*'損益分岐設定'!$B$11</x:f>
        <x:v>35439.79669030532</x:v>
      </x:c>
      <x:c r="S295" s="7" t="n">
        <x:f>'損益分岐設定'!$B$18+'損益分岐設定'!$B$19+'損益分岐設定'!$B$20+'損益分岐設定'!E38+'損益分岐設定'!D38+AN295*('損益分岐設定'!$B$15+'損益分岐設定'!$B$16)+'損益分岐設定'!$B$17+E295*('損益分岐設定'!$B$13+(AN295-1)*'損益分岐設定'!$B$14)*'損益分岐設定'!$B$11</x:f>
        <x:v>50379.59338061063</x:v>
      </x:c>
      <x:c r="T295" s="7" t="n">
        <x:f>'損益分岐設定'!$B$18+'損益分岐設定'!$B$19+'損益分岐設定'!$B$20+'損益分岐設定'!E39+'損益分岐設定'!D39+AO295*('損益分岐設定'!$B$15+'損益分岐設定'!$B$16)+'損益分岐設定'!$B$17+E295*('損益分岐設定'!$B$13+(AO295-1)*'損益分岐設定'!$B$14)*'損益分岐設定'!$B$11</x:f>
        <x:v>72379.59338061063</x:v>
      </x:c>
      <x:c r="U295" s="7" t="n">
        <x:f>'損益分岐設定'!$B$18+'損益分岐設定'!$B$19+'損益分岐設定'!$B$20+'損益分岐設定'!E40+'損益分岐設定'!D40+AP295*('損益分岐設定'!$B$15+'損益分岐設定'!$B$16)+'損益分岐設定'!$B$17+E295*('損益分岐設定'!$B$13+(AP295-1)*'損益分岐設定'!$B$14)*'損益分岐設定'!$B$11</x:f>
        <x:v>102379.59338061063</x:v>
      </x:c>
      <x:c r="V295" s="1" t="n">
        <x:f>IF(I295&lt;=0,1001,IF(MAX('損益分岐設定'!B37,ROUNDUP(R295/I295,0))&lt;='損益分岐設定'!C37,MAX('損益分岐設定'!B37,ROUNDUP(R295/I295,0)),1001))</x:f>
        <x:v>9</x:v>
      </x:c>
      <x:c r="W295" s="1" t="n">
        <x:f>IF(I295&lt;=0,1001,IF(MAX('損益分岐設定'!B38,ROUNDUP(S295/I295,0))&lt;='損益分岐設定'!C38,MAX('損益分岐設定'!B38,ROUNDUP(S295/I295,0)),1001))</x:f>
        <x:v>13</x:v>
      </x:c>
      <x:c r="X295" s="1" t="n">
        <x:f>IF(I295&lt;=0,1001,IF(MAX('損益分岐設定'!B39,ROUNDUP(T295/I295,0))&lt;='損益分岐設定'!C39,MAX('損益分岐設定'!B39,ROUNDUP(T295/I295,0)),1001))</x:f>
        <x:v>101</x:v>
      </x:c>
      <x:c r="Y295" s="1" t="n">
        <x:f>IF(I295&lt;=0,1001,IF(MAX('損益分岐設定'!B40,ROUNDUP(U295/I295,0))&lt;='損益分岐設定'!C40,MAX('損益分岐設定'!B40,ROUNDUP(U295/I295,0)),1001))</x:f>
        <x:v>501</x:v>
      </x:c>
      <x:c r="Z295" s="1" t="n">
        <x:f>IF(I295&lt;=0,'損益分岐設定'!C37,IF('損益分岐設定'!C37*I295-R295&lt;0,'損益分岐設定'!C37,IF('損益分岐設定'!B37*I295-R295&gt;=0,0,ROUNDUP(R295/I295,0)-1)))</x:f>
        <x:v>8</x:v>
      </x:c>
      <x:c r="AA295" s="1" t="n">
        <x:f>IF(I295&lt;=0,'損益分岐設定'!C38,IF('損益分岐設定'!C38*I295-S295&lt;0,'損益分岐設定'!C38,IF('損益分岐設定'!B38*I295-S295&gt;=0,0,ROUNDUP(S295/I295,0)-1)))</x:f>
        <x:v>12</x:v>
      </x:c>
      <x:c r="AB295" s="1" t="n">
        <x:f>IF(I295&lt;=0,'損益分岐設定'!C39,IF('損益分岐設定'!C39*I295-T295&lt;0,'損益分岐設定'!C39,IF('損益分岐設定'!B39*I295-T295&gt;=0,0,ROUNDUP(T295/I295,0)-1)))</x:f>
        <x:v>0</x:v>
      </x:c>
      <x:c r="AC295" s="1" t="n">
        <x:f>IF(I295&lt;=0,'損益分岐設定'!C40,IF('損益分岐設定'!C40*I295-U295&lt;0,'損益分岐設定'!C40,IF('損益分岐設定'!B40*I295-U295&gt;=0,0,ROUNDUP(U295/I295,0)-1)))</x:f>
        <x:v>0</x:v>
      </x:c>
      <x:c r="AD295" s="1" t="n">
        <x:f>'損益分岐設定'!$D$5/SUM('損益分岐設定'!$D$5:$D$7)</x:f>
        <x:v>0.5</x:v>
      </x:c>
      <x:c r="AE295" s="1" t="n">
        <x:f>'損益分岐設定'!$D$6/SUM('損益分岐設定'!$D$5:$D$7)</x:f>
        <x:v>0.3</x:v>
      </x:c>
      <x:c r="AF295" s="1" t="n">
        <x:f>'損益分岐設定'!$D$7/SUM('損益分岐設定'!$D$5:$D$7)</x:f>
        <x:v>0.2</x:v>
      </x:c>
      <x:c r="AG295" s="1" t="n">
        <x:f>AD295*'損益分岐設定'!$C$57+AE295*'損益分岐設定'!$C$60+AF295*'損益分岐設定'!$C$63</x:f>
        <x:v>412.2157297973632</x:v>
      </x:c>
      <x:c r="AH295" s="1" t="n">
        <x:f>AD295*'損益分岐設定'!$D$57+AE295*'損益分岐設定'!$D$60+AF295*'損益分岐設定'!$D$63</x:f>
        <x:v>111</x:v>
      </x:c>
      <x:c r="AI295" s="1" t="n">
        <x:f>AD295*'損益分岐設定'!$E$57+AE295*'損益分岐設定'!$E$60+AF295*'損益分岐設定'!$E$63</x:f>
        <x:v>111</x:v>
      </x:c>
      <x:c r="AJ295" s="1" t="n">
        <x:f>(AD295*'損益分岐設定'!$F$57+AE295*'損益分岐設定'!$F$60+AF295*'損益分岐設定'!$F$63*1)*'損益分岐設定'!$B$22</x:f>
        <x:v>444</x:v>
      </x:c>
      <x:c r="AK295" s="1" t="n">
        <x:f>AD295*'損益分岐設定'!$G$57+AE295*'損益分岐設定'!$G$60+AF295*'損益分岐設定'!$G$63</x:f>
        <x:v>740</x:v>
      </x:c>
      <x:c r="AL295" s="1" t="n">
        <x:f>AD295*'損益分岐設定'!$H$57+AE295*'損益分岐設定'!$H$60+AF295*'損益分岐設定'!$H$63</x:f>
        <x:v>656.6666666666666</x:v>
      </x:c>
      <x:c r="AM295" s="1" t="n">
        <x:f>MAX(1,ROUNDUP('損益分岐設定'!C37*AJ295/('損益分岐設定'!$B$23*'損益分岐設定'!$B$24*3600*'損益分岐設定'!$B$25),0))</x:f>
        <x:v>1</x:v>
      </x:c>
      <x:c r="AN295" s="1" t="n">
        <x:f>MAX(2,ROUNDUP('損益分岐設定'!C38*AJ295/('損益分岐設定'!$B$23*'損益分岐設定'!$B$24*3600*'損益分岐設定'!$B$25),0))</x:f>
        <x:v>2</x:v>
      </x:c>
      <x:c r="AO295" s="1" t="n">
        <x:f>MAX(2,ROUNDUP('損益分岐設定'!C39*AJ295/('損益分岐設定'!$B$23*'損益分岐設定'!$B$24*3600*'損益分岐設定'!$B$25),0))</x:f>
        <x:v>2</x:v>
      </x:c>
      <x:c r="AP295" s="1" t="n">
        <x:f>MAX(2,ROUNDUP('損益分岐設定'!C40*AJ295/('損益分岐設定'!$B$23*'損益分岐設定'!$B$24*3600*'損益分岐設定'!$B$25),0))</x:f>
        <x:v>2</x:v>
      </x:c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 ht="23" customHeight="1">
      <x:c r="A296" s="1" t="str">
        <x:v>Hybrid</x:v>
      </x:c>
      <x:c r="B296" s="1" t="str">
        <x:v>混在</x:v>
      </x:c>
      <x:c r="C296" s="1" t="str">
        <x:v>標準</x:v>
      </x:c>
      <x:c r="D296" s="21" t="n">
        <x:v>0</x:v>
      </x:c>
      <x:c r="E296" s="1" t="n">
        <x:v>1</x:v>
      </x:c>
      <x:c r="F296" s="7" t="n">
        <x:f>AD296*'損益分岐設定'!$B$5+AE296*'損益分岐設定'!$B$6+AF296*'損益分岐設定'!$B$7</x:f>
        <x:v>4600</x:v>
      </x:c>
      <x:c r="G296" s="7" t="n">
        <x:f>AG296+(AH296+AI296)*('損益分岐設定'!$B$29+0.5*'損益分岐設定'!$B$30)+AK296*'損益分岐設定'!$B$33</x:f>
        <x:v>413.130619733027</x:v>
      </x:c>
      <x:c r="H296" s="7" t="n">
        <x:f>AL296*E296</x:f>
        <x:v>656.6666666666666</x:v>
      </x:c>
      <x:c r="I296" s="7" t="n">
        <x:f>F296*(1-D296-'損益分岐設定'!$B$10)-G296-H296</x:f>
        <x:v>3364.6027136003063</x:v>
      </x:c>
      <x:c r="J296" s="1" t="n">
        <x:f>IF(MIN(V296:Y296)&gt;1000,"範囲内なし",MIN(V296:Y296))</x:f>
        <x:v>21</x:v>
      </x:c>
      <x:c r="K296" s="1" t="n">
        <x:f>IF(MAX(Z296:AC296)&gt;=1000,"範囲内なし",MAX(1,MAX(Z296:AC296)+1))</x:f>
        <x:v>21</x:v>
      </x:c>
      <x:c r="L296" s="7" t="n">
        <x:f>10*I296-R296</x:f>
        <x:v>-17793.769554302256</x:v>
      </x:c>
      <x:c r="M296" s="7" t="n">
        <x:f>30*I296-S296</x:f>
        <x:v>32558.488027398562</x:v>
      </x:c>
      <x:c r="N296" s="7" t="n">
        <x:f>50*I296-S296</x:f>
        <x:v>99850.54229940468</x:v>
      </x:c>
      <x:c r="O296" s="7" t="n">
        <x:f>100*I296-S296</x:f>
        <x:v>268080.67797942</x:v>
      </x:c>
      <x:c r="P296" s="7" t="n">
        <x:f>300*I296-T296</x:f>
        <x:v>919001.2206994812</x:v>
      </x:c>
      <x:c r="Q296" s="7" t="n">
        <x:f>1000*I296-U296</x:f>
        <x:v>3244223.120219696</x:v>
      </x:c>
      <x:c r="R296" s="7" t="n">
        <x:f>'損益分岐設定'!$B$18+'損益分岐設定'!$B$19+'損益分岐設定'!$B$20+'損益分岐設定'!E37+'損益分岐設定'!D37+AM296*('損益分岐設定'!$B$15+'損益分岐設定'!$B$16)+'損益分岐設定'!$B$17+E296*('損益分岐設定'!$B$13+(AM296-1)*'損益分岐設定'!$B$14)*'損益分岐設定'!$B$11</x:f>
        <x:v>51439.79669030532</x:v>
      </x:c>
      <x:c r="S296" s="7" t="n">
        <x:f>'損益分岐設定'!$B$18+'損益分岐設定'!$B$19+'損益分岐設定'!$B$20+'損益分岐設定'!E38+'損益分岐設定'!D38+AN296*('損益分岐設定'!$B$15+'損益分岐設定'!$B$16)+'損益分岐設定'!$B$17+E296*('損益分岐設定'!$B$13+(AN296-1)*'損益分岐設定'!$B$14)*'損益分岐設定'!$B$11</x:f>
        <x:v>68379.59338061063</x:v>
      </x:c>
      <x:c r="T296" s="7" t="n">
        <x:f>'損益分岐設定'!$B$18+'損益分岐設定'!$B$19+'損益分岐設定'!$B$20+'損益分岐設定'!E39+'損益分岐設定'!D39+AO296*('損益分岐設定'!$B$15+'損益分岐設定'!$B$16)+'損益分岐設定'!$B$17+E296*('損益分岐設定'!$B$13+(AO296-1)*'損益分岐設定'!$B$14)*'損益分岐設定'!$B$11</x:f>
        <x:v>90379.59338061063</x:v>
      </x:c>
      <x:c r="U296" s="7" t="n">
        <x:f>'損益分岐設定'!$B$18+'損益分岐設定'!$B$19+'損益分岐設定'!$B$20+'損益分岐設定'!E40+'損益分岐設定'!D40+AP296*('損益分岐設定'!$B$15+'損益分岐設定'!$B$16)+'損益分岐設定'!$B$17+E296*('損益分岐設定'!$B$13+(AP296-1)*'損益分岐設定'!$B$14)*'損益分岐設定'!$B$11</x:f>
        <x:v>120379.59338061063</x:v>
      </x:c>
      <x:c r="V296" s="1" t="n">
        <x:f>IF(I296&lt;=0,1001,IF(MAX('損益分岐設定'!B37,ROUNDUP(R296/I296,0))&lt;='損益分岐設定'!C37,MAX('損益分岐設定'!B37,ROUNDUP(R296/I296,0)),1001))</x:f>
        <x:v>1001</x:v>
      </x:c>
      <x:c r="W296" s="1" t="n">
        <x:f>IF(I296&lt;=0,1001,IF(MAX('損益分岐設定'!B38,ROUNDUP(S296/I296,0))&lt;='損益分岐設定'!C38,MAX('損益分岐設定'!B38,ROUNDUP(S296/I296,0)),1001))</x:f>
        <x:v>21</x:v>
      </x:c>
      <x:c r="X296" s="1" t="n">
        <x:f>IF(I296&lt;=0,1001,IF(MAX('損益分岐設定'!B39,ROUNDUP(T296/I296,0))&lt;='損益分岐設定'!C39,MAX('損益分岐設定'!B39,ROUNDUP(T296/I296,0)),1001))</x:f>
        <x:v>101</x:v>
      </x:c>
      <x:c r="Y296" s="1" t="n">
        <x:f>IF(I296&lt;=0,1001,IF(MAX('損益分岐設定'!B40,ROUNDUP(U296/I296,0))&lt;='損益分岐設定'!C40,MAX('損益分岐設定'!B40,ROUNDUP(U296/I296,0)),1001))</x:f>
        <x:v>501</x:v>
      </x:c>
      <x:c r="Z296" s="1" t="n">
        <x:f>IF(I296&lt;=0,'損益分岐設定'!C37,IF('損益分岐設定'!C37*I296-R296&lt;0,'損益分岐設定'!C37,IF('損益分岐設定'!B37*I296-R296&gt;=0,0,ROUNDUP(R296/I296,0)-1)))</x:f>
        <x:v>10</x:v>
      </x:c>
      <x:c r="AA296" s="1" t="n">
        <x:f>IF(I296&lt;=0,'損益分岐設定'!C38,IF('損益分岐設定'!C38*I296-S296&lt;0,'損益分岐設定'!C38,IF('損益分岐設定'!B38*I296-S296&gt;=0,0,ROUNDUP(S296/I296,0)-1)))</x:f>
        <x:v>20</x:v>
      </x:c>
      <x:c r="AB296" s="1" t="n">
        <x:f>IF(I296&lt;=0,'損益分岐設定'!C39,IF('損益分岐設定'!C39*I296-T296&lt;0,'損益分岐設定'!C39,IF('損益分岐設定'!B39*I296-T296&gt;=0,0,ROUNDUP(T296/I296,0)-1)))</x:f>
        <x:v>0</x:v>
      </x:c>
      <x:c r="AC296" s="1" t="n">
        <x:f>IF(I296&lt;=0,'損益分岐設定'!C40,IF('損益分岐設定'!C40*I296-U296&lt;0,'損益分岐設定'!C40,IF('損益分岐設定'!B40*I296-U296&gt;=0,0,ROUNDUP(U296/I296,0)-1)))</x:f>
        <x:v>0</x:v>
      </x:c>
      <x:c r="AD296" s="1" t="n">
        <x:f>'損益分岐設定'!$D$5/SUM('損益分岐設定'!$D$5:$D$7)</x:f>
        <x:v>0.5</x:v>
      </x:c>
      <x:c r="AE296" s="1" t="n">
        <x:f>'損益分岐設定'!$D$6/SUM('損益分岐設定'!$D$5:$D$7)</x:f>
        <x:v>0.3</x:v>
      </x:c>
      <x:c r="AF296" s="1" t="n">
        <x:f>'損益分岐設定'!$D$7/SUM('損益分岐設定'!$D$5:$D$7)</x:f>
        <x:v>0.2</x:v>
      </x:c>
      <x:c r="AG296" s="1" t="n">
        <x:f>AD296*'損益分岐設定'!$C$57+AE296*'損益分岐設定'!$C$60+AF296*'損益分岐設定'!$C$63</x:f>
        <x:v>412.2157297973632</x:v>
      </x:c>
      <x:c r="AH296" s="1" t="n">
        <x:f>AD296*'損益分岐設定'!$D$57+AE296*'損益分岐設定'!$D$60+AF296*'損益分岐設定'!$D$63</x:f>
        <x:v>111</x:v>
      </x:c>
      <x:c r="AI296" s="1" t="n">
        <x:f>AD296*'損益分岐設定'!$E$57+AE296*'損益分岐設定'!$E$60+AF296*'損益分岐設定'!$E$63</x:f>
        <x:v>111</x:v>
      </x:c>
      <x:c r="AJ296" s="1" t="n">
        <x:f>(AD296*'損益分岐設定'!$F$57+AE296*'損益分岐設定'!$F$60+AF296*'損益分岐設定'!$F$63*1)*'損益分岐設定'!$B$22</x:f>
        <x:v>444</x:v>
      </x:c>
      <x:c r="AK296" s="1" t="n">
        <x:f>AD296*'損益分岐設定'!$G$57+AE296*'損益分岐設定'!$G$60+AF296*'損益分岐設定'!$G$63</x:f>
        <x:v>740</x:v>
      </x:c>
      <x:c r="AL296" s="1" t="n">
        <x:f>AD296*'損益分岐設定'!$H$57+AE296*'損益分岐設定'!$H$60+AF296*'損益分岐設定'!$H$63</x:f>
        <x:v>656.6666666666666</x:v>
      </x:c>
      <x:c r="AM296" s="1" t="n">
        <x:f>MAX(1,ROUNDUP('損益分岐設定'!C37*AJ296/('損益分岐設定'!$B$23*'損益分岐設定'!$B$24*3600*'損益分岐設定'!$B$25),0))</x:f>
        <x:v>1</x:v>
      </x:c>
      <x:c r="AN296" s="1" t="n">
        <x:f>MAX(2,ROUNDUP('損益分岐設定'!C38*AJ296/('損益分岐設定'!$B$23*'損益分岐設定'!$B$24*3600*'損益分岐設定'!$B$25),0))</x:f>
        <x:v>2</x:v>
      </x:c>
      <x:c r="AO296" s="1" t="n">
        <x:f>MAX(2,ROUNDUP('損益分岐設定'!C39*AJ296/('損益分岐設定'!$B$23*'損益分岐設定'!$B$24*3600*'損益分岐設定'!$B$25),0))</x:f>
        <x:v>2</x:v>
      </x:c>
      <x:c r="AP296" s="1" t="n">
        <x:f>MAX(2,ROUNDUP('損益分岐設定'!C40*AJ296/('損益分岐設定'!$B$23*'損益分岐設定'!$B$24*3600*'損益分岐設定'!$B$25),0))</x:f>
        <x:v>2</x:v>
      </x:c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 ht="23" customHeight="1">
      <x:c r="A297" s="1" t="str">
        <x:v>Hybrid</x:v>
      </x:c>
      <x:c r="B297" s="1" t="str">
        <x:v>混在</x:v>
      </x:c>
      <x:c r="C297" s="1" t="str">
        <x:v>標準</x:v>
      </x:c>
      <x:c r="D297" s="21" t="n">
        <x:v>0.2</x:v>
      </x:c>
      <x:c r="E297" s="1" t="n">
        <x:v>0</x:v>
      </x:c>
      <x:c r="F297" s="7" t="n">
        <x:f>AD297*'損益分岐設定'!$B$5+AE297*'損益分岐設定'!$B$6+AF297*'損益分岐設定'!$B$7</x:f>
        <x:v>4600</x:v>
      </x:c>
      <x:c r="G297" s="7" t="n">
        <x:f>AG297+(AH297+AI297)*('損益分岐設定'!$B$29+0.5*'損益分岐設定'!$B$30)+AK297*'損益分岐設定'!$B$33</x:f>
        <x:v>413.130619733027</x:v>
      </x:c>
      <x:c r="H297" s="7" t="n">
        <x:f>AL297*E297</x:f>
        <x:v>0</x:v>
      </x:c>
      <x:c r="I297" s="7" t="n">
        <x:f>F297*(1-D297-'損益分岐設定'!$B$10)-G297-H297</x:f>
        <x:v>3101.2693802669733</x:v>
      </x:c>
      <x:c r="J297" s="1" t="n">
        <x:f>IF(MIN(V297:Y297)&gt;1000,"範囲内なし",MIN(V297:Y297))</x:f>
        <x:v>17</x:v>
      </x:c>
      <x:c r="K297" s="1" t="n">
        <x:f>IF(MAX(Z297:AC297)&gt;=1000,"範囲内なし",MAX(1,MAX(Z297:AC297)+1))</x:f>
        <x:v>17</x:v>
      </x:c>
      <x:c r="L297" s="7" t="n">
        <x:f>10*I297-R297</x:f>
        <x:v>-4427.102887635585</x:v>
      </x:c>
      <x:c r="M297" s="7" t="n">
        <x:f>30*I297-S297</x:f>
        <x:v>42658.48802739856</x:v>
      </x:c>
      <x:c r="N297" s="7" t="n">
        <x:f>50*I297-S297</x:f>
        <x:v>104683.87563273803</x:v>
      </x:c>
      <x:c r="O297" s="7" t="n">
        <x:f>100*I297-S297</x:f>
        <x:v>259747.34464608668</x:v>
      </x:c>
      <x:c r="P297" s="7" t="n">
        <x:f>300*I297-T297</x:f>
        <x:v>858001.2206994814</x:v>
      </x:c>
      <x:c r="Q297" s="7" t="n">
        <x:f>1000*I297-U297</x:f>
        <x:v>2998889.786886363</x:v>
      </x:c>
      <x:c r="R297" s="7" t="n">
        <x:f>'損益分岐設定'!$B$18+'損益分岐設定'!$B$19+'損益分岐設定'!$B$20+'損益分岐設定'!E37+'損益分岐設定'!D37+AM297*('損益分岐設定'!$B$15+'損益分岐設定'!$B$16)+'損益分岐設定'!$B$17+E297*('損益分岐設定'!$B$13+(AM297-1)*'損益分岐設定'!$B$14)*'損益分岐設定'!$B$11</x:f>
        <x:v>35439.79669030532</x:v>
      </x:c>
      <x:c r="S297" s="7" t="n">
        <x:f>'損益分岐設定'!$B$18+'損益分岐設定'!$B$19+'損益分岐設定'!$B$20+'損益分岐設定'!E38+'損益分岐設定'!D38+AN297*('損益分岐設定'!$B$15+'損益分岐設定'!$B$16)+'損益分岐設定'!$B$17+E297*('損益分岐設定'!$B$13+(AN297-1)*'損益分岐設定'!$B$14)*'損益分岐設定'!$B$11</x:f>
        <x:v>50379.59338061063</x:v>
      </x:c>
      <x:c r="T297" s="7" t="n">
        <x:f>'損益分岐設定'!$B$18+'損益分岐設定'!$B$19+'損益分岐設定'!$B$20+'損益分岐設定'!E39+'損益分岐設定'!D39+AO297*('損益分岐設定'!$B$15+'損益分岐設定'!$B$16)+'損益分岐設定'!$B$17+E297*('損益分岐設定'!$B$13+(AO297-1)*'損益分岐設定'!$B$14)*'損益分岐設定'!$B$11</x:f>
        <x:v>72379.59338061063</x:v>
      </x:c>
      <x:c r="U297" s="7" t="n">
        <x:f>'損益分岐設定'!$B$18+'損益分岐設定'!$B$19+'損益分岐設定'!$B$20+'損益分岐設定'!E40+'損益分岐設定'!D40+AP297*('損益分岐設定'!$B$15+'損益分岐設定'!$B$16)+'損益分岐設定'!$B$17+E297*('損益分岐設定'!$B$13+(AP297-1)*'損益分岐設定'!$B$14)*'損益分岐設定'!$B$11</x:f>
        <x:v>102379.59338061063</x:v>
      </x:c>
      <x:c r="V297" s="1" t="n">
        <x:f>IF(I297&lt;=0,1001,IF(MAX('損益分岐設定'!B37,ROUNDUP(R297/I297,0))&lt;='損益分岐設定'!C37,MAX('損益分岐設定'!B37,ROUNDUP(R297/I297,0)),1001))</x:f>
        <x:v>1001</x:v>
      </x:c>
      <x:c r="W297" s="1" t="n">
        <x:f>IF(I297&lt;=0,1001,IF(MAX('損益分岐設定'!B38,ROUNDUP(S297/I297,0))&lt;='損益分岐設定'!C38,MAX('損益分岐設定'!B38,ROUNDUP(S297/I297,0)),1001))</x:f>
        <x:v>17</x:v>
      </x:c>
      <x:c r="X297" s="1" t="n">
        <x:f>IF(I297&lt;=0,1001,IF(MAX('損益分岐設定'!B39,ROUNDUP(T297/I297,0))&lt;='損益分岐設定'!C39,MAX('損益分岐設定'!B39,ROUNDUP(T297/I297,0)),1001))</x:f>
        <x:v>101</x:v>
      </x:c>
      <x:c r="Y297" s="1" t="n">
        <x:f>IF(I297&lt;=0,1001,IF(MAX('損益分岐設定'!B40,ROUNDUP(U297/I297,0))&lt;='損益分岐設定'!C40,MAX('損益分岐設定'!B40,ROUNDUP(U297/I297,0)),1001))</x:f>
        <x:v>501</x:v>
      </x:c>
      <x:c r="Z297" s="1" t="n">
        <x:f>IF(I297&lt;=0,'損益分岐設定'!C37,IF('損益分岐設定'!C37*I297-R297&lt;0,'損益分岐設定'!C37,IF('損益分岐設定'!B37*I297-R297&gt;=0,0,ROUNDUP(R297/I297,0)-1)))</x:f>
        <x:v>10</x:v>
      </x:c>
      <x:c r="AA297" s="1" t="n">
        <x:f>IF(I297&lt;=0,'損益分岐設定'!C38,IF('損益分岐設定'!C38*I297-S297&lt;0,'損益分岐設定'!C38,IF('損益分岐設定'!B38*I297-S297&gt;=0,0,ROUNDUP(S297/I297,0)-1)))</x:f>
        <x:v>16</x:v>
      </x:c>
      <x:c r="AB297" s="1" t="n">
        <x:f>IF(I297&lt;=0,'損益分岐設定'!C39,IF('損益分岐設定'!C39*I297-T297&lt;0,'損益分岐設定'!C39,IF('損益分岐設定'!B39*I297-T297&gt;=0,0,ROUNDUP(T297/I297,0)-1)))</x:f>
        <x:v>0</x:v>
      </x:c>
      <x:c r="AC297" s="1" t="n">
        <x:f>IF(I297&lt;=0,'損益分岐設定'!C40,IF('損益分岐設定'!C40*I297-U297&lt;0,'損益分岐設定'!C40,IF('損益分岐設定'!B40*I297-U297&gt;=0,0,ROUNDUP(U297/I297,0)-1)))</x:f>
        <x:v>0</x:v>
      </x:c>
      <x:c r="AD297" s="1" t="n">
        <x:f>'損益分岐設定'!$D$5/SUM('損益分岐設定'!$D$5:$D$7)</x:f>
        <x:v>0.5</x:v>
      </x:c>
      <x:c r="AE297" s="1" t="n">
        <x:f>'損益分岐設定'!$D$6/SUM('損益分岐設定'!$D$5:$D$7)</x:f>
        <x:v>0.3</x:v>
      </x:c>
      <x:c r="AF297" s="1" t="n">
        <x:f>'損益分岐設定'!$D$7/SUM('損益分岐設定'!$D$5:$D$7)</x:f>
        <x:v>0.2</x:v>
      </x:c>
      <x:c r="AG297" s="1" t="n">
        <x:f>AD297*'損益分岐設定'!$C$57+AE297*'損益分岐設定'!$C$60+AF297*'損益分岐設定'!$C$63</x:f>
        <x:v>412.2157297973632</x:v>
      </x:c>
      <x:c r="AH297" s="1" t="n">
        <x:f>AD297*'損益分岐設定'!$D$57+AE297*'損益分岐設定'!$D$60+AF297*'損益分岐設定'!$D$63</x:f>
        <x:v>111</x:v>
      </x:c>
      <x:c r="AI297" s="1" t="n">
        <x:f>AD297*'損益分岐設定'!$E$57+AE297*'損益分岐設定'!$E$60+AF297*'損益分岐設定'!$E$63</x:f>
        <x:v>111</x:v>
      </x:c>
      <x:c r="AJ297" s="1" t="n">
        <x:f>(AD297*'損益分岐設定'!$F$57+AE297*'損益分岐設定'!$F$60+AF297*'損益分岐設定'!$F$63*1)*'損益分岐設定'!$B$22</x:f>
        <x:v>444</x:v>
      </x:c>
      <x:c r="AK297" s="1" t="n">
        <x:f>AD297*'損益分岐設定'!$G$57+AE297*'損益分岐設定'!$G$60+AF297*'損益分岐設定'!$G$63</x:f>
        <x:v>740</x:v>
      </x:c>
      <x:c r="AL297" s="1" t="n">
        <x:f>AD297*'損益分岐設定'!$H$57+AE297*'損益分岐設定'!$H$60+AF297*'損益分岐設定'!$H$63</x:f>
        <x:v>656.6666666666666</x:v>
      </x:c>
      <x:c r="AM297" s="1" t="n">
        <x:f>MAX(1,ROUNDUP('損益分岐設定'!C37*AJ297/('損益分岐設定'!$B$23*'損益分岐設定'!$B$24*3600*'損益分岐設定'!$B$25),0))</x:f>
        <x:v>1</x:v>
      </x:c>
      <x:c r="AN297" s="1" t="n">
        <x:f>MAX(2,ROUNDUP('損益分岐設定'!C38*AJ297/('損益分岐設定'!$B$23*'損益分岐設定'!$B$24*3600*'損益分岐設定'!$B$25),0))</x:f>
        <x:v>2</x:v>
      </x:c>
      <x:c r="AO297" s="1" t="n">
        <x:f>MAX(2,ROUNDUP('損益分岐設定'!C39*AJ297/('損益分岐設定'!$B$23*'損益分岐設定'!$B$24*3600*'損益分岐設定'!$B$25),0))</x:f>
        <x:v>2</x:v>
      </x:c>
      <x:c r="AP297" s="1" t="n">
        <x:f>MAX(2,ROUNDUP('損益分岐設定'!C40*AJ297/('損益分岐設定'!$B$23*'損益分岐設定'!$B$24*3600*'損益分岐設定'!$B$25),0))</x:f>
        <x:v>2</x:v>
      </x:c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 ht="23" customHeight="1">
      <x:c r="A298" s="1" t="str">
        <x:v>Hybrid</x:v>
      </x:c>
      <x:c r="B298" s="1" t="str">
        <x:v>混在</x:v>
      </x:c>
      <x:c r="C298" s="1" t="str">
        <x:v>標準</x:v>
      </x:c>
      <x:c r="D298" s="21" t="n">
        <x:v>0.2</x:v>
      </x:c>
      <x:c r="E298" s="1" t="n">
        <x:v>1</x:v>
      </x:c>
      <x:c r="F298" s="7" t="n">
        <x:f>AD298*'損益分岐設定'!$B$5+AE298*'損益分岐設定'!$B$6+AF298*'損益分岐設定'!$B$7</x:f>
        <x:v>4600</x:v>
      </x:c>
      <x:c r="G298" s="7" t="n">
        <x:f>AG298+(AH298+AI298)*('損益分岐設定'!$B$29+0.5*'損益分岐設定'!$B$30)+AK298*'損益分岐設定'!$B$33</x:f>
        <x:v>413.130619733027</x:v>
      </x:c>
      <x:c r="H298" s="7" t="n">
        <x:f>AL298*E298</x:f>
        <x:v>656.6666666666666</x:v>
      </x:c>
      <x:c r="I298" s="7" t="n">
        <x:f>F298*(1-D298-'損益分岐設定'!$B$10)-G298-H298</x:f>
        <x:v>2444.6027136003067</x:v>
      </x:c>
      <x:c r="J298" s="1" t="n">
        <x:f>IF(MIN(V298:Y298)&gt;1000,"範囲内なし",MIN(V298:Y298))</x:f>
        <x:v>28</x:v>
      </x:c>
      <x:c r="K298" s="1" t="n">
        <x:f>IF(MAX(Z298:AC298)&gt;=1000,"範囲内なし",MAX(1,MAX(Z298:AC298)+1))</x:f>
        <x:v>28</x:v>
      </x:c>
      <x:c r="L298" s="7" t="n">
        <x:f>10*I298-R298</x:f>
        <x:v>-26993.76955430225</x:v>
      </x:c>
      <x:c r="M298" s="7" t="n">
        <x:f>30*I298-S298</x:f>
        <x:v>4958.488027398562</x:v>
      </x:c>
      <x:c r="N298" s="7" t="n">
        <x:f>50*I298-S298</x:f>
        <x:v>53850.54229940471</x:v>
      </x:c>
      <x:c r="O298" s="7" t="n">
        <x:f>100*I298-S298</x:f>
        <x:v>176080.67797942006</x:v>
      </x:c>
      <x:c r="P298" s="7" t="n">
        <x:f>300*I298-T298</x:f>
        <x:v>643001.2206994814</x:v>
      </x:c>
      <x:c r="Q298" s="7" t="n">
        <x:f>1000*I298-U298</x:f>
        <x:v>2324223.1202196963</x:v>
      </x:c>
      <x:c r="R298" s="7" t="n">
        <x:f>'損益分岐設定'!$B$18+'損益分岐設定'!$B$19+'損益分岐設定'!$B$20+'損益分岐設定'!E37+'損益分岐設定'!D37+AM298*('損益分岐設定'!$B$15+'損益分岐設定'!$B$16)+'損益分岐設定'!$B$17+E298*('損益分岐設定'!$B$13+(AM298-1)*'損益分岐設定'!$B$14)*'損益分岐設定'!$B$11</x:f>
        <x:v>51439.79669030532</x:v>
      </x:c>
      <x:c r="S298" s="7" t="n">
        <x:f>'損益分岐設定'!$B$18+'損益分岐設定'!$B$19+'損益分岐設定'!$B$20+'損益分岐設定'!E38+'損益分岐設定'!D38+AN298*('損益分岐設定'!$B$15+'損益分岐設定'!$B$16)+'損益分岐設定'!$B$17+E298*('損益分岐設定'!$B$13+(AN298-1)*'損益分岐設定'!$B$14)*'損益分岐設定'!$B$11</x:f>
        <x:v>68379.59338061063</x:v>
      </x:c>
      <x:c r="T298" s="7" t="n">
        <x:f>'損益分岐設定'!$B$18+'損益分岐設定'!$B$19+'損益分岐設定'!$B$20+'損益分岐設定'!E39+'損益分岐設定'!D39+AO298*('損益分岐設定'!$B$15+'損益分岐設定'!$B$16)+'損益分岐設定'!$B$17+E298*('損益分岐設定'!$B$13+(AO298-1)*'損益分岐設定'!$B$14)*'損益分岐設定'!$B$11</x:f>
        <x:v>90379.59338061063</x:v>
      </x:c>
      <x:c r="U298" s="7" t="n">
        <x:f>'損益分岐設定'!$B$18+'損益分岐設定'!$B$19+'損益分岐設定'!$B$20+'損益分岐設定'!E40+'損益分岐設定'!D40+AP298*('損益分岐設定'!$B$15+'損益分岐設定'!$B$16)+'損益分岐設定'!$B$17+E298*('損益分岐設定'!$B$13+(AP298-1)*'損益分岐設定'!$B$14)*'損益分岐設定'!$B$11</x:f>
        <x:v>120379.59338061063</x:v>
      </x:c>
      <x:c r="V298" s="1" t="n">
        <x:f>IF(I298&lt;=0,1001,IF(MAX('損益分岐設定'!B37,ROUNDUP(R298/I298,0))&lt;='損益分岐設定'!C37,MAX('損益分岐設定'!B37,ROUNDUP(R298/I298,0)),1001))</x:f>
        <x:v>1001</x:v>
      </x:c>
      <x:c r="W298" s="1" t="n">
        <x:f>IF(I298&lt;=0,1001,IF(MAX('損益分岐設定'!B38,ROUNDUP(S298/I298,0))&lt;='損益分岐設定'!C38,MAX('損益分岐設定'!B38,ROUNDUP(S298/I298,0)),1001))</x:f>
        <x:v>28</x:v>
      </x:c>
      <x:c r="X298" s="1" t="n">
        <x:f>IF(I298&lt;=0,1001,IF(MAX('損益分岐設定'!B39,ROUNDUP(T298/I298,0))&lt;='損益分岐設定'!C39,MAX('損益分岐設定'!B39,ROUNDUP(T298/I298,0)),1001))</x:f>
        <x:v>101</x:v>
      </x:c>
      <x:c r="Y298" s="1" t="n">
        <x:f>IF(I298&lt;=0,1001,IF(MAX('損益分岐設定'!B40,ROUNDUP(U298/I298,0))&lt;='損益分岐設定'!C40,MAX('損益分岐設定'!B40,ROUNDUP(U298/I298,0)),1001))</x:f>
        <x:v>501</x:v>
      </x:c>
      <x:c r="Z298" s="1" t="n">
        <x:f>IF(I298&lt;=0,'損益分岐設定'!C37,IF('損益分岐設定'!C37*I298-R298&lt;0,'損益分岐設定'!C37,IF('損益分岐設定'!B37*I298-R298&gt;=0,0,ROUNDUP(R298/I298,0)-1)))</x:f>
        <x:v>10</x:v>
      </x:c>
      <x:c r="AA298" s="1" t="n">
        <x:f>IF(I298&lt;=0,'損益分岐設定'!C38,IF('損益分岐設定'!C38*I298-S298&lt;0,'損益分岐設定'!C38,IF('損益分岐設定'!B38*I298-S298&gt;=0,0,ROUNDUP(S298/I298,0)-1)))</x:f>
        <x:v>27</x:v>
      </x:c>
      <x:c r="AB298" s="1" t="n">
        <x:f>IF(I298&lt;=0,'損益分岐設定'!C39,IF('損益分岐設定'!C39*I298-T298&lt;0,'損益分岐設定'!C39,IF('損益分岐設定'!B39*I298-T298&gt;=0,0,ROUNDUP(T298/I298,0)-1)))</x:f>
        <x:v>0</x:v>
      </x:c>
      <x:c r="AC298" s="1" t="n">
        <x:f>IF(I298&lt;=0,'損益分岐設定'!C40,IF('損益分岐設定'!C40*I298-U298&lt;0,'損益分岐設定'!C40,IF('損益分岐設定'!B40*I298-U298&gt;=0,0,ROUNDUP(U298/I298,0)-1)))</x:f>
        <x:v>0</x:v>
      </x:c>
      <x:c r="AD298" s="1" t="n">
        <x:f>'損益分岐設定'!$D$5/SUM('損益分岐設定'!$D$5:$D$7)</x:f>
        <x:v>0.5</x:v>
      </x:c>
      <x:c r="AE298" s="1" t="n">
        <x:f>'損益分岐設定'!$D$6/SUM('損益分岐設定'!$D$5:$D$7)</x:f>
        <x:v>0.3</x:v>
      </x:c>
      <x:c r="AF298" s="1" t="n">
        <x:f>'損益分岐設定'!$D$7/SUM('損益分岐設定'!$D$5:$D$7)</x:f>
        <x:v>0.2</x:v>
      </x:c>
      <x:c r="AG298" s="1" t="n">
        <x:f>AD298*'損益分岐設定'!$C$57+AE298*'損益分岐設定'!$C$60+AF298*'損益分岐設定'!$C$63</x:f>
        <x:v>412.2157297973632</x:v>
      </x:c>
      <x:c r="AH298" s="1" t="n">
        <x:f>AD298*'損益分岐設定'!$D$57+AE298*'損益分岐設定'!$D$60+AF298*'損益分岐設定'!$D$63</x:f>
        <x:v>111</x:v>
      </x:c>
      <x:c r="AI298" s="1" t="n">
        <x:f>AD298*'損益分岐設定'!$E$57+AE298*'損益分岐設定'!$E$60+AF298*'損益分岐設定'!$E$63</x:f>
        <x:v>111</x:v>
      </x:c>
      <x:c r="AJ298" s="1" t="n">
        <x:f>(AD298*'損益分岐設定'!$F$57+AE298*'損益分岐設定'!$F$60+AF298*'損益分岐設定'!$F$63*1)*'損益分岐設定'!$B$22</x:f>
        <x:v>444</x:v>
      </x:c>
      <x:c r="AK298" s="1" t="n">
        <x:f>AD298*'損益分岐設定'!$G$57+AE298*'損益分岐設定'!$G$60+AF298*'損益分岐設定'!$G$63</x:f>
        <x:v>740</x:v>
      </x:c>
      <x:c r="AL298" s="1" t="n">
        <x:f>AD298*'損益分岐設定'!$H$57+AE298*'損益分岐設定'!$H$60+AF298*'損益分岐設定'!$H$63</x:f>
        <x:v>656.6666666666666</x:v>
      </x:c>
      <x:c r="AM298" s="1" t="n">
        <x:f>MAX(1,ROUNDUP('損益分岐設定'!C37*AJ298/('損益分岐設定'!$B$23*'損益分岐設定'!$B$24*3600*'損益分岐設定'!$B$25),0))</x:f>
        <x:v>1</x:v>
      </x:c>
      <x:c r="AN298" s="1" t="n">
        <x:f>MAX(2,ROUNDUP('損益分岐設定'!C38*AJ298/('損益分岐設定'!$B$23*'損益分岐設定'!$B$24*3600*'損益分岐設定'!$B$25),0))</x:f>
        <x:v>2</x:v>
      </x:c>
      <x:c r="AO298" s="1" t="n">
        <x:f>MAX(2,ROUNDUP('損益分岐設定'!C39*AJ298/('損益分岐設定'!$B$23*'損益分岐設定'!$B$24*3600*'損益分岐設定'!$B$25),0))</x:f>
        <x:v>2</x:v>
      </x:c>
      <x:c r="AP298" s="1" t="n">
        <x:f>MAX(2,ROUNDUP('損益分岐設定'!C40*AJ298/('損益分岐設定'!$B$23*'損益分岐設定'!$B$24*3600*'損益分岐設定'!$B$25),0))</x:f>
        <x:v>2</x:v>
      </x:c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 ht="23" customHeight="1">
      <x:c r="A299" s="1" t="str">
        <x:v>Hybrid</x:v>
      </x:c>
      <x:c r="B299" s="1" t="str">
        <x:v>混在</x:v>
      </x:c>
      <x:c r="C299" s="1" t="str">
        <x:v>標準</x:v>
      </x:c>
      <x:c r="D299" s="21" t="n">
        <x:v>0.3</x:v>
      </x:c>
      <x:c r="E299" s="1" t="n">
        <x:v>0</x:v>
      </x:c>
      <x:c r="F299" s="7" t="n">
        <x:f>AD299*'損益分岐設定'!$B$5+AE299*'損益分岐設定'!$B$6+AF299*'損益分岐設定'!$B$7</x:f>
        <x:v>4600</x:v>
      </x:c>
      <x:c r="G299" s="7" t="n">
        <x:f>AG299+(AH299+AI299)*('損益分岐設定'!$B$29+0.5*'損益分岐設定'!$B$30)+AK299*'損益分岐設定'!$B$33</x:f>
        <x:v>413.130619733027</x:v>
      </x:c>
      <x:c r="H299" s="7" t="n">
        <x:f>AL299*E299</x:f>
        <x:v>0</x:v>
      </x:c>
      <x:c r="I299" s="7" t="n">
        <x:f>F299*(1-D299-'損益分岐設定'!$B$10)-G299-H299</x:f>
        <x:v>2641.269380266973</x:v>
      </x:c>
      <x:c r="J299" s="1" t="n">
        <x:f>IF(MIN(V299:Y299)&gt;1000,"範囲内なし",MIN(V299:Y299))</x:f>
        <x:v>20</x:v>
      </x:c>
      <x:c r="K299" s="1" t="n">
        <x:f>IF(MAX(Z299:AC299)&gt;=1000,"範囲内なし",MAX(1,MAX(Z299:AC299)+1))</x:f>
        <x:v>20</x:v>
      </x:c>
      <x:c r="L299" s="7" t="n">
        <x:f>10*I299-R299</x:f>
        <x:v>-9027.102887635589</x:v>
      </x:c>
      <x:c r="M299" s="7" t="n">
        <x:f>30*I299-S299</x:f>
        <x:v>28858.488027398547</x:v>
      </x:c>
      <x:c r="N299" s="7" t="n">
        <x:f>50*I299-S299</x:f>
        <x:v>81683.875632738</x:v>
      </x:c>
      <x:c r="O299" s="7" t="n">
        <x:f>100*I299-S299</x:f>
        <x:v>213747.34464608663</x:v>
      </x:c>
      <x:c r="P299" s="7" t="n">
        <x:f>300*I299-T299</x:f>
        <x:v>720001.2206994812</x:v>
      </x:c>
      <x:c r="Q299" s="7" t="n">
        <x:f>1000*I299-U299</x:f>
        <x:v>2538889.7868863624</x:v>
      </x:c>
      <x:c r="R299" s="7" t="n">
        <x:f>'損益分岐設定'!$B$18+'損益分岐設定'!$B$19+'損益分岐設定'!$B$20+'損益分岐設定'!E37+'損益分岐設定'!D37+AM299*('損益分岐設定'!$B$15+'損益分岐設定'!$B$16)+'損益分岐設定'!$B$17+E299*('損益分岐設定'!$B$13+(AM299-1)*'損益分岐設定'!$B$14)*'損益分岐設定'!$B$11</x:f>
        <x:v>35439.79669030532</x:v>
      </x:c>
      <x:c r="S299" s="7" t="n">
        <x:f>'損益分岐設定'!$B$18+'損益分岐設定'!$B$19+'損益分岐設定'!$B$20+'損益分岐設定'!E38+'損益分岐設定'!D38+AN299*('損益分岐設定'!$B$15+'損益分岐設定'!$B$16)+'損益分岐設定'!$B$17+E299*('損益分岐設定'!$B$13+(AN299-1)*'損益分岐設定'!$B$14)*'損益分岐設定'!$B$11</x:f>
        <x:v>50379.59338061063</x:v>
      </x:c>
      <x:c r="T299" s="7" t="n">
        <x:f>'損益分岐設定'!$B$18+'損益分岐設定'!$B$19+'損益分岐設定'!$B$20+'損益分岐設定'!E39+'損益分岐設定'!D39+AO299*('損益分岐設定'!$B$15+'損益分岐設定'!$B$16)+'損益分岐設定'!$B$17+E299*('損益分岐設定'!$B$13+(AO299-1)*'損益分岐設定'!$B$14)*'損益分岐設定'!$B$11</x:f>
        <x:v>72379.59338061063</x:v>
      </x:c>
      <x:c r="U299" s="7" t="n">
        <x:f>'損益分岐設定'!$B$18+'損益分岐設定'!$B$19+'損益分岐設定'!$B$20+'損益分岐設定'!E40+'損益分岐設定'!D40+AP299*('損益分岐設定'!$B$15+'損益分岐設定'!$B$16)+'損益分岐設定'!$B$17+E299*('損益分岐設定'!$B$13+(AP299-1)*'損益分岐設定'!$B$14)*'損益分岐設定'!$B$11</x:f>
        <x:v>102379.59338061063</x:v>
      </x:c>
      <x:c r="V299" s="1" t="n">
        <x:f>IF(I299&lt;=0,1001,IF(MAX('損益分岐設定'!B37,ROUNDUP(R299/I299,0))&lt;='損益分岐設定'!C37,MAX('損益分岐設定'!B37,ROUNDUP(R299/I299,0)),1001))</x:f>
        <x:v>1001</x:v>
      </x:c>
      <x:c r="W299" s="1" t="n">
        <x:f>IF(I299&lt;=0,1001,IF(MAX('損益分岐設定'!B38,ROUNDUP(S299/I299,0))&lt;='損益分岐設定'!C38,MAX('損益分岐設定'!B38,ROUNDUP(S299/I299,0)),1001))</x:f>
        <x:v>20</x:v>
      </x:c>
      <x:c r="X299" s="1" t="n">
        <x:f>IF(I299&lt;=0,1001,IF(MAX('損益分岐設定'!B39,ROUNDUP(T299/I299,0))&lt;='損益分岐設定'!C39,MAX('損益分岐設定'!B39,ROUNDUP(T299/I299,0)),1001))</x:f>
        <x:v>101</x:v>
      </x:c>
      <x:c r="Y299" s="1" t="n">
        <x:f>IF(I299&lt;=0,1001,IF(MAX('損益分岐設定'!B40,ROUNDUP(U299/I299,0))&lt;='損益分岐設定'!C40,MAX('損益分岐設定'!B40,ROUNDUP(U299/I299,0)),1001))</x:f>
        <x:v>501</x:v>
      </x:c>
      <x:c r="Z299" s="1" t="n">
        <x:f>IF(I299&lt;=0,'損益分岐設定'!C37,IF('損益分岐設定'!C37*I299-R299&lt;0,'損益分岐設定'!C37,IF('損益分岐設定'!B37*I299-R299&gt;=0,0,ROUNDUP(R299/I299,0)-1)))</x:f>
        <x:v>10</x:v>
      </x:c>
      <x:c r="AA299" s="1" t="n">
        <x:f>IF(I299&lt;=0,'損益分岐設定'!C38,IF('損益分岐設定'!C38*I299-S299&lt;0,'損益分岐設定'!C38,IF('損益分岐設定'!B38*I299-S299&gt;=0,0,ROUNDUP(S299/I299,0)-1)))</x:f>
        <x:v>19</x:v>
      </x:c>
      <x:c r="AB299" s="1" t="n">
        <x:f>IF(I299&lt;=0,'損益分岐設定'!C39,IF('損益分岐設定'!C39*I299-T299&lt;0,'損益分岐設定'!C39,IF('損益分岐設定'!B39*I299-T299&gt;=0,0,ROUNDUP(T299/I299,0)-1)))</x:f>
        <x:v>0</x:v>
      </x:c>
      <x:c r="AC299" s="1" t="n">
        <x:f>IF(I299&lt;=0,'損益分岐設定'!C40,IF('損益分岐設定'!C40*I299-U299&lt;0,'損益分岐設定'!C40,IF('損益分岐設定'!B40*I299-U299&gt;=0,0,ROUNDUP(U299/I299,0)-1)))</x:f>
        <x:v>0</x:v>
      </x:c>
      <x:c r="AD299" s="1" t="n">
        <x:f>'損益分岐設定'!$D$5/SUM('損益分岐設定'!$D$5:$D$7)</x:f>
        <x:v>0.5</x:v>
      </x:c>
      <x:c r="AE299" s="1" t="n">
        <x:f>'損益分岐設定'!$D$6/SUM('損益分岐設定'!$D$5:$D$7)</x:f>
        <x:v>0.3</x:v>
      </x:c>
      <x:c r="AF299" s="1" t="n">
        <x:f>'損益分岐設定'!$D$7/SUM('損益分岐設定'!$D$5:$D$7)</x:f>
        <x:v>0.2</x:v>
      </x:c>
      <x:c r="AG299" s="1" t="n">
        <x:f>AD299*'損益分岐設定'!$C$57+AE299*'損益分岐設定'!$C$60+AF299*'損益分岐設定'!$C$63</x:f>
        <x:v>412.2157297973632</x:v>
      </x:c>
      <x:c r="AH299" s="1" t="n">
        <x:f>AD299*'損益分岐設定'!$D$57+AE299*'損益分岐設定'!$D$60+AF299*'損益分岐設定'!$D$63</x:f>
        <x:v>111</x:v>
      </x:c>
      <x:c r="AI299" s="1" t="n">
        <x:f>AD299*'損益分岐設定'!$E$57+AE299*'損益分岐設定'!$E$60+AF299*'損益分岐設定'!$E$63</x:f>
        <x:v>111</x:v>
      </x:c>
      <x:c r="AJ299" s="1" t="n">
        <x:f>(AD299*'損益分岐設定'!$F$57+AE299*'損益分岐設定'!$F$60+AF299*'損益分岐設定'!$F$63*1)*'損益分岐設定'!$B$22</x:f>
        <x:v>444</x:v>
      </x:c>
      <x:c r="AK299" s="1" t="n">
        <x:f>AD299*'損益分岐設定'!$G$57+AE299*'損益分岐設定'!$G$60+AF299*'損益分岐設定'!$G$63</x:f>
        <x:v>740</x:v>
      </x:c>
      <x:c r="AL299" s="1" t="n">
        <x:f>AD299*'損益分岐設定'!$H$57+AE299*'損益分岐設定'!$H$60+AF299*'損益分岐設定'!$H$63</x:f>
        <x:v>656.6666666666666</x:v>
      </x:c>
      <x:c r="AM299" s="1" t="n">
        <x:f>MAX(1,ROUNDUP('損益分岐設定'!C37*AJ299/('損益分岐設定'!$B$23*'損益分岐設定'!$B$24*3600*'損益分岐設定'!$B$25),0))</x:f>
        <x:v>1</x:v>
      </x:c>
      <x:c r="AN299" s="1" t="n">
        <x:f>MAX(2,ROUNDUP('損益分岐設定'!C38*AJ299/('損益分岐設定'!$B$23*'損益分岐設定'!$B$24*3600*'損益分岐設定'!$B$25),0))</x:f>
        <x:v>2</x:v>
      </x:c>
      <x:c r="AO299" s="1" t="n">
        <x:f>MAX(2,ROUNDUP('損益分岐設定'!C39*AJ299/('損益分岐設定'!$B$23*'損益分岐設定'!$B$24*3600*'損益分岐設定'!$B$25),0))</x:f>
        <x:v>2</x:v>
      </x:c>
      <x:c r="AP299" s="1" t="n">
        <x:f>MAX(2,ROUNDUP('損益分岐設定'!C40*AJ299/('損益分岐設定'!$B$23*'損益分岐設定'!$B$24*3600*'損益分岐設定'!$B$25),0))</x:f>
        <x:v>2</x:v>
      </x:c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 ht="23" customHeight="1">
      <x:c r="A300" s="1" t="str">
        <x:v>Hybrid</x:v>
      </x:c>
      <x:c r="B300" s="1" t="str">
        <x:v>混在</x:v>
      </x:c>
      <x:c r="C300" s="1" t="str">
        <x:v>標準</x:v>
      </x:c>
      <x:c r="D300" s="21" t="n">
        <x:v>0.3</x:v>
      </x:c>
      <x:c r="E300" s="1" t="n">
        <x:v>1</x:v>
      </x:c>
      <x:c r="F300" s="7" t="n">
        <x:f>AD300*'損益分岐設定'!$B$5+AE300*'損益分岐設定'!$B$6+AF300*'損益分岐設定'!$B$7</x:f>
        <x:v>4600</x:v>
      </x:c>
      <x:c r="G300" s="7" t="n">
        <x:f>AG300+(AH300+AI300)*('損益分岐設定'!$B$29+0.5*'損益分岐設定'!$B$30)+AK300*'損益分岐設定'!$B$33</x:f>
        <x:v>413.130619733027</x:v>
      </x:c>
      <x:c r="H300" s="7" t="n">
        <x:f>AL300*E300</x:f>
        <x:v>656.6666666666666</x:v>
      </x:c>
      <x:c r="I300" s="7" t="n">
        <x:f>F300*(1-D300-'損益分岐設定'!$B$10)-G300-H300</x:f>
        <x:v>1984.6027136003063</x:v>
      </x:c>
      <x:c r="J300" s="1" t="n">
        <x:f>IF(MIN(V300:Y300)&gt;1000,"範囲内なし",MIN(V300:Y300))</x:f>
        <x:v>35</x:v>
      </x:c>
      <x:c r="K300" s="1" t="n">
        <x:f>IF(MAX(Z300:AC300)&gt;=1000,"範囲内なし",MAX(1,MAX(Z300:AC300)+1))</x:f>
        <x:v>35</x:v>
      </x:c>
      <x:c r="L300" s="7" t="n">
        <x:f>10*I300-R300</x:f>
        <x:v>-31593.769554302253</x:v>
      </x:c>
      <x:c r="M300" s="7" t="n">
        <x:f>30*I300-S300</x:f>
        <x:v>-8841.511972601445</x:v>
      </x:c>
      <x:c r="N300" s="7" t="n">
        <x:f>50*I300-S300</x:f>
        <x:v>30850.542299404682</x:v>
      </x:c>
      <x:c r="O300" s="7" t="n">
        <x:f>100*I300-S300</x:f>
        <x:v>130080.67797942</x:v>
      </x:c>
      <x:c r="P300" s="7" t="n">
        <x:f>300*I300-T300</x:f>
        <x:v>505001.22069948126</x:v>
      </x:c>
      <x:c r="Q300" s="7" t="n">
        <x:f>1000*I300-U300</x:f>
        <x:v>1864223.1202196956</x:v>
      </x:c>
      <x:c r="R300" s="7" t="n">
        <x:f>'損益分岐設定'!$B$18+'損益分岐設定'!$B$19+'損益分岐設定'!$B$20+'損益分岐設定'!E37+'損益分岐設定'!D37+AM300*('損益分岐設定'!$B$15+'損益分岐設定'!$B$16)+'損益分岐設定'!$B$17+E300*('損益分岐設定'!$B$13+(AM300-1)*'損益分岐設定'!$B$14)*'損益分岐設定'!$B$11</x:f>
        <x:v>51439.79669030532</x:v>
      </x:c>
      <x:c r="S300" s="7" t="n">
        <x:f>'損益分岐設定'!$B$18+'損益分岐設定'!$B$19+'損益分岐設定'!$B$20+'損益分岐設定'!E38+'損益分岐設定'!D38+AN300*('損益分岐設定'!$B$15+'損益分岐設定'!$B$16)+'損益分岐設定'!$B$17+E300*('損益分岐設定'!$B$13+(AN300-1)*'損益分岐設定'!$B$14)*'損益分岐設定'!$B$11</x:f>
        <x:v>68379.59338061063</x:v>
      </x:c>
      <x:c r="T300" s="7" t="n">
        <x:f>'損益分岐設定'!$B$18+'損益分岐設定'!$B$19+'損益分岐設定'!$B$20+'損益分岐設定'!E39+'損益分岐設定'!D39+AO300*('損益分岐設定'!$B$15+'損益分岐設定'!$B$16)+'損益分岐設定'!$B$17+E300*('損益分岐設定'!$B$13+(AO300-1)*'損益分岐設定'!$B$14)*'損益分岐設定'!$B$11</x:f>
        <x:v>90379.59338061063</x:v>
      </x:c>
      <x:c r="U300" s="7" t="n">
        <x:f>'損益分岐設定'!$B$18+'損益分岐設定'!$B$19+'損益分岐設定'!$B$20+'損益分岐設定'!E40+'損益分岐設定'!D40+AP300*('損益分岐設定'!$B$15+'損益分岐設定'!$B$16)+'損益分岐設定'!$B$17+E300*('損益分岐設定'!$B$13+(AP300-1)*'損益分岐設定'!$B$14)*'損益分岐設定'!$B$11</x:f>
        <x:v>120379.59338061063</x:v>
      </x:c>
      <x:c r="V300" s="1" t="n">
        <x:f>IF(I300&lt;=0,1001,IF(MAX('損益分岐設定'!B37,ROUNDUP(R300/I300,0))&lt;='損益分岐設定'!C37,MAX('損益分岐設定'!B37,ROUNDUP(R300/I300,0)),1001))</x:f>
        <x:v>1001</x:v>
      </x:c>
      <x:c r="W300" s="1" t="n">
        <x:f>IF(I300&lt;=0,1001,IF(MAX('損益分岐設定'!B38,ROUNDUP(S300/I300,0))&lt;='損益分岐設定'!C38,MAX('損益分岐設定'!B38,ROUNDUP(S300/I300,0)),1001))</x:f>
        <x:v>35</x:v>
      </x:c>
      <x:c r="X300" s="1" t="n">
        <x:f>IF(I300&lt;=0,1001,IF(MAX('損益分岐設定'!B39,ROUNDUP(T300/I300,0))&lt;='損益分岐設定'!C39,MAX('損益分岐設定'!B39,ROUNDUP(T300/I300,0)),1001))</x:f>
        <x:v>101</x:v>
      </x:c>
      <x:c r="Y300" s="1" t="n">
        <x:f>IF(I300&lt;=0,1001,IF(MAX('損益分岐設定'!B40,ROUNDUP(U300/I300,0))&lt;='損益分岐設定'!C40,MAX('損益分岐設定'!B40,ROUNDUP(U300/I300,0)),1001))</x:f>
        <x:v>501</x:v>
      </x:c>
      <x:c r="Z300" s="1" t="n">
        <x:f>IF(I300&lt;=0,'損益分岐設定'!C37,IF('損益分岐設定'!C37*I300-R300&lt;0,'損益分岐設定'!C37,IF('損益分岐設定'!B37*I300-R300&gt;=0,0,ROUNDUP(R300/I300,0)-1)))</x:f>
        <x:v>10</x:v>
      </x:c>
      <x:c r="AA300" s="1" t="n">
        <x:f>IF(I300&lt;=0,'損益分岐設定'!C38,IF('損益分岐設定'!C38*I300-S300&lt;0,'損益分岐設定'!C38,IF('損益分岐設定'!B38*I300-S300&gt;=0,0,ROUNDUP(S300/I300,0)-1)))</x:f>
        <x:v>34</x:v>
      </x:c>
      <x:c r="AB300" s="1" t="n">
        <x:f>IF(I300&lt;=0,'損益分岐設定'!C39,IF('損益分岐設定'!C39*I300-T300&lt;0,'損益分岐設定'!C39,IF('損益分岐設定'!B39*I300-T300&gt;=0,0,ROUNDUP(T300/I300,0)-1)))</x:f>
        <x:v>0</x:v>
      </x:c>
      <x:c r="AC300" s="1" t="n">
        <x:f>IF(I300&lt;=0,'損益分岐設定'!C40,IF('損益分岐設定'!C40*I300-U300&lt;0,'損益分岐設定'!C40,IF('損益分岐設定'!B40*I300-U300&gt;=0,0,ROUNDUP(U300/I300,0)-1)))</x:f>
        <x:v>0</x:v>
      </x:c>
      <x:c r="AD300" s="1" t="n">
        <x:f>'損益分岐設定'!$D$5/SUM('損益分岐設定'!$D$5:$D$7)</x:f>
        <x:v>0.5</x:v>
      </x:c>
      <x:c r="AE300" s="1" t="n">
        <x:f>'損益分岐設定'!$D$6/SUM('損益分岐設定'!$D$5:$D$7)</x:f>
        <x:v>0.3</x:v>
      </x:c>
      <x:c r="AF300" s="1" t="n">
        <x:f>'損益分岐設定'!$D$7/SUM('損益分岐設定'!$D$5:$D$7)</x:f>
        <x:v>0.2</x:v>
      </x:c>
      <x:c r="AG300" s="1" t="n">
        <x:f>AD300*'損益分岐設定'!$C$57+AE300*'損益分岐設定'!$C$60+AF300*'損益分岐設定'!$C$63</x:f>
        <x:v>412.2157297973632</x:v>
      </x:c>
      <x:c r="AH300" s="1" t="n">
        <x:f>AD300*'損益分岐設定'!$D$57+AE300*'損益分岐設定'!$D$60+AF300*'損益分岐設定'!$D$63</x:f>
        <x:v>111</x:v>
      </x:c>
      <x:c r="AI300" s="1" t="n">
        <x:f>AD300*'損益分岐設定'!$E$57+AE300*'損益分岐設定'!$E$60+AF300*'損益分岐設定'!$E$63</x:f>
        <x:v>111</x:v>
      </x:c>
      <x:c r="AJ300" s="1" t="n">
        <x:f>(AD300*'損益分岐設定'!$F$57+AE300*'損益分岐設定'!$F$60+AF300*'損益分岐設定'!$F$63*1)*'損益分岐設定'!$B$22</x:f>
        <x:v>444</x:v>
      </x:c>
      <x:c r="AK300" s="1" t="n">
        <x:f>AD300*'損益分岐設定'!$G$57+AE300*'損益分岐設定'!$G$60+AF300*'損益分岐設定'!$G$63</x:f>
        <x:v>740</x:v>
      </x:c>
      <x:c r="AL300" s="1" t="n">
        <x:f>AD300*'損益分岐設定'!$H$57+AE300*'損益分岐設定'!$H$60+AF300*'損益分岐設定'!$H$63</x:f>
        <x:v>656.6666666666666</x:v>
      </x:c>
      <x:c r="AM300" s="1" t="n">
        <x:f>MAX(1,ROUNDUP('損益分岐設定'!C37*AJ300/('損益分岐設定'!$B$23*'損益分岐設定'!$B$24*3600*'損益分岐設定'!$B$25),0))</x:f>
        <x:v>1</x:v>
      </x:c>
      <x:c r="AN300" s="1" t="n">
        <x:f>MAX(2,ROUNDUP('損益分岐設定'!C38*AJ300/('損益分岐設定'!$B$23*'損益分岐設定'!$B$24*3600*'損益分岐設定'!$B$25),0))</x:f>
        <x:v>2</x:v>
      </x:c>
      <x:c r="AO300" s="1" t="n">
        <x:f>MAX(2,ROUNDUP('損益分岐設定'!C39*AJ300/('損益分岐設定'!$B$23*'損益分岐設定'!$B$24*3600*'損益分岐設定'!$B$25),0))</x:f>
        <x:v>2</x:v>
      </x:c>
      <x:c r="AP300" s="1" t="n">
        <x:f>MAX(2,ROUNDUP('損益分岐設定'!C40*AJ300/('損益分岐設定'!$B$23*'損益分岐設定'!$B$24*3600*'損益分岐設定'!$B$25),0))</x:f>
        <x:v>2</x:v>
      </x:c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 ht="23" customHeight="1">
      <x:c r="A301" s="1" t="str">
        <x:v>Hybrid</x:v>
      </x:c>
      <x:c r="B301" s="1" t="str">
        <x:v>混在</x:v>
      </x:c>
      <x:c r="C301" s="1" t="str">
        <x:v>標準</x:v>
      </x:c>
      <x:c r="D301" s="21" t="n">
        <x:v>0.4</x:v>
      </x:c>
      <x:c r="E301" s="1" t="n">
        <x:v>0</x:v>
      </x:c>
      <x:c r="F301" s="7" t="n">
        <x:f>AD301*'損益分岐設定'!$B$5+AE301*'損益分岐設定'!$B$6+AF301*'損益分岐設定'!$B$7</x:f>
        <x:v>4600</x:v>
      </x:c>
      <x:c r="G301" s="7" t="n">
        <x:f>AG301+(AH301+AI301)*('損益分岐設定'!$B$29+0.5*'損益分岐設定'!$B$30)+AK301*'損益分岐設定'!$B$33</x:f>
        <x:v>413.130619733027</x:v>
      </x:c>
      <x:c r="H301" s="7" t="n">
        <x:f>AL301*E301</x:f>
        <x:v>0</x:v>
      </x:c>
      <x:c r="I301" s="7" t="n">
        <x:f>F301*(1-D301-'損益分岐設定'!$B$10)-G301-H301</x:f>
        <x:v>2181.269380266973</x:v>
      </x:c>
      <x:c r="J301" s="1" t="n">
        <x:f>IF(MIN(V301:Y301)&gt;1000,"範囲内なし",MIN(V301:Y301))</x:f>
        <x:v>24</x:v>
      </x:c>
      <x:c r="K301" s="1" t="n">
        <x:f>IF(MAX(Z301:AC301)&gt;=1000,"範囲内なし",MAX(1,MAX(Z301:AC301)+1))</x:f>
        <x:v>24</x:v>
      </x:c>
      <x:c r="L301" s="7" t="n">
        <x:f>10*I301-R301</x:f>
        <x:v>-13627.102887635589</x:v>
      </x:c>
      <x:c r="M301" s="7" t="n">
        <x:f>30*I301-S301</x:f>
        <x:v>15058.488027398547</x:v>
      </x:c>
      <x:c r="N301" s="7" t="n">
        <x:f>50*I301-S301</x:f>
        <x:v>58683.87563273801</x:v>
      </x:c>
      <x:c r="O301" s="7" t="n">
        <x:f>100*I301-S301</x:f>
        <x:v>167747.34464608665</x:v>
      </x:c>
      <x:c r="P301" s="7" t="n">
        <x:f>300*I301-T301</x:f>
        <x:v>582001.2206994812</x:v>
      </x:c>
      <x:c r="Q301" s="7" t="n">
        <x:f>1000*I301-U301</x:f>
        <x:v>2078889.7868863621</x:v>
      </x:c>
      <x:c r="R301" s="7" t="n">
        <x:f>'損益分岐設定'!$B$18+'損益分岐設定'!$B$19+'損益分岐設定'!$B$20+'損益分岐設定'!E37+'損益分岐設定'!D37+AM301*('損益分岐設定'!$B$15+'損益分岐設定'!$B$16)+'損益分岐設定'!$B$17+E301*('損益分岐設定'!$B$13+(AM301-1)*'損益分岐設定'!$B$14)*'損益分岐設定'!$B$11</x:f>
        <x:v>35439.79669030532</x:v>
      </x:c>
      <x:c r="S301" s="7" t="n">
        <x:f>'損益分岐設定'!$B$18+'損益分岐設定'!$B$19+'損益分岐設定'!$B$20+'損益分岐設定'!E38+'損益分岐設定'!D38+AN301*('損益分岐設定'!$B$15+'損益分岐設定'!$B$16)+'損益分岐設定'!$B$17+E301*('損益分岐設定'!$B$13+(AN301-1)*'損益分岐設定'!$B$14)*'損益分岐設定'!$B$11</x:f>
        <x:v>50379.59338061063</x:v>
      </x:c>
      <x:c r="T301" s="7" t="n">
        <x:f>'損益分岐設定'!$B$18+'損益分岐設定'!$B$19+'損益分岐設定'!$B$20+'損益分岐設定'!E39+'損益分岐設定'!D39+AO301*('損益分岐設定'!$B$15+'損益分岐設定'!$B$16)+'損益分岐設定'!$B$17+E301*('損益分岐設定'!$B$13+(AO301-1)*'損益分岐設定'!$B$14)*'損益分岐設定'!$B$11</x:f>
        <x:v>72379.59338061063</x:v>
      </x:c>
      <x:c r="U301" s="7" t="n">
        <x:f>'損益分岐設定'!$B$18+'損益分岐設定'!$B$19+'損益分岐設定'!$B$20+'損益分岐設定'!E40+'損益分岐設定'!D40+AP301*('損益分岐設定'!$B$15+'損益分岐設定'!$B$16)+'損益分岐設定'!$B$17+E301*('損益分岐設定'!$B$13+(AP301-1)*'損益分岐設定'!$B$14)*'損益分岐設定'!$B$11</x:f>
        <x:v>102379.59338061063</x:v>
      </x:c>
      <x:c r="V301" s="1" t="n">
        <x:f>IF(I301&lt;=0,1001,IF(MAX('損益分岐設定'!B37,ROUNDUP(R301/I301,0))&lt;='損益分岐設定'!C37,MAX('損益分岐設定'!B37,ROUNDUP(R301/I301,0)),1001))</x:f>
        <x:v>1001</x:v>
      </x:c>
      <x:c r="W301" s="1" t="n">
        <x:f>IF(I301&lt;=0,1001,IF(MAX('損益分岐設定'!B38,ROUNDUP(S301/I301,0))&lt;='損益分岐設定'!C38,MAX('損益分岐設定'!B38,ROUNDUP(S301/I301,0)),1001))</x:f>
        <x:v>24</x:v>
      </x:c>
      <x:c r="X301" s="1" t="n">
        <x:f>IF(I301&lt;=0,1001,IF(MAX('損益分岐設定'!B39,ROUNDUP(T301/I301,0))&lt;='損益分岐設定'!C39,MAX('損益分岐設定'!B39,ROUNDUP(T301/I301,0)),1001))</x:f>
        <x:v>101</x:v>
      </x:c>
      <x:c r="Y301" s="1" t="n">
        <x:f>IF(I301&lt;=0,1001,IF(MAX('損益分岐設定'!B40,ROUNDUP(U301/I301,0))&lt;='損益分岐設定'!C40,MAX('損益分岐設定'!B40,ROUNDUP(U301/I301,0)),1001))</x:f>
        <x:v>501</x:v>
      </x:c>
      <x:c r="Z301" s="1" t="n">
        <x:f>IF(I301&lt;=0,'損益分岐設定'!C37,IF('損益分岐設定'!C37*I301-R301&lt;0,'損益分岐設定'!C37,IF('損益分岐設定'!B37*I301-R301&gt;=0,0,ROUNDUP(R301/I301,0)-1)))</x:f>
        <x:v>10</x:v>
      </x:c>
      <x:c r="AA301" s="1" t="n">
        <x:f>IF(I301&lt;=0,'損益分岐設定'!C38,IF('損益分岐設定'!C38*I301-S301&lt;0,'損益分岐設定'!C38,IF('損益分岐設定'!B38*I301-S301&gt;=0,0,ROUNDUP(S301/I301,0)-1)))</x:f>
        <x:v>23</x:v>
      </x:c>
      <x:c r="AB301" s="1" t="n">
        <x:f>IF(I301&lt;=0,'損益分岐設定'!C39,IF('損益分岐設定'!C39*I301-T301&lt;0,'損益分岐設定'!C39,IF('損益分岐設定'!B39*I301-T301&gt;=0,0,ROUNDUP(T301/I301,0)-1)))</x:f>
        <x:v>0</x:v>
      </x:c>
      <x:c r="AC301" s="1" t="n">
        <x:f>IF(I301&lt;=0,'損益分岐設定'!C40,IF('損益分岐設定'!C40*I301-U301&lt;0,'損益分岐設定'!C40,IF('損益分岐設定'!B40*I301-U301&gt;=0,0,ROUNDUP(U301/I301,0)-1)))</x:f>
        <x:v>0</x:v>
      </x:c>
      <x:c r="AD301" s="1" t="n">
        <x:f>'損益分岐設定'!$D$5/SUM('損益分岐設定'!$D$5:$D$7)</x:f>
        <x:v>0.5</x:v>
      </x:c>
      <x:c r="AE301" s="1" t="n">
        <x:f>'損益分岐設定'!$D$6/SUM('損益分岐設定'!$D$5:$D$7)</x:f>
        <x:v>0.3</x:v>
      </x:c>
      <x:c r="AF301" s="1" t="n">
        <x:f>'損益分岐設定'!$D$7/SUM('損益分岐設定'!$D$5:$D$7)</x:f>
        <x:v>0.2</x:v>
      </x:c>
      <x:c r="AG301" s="1" t="n">
        <x:f>AD301*'損益分岐設定'!$C$57+AE301*'損益分岐設定'!$C$60+AF301*'損益分岐設定'!$C$63</x:f>
        <x:v>412.2157297973632</x:v>
      </x:c>
      <x:c r="AH301" s="1" t="n">
        <x:f>AD301*'損益分岐設定'!$D$57+AE301*'損益分岐設定'!$D$60+AF301*'損益分岐設定'!$D$63</x:f>
        <x:v>111</x:v>
      </x:c>
      <x:c r="AI301" s="1" t="n">
        <x:f>AD301*'損益分岐設定'!$E$57+AE301*'損益分岐設定'!$E$60+AF301*'損益分岐設定'!$E$63</x:f>
        <x:v>111</x:v>
      </x:c>
      <x:c r="AJ301" s="1" t="n">
        <x:f>(AD301*'損益分岐設定'!$F$57+AE301*'損益分岐設定'!$F$60+AF301*'損益分岐設定'!$F$63*1)*'損益分岐設定'!$B$22</x:f>
        <x:v>444</x:v>
      </x:c>
      <x:c r="AK301" s="1" t="n">
        <x:f>AD301*'損益分岐設定'!$G$57+AE301*'損益分岐設定'!$G$60+AF301*'損益分岐設定'!$G$63</x:f>
        <x:v>740</x:v>
      </x:c>
      <x:c r="AL301" s="1" t="n">
        <x:f>AD301*'損益分岐設定'!$H$57+AE301*'損益分岐設定'!$H$60+AF301*'損益分岐設定'!$H$63</x:f>
        <x:v>656.6666666666666</x:v>
      </x:c>
      <x:c r="AM301" s="1" t="n">
        <x:f>MAX(1,ROUNDUP('損益分岐設定'!C37*AJ301/('損益分岐設定'!$B$23*'損益分岐設定'!$B$24*3600*'損益分岐設定'!$B$25),0))</x:f>
        <x:v>1</x:v>
      </x:c>
      <x:c r="AN301" s="1" t="n">
        <x:f>MAX(2,ROUNDUP('損益分岐設定'!C38*AJ301/('損益分岐設定'!$B$23*'損益分岐設定'!$B$24*3600*'損益分岐設定'!$B$25),0))</x:f>
        <x:v>2</x:v>
      </x:c>
      <x:c r="AO301" s="1" t="n">
        <x:f>MAX(2,ROUNDUP('損益分岐設定'!C39*AJ301/('損益分岐設定'!$B$23*'損益分岐設定'!$B$24*3600*'損益分岐設定'!$B$25),0))</x:f>
        <x:v>2</x:v>
      </x:c>
      <x:c r="AP301" s="1" t="n">
        <x:f>MAX(2,ROUNDUP('損益分岐設定'!C40*AJ301/('損益分岐設定'!$B$23*'損益分岐設定'!$B$24*3600*'損益分岐設定'!$B$25),0))</x:f>
        <x:v>2</x:v>
      </x:c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 ht="23" customHeight="1">
      <x:c r="A302" s="1" t="str">
        <x:v>Hybrid</x:v>
      </x:c>
      <x:c r="B302" s="1" t="str">
        <x:v>混在</x:v>
      </x:c>
      <x:c r="C302" s="1" t="str">
        <x:v>標準</x:v>
      </x:c>
      <x:c r="D302" s="21" t="n">
        <x:v>0.4</x:v>
      </x:c>
      <x:c r="E302" s="1" t="n">
        <x:v>1</x:v>
      </x:c>
      <x:c r="F302" s="7" t="n">
        <x:f>AD302*'損益分岐設定'!$B$5+AE302*'損益分岐設定'!$B$6+AF302*'損益分岐設定'!$B$7</x:f>
        <x:v>4600</x:v>
      </x:c>
      <x:c r="G302" s="7" t="n">
        <x:f>AG302+(AH302+AI302)*('損益分岐設定'!$B$29+0.5*'損益分岐設定'!$B$30)+AK302*'損益分岐設定'!$B$33</x:f>
        <x:v>413.130619733027</x:v>
      </x:c>
      <x:c r="H302" s="7" t="n">
        <x:f>AL302*E302</x:f>
        <x:v>656.6666666666666</x:v>
      </x:c>
      <x:c r="I302" s="7" t="n">
        <x:f>F302*(1-D302-'損益分岐設定'!$B$10)-G302-H302</x:f>
        <x:v>1524.6027136003063</x:v>
      </x:c>
      <x:c r="J302" s="1" t="n">
        <x:f>IF(MIN(V302:Y302)&gt;1000,"範囲内なし",MIN(V302:Y302))</x:f>
        <x:v>45</x:v>
      </x:c>
      <x:c r="K302" s="1" t="n">
        <x:f>IF(MAX(Z302:AC302)&gt;=1000,"範囲内なし",MAX(1,MAX(Z302:AC302)+1))</x:f>
        <x:v>45</x:v>
      </x:c>
      <x:c r="L302" s="7" t="n">
        <x:f>10*I302-R302</x:f>
        <x:v>-36193.76955430226</x:v>
      </x:c>
      <x:c r="M302" s="7" t="n">
        <x:f>30*I302-S302</x:f>
        <x:v>-22641.511972601445</x:v>
      </x:c>
      <x:c r="N302" s="7" t="n">
        <x:f>50*I302-S302</x:f>
        <x:v>7850.542299404682</x:v>
      </x:c>
      <x:c r="O302" s="7" t="n">
        <x:f>100*I302-S302</x:f>
        <x:v>84080.67797942</x:v>
      </x:c>
      <x:c r="P302" s="7" t="n">
        <x:f>300*I302-T302</x:f>
        <x:v>367001.22069948126</x:v>
      </x:c>
      <x:c r="Q302" s="7" t="n">
        <x:f>1000*I302-U302</x:f>
        <x:v>1404223.1202196956</x:v>
      </x:c>
      <x:c r="R302" s="7" t="n">
        <x:f>'損益分岐設定'!$B$18+'損益分岐設定'!$B$19+'損益分岐設定'!$B$20+'損益分岐設定'!E37+'損益分岐設定'!D37+AM302*('損益分岐設定'!$B$15+'損益分岐設定'!$B$16)+'損益分岐設定'!$B$17+E302*('損益分岐設定'!$B$13+(AM302-1)*'損益分岐設定'!$B$14)*'損益分岐設定'!$B$11</x:f>
        <x:v>51439.79669030532</x:v>
      </x:c>
      <x:c r="S302" s="7" t="n">
        <x:f>'損益分岐設定'!$B$18+'損益分岐設定'!$B$19+'損益分岐設定'!$B$20+'損益分岐設定'!E38+'損益分岐設定'!D38+AN302*('損益分岐設定'!$B$15+'損益分岐設定'!$B$16)+'損益分岐設定'!$B$17+E302*('損益分岐設定'!$B$13+(AN302-1)*'損益分岐設定'!$B$14)*'損益分岐設定'!$B$11</x:f>
        <x:v>68379.59338061063</x:v>
      </x:c>
      <x:c r="T302" s="7" t="n">
        <x:f>'損益分岐設定'!$B$18+'損益分岐設定'!$B$19+'損益分岐設定'!$B$20+'損益分岐設定'!E39+'損益分岐設定'!D39+AO302*('損益分岐設定'!$B$15+'損益分岐設定'!$B$16)+'損益分岐設定'!$B$17+E302*('損益分岐設定'!$B$13+(AO302-1)*'損益分岐設定'!$B$14)*'損益分岐設定'!$B$11</x:f>
        <x:v>90379.59338061063</x:v>
      </x:c>
      <x:c r="U302" s="7" t="n">
        <x:f>'損益分岐設定'!$B$18+'損益分岐設定'!$B$19+'損益分岐設定'!$B$20+'損益分岐設定'!E40+'損益分岐設定'!D40+AP302*('損益分岐設定'!$B$15+'損益分岐設定'!$B$16)+'損益分岐設定'!$B$17+E302*('損益分岐設定'!$B$13+(AP302-1)*'損益分岐設定'!$B$14)*'損益分岐設定'!$B$11</x:f>
        <x:v>120379.59338061063</x:v>
      </x:c>
      <x:c r="V302" s="1" t="n">
        <x:f>IF(I302&lt;=0,1001,IF(MAX('損益分岐設定'!B37,ROUNDUP(R302/I302,0))&lt;='損益分岐設定'!C37,MAX('損益分岐設定'!B37,ROUNDUP(R302/I302,0)),1001))</x:f>
        <x:v>1001</x:v>
      </x:c>
      <x:c r="W302" s="1" t="n">
        <x:f>IF(I302&lt;=0,1001,IF(MAX('損益分岐設定'!B38,ROUNDUP(S302/I302,0))&lt;='損益分岐設定'!C38,MAX('損益分岐設定'!B38,ROUNDUP(S302/I302,0)),1001))</x:f>
        <x:v>45</x:v>
      </x:c>
      <x:c r="X302" s="1" t="n">
        <x:f>IF(I302&lt;=0,1001,IF(MAX('損益分岐設定'!B39,ROUNDUP(T302/I302,0))&lt;='損益分岐設定'!C39,MAX('損益分岐設定'!B39,ROUNDUP(T302/I302,0)),1001))</x:f>
        <x:v>101</x:v>
      </x:c>
      <x:c r="Y302" s="1" t="n">
        <x:f>IF(I302&lt;=0,1001,IF(MAX('損益分岐設定'!B40,ROUNDUP(U302/I302,0))&lt;='損益分岐設定'!C40,MAX('損益分岐設定'!B40,ROUNDUP(U302/I302,0)),1001))</x:f>
        <x:v>501</x:v>
      </x:c>
      <x:c r="Z302" s="1" t="n">
        <x:f>IF(I302&lt;=0,'損益分岐設定'!C37,IF('損益分岐設定'!C37*I302-R302&lt;0,'損益分岐設定'!C37,IF('損益分岐設定'!B37*I302-R302&gt;=0,0,ROUNDUP(R302/I302,0)-1)))</x:f>
        <x:v>10</x:v>
      </x:c>
      <x:c r="AA302" s="1" t="n">
        <x:f>IF(I302&lt;=0,'損益分岐設定'!C38,IF('損益分岐設定'!C38*I302-S302&lt;0,'損益分岐設定'!C38,IF('損益分岐設定'!B38*I302-S302&gt;=0,0,ROUNDUP(S302/I302,0)-1)))</x:f>
        <x:v>44</x:v>
      </x:c>
      <x:c r="AB302" s="1" t="n">
        <x:f>IF(I302&lt;=0,'損益分岐設定'!C39,IF('損益分岐設定'!C39*I302-T302&lt;0,'損益分岐設定'!C39,IF('損益分岐設定'!B39*I302-T302&gt;=0,0,ROUNDUP(T302/I302,0)-1)))</x:f>
        <x:v>0</x:v>
      </x:c>
      <x:c r="AC302" s="1" t="n">
        <x:f>IF(I302&lt;=0,'損益分岐設定'!C40,IF('損益分岐設定'!C40*I302-U302&lt;0,'損益分岐設定'!C40,IF('損益分岐設定'!B40*I302-U302&gt;=0,0,ROUNDUP(U302/I302,0)-1)))</x:f>
        <x:v>0</x:v>
      </x:c>
      <x:c r="AD302" s="1" t="n">
        <x:f>'損益分岐設定'!$D$5/SUM('損益分岐設定'!$D$5:$D$7)</x:f>
        <x:v>0.5</x:v>
      </x:c>
      <x:c r="AE302" s="1" t="n">
        <x:f>'損益分岐設定'!$D$6/SUM('損益分岐設定'!$D$5:$D$7)</x:f>
        <x:v>0.3</x:v>
      </x:c>
      <x:c r="AF302" s="1" t="n">
        <x:f>'損益分岐設定'!$D$7/SUM('損益分岐設定'!$D$5:$D$7)</x:f>
        <x:v>0.2</x:v>
      </x:c>
      <x:c r="AG302" s="1" t="n">
        <x:f>AD302*'損益分岐設定'!$C$57+AE302*'損益分岐設定'!$C$60+AF302*'損益分岐設定'!$C$63</x:f>
        <x:v>412.2157297973632</x:v>
      </x:c>
      <x:c r="AH302" s="1" t="n">
        <x:f>AD302*'損益分岐設定'!$D$57+AE302*'損益分岐設定'!$D$60+AF302*'損益分岐設定'!$D$63</x:f>
        <x:v>111</x:v>
      </x:c>
      <x:c r="AI302" s="1" t="n">
        <x:f>AD302*'損益分岐設定'!$E$57+AE302*'損益分岐設定'!$E$60+AF302*'損益分岐設定'!$E$63</x:f>
        <x:v>111</x:v>
      </x:c>
      <x:c r="AJ302" s="1" t="n">
        <x:f>(AD302*'損益分岐設定'!$F$57+AE302*'損益分岐設定'!$F$60+AF302*'損益分岐設定'!$F$63*1)*'損益分岐設定'!$B$22</x:f>
        <x:v>444</x:v>
      </x:c>
      <x:c r="AK302" s="1" t="n">
        <x:f>AD302*'損益分岐設定'!$G$57+AE302*'損益分岐設定'!$G$60+AF302*'損益分岐設定'!$G$63</x:f>
        <x:v>740</x:v>
      </x:c>
      <x:c r="AL302" s="1" t="n">
        <x:f>AD302*'損益分岐設定'!$H$57+AE302*'損益分岐設定'!$H$60+AF302*'損益分岐設定'!$H$63</x:f>
        <x:v>656.6666666666666</x:v>
      </x:c>
      <x:c r="AM302" s="1" t="n">
        <x:f>MAX(1,ROUNDUP('損益分岐設定'!C37*AJ302/('損益分岐設定'!$B$23*'損益分岐設定'!$B$24*3600*'損益分岐設定'!$B$25),0))</x:f>
        <x:v>1</x:v>
      </x:c>
      <x:c r="AN302" s="1" t="n">
        <x:f>MAX(2,ROUNDUP('損益分岐設定'!C38*AJ302/('損益分岐設定'!$B$23*'損益分岐設定'!$B$24*3600*'損益分岐設定'!$B$25),0))</x:f>
        <x:v>2</x:v>
      </x:c>
      <x:c r="AO302" s="1" t="n">
        <x:f>MAX(2,ROUNDUP('損益分岐設定'!C39*AJ302/('損益分岐設定'!$B$23*'損益分岐設定'!$B$24*3600*'損益分岐設定'!$B$25),0))</x:f>
        <x:v>2</x:v>
      </x:c>
      <x:c r="AP302" s="1" t="n">
        <x:f>MAX(2,ROUNDUP('損益分岐設定'!C40*AJ302/('損益分岐設定'!$B$23*'損益分岐設定'!$B$24*3600*'損益分岐設定'!$B$25),0))</x:f>
        <x:v>2</x:v>
      </x:c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 ht="23" customHeight="1">
      <x:c r="A303" s="1" t="str">
        <x:v>Hybrid</x:v>
      </x:c>
      <x:c r="B303" s="1" t="str">
        <x:v>混在</x:v>
      </x:c>
      <x:c r="C303" s="1" t="str">
        <x:v>標準</x:v>
      </x:c>
      <x:c r="D303" s="21" t="n">
        <x:v>0.5</x:v>
      </x:c>
      <x:c r="E303" s="1" t="n">
        <x:v>0</x:v>
      </x:c>
      <x:c r="F303" s="7" t="n">
        <x:f>AD303*'損益分岐設定'!$B$5+AE303*'損益分岐設定'!$B$6+AF303*'損益分岐設定'!$B$7</x:f>
        <x:v>4600</x:v>
      </x:c>
      <x:c r="G303" s="7" t="n">
        <x:f>AG303+(AH303+AI303)*('損益分岐設定'!$B$29+0.5*'損益分岐設定'!$B$30)+AK303*'損益分岐設定'!$B$33</x:f>
        <x:v>413.130619733027</x:v>
      </x:c>
      <x:c r="H303" s="7" t="n">
        <x:f>AL303*E303</x:f>
        <x:v>0</x:v>
      </x:c>
      <x:c r="I303" s="7" t="n">
        <x:f>F303*(1-D303-'損益分岐設定'!$B$10)-G303-H303</x:f>
        <x:v>1721.269380266973</x:v>
      </x:c>
      <x:c r="J303" s="1" t="n">
        <x:f>IF(MIN(V303:Y303)&gt;1000,"範囲内なし",MIN(V303:Y303))</x:f>
        <x:v>30</x:v>
      </x:c>
      <x:c r="K303" s="1" t="n">
        <x:f>IF(MAX(Z303:AC303)&gt;=1000,"範囲内なし",MAX(1,MAX(Z303:AC303)+1))</x:f>
        <x:v>30</x:v>
      </x:c>
      <x:c r="L303" s="7" t="n">
        <x:f>10*I303-R303</x:f>
        <x:v>-18227.102887635585</x:v>
      </x:c>
      <x:c r="M303" s="7" t="n">
        <x:f>30*I303-S303</x:f>
        <x:v>1258.4880273985546</x:v>
      </x:c>
      <x:c r="N303" s="7" t="n">
        <x:f>50*I303-S303</x:f>
        <x:v>35683.875632738025</x:v>
      </x:c>
      <x:c r="O303" s="7" t="n">
        <x:f>100*I303-S303</x:f>
        <x:v>121747.34464608668</x:v>
      </x:c>
      <x:c r="P303" s="7" t="n">
        <x:f>300*I303-T303</x:f>
        <x:v>444001.22069948126</x:v>
      </x:c>
      <x:c r="Q303" s="7" t="n">
        <x:f>1000*I303-U303</x:f>
        <x:v>1618889.7868863624</x:v>
      </x:c>
      <x:c r="R303" s="7" t="n">
        <x:f>'損益分岐設定'!$B$18+'損益分岐設定'!$B$19+'損益分岐設定'!$B$20+'損益分岐設定'!E37+'損益分岐設定'!D37+AM303*('損益分岐設定'!$B$15+'損益分岐設定'!$B$16)+'損益分岐設定'!$B$17+E303*('損益分岐設定'!$B$13+(AM303-1)*'損益分岐設定'!$B$14)*'損益分岐設定'!$B$11</x:f>
        <x:v>35439.79669030532</x:v>
      </x:c>
      <x:c r="S303" s="7" t="n">
        <x:f>'損益分岐設定'!$B$18+'損益分岐設定'!$B$19+'損益分岐設定'!$B$20+'損益分岐設定'!E38+'損益分岐設定'!D38+AN303*('損益分岐設定'!$B$15+'損益分岐設定'!$B$16)+'損益分岐設定'!$B$17+E303*('損益分岐設定'!$B$13+(AN303-1)*'損益分岐設定'!$B$14)*'損益分岐設定'!$B$11</x:f>
        <x:v>50379.59338061063</x:v>
      </x:c>
      <x:c r="T303" s="7" t="n">
        <x:f>'損益分岐設定'!$B$18+'損益分岐設定'!$B$19+'損益分岐設定'!$B$20+'損益分岐設定'!E39+'損益分岐設定'!D39+AO303*('損益分岐設定'!$B$15+'損益分岐設定'!$B$16)+'損益分岐設定'!$B$17+E303*('損益分岐設定'!$B$13+(AO303-1)*'損益分岐設定'!$B$14)*'損益分岐設定'!$B$11</x:f>
        <x:v>72379.59338061063</x:v>
      </x:c>
      <x:c r="U303" s="7" t="n">
        <x:f>'損益分岐設定'!$B$18+'損益分岐設定'!$B$19+'損益分岐設定'!$B$20+'損益分岐設定'!E40+'損益分岐設定'!D40+AP303*('損益分岐設定'!$B$15+'損益分岐設定'!$B$16)+'損益分岐設定'!$B$17+E303*('損益分岐設定'!$B$13+(AP303-1)*'損益分岐設定'!$B$14)*'損益分岐設定'!$B$11</x:f>
        <x:v>102379.59338061063</x:v>
      </x:c>
      <x:c r="V303" s="1" t="n">
        <x:f>IF(I303&lt;=0,1001,IF(MAX('損益分岐設定'!B37,ROUNDUP(R303/I303,0))&lt;='損益分岐設定'!C37,MAX('損益分岐設定'!B37,ROUNDUP(R303/I303,0)),1001))</x:f>
        <x:v>1001</x:v>
      </x:c>
      <x:c r="W303" s="1" t="n">
        <x:f>IF(I303&lt;=0,1001,IF(MAX('損益分岐設定'!B38,ROUNDUP(S303/I303,0))&lt;='損益分岐設定'!C38,MAX('損益分岐設定'!B38,ROUNDUP(S303/I303,0)),1001))</x:f>
        <x:v>30</x:v>
      </x:c>
      <x:c r="X303" s="1" t="n">
        <x:f>IF(I303&lt;=0,1001,IF(MAX('損益分岐設定'!B39,ROUNDUP(T303/I303,0))&lt;='損益分岐設定'!C39,MAX('損益分岐設定'!B39,ROUNDUP(T303/I303,0)),1001))</x:f>
        <x:v>101</x:v>
      </x:c>
      <x:c r="Y303" s="1" t="n">
        <x:f>IF(I303&lt;=0,1001,IF(MAX('損益分岐設定'!B40,ROUNDUP(U303/I303,0))&lt;='損益分岐設定'!C40,MAX('損益分岐設定'!B40,ROUNDUP(U303/I303,0)),1001))</x:f>
        <x:v>501</x:v>
      </x:c>
      <x:c r="Z303" s="1" t="n">
        <x:f>IF(I303&lt;=0,'損益分岐設定'!C37,IF('損益分岐設定'!C37*I303-R303&lt;0,'損益分岐設定'!C37,IF('損益分岐設定'!B37*I303-R303&gt;=0,0,ROUNDUP(R303/I303,0)-1)))</x:f>
        <x:v>10</x:v>
      </x:c>
      <x:c r="AA303" s="1" t="n">
        <x:f>IF(I303&lt;=0,'損益分岐設定'!C38,IF('損益分岐設定'!C38*I303-S303&lt;0,'損益分岐設定'!C38,IF('損益分岐設定'!B38*I303-S303&gt;=0,0,ROUNDUP(S303/I303,0)-1)))</x:f>
        <x:v>29</x:v>
      </x:c>
      <x:c r="AB303" s="1" t="n">
        <x:f>IF(I303&lt;=0,'損益分岐設定'!C39,IF('損益分岐設定'!C39*I303-T303&lt;0,'損益分岐設定'!C39,IF('損益分岐設定'!B39*I303-T303&gt;=0,0,ROUNDUP(T303/I303,0)-1)))</x:f>
        <x:v>0</x:v>
      </x:c>
      <x:c r="AC303" s="1" t="n">
        <x:f>IF(I303&lt;=0,'損益分岐設定'!C40,IF('損益分岐設定'!C40*I303-U303&lt;0,'損益分岐設定'!C40,IF('損益分岐設定'!B40*I303-U303&gt;=0,0,ROUNDUP(U303/I303,0)-1)))</x:f>
        <x:v>0</x:v>
      </x:c>
      <x:c r="AD303" s="1" t="n">
        <x:f>'損益分岐設定'!$D$5/SUM('損益分岐設定'!$D$5:$D$7)</x:f>
        <x:v>0.5</x:v>
      </x:c>
      <x:c r="AE303" s="1" t="n">
        <x:f>'損益分岐設定'!$D$6/SUM('損益分岐設定'!$D$5:$D$7)</x:f>
        <x:v>0.3</x:v>
      </x:c>
      <x:c r="AF303" s="1" t="n">
        <x:f>'損益分岐設定'!$D$7/SUM('損益分岐設定'!$D$5:$D$7)</x:f>
        <x:v>0.2</x:v>
      </x:c>
      <x:c r="AG303" s="1" t="n">
        <x:f>AD303*'損益分岐設定'!$C$57+AE303*'損益分岐設定'!$C$60+AF303*'損益分岐設定'!$C$63</x:f>
        <x:v>412.2157297973632</x:v>
      </x:c>
      <x:c r="AH303" s="1" t="n">
        <x:f>AD303*'損益分岐設定'!$D$57+AE303*'損益分岐設定'!$D$60+AF303*'損益分岐設定'!$D$63</x:f>
        <x:v>111</x:v>
      </x:c>
      <x:c r="AI303" s="1" t="n">
        <x:f>AD303*'損益分岐設定'!$E$57+AE303*'損益分岐設定'!$E$60+AF303*'損益分岐設定'!$E$63</x:f>
        <x:v>111</x:v>
      </x:c>
      <x:c r="AJ303" s="1" t="n">
        <x:f>(AD303*'損益分岐設定'!$F$57+AE303*'損益分岐設定'!$F$60+AF303*'損益分岐設定'!$F$63*1)*'損益分岐設定'!$B$22</x:f>
        <x:v>444</x:v>
      </x:c>
      <x:c r="AK303" s="1" t="n">
        <x:f>AD303*'損益分岐設定'!$G$57+AE303*'損益分岐設定'!$G$60+AF303*'損益分岐設定'!$G$63</x:f>
        <x:v>740</x:v>
      </x:c>
      <x:c r="AL303" s="1" t="n">
        <x:f>AD303*'損益分岐設定'!$H$57+AE303*'損益分岐設定'!$H$60+AF303*'損益分岐設定'!$H$63</x:f>
        <x:v>656.6666666666666</x:v>
      </x:c>
      <x:c r="AM303" s="1" t="n">
        <x:f>MAX(1,ROUNDUP('損益分岐設定'!C37*AJ303/('損益分岐設定'!$B$23*'損益分岐設定'!$B$24*3600*'損益分岐設定'!$B$25),0))</x:f>
        <x:v>1</x:v>
      </x:c>
      <x:c r="AN303" s="1" t="n">
        <x:f>MAX(2,ROUNDUP('損益分岐設定'!C38*AJ303/('損益分岐設定'!$B$23*'損益分岐設定'!$B$24*3600*'損益分岐設定'!$B$25),0))</x:f>
        <x:v>2</x:v>
      </x:c>
      <x:c r="AO303" s="1" t="n">
        <x:f>MAX(2,ROUNDUP('損益分岐設定'!C39*AJ303/('損益分岐設定'!$B$23*'損益分岐設定'!$B$24*3600*'損益分岐設定'!$B$25),0))</x:f>
        <x:v>2</x:v>
      </x:c>
      <x:c r="AP303" s="1" t="n">
        <x:f>MAX(2,ROUNDUP('損益分岐設定'!C40*AJ303/('損益分岐設定'!$B$23*'損益分岐設定'!$B$24*3600*'損益分岐設定'!$B$25),0))</x:f>
        <x:v>2</x:v>
      </x:c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 ht="23" customHeight="1">
      <x:c r="A304" s="1" t="str">
        <x:v>Hybrid</x:v>
      </x:c>
      <x:c r="B304" s="1" t="str">
        <x:v>混在</x:v>
      </x:c>
      <x:c r="C304" s="1" t="str">
        <x:v>標準</x:v>
      </x:c>
      <x:c r="D304" s="21" t="n">
        <x:v>0.5</x:v>
      </x:c>
      <x:c r="E304" s="1" t="n">
        <x:v>1</x:v>
      </x:c>
      <x:c r="F304" s="7" t="n">
        <x:f>AD304*'損益分岐設定'!$B$5+AE304*'損益分岐設定'!$B$6+AF304*'損益分岐設定'!$B$7</x:f>
        <x:v>4600</x:v>
      </x:c>
      <x:c r="G304" s="7" t="n">
        <x:f>AG304+(AH304+AI304)*('損益分岐設定'!$B$29+0.5*'損益分岐設定'!$B$30)+AK304*'損益分岐設定'!$B$33</x:f>
        <x:v>413.130619733027</x:v>
      </x:c>
      <x:c r="H304" s="7" t="n">
        <x:f>AL304*E304</x:f>
        <x:v>656.6666666666666</x:v>
      </x:c>
      <x:c r="I304" s="7" t="n">
        <x:f>F304*(1-D304-'損益分岐設定'!$B$10)-G304-H304</x:f>
        <x:v>1064.6027136003063</x:v>
      </x:c>
      <x:c r="J304" s="1" t="n">
        <x:f>IF(MIN(V304:Y304)&gt;1000,"範囲内なし",MIN(V304:Y304))</x:f>
        <x:v>65</x:v>
      </x:c>
      <x:c r="K304" s="1" t="n">
        <x:f>IF(MAX(Z304:AC304)&gt;=1000,"範囲内なし",MAX(1,MAX(Z304:AC304)+1))</x:f>
        <x:v>65</x:v>
      </x:c>
      <x:c r="L304" s="7" t="n">
        <x:f>10*I304-R304</x:f>
        <x:v>-40793.76955430226</x:v>
      </x:c>
      <x:c r="M304" s="7" t="n">
        <x:f>30*I304-S304</x:f>
        <x:v>-36441.511972601445</x:v>
      </x:c>
      <x:c r="N304" s="7" t="n">
        <x:f>50*I304-S304</x:f>
        <x:v>-15149.457700595318</x:v>
      </x:c>
      <x:c r="O304" s="7" t="n">
        <x:f>100*I304-S304</x:f>
        <x:v>38080.67797942</x:v>
      </x:c>
      <x:c r="P304" s="7" t="n">
        <x:f>300*I304-T304</x:f>
        <x:v>229001.22069948126</x:v>
      </x:c>
      <x:c r="Q304" s="7" t="n">
        <x:f>1000*I304-U304</x:f>
        <x:v>944223.1202196956</x:v>
      </x:c>
      <x:c r="R304" s="7" t="n">
        <x:f>'損益分岐設定'!$B$18+'損益分岐設定'!$B$19+'損益分岐設定'!$B$20+'損益分岐設定'!E37+'損益分岐設定'!D37+AM304*('損益分岐設定'!$B$15+'損益分岐設定'!$B$16)+'損益分岐設定'!$B$17+E304*('損益分岐設定'!$B$13+(AM304-1)*'損益分岐設定'!$B$14)*'損益分岐設定'!$B$11</x:f>
        <x:v>51439.79669030532</x:v>
      </x:c>
      <x:c r="S304" s="7" t="n">
        <x:f>'損益分岐設定'!$B$18+'損益分岐設定'!$B$19+'損益分岐設定'!$B$20+'損益分岐設定'!E38+'損益分岐設定'!D38+AN304*('損益分岐設定'!$B$15+'損益分岐設定'!$B$16)+'損益分岐設定'!$B$17+E304*('損益分岐設定'!$B$13+(AN304-1)*'損益分岐設定'!$B$14)*'損益分岐設定'!$B$11</x:f>
        <x:v>68379.59338061063</x:v>
      </x:c>
      <x:c r="T304" s="7" t="n">
        <x:f>'損益分岐設定'!$B$18+'損益分岐設定'!$B$19+'損益分岐設定'!$B$20+'損益分岐設定'!E39+'損益分岐設定'!D39+AO304*('損益分岐設定'!$B$15+'損益分岐設定'!$B$16)+'損益分岐設定'!$B$17+E304*('損益分岐設定'!$B$13+(AO304-1)*'損益分岐設定'!$B$14)*'損益分岐設定'!$B$11</x:f>
        <x:v>90379.59338061063</x:v>
      </x:c>
      <x:c r="U304" s="7" t="n">
        <x:f>'損益分岐設定'!$B$18+'損益分岐設定'!$B$19+'損益分岐設定'!$B$20+'損益分岐設定'!E40+'損益分岐設定'!D40+AP304*('損益分岐設定'!$B$15+'損益分岐設定'!$B$16)+'損益分岐設定'!$B$17+E304*('損益分岐設定'!$B$13+(AP304-1)*'損益分岐設定'!$B$14)*'損益分岐設定'!$B$11</x:f>
        <x:v>120379.59338061063</x:v>
      </x:c>
      <x:c r="V304" s="1" t="n">
        <x:f>IF(I304&lt;=0,1001,IF(MAX('損益分岐設定'!B37,ROUNDUP(R304/I304,0))&lt;='損益分岐設定'!C37,MAX('損益分岐設定'!B37,ROUNDUP(R304/I304,0)),1001))</x:f>
        <x:v>1001</x:v>
      </x:c>
      <x:c r="W304" s="1" t="n">
        <x:f>IF(I304&lt;=0,1001,IF(MAX('損益分岐設定'!B38,ROUNDUP(S304/I304,0))&lt;='損益分岐設定'!C38,MAX('損益分岐設定'!B38,ROUNDUP(S304/I304,0)),1001))</x:f>
        <x:v>65</x:v>
      </x:c>
      <x:c r="X304" s="1" t="n">
        <x:f>IF(I304&lt;=0,1001,IF(MAX('損益分岐設定'!B39,ROUNDUP(T304/I304,0))&lt;='損益分岐設定'!C39,MAX('損益分岐設定'!B39,ROUNDUP(T304/I304,0)),1001))</x:f>
        <x:v>101</x:v>
      </x:c>
      <x:c r="Y304" s="1" t="n">
        <x:f>IF(I304&lt;=0,1001,IF(MAX('損益分岐設定'!B40,ROUNDUP(U304/I304,0))&lt;='損益分岐設定'!C40,MAX('損益分岐設定'!B40,ROUNDUP(U304/I304,0)),1001))</x:f>
        <x:v>501</x:v>
      </x:c>
      <x:c r="Z304" s="1" t="n">
        <x:f>IF(I304&lt;=0,'損益分岐設定'!C37,IF('損益分岐設定'!C37*I304-R304&lt;0,'損益分岐設定'!C37,IF('損益分岐設定'!B37*I304-R304&gt;=0,0,ROUNDUP(R304/I304,0)-1)))</x:f>
        <x:v>10</x:v>
      </x:c>
      <x:c r="AA304" s="1" t="n">
        <x:f>IF(I304&lt;=0,'損益分岐設定'!C38,IF('損益分岐設定'!C38*I304-S304&lt;0,'損益分岐設定'!C38,IF('損益分岐設定'!B38*I304-S304&gt;=0,0,ROUNDUP(S304/I304,0)-1)))</x:f>
        <x:v>64</x:v>
      </x:c>
      <x:c r="AB304" s="1" t="n">
        <x:f>IF(I304&lt;=0,'損益分岐設定'!C39,IF('損益分岐設定'!C39*I304-T304&lt;0,'損益分岐設定'!C39,IF('損益分岐設定'!B39*I304-T304&gt;=0,0,ROUNDUP(T304/I304,0)-1)))</x:f>
        <x:v>0</x:v>
      </x:c>
      <x:c r="AC304" s="1" t="n">
        <x:f>IF(I304&lt;=0,'損益分岐設定'!C40,IF('損益分岐設定'!C40*I304-U304&lt;0,'損益分岐設定'!C40,IF('損益分岐設定'!B40*I304-U304&gt;=0,0,ROUNDUP(U304/I304,0)-1)))</x:f>
        <x:v>0</x:v>
      </x:c>
      <x:c r="AD304" s="1" t="n">
        <x:f>'損益分岐設定'!$D$5/SUM('損益分岐設定'!$D$5:$D$7)</x:f>
        <x:v>0.5</x:v>
      </x:c>
      <x:c r="AE304" s="1" t="n">
        <x:f>'損益分岐設定'!$D$6/SUM('損益分岐設定'!$D$5:$D$7)</x:f>
        <x:v>0.3</x:v>
      </x:c>
      <x:c r="AF304" s="1" t="n">
        <x:f>'損益分岐設定'!$D$7/SUM('損益分岐設定'!$D$5:$D$7)</x:f>
        <x:v>0.2</x:v>
      </x:c>
      <x:c r="AG304" s="1" t="n">
        <x:f>AD304*'損益分岐設定'!$C$57+AE304*'損益分岐設定'!$C$60+AF304*'損益分岐設定'!$C$63</x:f>
        <x:v>412.2157297973632</x:v>
      </x:c>
      <x:c r="AH304" s="1" t="n">
        <x:f>AD304*'損益分岐設定'!$D$57+AE304*'損益分岐設定'!$D$60+AF304*'損益分岐設定'!$D$63</x:f>
        <x:v>111</x:v>
      </x:c>
      <x:c r="AI304" s="1" t="n">
        <x:f>AD304*'損益分岐設定'!$E$57+AE304*'損益分岐設定'!$E$60+AF304*'損益分岐設定'!$E$63</x:f>
        <x:v>111</x:v>
      </x:c>
      <x:c r="AJ304" s="1" t="n">
        <x:f>(AD304*'損益分岐設定'!$F$57+AE304*'損益分岐設定'!$F$60+AF304*'損益分岐設定'!$F$63*1)*'損益分岐設定'!$B$22</x:f>
        <x:v>444</x:v>
      </x:c>
      <x:c r="AK304" s="1" t="n">
        <x:f>AD304*'損益分岐設定'!$G$57+AE304*'損益分岐設定'!$G$60+AF304*'損益分岐設定'!$G$63</x:f>
        <x:v>740</x:v>
      </x:c>
      <x:c r="AL304" s="1" t="n">
        <x:f>AD304*'損益分岐設定'!$H$57+AE304*'損益分岐設定'!$H$60+AF304*'損益分岐設定'!$H$63</x:f>
        <x:v>656.6666666666666</x:v>
      </x:c>
      <x:c r="AM304" s="1" t="n">
        <x:f>MAX(1,ROUNDUP('損益分岐設定'!C37*AJ304/('損益分岐設定'!$B$23*'損益分岐設定'!$B$24*3600*'損益分岐設定'!$B$25),0))</x:f>
        <x:v>1</x:v>
      </x:c>
      <x:c r="AN304" s="1" t="n">
        <x:f>MAX(2,ROUNDUP('損益分岐設定'!C38*AJ304/('損益分岐設定'!$B$23*'損益分岐設定'!$B$24*3600*'損益分岐設定'!$B$25),0))</x:f>
        <x:v>2</x:v>
      </x:c>
      <x:c r="AO304" s="1" t="n">
        <x:f>MAX(2,ROUNDUP('損益分岐設定'!C39*AJ304/('損益分岐設定'!$B$23*'損益分岐設定'!$B$24*3600*'損益分岐設定'!$B$25),0))</x:f>
        <x:v>2</x:v>
      </x:c>
      <x:c r="AP304" s="1" t="n">
        <x:f>MAX(2,ROUNDUP('損益分岐設定'!C40*AJ304/('損益分岐設定'!$B$23*'損益分岐設定'!$B$24*3600*'損益分岐設定'!$B$25),0))</x:f>
        <x:v>2</x:v>
      </x:c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 ht="23" customHeight="1">
      <x:c r="A305" s="1" t="str">
        <x:v>Hybrid</x:v>
      </x:c>
      <x:c r="B305" s="1" t="str">
        <x:v>混在</x:v>
      </x:c>
      <x:c r="C305" s="1" t="str">
        <x:v>高位</x:v>
      </x:c>
      <x:c r="D305" s="21" t="n">
        <x:v>0</x:v>
      </x:c>
      <x:c r="E305" s="1" t="n">
        <x:v>0</x:v>
      </x:c>
      <x:c r="F305" s="7" t="n">
        <x:f>AD305*'損益分岐設定'!$B$5+AE305*'損益分岐設定'!$B$6+AF305*'損益分岐設定'!$B$7</x:f>
        <x:v>4600</x:v>
      </x:c>
      <x:c r="G305" s="7" t="n">
        <x:f>AG305+(AH305+AI305)*('損益分岐設定'!$B$29+0.5*'損益分岐設定'!$B$30)+AK305*'損益分岐設定'!$B$33</x:f>
        <x:v>9179.133369915167</x:v>
      </x:c>
      <x:c r="H305" s="7" t="n">
        <x:f>AL305*E305</x:f>
        <x:v>0</x:v>
      </x:c>
      <x:c r="I305" s="7" t="n">
        <x:f>F305*(1-D305-'損益分岐設定'!$B$10)-G305-H305</x:f>
        <x:v>-4744.733369915168</x:v>
      </x:c>
      <x:c r="J305" s="1" t="str">
        <x:f>IF(MIN(V305:Y305)&gt;1000,"範囲内なし",MIN(V305:Y305))</x:f>
        <x:v>範囲内なし</x:v>
      </x:c>
      <x:c r="K305" s="1" t="str">
        <x:f>IF(MAX(Z305:AC305)&gt;=1000,"範囲内なし",MAX(1,MAX(Z305:AC305)+1))</x:f>
        <x:v>範囲内なし</x:v>
      </x:c>
      <x:c r="L305" s="7" t="n">
        <x:f>10*I305-R305</x:f>
        <x:v>-82887.13038945699</x:v>
      </x:c>
      <x:c r="M305" s="7" t="n">
        <x:f>30*I305-S305</x:f>
        <x:v>-192721.59447806567</x:v>
      </x:c>
      <x:c r="N305" s="7" t="n">
        <x:f>50*I305-S305</x:f>
        <x:v>-287616.261876369</x:v>
      </x:c>
      <x:c r="O305" s="7" t="n">
        <x:f>100*I305-S305</x:f>
        <x:v>-524852.9303721273</x:v>
      </x:c>
      <x:c r="P305" s="7" t="n">
        <x:f>300*I305-T305</x:f>
        <x:v>-1547998.5878066877</x:v>
      </x:c>
      <x:c r="Q305" s="7" t="n">
        <x:f>1000*I305-U305</x:f>
        <x:v>-4972390.523579442</x:v>
      </x:c>
      <x:c r="R305" s="7" t="n">
        <x:f>'損益分岐設定'!$B$18+'損益分岐設定'!$B$19+'損益分岐設定'!$B$20+'損益分岐設定'!E37+'損益分岐設定'!D37+AM305*('損益分岐設定'!$B$15+'損益分岐設定'!$B$16)+'損益分岐設定'!$B$17+E305*('損益分岐設定'!$B$13+(AM305-1)*'損益分岐設定'!$B$14)*'損益分岐設定'!$B$11</x:f>
        <x:v>35439.79669030532</x:v>
      </x:c>
      <x:c r="S305" s="7" t="n">
        <x:f>'損益分岐設定'!$B$18+'損益分岐設定'!$B$19+'損益分岐設定'!$B$20+'損益分岐設定'!E38+'損益分岐設定'!D38+AN305*('損益分岐設定'!$B$15+'損益分岐設定'!$B$16)+'損益分岐設定'!$B$17+E305*('損益分岐設定'!$B$13+(AN305-1)*'損益分岐設定'!$B$14)*'損益分岐設定'!$B$11</x:f>
        <x:v>50379.59338061063</x:v>
      </x:c>
      <x:c r="T305" s="7" t="n">
        <x:f>'損益分岐設定'!$B$18+'損益分岐設定'!$B$19+'損益分岐設定'!$B$20+'損益分岐設定'!E39+'損益分岐設定'!D39+AO305*('損益分岐設定'!$B$15+'損益分岐設定'!$B$16)+'損益分岐設定'!$B$17+E305*('損益分岐設定'!$B$13+(AO305-1)*'損益分岐設定'!$B$14)*'損益分岐設定'!$B$11</x:f>
        <x:v>124578.57683213723</x:v>
      </x:c>
      <x:c r="U305" s="7" t="n">
        <x:f>'損益分岐設定'!$B$18+'損益分岐設定'!$B$19+'損益分岐設定'!$B$20+'損益分岐設定'!E40+'損益分岐設定'!D40+AP305*('損益分岐設定'!$B$15+'損益分岐設定'!$B$16)+'損益分岐設定'!$B$17+E305*('損益分岐設定'!$B$13+(AP305-1)*'損益分岐設定'!$B$14)*'損益分岐設定'!$B$11</x:f>
        <x:v>227657.15366427446</x:v>
      </x:c>
      <x:c r="V305" s="1" t="n">
        <x:f>IF(I305&lt;=0,1001,IF(MAX('損益分岐設定'!B37,ROUNDUP(R305/I305,0))&lt;='損益分岐設定'!C37,MAX('損益分岐設定'!B37,ROUNDUP(R305/I305,0)),1001))</x:f>
        <x:v>1001</x:v>
      </x:c>
      <x:c r="W305" s="1" t="n">
        <x:f>IF(I305&lt;=0,1001,IF(MAX('損益分岐設定'!B38,ROUNDUP(S305/I305,0))&lt;='損益分岐設定'!C38,MAX('損益分岐設定'!B38,ROUNDUP(S305/I305,0)),1001))</x:f>
        <x:v>1001</x:v>
      </x:c>
      <x:c r="X305" s="1" t="n">
        <x:f>IF(I305&lt;=0,1001,IF(MAX('損益分岐設定'!B39,ROUNDUP(T305/I305,0))&lt;='損益分岐設定'!C39,MAX('損益分岐設定'!B39,ROUNDUP(T305/I305,0)),1001))</x:f>
        <x:v>1001</x:v>
      </x:c>
      <x:c r="Y305" s="1" t="n">
        <x:f>IF(I305&lt;=0,1001,IF(MAX('損益分岐設定'!B40,ROUNDUP(U305/I305,0))&lt;='損益分岐設定'!C40,MAX('損益分岐設定'!B40,ROUNDUP(U305/I305,0)),1001))</x:f>
        <x:v>1001</x:v>
      </x:c>
      <x:c r="Z305" s="1" t="n">
        <x:f>IF(I305&lt;=0,'損益分岐設定'!C37,IF('損益分岐設定'!C37*I305-R305&lt;0,'損益分岐設定'!C37,IF('損益分岐設定'!B37*I305-R305&gt;=0,0,ROUNDUP(R305/I305,0)-1)))</x:f>
        <x:v>10</x:v>
      </x:c>
      <x:c r="AA305" s="1" t="n">
        <x:f>IF(I305&lt;=0,'損益分岐設定'!C38,IF('損益分岐設定'!C38*I305-S305&lt;0,'損益分岐設定'!C38,IF('損益分岐設定'!B38*I305-S305&gt;=0,0,ROUNDUP(S305/I305,0)-1)))</x:f>
        <x:v>100</x:v>
      </x:c>
      <x:c r="AB305" s="1" t="n">
        <x:f>IF(I305&lt;=0,'損益分岐設定'!C39,IF('損益分岐設定'!C39*I305-T305&lt;0,'損益分岐設定'!C39,IF('損益分岐設定'!B39*I305-T305&gt;=0,0,ROUNDUP(T305/I305,0)-1)))</x:f>
        <x:v>500</x:v>
      </x:c>
      <x:c r="AC305" s="1" t="n">
        <x:f>IF(I305&lt;=0,'損益分岐設定'!C40,IF('損益分岐設定'!C40*I305-U305&lt;0,'損益分岐設定'!C40,IF('損益分岐設定'!B40*I305-U305&gt;=0,0,ROUNDUP(U305/I305,0)-1)))</x:f>
        <x:v>1000</x:v>
      </x:c>
      <x:c r="AD305" s="1" t="n">
        <x:f>'損益分岐設定'!$D$5/SUM('損益分岐設定'!$D$5:$D$7)</x:f>
        <x:v>0.5</x:v>
      </x:c>
      <x:c r="AE305" s="1" t="n">
        <x:f>'損益分岐設定'!$D$6/SUM('損益分岐設定'!$D$5:$D$7)</x:f>
        <x:v>0.3</x:v>
      </x:c>
      <x:c r="AF305" s="1" t="n">
        <x:f>'損益分岐設定'!$D$7/SUM('損益分岐設定'!$D$5:$D$7)</x:f>
        <x:v>0.2</x:v>
      </x:c>
      <x:c r="AG305" s="1" t="n">
        <x:f>AD305*'損益分岐設定'!$C$58+AE305*'損益分岐設定'!$C$61+AF305*'損益分岐設定'!$C$64</x:f>
        <x:v>9174.852856689453</x:v>
      </x:c>
      <x:c r="AH305" s="1" t="n">
        <x:f>AD305*'損益分岐設定'!$D$58+AE305*'損益分岐設定'!$D$61+AF305*'損益分岐設定'!$D$64</x:f>
        <x:v>444</x:v>
      </x:c>
      <x:c r="AI305" s="1" t="n">
        <x:f>AD305*'損益分岐設定'!$E$58+AE305*'損益分岐設定'!$E$61+AF305*'損益分岐設定'!$E$64</x:f>
        <x:v>592</x:v>
      </x:c>
      <x:c r="AJ305" s="1" t="n">
        <x:f>(AD305*'損益分岐設定'!$F$58+AE305*'損益分岐設定'!$F$61+AF305*'損益分岐設定'!$F$64*1)*'損益分岐設定'!$B$22</x:f>
        <x:v>6660</x:v>
      </x:c>
      <x:c r="AK305" s="1" t="n">
        <x:f>AD305*'損益分岐設定'!$G$58+AE305*'損益分岐設定'!$G$61+AF305*'損益分岐設定'!$G$64</x:f>
        <x:v>4440</x:v>
      </x:c>
      <x:c r="AL305" s="1" t="n">
        <x:f>AD305*'損益分岐設定'!$H$58+AE305*'損益分岐設定'!$H$61+AF305*'損益分岐設定'!$H$64</x:f>
        <x:v>1456.6666666666665</x:v>
      </x:c>
      <x:c r="AM305" s="1" t="n">
        <x:f>MAX(1,ROUNDUP('損益分岐設定'!C37*AJ305/('損益分岐設定'!$B$23*'損益分岐設定'!$B$24*3600*'損益分岐設定'!$B$25),0))</x:f>
        <x:v>1</x:v>
      </x:c>
      <x:c r="AN305" s="1" t="n">
        <x:f>MAX(2,ROUNDUP('損益分岐設定'!C38*AJ305/('損益分岐設定'!$B$23*'損益分岐設定'!$B$24*3600*'損益分岐設定'!$B$25),0))</x:f>
        <x:v>2</x:v>
      </x:c>
      <x:c r="AO305" s="1" t="n">
        <x:f>MAX(2,ROUNDUP('損益分岐設定'!C39*AJ305/('損益分岐設定'!$B$23*'損益分岐設定'!$B$24*3600*'損益分岐設定'!$B$25),0))</x:f>
        <x:v>7</x:v>
      </x:c>
      <x:c r="AP305" s="1" t="n">
        <x:f>MAX(2,ROUNDUP('損益分岐設定'!C40*AJ305/('損益分岐設定'!$B$23*'損益分岐設定'!$B$24*3600*'損益分岐設定'!$B$25),0))</x:f>
        <x:v>14</x:v>
      </x:c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 ht="23" customHeight="1">
      <x:c r="A306" s="1" t="str">
        <x:v>Hybrid</x:v>
      </x:c>
      <x:c r="B306" s="1" t="str">
        <x:v>混在</x:v>
      </x:c>
      <x:c r="C306" s="1" t="str">
        <x:v>高位</x:v>
      </x:c>
      <x:c r="D306" s="21" t="n">
        <x:v>0</x:v>
      </x:c>
      <x:c r="E306" s="1" t="n">
        <x:v>1</x:v>
      </x:c>
      <x:c r="F306" s="7" t="n">
        <x:f>AD306*'損益分岐設定'!$B$5+AE306*'損益分岐設定'!$B$6+AF306*'損益分岐設定'!$B$7</x:f>
        <x:v>4600</x:v>
      </x:c>
      <x:c r="G306" s="7" t="n">
        <x:f>AG306+(AH306+AI306)*('損益分岐設定'!$B$29+0.5*'損益分岐設定'!$B$30)+AK306*'損益分岐設定'!$B$33</x:f>
        <x:v>9179.133369915167</x:v>
      </x:c>
      <x:c r="H306" s="7" t="n">
        <x:f>AL306*E306</x:f>
        <x:v>1456.6666666666665</x:v>
      </x:c>
      <x:c r="I306" s="7" t="n">
        <x:f>F306*(1-D306-'損益分岐設定'!$B$10)-G306-H306</x:f>
        <x:v>-6201.400036581834</x:v>
      </x:c>
      <x:c r="J306" s="1" t="str">
        <x:f>IF(MIN(V306:Y306)&gt;1000,"範囲内なし",MIN(V306:Y306))</x:f>
        <x:v>範囲内なし</x:v>
      </x:c>
      <x:c r="K306" s="1" t="str">
        <x:f>IF(MAX(Z306:AC306)&gt;=1000,"範囲内なし",MAX(1,MAX(Z306:AC306)+1))</x:f>
        <x:v>範囲内なし</x:v>
      </x:c>
      <x:c r="L306" s="7" t="n">
        <x:f>10*I306-R306</x:f>
        <x:v>-113453.79705612366</x:v>
      </x:c>
      <x:c r="M306" s="7" t="n">
        <x:f>30*I306-S306</x:f>
        <x:v>-254421.59447806564</x:v>
      </x:c>
      <x:c r="N306" s="7" t="n">
        <x:f>50*I306-S306</x:f>
        <x:v>-378449.5952097023</x:v>
      </x:c>
      <x:c r="O306" s="7" t="n">
        <x:f>100*I306-S306</x:f>
        <x:v>-688519.5970387941</x:v>
      </x:c>
      <x:c r="P306" s="7" t="n">
        <x:f>300*I306-T306</x:f>
        <x:v>-2012998.5878066875</x:v>
      </x:c>
      <x:c r="Q306" s="7" t="n">
        <x:f>1000*I306-U306</x:f>
        <x:v>-6471057.190246108</x:v>
      </x:c>
      <x:c r="R306" s="7" t="n">
        <x:f>'損益分岐設定'!$B$18+'損益分岐設定'!$B$19+'損益分岐設定'!$B$20+'損益分岐設定'!E37+'損益分岐設定'!D37+AM306*('損益分岐設定'!$B$15+'損益分岐設定'!$B$16)+'損益分岐設定'!$B$17+E306*('損益分岐設定'!$B$13+(AM306-1)*'損益分岐設定'!$B$14)*'損益分岐設定'!$B$11</x:f>
        <x:v>51439.79669030532</x:v>
      </x:c>
      <x:c r="S306" s="7" t="n">
        <x:f>'損益分岐設定'!$B$18+'損益分岐設定'!$B$19+'損益分岐設定'!$B$20+'損益分岐設定'!E38+'損益分岐設定'!D38+AN306*('損益分岐設定'!$B$15+'損益分岐設定'!$B$16)+'損益分岐設定'!$B$17+E306*('損益分岐設定'!$B$13+(AN306-1)*'損益分岐設定'!$B$14)*'損益分岐設定'!$B$11</x:f>
        <x:v>68379.59338061063</x:v>
      </x:c>
      <x:c r="T306" s="7" t="n">
        <x:f>'損益分岐設定'!$B$18+'損益分岐設定'!$B$19+'損益分岐設定'!$B$20+'損益分岐設定'!E39+'損益分岐設定'!D39+AO306*('損益分岐設定'!$B$15+'損益分岐設定'!$B$16)+'損益分岐設定'!$B$17+E306*('損益分岐設定'!$B$13+(AO306-1)*'損益分岐設定'!$B$14)*'損益分岐設定'!$B$11</x:f>
        <x:v>152578.57683213725</x:v>
      </x:c>
      <x:c r="U306" s="7" t="n">
        <x:f>'損益分岐設定'!$B$18+'損益分岐設定'!$B$19+'損益分岐設定'!$B$20+'損益分岐設定'!E40+'損益分岐設定'!D40+AP306*('損益分岐設定'!$B$15+'損益分岐設定'!$B$16)+'損益分岐設定'!$B$17+E306*('損益分岐設定'!$B$13+(AP306-1)*'損益分岐設定'!$B$14)*'損益分岐設定'!$B$11</x:f>
        <x:v>269657.1536642745</x:v>
      </x:c>
      <x:c r="V306" s="1" t="n">
        <x:f>IF(I306&lt;=0,1001,IF(MAX('損益分岐設定'!B37,ROUNDUP(R306/I306,0))&lt;='損益分岐設定'!C37,MAX('損益分岐設定'!B37,ROUNDUP(R306/I306,0)),1001))</x:f>
        <x:v>1001</x:v>
      </x:c>
      <x:c r="W306" s="1" t="n">
        <x:f>IF(I306&lt;=0,1001,IF(MAX('損益分岐設定'!B38,ROUNDUP(S306/I306,0))&lt;='損益分岐設定'!C38,MAX('損益分岐設定'!B38,ROUNDUP(S306/I306,0)),1001))</x:f>
        <x:v>1001</x:v>
      </x:c>
      <x:c r="X306" s="1" t="n">
        <x:f>IF(I306&lt;=0,1001,IF(MAX('損益分岐設定'!B39,ROUNDUP(T306/I306,0))&lt;='損益分岐設定'!C39,MAX('損益分岐設定'!B39,ROUNDUP(T306/I306,0)),1001))</x:f>
        <x:v>1001</x:v>
      </x:c>
      <x:c r="Y306" s="1" t="n">
        <x:f>IF(I306&lt;=0,1001,IF(MAX('損益分岐設定'!B40,ROUNDUP(U306/I306,0))&lt;='損益分岐設定'!C40,MAX('損益分岐設定'!B40,ROUNDUP(U306/I306,0)),1001))</x:f>
        <x:v>1001</x:v>
      </x:c>
      <x:c r="Z306" s="1" t="n">
        <x:f>IF(I306&lt;=0,'損益分岐設定'!C37,IF('損益分岐設定'!C37*I306-R306&lt;0,'損益分岐設定'!C37,IF('損益分岐設定'!B37*I306-R306&gt;=0,0,ROUNDUP(R306/I306,0)-1)))</x:f>
        <x:v>10</x:v>
      </x:c>
      <x:c r="AA306" s="1" t="n">
        <x:f>IF(I306&lt;=0,'損益分岐設定'!C38,IF('損益分岐設定'!C38*I306-S306&lt;0,'損益分岐設定'!C38,IF('損益分岐設定'!B38*I306-S306&gt;=0,0,ROUNDUP(S306/I306,0)-1)))</x:f>
        <x:v>100</x:v>
      </x:c>
      <x:c r="AB306" s="1" t="n">
        <x:f>IF(I306&lt;=0,'損益分岐設定'!C39,IF('損益分岐設定'!C39*I306-T306&lt;0,'損益分岐設定'!C39,IF('損益分岐設定'!B39*I306-T306&gt;=0,0,ROUNDUP(T306/I306,0)-1)))</x:f>
        <x:v>500</x:v>
      </x:c>
      <x:c r="AC306" s="1" t="n">
        <x:f>IF(I306&lt;=0,'損益分岐設定'!C40,IF('損益分岐設定'!C40*I306-U306&lt;0,'損益分岐設定'!C40,IF('損益分岐設定'!B40*I306-U306&gt;=0,0,ROUNDUP(U306/I306,0)-1)))</x:f>
        <x:v>1000</x:v>
      </x:c>
      <x:c r="AD306" s="1" t="n">
        <x:f>'損益分岐設定'!$D$5/SUM('損益分岐設定'!$D$5:$D$7)</x:f>
        <x:v>0.5</x:v>
      </x:c>
      <x:c r="AE306" s="1" t="n">
        <x:f>'損益分岐設定'!$D$6/SUM('損益分岐設定'!$D$5:$D$7)</x:f>
        <x:v>0.3</x:v>
      </x:c>
      <x:c r="AF306" s="1" t="n">
        <x:f>'損益分岐設定'!$D$7/SUM('損益分岐設定'!$D$5:$D$7)</x:f>
        <x:v>0.2</x:v>
      </x:c>
      <x:c r="AG306" s="1" t="n">
        <x:f>AD306*'損益分岐設定'!$C$58+AE306*'損益分岐設定'!$C$61+AF306*'損益分岐設定'!$C$64</x:f>
        <x:v>9174.852856689453</x:v>
      </x:c>
      <x:c r="AH306" s="1" t="n">
        <x:f>AD306*'損益分岐設定'!$D$58+AE306*'損益分岐設定'!$D$61+AF306*'損益分岐設定'!$D$64</x:f>
        <x:v>444</x:v>
      </x:c>
      <x:c r="AI306" s="1" t="n">
        <x:f>AD306*'損益分岐設定'!$E$58+AE306*'損益分岐設定'!$E$61+AF306*'損益分岐設定'!$E$64</x:f>
        <x:v>592</x:v>
      </x:c>
      <x:c r="AJ306" s="1" t="n">
        <x:f>(AD306*'損益分岐設定'!$F$58+AE306*'損益分岐設定'!$F$61+AF306*'損益分岐設定'!$F$64*1)*'損益分岐設定'!$B$22</x:f>
        <x:v>6660</x:v>
      </x:c>
      <x:c r="AK306" s="1" t="n">
        <x:f>AD306*'損益分岐設定'!$G$58+AE306*'損益分岐設定'!$G$61+AF306*'損益分岐設定'!$G$64</x:f>
        <x:v>4440</x:v>
      </x:c>
      <x:c r="AL306" s="1" t="n">
        <x:f>AD306*'損益分岐設定'!$H$58+AE306*'損益分岐設定'!$H$61+AF306*'損益分岐設定'!$H$64</x:f>
        <x:v>1456.6666666666665</x:v>
      </x:c>
      <x:c r="AM306" s="1" t="n">
        <x:f>MAX(1,ROUNDUP('損益分岐設定'!C37*AJ306/('損益分岐設定'!$B$23*'損益分岐設定'!$B$24*3600*'損益分岐設定'!$B$25),0))</x:f>
        <x:v>1</x:v>
      </x:c>
      <x:c r="AN306" s="1" t="n">
        <x:f>MAX(2,ROUNDUP('損益分岐設定'!C38*AJ306/('損益分岐設定'!$B$23*'損益分岐設定'!$B$24*3600*'損益分岐設定'!$B$25),0))</x:f>
        <x:v>2</x:v>
      </x:c>
      <x:c r="AO306" s="1" t="n">
        <x:f>MAX(2,ROUNDUP('損益分岐設定'!C39*AJ306/('損益分岐設定'!$B$23*'損益分岐設定'!$B$24*3600*'損益分岐設定'!$B$25),0))</x:f>
        <x:v>7</x:v>
      </x:c>
      <x:c r="AP306" s="1" t="n">
        <x:f>MAX(2,ROUNDUP('損益分岐設定'!C40*AJ306/('損益分岐設定'!$B$23*'損益分岐設定'!$B$24*3600*'損益分岐設定'!$B$25),0))</x:f>
        <x:v>14</x:v>
      </x:c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 ht="23" customHeight="1">
      <x:c r="A307" s="1" t="str">
        <x:v>Hybrid</x:v>
      </x:c>
      <x:c r="B307" s="1" t="str">
        <x:v>混在</x:v>
      </x:c>
      <x:c r="C307" s="1" t="str">
        <x:v>高位</x:v>
      </x:c>
      <x:c r="D307" s="21" t="n">
        <x:v>0.2</x:v>
      </x:c>
      <x:c r="E307" s="1" t="n">
        <x:v>0</x:v>
      </x:c>
      <x:c r="F307" s="7" t="n">
        <x:f>AD307*'損益分岐設定'!$B$5+AE307*'損益分岐設定'!$B$6+AF307*'損益分岐設定'!$B$7</x:f>
        <x:v>4600</x:v>
      </x:c>
      <x:c r="G307" s="7" t="n">
        <x:f>AG307+(AH307+AI307)*('損益分岐設定'!$B$29+0.5*'損益分岐設定'!$B$30)+AK307*'損益分岐設定'!$B$33</x:f>
        <x:v>9179.133369915167</x:v>
      </x:c>
      <x:c r="H307" s="7" t="n">
        <x:f>AL307*E307</x:f>
        <x:v>0</x:v>
      </x:c>
      <x:c r="I307" s="7" t="n">
        <x:f>F307*(1-D307-'損益分岐設定'!$B$10)-G307-H307</x:f>
        <x:v>-5664.733369915168</x:v>
      </x:c>
      <x:c r="J307" s="1" t="str">
        <x:f>IF(MIN(V307:Y307)&gt;1000,"範囲内なし",MIN(V307:Y307))</x:f>
        <x:v>範囲内なし</x:v>
      </x:c>
      <x:c r="K307" s="1" t="str">
        <x:f>IF(MAX(Z307:AC307)&gt;=1000,"範囲内なし",MAX(1,MAX(Z307:AC307)+1))</x:f>
        <x:v>範囲内なし</x:v>
      </x:c>
      <x:c r="L307" s="7" t="n">
        <x:f>10*I307-R307</x:f>
        <x:v>-92087.13038945699</x:v>
      </x:c>
      <x:c r="M307" s="7" t="n">
        <x:f>30*I307-S307</x:f>
        <x:v>-220321.59447806567</x:v>
      </x:c>
      <x:c r="N307" s="7" t="n">
        <x:f>50*I307-S307</x:f>
        <x:v>-333616.261876369</x:v>
      </x:c>
      <x:c r="O307" s="7" t="n">
        <x:f>100*I307-S307</x:f>
        <x:v>-616852.9303721273</x:v>
      </x:c>
      <x:c r="P307" s="7" t="n">
        <x:f>300*I307-T307</x:f>
        <x:v>-1823998.5878066877</x:v>
      </x:c>
      <x:c r="Q307" s="7" t="n">
        <x:f>1000*I307-U307</x:f>
        <x:v>-5892390.523579442</x:v>
      </x:c>
      <x:c r="R307" s="7" t="n">
        <x:f>'損益分岐設定'!$B$18+'損益分岐設定'!$B$19+'損益分岐設定'!$B$20+'損益分岐設定'!E37+'損益分岐設定'!D37+AM307*('損益分岐設定'!$B$15+'損益分岐設定'!$B$16)+'損益分岐設定'!$B$17+E307*('損益分岐設定'!$B$13+(AM307-1)*'損益分岐設定'!$B$14)*'損益分岐設定'!$B$11</x:f>
        <x:v>35439.79669030532</x:v>
      </x:c>
      <x:c r="S307" s="7" t="n">
        <x:f>'損益分岐設定'!$B$18+'損益分岐設定'!$B$19+'損益分岐設定'!$B$20+'損益分岐設定'!E38+'損益分岐設定'!D38+AN307*('損益分岐設定'!$B$15+'損益分岐設定'!$B$16)+'損益分岐設定'!$B$17+E307*('損益分岐設定'!$B$13+(AN307-1)*'損益分岐設定'!$B$14)*'損益分岐設定'!$B$11</x:f>
        <x:v>50379.59338061063</x:v>
      </x:c>
      <x:c r="T307" s="7" t="n">
        <x:f>'損益分岐設定'!$B$18+'損益分岐設定'!$B$19+'損益分岐設定'!$B$20+'損益分岐設定'!E39+'損益分岐設定'!D39+AO307*('損益分岐設定'!$B$15+'損益分岐設定'!$B$16)+'損益分岐設定'!$B$17+E307*('損益分岐設定'!$B$13+(AO307-1)*'損益分岐設定'!$B$14)*'損益分岐設定'!$B$11</x:f>
        <x:v>124578.57683213723</x:v>
      </x:c>
      <x:c r="U307" s="7" t="n">
        <x:f>'損益分岐設定'!$B$18+'損益分岐設定'!$B$19+'損益分岐設定'!$B$20+'損益分岐設定'!E40+'損益分岐設定'!D40+AP307*('損益分岐設定'!$B$15+'損益分岐設定'!$B$16)+'損益分岐設定'!$B$17+E307*('損益分岐設定'!$B$13+(AP307-1)*'損益分岐設定'!$B$14)*'損益分岐設定'!$B$11</x:f>
        <x:v>227657.15366427446</x:v>
      </x:c>
      <x:c r="V307" s="1" t="n">
        <x:f>IF(I307&lt;=0,1001,IF(MAX('損益分岐設定'!B37,ROUNDUP(R307/I307,0))&lt;='損益分岐設定'!C37,MAX('損益分岐設定'!B37,ROUNDUP(R307/I307,0)),1001))</x:f>
        <x:v>1001</x:v>
      </x:c>
      <x:c r="W307" s="1" t="n">
        <x:f>IF(I307&lt;=0,1001,IF(MAX('損益分岐設定'!B38,ROUNDUP(S307/I307,0))&lt;='損益分岐設定'!C38,MAX('損益分岐設定'!B38,ROUNDUP(S307/I307,0)),1001))</x:f>
        <x:v>1001</x:v>
      </x:c>
      <x:c r="X307" s="1" t="n">
        <x:f>IF(I307&lt;=0,1001,IF(MAX('損益分岐設定'!B39,ROUNDUP(T307/I307,0))&lt;='損益分岐設定'!C39,MAX('損益分岐設定'!B39,ROUNDUP(T307/I307,0)),1001))</x:f>
        <x:v>1001</x:v>
      </x:c>
      <x:c r="Y307" s="1" t="n">
        <x:f>IF(I307&lt;=0,1001,IF(MAX('損益分岐設定'!B40,ROUNDUP(U307/I307,0))&lt;='損益分岐設定'!C40,MAX('損益分岐設定'!B40,ROUNDUP(U307/I307,0)),1001))</x:f>
        <x:v>1001</x:v>
      </x:c>
      <x:c r="Z307" s="1" t="n">
        <x:f>IF(I307&lt;=0,'損益分岐設定'!C37,IF('損益分岐設定'!C37*I307-R307&lt;0,'損益分岐設定'!C37,IF('損益分岐設定'!B37*I307-R307&gt;=0,0,ROUNDUP(R307/I307,0)-1)))</x:f>
        <x:v>10</x:v>
      </x:c>
      <x:c r="AA307" s="1" t="n">
        <x:f>IF(I307&lt;=0,'損益分岐設定'!C38,IF('損益分岐設定'!C38*I307-S307&lt;0,'損益分岐設定'!C38,IF('損益分岐設定'!B38*I307-S307&gt;=0,0,ROUNDUP(S307/I307,0)-1)))</x:f>
        <x:v>100</x:v>
      </x:c>
      <x:c r="AB307" s="1" t="n">
        <x:f>IF(I307&lt;=0,'損益分岐設定'!C39,IF('損益分岐設定'!C39*I307-T307&lt;0,'損益分岐設定'!C39,IF('損益分岐設定'!B39*I307-T307&gt;=0,0,ROUNDUP(T307/I307,0)-1)))</x:f>
        <x:v>500</x:v>
      </x:c>
      <x:c r="AC307" s="1" t="n">
        <x:f>IF(I307&lt;=0,'損益分岐設定'!C40,IF('損益分岐設定'!C40*I307-U307&lt;0,'損益分岐設定'!C40,IF('損益分岐設定'!B40*I307-U307&gt;=0,0,ROUNDUP(U307/I307,0)-1)))</x:f>
        <x:v>1000</x:v>
      </x:c>
      <x:c r="AD307" s="1" t="n">
        <x:f>'損益分岐設定'!$D$5/SUM('損益分岐設定'!$D$5:$D$7)</x:f>
        <x:v>0.5</x:v>
      </x:c>
      <x:c r="AE307" s="1" t="n">
        <x:f>'損益分岐設定'!$D$6/SUM('損益分岐設定'!$D$5:$D$7)</x:f>
        <x:v>0.3</x:v>
      </x:c>
      <x:c r="AF307" s="1" t="n">
        <x:f>'損益分岐設定'!$D$7/SUM('損益分岐設定'!$D$5:$D$7)</x:f>
        <x:v>0.2</x:v>
      </x:c>
      <x:c r="AG307" s="1" t="n">
        <x:f>AD307*'損益分岐設定'!$C$58+AE307*'損益分岐設定'!$C$61+AF307*'損益分岐設定'!$C$64</x:f>
        <x:v>9174.852856689453</x:v>
      </x:c>
      <x:c r="AH307" s="1" t="n">
        <x:f>AD307*'損益分岐設定'!$D$58+AE307*'損益分岐設定'!$D$61+AF307*'損益分岐設定'!$D$64</x:f>
        <x:v>444</x:v>
      </x:c>
      <x:c r="AI307" s="1" t="n">
        <x:f>AD307*'損益分岐設定'!$E$58+AE307*'損益分岐設定'!$E$61+AF307*'損益分岐設定'!$E$64</x:f>
        <x:v>592</x:v>
      </x:c>
      <x:c r="AJ307" s="1" t="n">
        <x:f>(AD307*'損益分岐設定'!$F$58+AE307*'損益分岐設定'!$F$61+AF307*'損益分岐設定'!$F$64*1)*'損益分岐設定'!$B$22</x:f>
        <x:v>6660</x:v>
      </x:c>
      <x:c r="AK307" s="1" t="n">
        <x:f>AD307*'損益分岐設定'!$G$58+AE307*'損益分岐設定'!$G$61+AF307*'損益分岐設定'!$G$64</x:f>
        <x:v>4440</x:v>
      </x:c>
      <x:c r="AL307" s="1" t="n">
        <x:f>AD307*'損益分岐設定'!$H$58+AE307*'損益分岐設定'!$H$61+AF307*'損益分岐設定'!$H$64</x:f>
        <x:v>1456.6666666666665</x:v>
      </x:c>
      <x:c r="AM307" s="1" t="n">
        <x:f>MAX(1,ROUNDUP('損益分岐設定'!C37*AJ307/('損益分岐設定'!$B$23*'損益分岐設定'!$B$24*3600*'損益分岐設定'!$B$25),0))</x:f>
        <x:v>1</x:v>
      </x:c>
      <x:c r="AN307" s="1" t="n">
        <x:f>MAX(2,ROUNDUP('損益分岐設定'!C38*AJ307/('損益分岐設定'!$B$23*'損益分岐設定'!$B$24*3600*'損益分岐設定'!$B$25),0))</x:f>
        <x:v>2</x:v>
      </x:c>
      <x:c r="AO307" s="1" t="n">
        <x:f>MAX(2,ROUNDUP('損益分岐設定'!C39*AJ307/('損益分岐設定'!$B$23*'損益分岐設定'!$B$24*3600*'損益分岐設定'!$B$25),0))</x:f>
        <x:v>7</x:v>
      </x:c>
      <x:c r="AP307" s="1" t="n">
        <x:f>MAX(2,ROUNDUP('損益分岐設定'!C40*AJ307/('損益分岐設定'!$B$23*'損益分岐設定'!$B$24*3600*'損益分岐設定'!$B$25),0))</x:f>
        <x:v>14</x:v>
      </x:c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 ht="23" customHeight="1">
      <x:c r="A308" s="1" t="str">
        <x:v>Hybrid</x:v>
      </x:c>
      <x:c r="B308" s="1" t="str">
        <x:v>混在</x:v>
      </x:c>
      <x:c r="C308" s="1" t="str">
        <x:v>高位</x:v>
      </x:c>
      <x:c r="D308" s="21" t="n">
        <x:v>0.2</x:v>
      </x:c>
      <x:c r="E308" s="1" t="n">
        <x:v>1</x:v>
      </x:c>
      <x:c r="F308" s="7" t="n">
        <x:f>AD308*'損益分岐設定'!$B$5+AE308*'損益分岐設定'!$B$6+AF308*'損益分岐設定'!$B$7</x:f>
        <x:v>4600</x:v>
      </x:c>
      <x:c r="G308" s="7" t="n">
        <x:f>AG308+(AH308+AI308)*('損益分岐設定'!$B$29+0.5*'損益分岐設定'!$B$30)+AK308*'損益分岐設定'!$B$33</x:f>
        <x:v>9179.133369915167</x:v>
      </x:c>
      <x:c r="H308" s="7" t="n">
        <x:f>AL308*E308</x:f>
        <x:v>1456.6666666666665</x:v>
      </x:c>
      <x:c r="I308" s="7" t="n">
        <x:f>F308*(1-D308-'損益分岐設定'!$B$10)-G308-H308</x:f>
        <x:v>-7121.400036581834</x:v>
      </x:c>
      <x:c r="J308" s="1" t="str">
        <x:f>IF(MIN(V308:Y308)&gt;1000,"範囲内なし",MIN(V308:Y308))</x:f>
        <x:v>範囲内なし</x:v>
      </x:c>
      <x:c r="K308" s="1" t="str">
        <x:f>IF(MAX(Z308:AC308)&gt;=1000,"範囲内なし",MAX(1,MAX(Z308:AC308)+1))</x:f>
        <x:v>範囲内なし</x:v>
      </x:c>
      <x:c r="L308" s="7" t="n">
        <x:f>10*I308-R308</x:f>
        <x:v>-122653.79705612366</x:v>
      </x:c>
      <x:c r="M308" s="7" t="n">
        <x:f>30*I308-S308</x:f>
        <x:v>-282021.5944780656</x:v>
      </x:c>
      <x:c r="N308" s="7" t="n">
        <x:f>50*I308-S308</x:f>
        <x:v>-424449.5952097023</x:v>
      </x:c>
      <x:c r="O308" s="7" t="n">
        <x:f>100*I308-S308</x:f>
        <x:v>-780519.5970387941</x:v>
      </x:c>
      <x:c r="P308" s="7" t="n">
        <x:f>300*I308-T308</x:f>
        <x:v>-2288998.587806687</x:v>
      </x:c>
      <x:c r="Q308" s="7" t="n">
        <x:f>1000*I308-U308</x:f>
        <x:v>-7391057.190246108</x:v>
      </x:c>
      <x:c r="R308" s="7" t="n">
        <x:f>'損益分岐設定'!$B$18+'損益分岐設定'!$B$19+'損益分岐設定'!$B$20+'損益分岐設定'!E37+'損益分岐設定'!D37+AM308*('損益分岐設定'!$B$15+'損益分岐設定'!$B$16)+'損益分岐設定'!$B$17+E308*('損益分岐設定'!$B$13+(AM308-1)*'損益分岐設定'!$B$14)*'損益分岐設定'!$B$11</x:f>
        <x:v>51439.79669030532</x:v>
      </x:c>
      <x:c r="S308" s="7" t="n">
        <x:f>'損益分岐設定'!$B$18+'損益分岐設定'!$B$19+'損益分岐設定'!$B$20+'損益分岐設定'!E38+'損益分岐設定'!D38+AN308*('損益分岐設定'!$B$15+'損益分岐設定'!$B$16)+'損益分岐設定'!$B$17+E308*('損益分岐設定'!$B$13+(AN308-1)*'損益分岐設定'!$B$14)*'損益分岐設定'!$B$11</x:f>
        <x:v>68379.59338061063</x:v>
      </x:c>
      <x:c r="T308" s="7" t="n">
        <x:f>'損益分岐設定'!$B$18+'損益分岐設定'!$B$19+'損益分岐設定'!$B$20+'損益分岐設定'!E39+'損益分岐設定'!D39+AO308*('損益分岐設定'!$B$15+'損益分岐設定'!$B$16)+'損益分岐設定'!$B$17+E308*('損益分岐設定'!$B$13+(AO308-1)*'損益分岐設定'!$B$14)*'損益分岐設定'!$B$11</x:f>
        <x:v>152578.57683213725</x:v>
      </x:c>
      <x:c r="U308" s="7" t="n">
        <x:f>'損益分岐設定'!$B$18+'損益分岐設定'!$B$19+'損益分岐設定'!$B$20+'損益分岐設定'!E40+'損益分岐設定'!D40+AP308*('損益分岐設定'!$B$15+'損益分岐設定'!$B$16)+'損益分岐設定'!$B$17+E308*('損益分岐設定'!$B$13+(AP308-1)*'損益分岐設定'!$B$14)*'損益分岐設定'!$B$11</x:f>
        <x:v>269657.1536642745</x:v>
      </x:c>
      <x:c r="V308" s="1" t="n">
        <x:f>IF(I308&lt;=0,1001,IF(MAX('損益分岐設定'!B37,ROUNDUP(R308/I308,0))&lt;='損益分岐設定'!C37,MAX('損益分岐設定'!B37,ROUNDUP(R308/I308,0)),1001))</x:f>
        <x:v>1001</x:v>
      </x:c>
      <x:c r="W308" s="1" t="n">
        <x:f>IF(I308&lt;=0,1001,IF(MAX('損益分岐設定'!B38,ROUNDUP(S308/I308,0))&lt;='損益分岐設定'!C38,MAX('損益分岐設定'!B38,ROUNDUP(S308/I308,0)),1001))</x:f>
        <x:v>1001</x:v>
      </x:c>
      <x:c r="X308" s="1" t="n">
        <x:f>IF(I308&lt;=0,1001,IF(MAX('損益分岐設定'!B39,ROUNDUP(T308/I308,0))&lt;='損益分岐設定'!C39,MAX('損益分岐設定'!B39,ROUNDUP(T308/I308,0)),1001))</x:f>
        <x:v>1001</x:v>
      </x:c>
      <x:c r="Y308" s="1" t="n">
        <x:f>IF(I308&lt;=0,1001,IF(MAX('損益分岐設定'!B40,ROUNDUP(U308/I308,0))&lt;='損益分岐設定'!C40,MAX('損益分岐設定'!B40,ROUNDUP(U308/I308,0)),1001))</x:f>
        <x:v>1001</x:v>
      </x:c>
      <x:c r="Z308" s="1" t="n">
        <x:f>IF(I308&lt;=0,'損益分岐設定'!C37,IF('損益分岐設定'!C37*I308-R308&lt;0,'損益分岐設定'!C37,IF('損益分岐設定'!B37*I308-R308&gt;=0,0,ROUNDUP(R308/I308,0)-1)))</x:f>
        <x:v>10</x:v>
      </x:c>
      <x:c r="AA308" s="1" t="n">
        <x:f>IF(I308&lt;=0,'損益分岐設定'!C38,IF('損益分岐設定'!C38*I308-S308&lt;0,'損益分岐設定'!C38,IF('損益分岐設定'!B38*I308-S308&gt;=0,0,ROUNDUP(S308/I308,0)-1)))</x:f>
        <x:v>100</x:v>
      </x:c>
      <x:c r="AB308" s="1" t="n">
        <x:f>IF(I308&lt;=0,'損益分岐設定'!C39,IF('損益分岐設定'!C39*I308-T308&lt;0,'損益分岐設定'!C39,IF('損益分岐設定'!B39*I308-T308&gt;=0,0,ROUNDUP(T308/I308,0)-1)))</x:f>
        <x:v>500</x:v>
      </x:c>
      <x:c r="AC308" s="1" t="n">
        <x:f>IF(I308&lt;=0,'損益分岐設定'!C40,IF('損益分岐設定'!C40*I308-U308&lt;0,'損益分岐設定'!C40,IF('損益分岐設定'!B40*I308-U308&gt;=0,0,ROUNDUP(U308/I308,0)-1)))</x:f>
        <x:v>1000</x:v>
      </x:c>
      <x:c r="AD308" s="1" t="n">
        <x:f>'損益分岐設定'!$D$5/SUM('損益分岐設定'!$D$5:$D$7)</x:f>
        <x:v>0.5</x:v>
      </x:c>
      <x:c r="AE308" s="1" t="n">
        <x:f>'損益分岐設定'!$D$6/SUM('損益分岐設定'!$D$5:$D$7)</x:f>
        <x:v>0.3</x:v>
      </x:c>
      <x:c r="AF308" s="1" t="n">
        <x:f>'損益分岐設定'!$D$7/SUM('損益分岐設定'!$D$5:$D$7)</x:f>
        <x:v>0.2</x:v>
      </x:c>
      <x:c r="AG308" s="1" t="n">
        <x:f>AD308*'損益分岐設定'!$C$58+AE308*'損益分岐設定'!$C$61+AF308*'損益分岐設定'!$C$64</x:f>
        <x:v>9174.852856689453</x:v>
      </x:c>
      <x:c r="AH308" s="1" t="n">
        <x:f>AD308*'損益分岐設定'!$D$58+AE308*'損益分岐設定'!$D$61+AF308*'損益分岐設定'!$D$64</x:f>
        <x:v>444</x:v>
      </x:c>
      <x:c r="AI308" s="1" t="n">
        <x:f>AD308*'損益分岐設定'!$E$58+AE308*'損益分岐設定'!$E$61+AF308*'損益分岐設定'!$E$64</x:f>
        <x:v>592</x:v>
      </x:c>
      <x:c r="AJ308" s="1" t="n">
        <x:f>(AD308*'損益分岐設定'!$F$58+AE308*'損益分岐設定'!$F$61+AF308*'損益分岐設定'!$F$64*1)*'損益分岐設定'!$B$22</x:f>
        <x:v>6660</x:v>
      </x:c>
      <x:c r="AK308" s="1" t="n">
        <x:f>AD308*'損益分岐設定'!$G$58+AE308*'損益分岐設定'!$G$61+AF308*'損益分岐設定'!$G$64</x:f>
        <x:v>4440</x:v>
      </x:c>
      <x:c r="AL308" s="1" t="n">
        <x:f>AD308*'損益分岐設定'!$H$58+AE308*'損益分岐設定'!$H$61+AF308*'損益分岐設定'!$H$64</x:f>
        <x:v>1456.6666666666665</x:v>
      </x:c>
      <x:c r="AM308" s="1" t="n">
        <x:f>MAX(1,ROUNDUP('損益分岐設定'!C37*AJ308/('損益分岐設定'!$B$23*'損益分岐設定'!$B$24*3600*'損益分岐設定'!$B$25),0))</x:f>
        <x:v>1</x:v>
      </x:c>
      <x:c r="AN308" s="1" t="n">
        <x:f>MAX(2,ROUNDUP('損益分岐設定'!C38*AJ308/('損益分岐設定'!$B$23*'損益分岐設定'!$B$24*3600*'損益分岐設定'!$B$25),0))</x:f>
        <x:v>2</x:v>
      </x:c>
      <x:c r="AO308" s="1" t="n">
        <x:f>MAX(2,ROUNDUP('損益分岐設定'!C39*AJ308/('損益分岐設定'!$B$23*'損益分岐設定'!$B$24*3600*'損益分岐設定'!$B$25),0))</x:f>
        <x:v>7</x:v>
      </x:c>
      <x:c r="AP308" s="1" t="n">
        <x:f>MAX(2,ROUNDUP('損益分岐設定'!C40*AJ308/('損益分岐設定'!$B$23*'損益分岐設定'!$B$24*3600*'損益分岐設定'!$B$25),0))</x:f>
        <x:v>14</x:v>
      </x:c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 ht="23" customHeight="1">
      <x:c r="A309" s="1" t="str">
        <x:v>Hybrid</x:v>
      </x:c>
      <x:c r="B309" s="1" t="str">
        <x:v>混在</x:v>
      </x:c>
      <x:c r="C309" s="1" t="str">
        <x:v>高位</x:v>
      </x:c>
      <x:c r="D309" s="21" t="n">
        <x:v>0.3</x:v>
      </x:c>
      <x:c r="E309" s="1" t="n">
        <x:v>0</x:v>
      </x:c>
      <x:c r="F309" s="7" t="n">
        <x:f>AD309*'損益分岐設定'!$B$5+AE309*'損益分岐設定'!$B$6+AF309*'損益分岐設定'!$B$7</x:f>
        <x:v>4600</x:v>
      </x:c>
      <x:c r="G309" s="7" t="n">
        <x:f>AG309+(AH309+AI309)*('損益分岐設定'!$B$29+0.5*'損益分岐設定'!$B$30)+AK309*'損益分岐設定'!$B$33</x:f>
        <x:v>9179.133369915167</x:v>
      </x:c>
      <x:c r="H309" s="7" t="n">
        <x:f>AL309*E309</x:f>
        <x:v>0</x:v>
      </x:c>
      <x:c r="I309" s="7" t="n">
        <x:f>F309*(1-D309-'損益分岐設定'!$B$10)-G309-H309</x:f>
        <x:v>-6124.733369915168</x:v>
      </x:c>
      <x:c r="J309" s="1" t="str">
        <x:f>IF(MIN(V309:Y309)&gt;1000,"範囲内なし",MIN(V309:Y309))</x:f>
        <x:v>範囲内なし</x:v>
      </x:c>
      <x:c r="K309" s="1" t="str">
        <x:f>IF(MAX(Z309:AC309)&gt;=1000,"範囲内なし",MAX(1,MAX(Z309:AC309)+1))</x:f>
        <x:v>範囲内なし</x:v>
      </x:c>
      <x:c r="L309" s="7" t="n">
        <x:f>10*I309-R309</x:f>
        <x:v>-96687.13038945699</x:v>
      </x:c>
      <x:c r="M309" s="7" t="n">
        <x:f>30*I309-S309</x:f>
        <x:v>-234121.59447806567</x:v>
      </x:c>
      <x:c r="N309" s="7" t="n">
        <x:f>50*I309-S309</x:f>
        <x:v>-356616.261876369</x:v>
      </x:c>
      <x:c r="O309" s="7" t="n">
        <x:f>100*I309-S309</x:f>
        <x:v>-662852.9303721273</x:v>
      </x:c>
      <x:c r="P309" s="7" t="n">
        <x:f>300*I309-T309</x:f>
        <x:v>-1961998.5878066877</x:v>
      </x:c>
      <x:c r="Q309" s="7" t="n">
        <x:f>1000*I309-U309</x:f>
        <x:v>-6352390.523579442</x:v>
      </x:c>
      <x:c r="R309" s="7" t="n">
        <x:f>'損益分岐設定'!$B$18+'損益分岐設定'!$B$19+'損益分岐設定'!$B$20+'損益分岐設定'!E37+'損益分岐設定'!D37+AM309*('損益分岐設定'!$B$15+'損益分岐設定'!$B$16)+'損益分岐設定'!$B$17+E309*('損益分岐設定'!$B$13+(AM309-1)*'損益分岐設定'!$B$14)*'損益分岐設定'!$B$11</x:f>
        <x:v>35439.79669030532</x:v>
      </x:c>
      <x:c r="S309" s="7" t="n">
        <x:f>'損益分岐設定'!$B$18+'損益分岐設定'!$B$19+'損益分岐設定'!$B$20+'損益分岐設定'!E38+'損益分岐設定'!D38+AN309*('損益分岐設定'!$B$15+'損益分岐設定'!$B$16)+'損益分岐設定'!$B$17+E309*('損益分岐設定'!$B$13+(AN309-1)*'損益分岐設定'!$B$14)*'損益分岐設定'!$B$11</x:f>
        <x:v>50379.59338061063</x:v>
      </x:c>
      <x:c r="T309" s="7" t="n">
        <x:f>'損益分岐設定'!$B$18+'損益分岐設定'!$B$19+'損益分岐設定'!$B$20+'損益分岐設定'!E39+'損益分岐設定'!D39+AO309*('損益分岐設定'!$B$15+'損益分岐設定'!$B$16)+'損益分岐設定'!$B$17+E309*('損益分岐設定'!$B$13+(AO309-1)*'損益分岐設定'!$B$14)*'損益分岐設定'!$B$11</x:f>
        <x:v>124578.57683213723</x:v>
      </x:c>
      <x:c r="U309" s="7" t="n">
        <x:f>'損益分岐設定'!$B$18+'損益分岐設定'!$B$19+'損益分岐設定'!$B$20+'損益分岐設定'!E40+'損益分岐設定'!D40+AP309*('損益分岐設定'!$B$15+'損益分岐設定'!$B$16)+'損益分岐設定'!$B$17+E309*('損益分岐設定'!$B$13+(AP309-1)*'損益分岐設定'!$B$14)*'損益分岐設定'!$B$11</x:f>
        <x:v>227657.15366427446</x:v>
      </x:c>
      <x:c r="V309" s="1" t="n">
        <x:f>IF(I309&lt;=0,1001,IF(MAX('損益分岐設定'!B37,ROUNDUP(R309/I309,0))&lt;='損益分岐設定'!C37,MAX('損益分岐設定'!B37,ROUNDUP(R309/I309,0)),1001))</x:f>
        <x:v>1001</x:v>
      </x:c>
      <x:c r="W309" s="1" t="n">
        <x:f>IF(I309&lt;=0,1001,IF(MAX('損益分岐設定'!B38,ROUNDUP(S309/I309,0))&lt;='損益分岐設定'!C38,MAX('損益分岐設定'!B38,ROUNDUP(S309/I309,0)),1001))</x:f>
        <x:v>1001</x:v>
      </x:c>
      <x:c r="X309" s="1" t="n">
        <x:f>IF(I309&lt;=0,1001,IF(MAX('損益分岐設定'!B39,ROUNDUP(T309/I309,0))&lt;='損益分岐設定'!C39,MAX('損益分岐設定'!B39,ROUNDUP(T309/I309,0)),1001))</x:f>
        <x:v>1001</x:v>
      </x:c>
      <x:c r="Y309" s="1" t="n">
        <x:f>IF(I309&lt;=0,1001,IF(MAX('損益分岐設定'!B40,ROUNDUP(U309/I309,0))&lt;='損益分岐設定'!C40,MAX('損益分岐設定'!B40,ROUNDUP(U309/I309,0)),1001))</x:f>
        <x:v>1001</x:v>
      </x:c>
      <x:c r="Z309" s="1" t="n">
        <x:f>IF(I309&lt;=0,'損益分岐設定'!C37,IF('損益分岐設定'!C37*I309-R309&lt;0,'損益分岐設定'!C37,IF('損益分岐設定'!B37*I309-R309&gt;=0,0,ROUNDUP(R309/I309,0)-1)))</x:f>
        <x:v>10</x:v>
      </x:c>
      <x:c r="AA309" s="1" t="n">
        <x:f>IF(I309&lt;=0,'損益分岐設定'!C38,IF('損益分岐設定'!C38*I309-S309&lt;0,'損益分岐設定'!C38,IF('損益分岐設定'!B38*I309-S309&gt;=0,0,ROUNDUP(S309/I309,0)-1)))</x:f>
        <x:v>100</x:v>
      </x:c>
      <x:c r="AB309" s="1" t="n">
        <x:f>IF(I309&lt;=0,'損益分岐設定'!C39,IF('損益分岐設定'!C39*I309-T309&lt;0,'損益分岐設定'!C39,IF('損益分岐設定'!B39*I309-T309&gt;=0,0,ROUNDUP(T309/I309,0)-1)))</x:f>
        <x:v>500</x:v>
      </x:c>
      <x:c r="AC309" s="1" t="n">
        <x:f>IF(I309&lt;=0,'損益分岐設定'!C40,IF('損益分岐設定'!C40*I309-U309&lt;0,'損益分岐設定'!C40,IF('損益分岐設定'!B40*I309-U309&gt;=0,0,ROUNDUP(U309/I309,0)-1)))</x:f>
        <x:v>1000</x:v>
      </x:c>
      <x:c r="AD309" s="1" t="n">
        <x:f>'損益分岐設定'!$D$5/SUM('損益分岐設定'!$D$5:$D$7)</x:f>
        <x:v>0.5</x:v>
      </x:c>
      <x:c r="AE309" s="1" t="n">
        <x:f>'損益分岐設定'!$D$6/SUM('損益分岐設定'!$D$5:$D$7)</x:f>
        <x:v>0.3</x:v>
      </x:c>
      <x:c r="AF309" s="1" t="n">
        <x:f>'損益分岐設定'!$D$7/SUM('損益分岐設定'!$D$5:$D$7)</x:f>
        <x:v>0.2</x:v>
      </x:c>
      <x:c r="AG309" s="1" t="n">
        <x:f>AD309*'損益分岐設定'!$C$58+AE309*'損益分岐設定'!$C$61+AF309*'損益分岐設定'!$C$64</x:f>
        <x:v>9174.852856689453</x:v>
      </x:c>
      <x:c r="AH309" s="1" t="n">
        <x:f>AD309*'損益分岐設定'!$D$58+AE309*'損益分岐設定'!$D$61+AF309*'損益分岐設定'!$D$64</x:f>
        <x:v>444</x:v>
      </x:c>
      <x:c r="AI309" s="1" t="n">
        <x:f>AD309*'損益分岐設定'!$E$58+AE309*'損益分岐設定'!$E$61+AF309*'損益分岐設定'!$E$64</x:f>
        <x:v>592</x:v>
      </x:c>
      <x:c r="AJ309" s="1" t="n">
        <x:f>(AD309*'損益分岐設定'!$F$58+AE309*'損益分岐設定'!$F$61+AF309*'損益分岐設定'!$F$64*1)*'損益分岐設定'!$B$22</x:f>
        <x:v>6660</x:v>
      </x:c>
      <x:c r="AK309" s="1" t="n">
        <x:f>AD309*'損益分岐設定'!$G$58+AE309*'損益分岐設定'!$G$61+AF309*'損益分岐設定'!$G$64</x:f>
        <x:v>4440</x:v>
      </x:c>
      <x:c r="AL309" s="1" t="n">
        <x:f>AD309*'損益分岐設定'!$H$58+AE309*'損益分岐設定'!$H$61+AF309*'損益分岐設定'!$H$64</x:f>
        <x:v>1456.6666666666665</x:v>
      </x:c>
      <x:c r="AM309" s="1" t="n">
        <x:f>MAX(1,ROUNDUP('損益分岐設定'!C37*AJ309/('損益分岐設定'!$B$23*'損益分岐設定'!$B$24*3600*'損益分岐設定'!$B$25),0))</x:f>
        <x:v>1</x:v>
      </x:c>
      <x:c r="AN309" s="1" t="n">
        <x:f>MAX(2,ROUNDUP('損益分岐設定'!C38*AJ309/('損益分岐設定'!$B$23*'損益分岐設定'!$B$24*3600*'損益分岐設定'!$B$25),0))</x:f>
        <x:v>2</x:v>
      </x:c>
      <x:c r="AO309" s="1" t="n">
        <x:f>MAX(2,ROUNDUP('損益分岐設定'!C39*AJ309/('損益分岐設定'!$B$23*'損益分岐設定'!$B$24*3600*'損益分岐設定'!$B$25),0))</x:f>
        <x:v>7</x:v>
      </x:c>
      <x:c r="AP309" s="1" t="n">
        <x:f>MAX(2,ROUNDUP('損益分岐設定'!C40*AJ309/('損益分岐設定'!$B$23*'損益分岐設定'!$B$24*3600*'損益分岐設定'!$B$25),0))</x:f>
        <x:v>14</x:v>
      </x:c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 ht="23" customHeight="1">
      <x:c r="A310" s="1" t="str">
        <x:v>Hybrid</x:v>
      </x:c>
      <x:c r="B310" s="1" t="str">
        <x:v>混在</x:v>
      </x:c>
      <x:c r="C310" s="1" t="str">
        <x:v>高位</x:v>
      </x:c>
      <x:c r="D310" s="21" t="n">
        <x:v>0.3</x:v>
      </x:c>
      <x:c r="E310" s="1" t="n">
        <x:v>1</x:v>
      </x:c>
      <x:c r="F310" s="7" t="n">
        <x:f>AD310*'損益分岐設定'!$B$5+AE310*'損益分岐設定'!$B$6+AF310*'損益分岐設定'!$B$7</x:f>
        <x:v>4600</x:v>
      </x:c>
      <x:c r="G310" s="7" t="n">
        <x:f>AG310+(AH310+AI310)*('損益分岐設定'!$B$29+0.5*'損益分岐設定'!$B$30)+AK310*'損益分岐設定'!$B$33</x:f>
        <x:v>9179.133369915167</x:v>
      </x:c>
      <x:c r="H310" s="7" t="n">
        <x:f>AL310*E310</x:f>
        <x:v>1456.6666666666665</x:v>
      </x:c>
      <x:c r="I310" s="7" t="n">
        <x:f>F310*(1-D310-'損益分岐設定'!$B$10)-G310-H310</x:f>
        <x:v>-7581.400036581834</x:v>
      </x:c>
      <x:c r="J310" s="1" t="str">
        <x:f>IF(MIN(V310:Y310)&gt;1000,"範囲内なし",MIN(V310:Y310))</x:f>
        <x:v>範囲内なし</x:v>
      </x:c>
      <x:c r="K310" s="1" t="str">
        <x:f>IF(MAX(Z310:AC310)&gt;=1000,"範囲内なし",MAX(1,MAX(Z310:AC310)+1))</x:f>
        <x:v>範囲内なし</x:v>
      </x:c>
      <x:c r="L310" s="7" t="n">
        <x:f>10*I310-R310</x:f>
        <x:v>-127253.79705612366</x:v>
      </x:c>
      <x:c r="M310" s="7" t="n">
        <x:f>30*I310-S310</x:f>
        <x:v>-295821.5944780656</x:v>
      </x:c>
      <x:c r="N310" s="7" t="n">
        <x:f>50*I310-S310</x:f>
        <x:v>-447449.5952097023</x:v>
      </x:c>
      <x:c r="O310" s="7" t="n">
        <x:f>100*I310-S310</x:f>
        <x:v>-826519.5970387941</x:v>
      </x:c>
      <x:c r="P310" s="7" t="n">
        <x:f>300*I310-T310</x:f>
        <x:v>-2426998.587806687</x:v>
      </x:c>
      <x:c r="Q310" s="7" t="n">
        <x:f>1000*I310-U310</x:f>
        <x:v>-7851057.190246108</x:v>
      </x:c>
      <x:c r="R310" s="7" t="n">
        <x:f>'損益分岐設定'!$B$18+'損益分岐設定'!$B$19+'損益分岐設定'!$B$20+'損益分岐設定'!E37+'損益分岐設定'!D37+AM310*('損益分岐設定'!$B$15+'損益分岐設定'!$B$16)+'損益分岐設定'!$B$17+E310*('損益分岐設定'!$B$13+(AM310-1)*'損益分岐設定'!$B$14)*'損益分岐設定'!$B$11</x:f>
        <x:v>51439.79669030532</x:v>
      </x:c>
      <x:c r="S310" s="7" t="n">
        <x:f>'損益分岐設定'!$B$18+'損益分岐設定'!$B$19+'損益分岐設定'!$B$20+'損益分岐設定'!E38+'損益分岐設定'!D38+AN310*('損益分岐設定'!$B$15+'損益分岐設定'!$B$16)+'損益分岐設定'!$B$17+E310*('損益分岐設定'!$B$13+(AN310-1)*'損益分岐設定'!$B$14)*'損益分岐設定'!$B$11</x:f>
        <x:v>68379.59338061063</x:v>
      </x:c>
      <x:c r="T310" s="7" t="n">
        <x:f>'損益分岐設定'!$B$18+'損益分岐設定'!$B$19+'損益分岐設定'!$B$20+'損益分岐設定'!E39+'損益分岐設定'!D39+AO310*('損益分岐設定'!$B$15+'損益分岐設定'!$B$16)+'損益分岐設定'!$B$17+E310*('損益分岐設定'!$B$13+(AO310-1)*'損益分岐設定'!$B$14)*'損益分岐設定'!$B$11</x:f>
        <x:v>152578.57683213725</x:v>
      </x:c>
      <x:c r="U310" s="7" t="n">
        <x:f>'損益分岐設定'!$B$18+'損益分岐設定'!$B$19+'損益分岐設定'!$B$20+'損益分岐設定'!E40+'損益分岐設定'!D40+AP310*('損益分岐設定'!$B$15+'損益分岐設定'!$B$16)+'損益分岐設定'!$B$17+E310*('損益分岐設定'!$B$13+(AP310-1)*'損益分岐設定'!$B$14)*'損益分岐設定'!$B$11</x:f>
        <x:v>269657.1536642745</x:v>
      </x:c>
      <x:c r="V310" s="1" t="n">
        <x:f>IF(I310&lt;=0,1001,IF(MAX('損益分岐設定'!B37,ROUNDUP(R310/I310,0))&lt;='損益分岐設定'!C37,MAX('損益分岐設定'!B37,ROUNDUP(R310/I310,0)),1001))</x:f>
        <x:v>1001</x:v>
      </x:c>
      <x:c r="W310" s="1" t="n">
        <x:f>IF(I310&lt;=0,1001,IF(MAX('損益分岐設定'!B38,ROUNDUP(S310/I310,0))&lt;='損益分岐設定'!C38,MAX('損益分岐設定'!B38,ROUNDUP(S310/I310,0)),1001))</x:f>
        <x:v>1001</x:v>
      </x:c>
      <x:c r="X310" s="1" t="n">
        <x:f>IF(I310&lt;=0,1001,IF(MAX('損益分岐設定'!B39,ROUNDUP(T310/I310,0))&lt;='損益分岐設定'!C39,MAX('損益分岐設定'!B39,ROUNDUP(T310/I310,0)),1001))</x:f>
        <x:v>1001</x:v>
      </x:c>
      <x:c r="Y310" s="1" t="n">
        <x:f>IF(I310&lt;=0,1001,IF(MAX('損益分岐設定'!B40,ROUNDUP(U310/I310,0))&lt;='損益分岐設定'!C40,MAX('損益分岐設定'!B40,ROUNDUP(U310/I310,0)),1001))</x:f>
        <x:v>1001</x:v>
      </x:c>
      <x:c r="Z310" s="1" t="n">
        <x:f>IF(I310&lt;=0,'損益分岐設定'!C37,IF('損益分岐設定'!C37*I310-R310&lt;0,'損益分岐設定'!C37,IF('損益分岐設定'!B37*I310-R310&gt;=0,0,ROUNDUP(R310/I310,0)-1)))</x:f>
        <x:v>10</x:v>
      </x:c>
      <x:c r="AA310" s="1" t="n">
        <x:f>IF(I310&lt;=0,'損益分岐設定'!C38,IF('損益分岐設定'!C38*I310-S310&lt;0,'損益分岐設定'!C38,IF('損益分岐設定'!B38*I310-S310&gt;=0,0,ROUNDUP(S310/I310,0)-1)))</x:f>
        <x:v>100</x:v>
      </x:c>
      <x:c r="AB310" s="1" t="n">
        <x:f>IF(I310&lt;=0,'損益分岐設定'!C39,IF('損益分岐設定'!C39*I310-T310&lt;0,'損益分岐設定'!C39,IF('損益分岐設定'!B39*I310-T310&gt;=0,0,ROUNDUP(T310/I310,0)-1)))</x:f>
        <x:v>500</x:v>
      </x:c>
      <x:c r="AC310" s="1" t="n">
        <x:f>IF(I310&lt;=0,'損益分岐設定'!C40,IF('損益分岐設定'!C40*I310-U310&lt;0,'損益分岐設定'!C40,IF('損益分岐設定'!B40*I310-U310&gt;=0,0,ROUNDUP(U310/I310,0)-1)))</x:f>
        <x:v>1000</x:v>
      </x:c>
      <x:c r="AD310" s="1" t="n">
        <x:f>'損益分岐設定'!$D$5/SUM('損益分岐設定'!$D$5:$D$7)</x:f>
        <x:v>0.5</x:v>
      </x:c>
      <x:c r="AE310" s="1" t="n">
        <x:f>'損益分岐設定'!$D$6/SUM('損益分岐設定'!$D$5:$D$7)</x:f>
        <x:v>0.3</x:v>
      </x:c>
      <x:c r="AF310" s="1" t="n">
        <x:f>'損益分岐設定'!$D$7/SUM('損益分岐設定'!$D$5:$D$7)</x:f>
        <x:v>0.2</x:v>
      </x:c>
      <x:c r="AG310" s="1" t="n">
        <x:f>AD310*'損益分岐設定'!$C$58+AE310*'損益分岐設定'!$C$61+AF310*'損益分岐設定'!$C$64</x:f>
        <x:v>9174.852856689453</x:v>
      </x:c>
      <x:c r="AH310" s="1" t="n">
        <x:f>AD310*'損益分岐設定'!$D$58+AE310*'損益分岐設定'!$D$61+AF310*'損益分岐設定'!$D$64</x:f>
        <x:v>444</x:v>
      </x:c>
      <x:c r="AI310" s="1" t="n">
        <x:f>AD310*'損益分岐設定'!$E$58+AE310*'損益分岐設定'!$E$61+AF310*'損益分岐設定'!$E$64</x:f>
        <x:v>592</x:v>
      </x:c>
      <x:c r="AJ310" s="1" t="n">
        <x:f>(AD310*'損益分岐設定'!$F$58+AE310*'損益分岐設定'!$F$61+AF310*'損益分岐設定'!$F$64*1)*'損益分岐設定'!$B$22</x:f>
        <x:v>6660</x:v>
      </x:c>
      <x:c r="AK310" s="1" t="n">
        <x:f>AD310*'損益分岐設定'!$G$58+AE310*'損益分岐設定'!$G$61+AF310*'損益分岐設定'!$G$64</x:f>
        <x:v>4440</x:v>
      </x:c>
      <x:c r="AL310" s="1" t="n">
        <x:f>AD310*'損益分岐設定'!$H$58+AE310*'損益分岐設定'!$H$61+AF310*'損益分岐設定'!$H$64</x:f>
        <x:v>1456.6666666666665</x:v>
      </x:c>
      <x:c r="AM310" s="1" t="n">
        <x:f>MAX(1,ROUNDUP('損益分岐設定'!C37*AJ310/('損益分岐設定'!$B$23*'損益分岐設定'!$B$24*3600*'損益分岐設定'!$B$25),0))</x:f>
        <x:v>1</x:v>
      </x:c>
      <x:c r="AN310" s="1" t="n">
        <x:f>MAX(2,ROUNDUP('損益分岐設定'!C38*AJ310/('損益分岐設定'!$B$23*'損益分岐設定'!$B$24*3600*'損益分岐設定'!$B$25),0))</x:f>
        <x:v>2</x:v>
      </x:c>
      <x:c r="AO310" s="1" t="n">
        <x:f>MAX(2,ROUNDUP('損益分岐設定'!C39*AJ310/('損益分岐設定'!$B$23*'損益分岐設定'!$B$24*3600*'損益分岐設定'!$B$25),0))</x:f>
        <x:v>7</x:v>
      </x:c>
      <x:c r="AP310" s="1" t="n">
        <x:f>MAX(2,ROUNDUP('損益分岐設定'!C40*AJ310/('損益分岐設定'!$B$23*'損益分岐設定'!$B$24*3600*'損益分岐設定'!$B$25),0))</x:f>
        <x:v>14</x:v>
      </x:c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 ht="23" customHeight="1">
      <x:c r="A311" s="1" t="str">
        <x:v>Hybrid</x:v>
      </x:c>
      <x:c r="B311" s="1" t="str">
        <x:v>混在</x:v>
      </x:c>
      <x:c r="C311" s="1" t="str">
        <x:v>高位</x:v>
      </x:c>
      <x:c r="D311" s="21" t="n">
        <x:v>0.4</x:v>
      </x:c>
      <x:c r="E311" s="1" t="n">
        <x:v>0</x:v>
      </x:c>
      <x:c r="F311" s="7" t="n">
        <x:f>AD311*'損益分岐設定'!$B$5+AE311*'損益分岐設定'!$B$6+AF311*'損益分岐設定'!$B$7</x:f>
        <x:v>4600</x:v>
      </x:c>
      <x:c r="G311" s="7" t="n">
        <x:f>AG311+(AH311+AI311)*('損益分岐設定'!$B$29+0.5*'損益分岐設定'!$B$30)+AK311*'損益分岐設定'!$B$33</x:f>
        <x:v>9179.133369915167</x:v>
      </x:c>
      <x:c r="H311" s="7" t="n">
        <x:f>AL311*E311</x:f>
        <x:v>0</x:v>
      </x:c>
      <x:c r="I311" s="7" t="n">
        <x:f>F311*(1-D311-'損益分岐設定'!$B$10)-G311-H311</x:f>
        <x:v>-6584.733369915168</x:v>
      </x:c>
      <x:c r="J311" s="1" t="str">
        <x:f>IF(MIN(V311:Y311)&gt;1000,"範囲内なし",MIN(V311:Y311))</x:f>
        <x:v>範囲内なし</x:v>
      </x:c>
      <x:c r="K311" s="1" t="str">
        <x:f>IF(MAX(Z311:AC311)&gt;=1000,"範囲内なし",MAX(1,MAX(Z311:AC311)+1))</x:f>
        <x:v>範囲内なし</x:v>
      </x:c>
      <x:c r="L311" s="7" t="n">
        <x:f>10*I311-R311</x:f>
        <x:v>-101287.13038945699</x:v>
      </x:c>
      <x:c r="M311" s="7" t="n">
        <x:f>30*I311-S311</x:f>
        <x:v>-247921.59447806567</x:v>
      </x:c>
      <x:c r="N311" s="7" t="n">
        <x:f>50*I311-S311</x:f>
        <x:v>-379616.261876369</x:v>
      </x:c>
      <x:c r="O311" s="7" t="n">
        <x:f>100*I311-S311</x:f>
        <x:v>-708852.9303721273</x:v>
      </x:c>
      <x:c r="P311" s="7" t="n">
        <x:f>300*I311-T311</x:f>
        <x:v>-2099998.5878066877</x:v>
      </x:c>
      <x:c r="Q311" s="7" t="n">
        <x:f>1000*I311-U311</x:f>
        <x:v>-6812390.523579442</x:v>
      </x:c>
      <x:c r="R311" s="7" t="n">
        <x:f>'損益分岐設定'!$B$18+'損益分岐設定'!$B$19+'損益分岐設定'!$B$20+'損益分岐設定'!E37+'損益分岐設定'!D37+AM311*('損益分岐設定'!$B$15+'損益分岐設定'!$B$16)+'損益分岐設定'!$B$17+E311*('損益分岐設定'!$B$13+(AM311-1)*'損益分岐設定'!$B$14)*'損益分岐設定'!$B$11</x:f>
        <x:v>35439.79669030532</x:v>
      </x:c>
      <x:c r="S311" s="7" t="n">
        <x:f>'損益分岐設定'!$B$18+'損益分岐設定'!$B$19+'損益分岐設定'!$B$20+'損益分岐設定'!E38+'損益分岐設定'!D38+AN311*('損益分岐設定'!$B$15+'損益分岐設定'!$B$16)+'損益分岐設定'!$B$17+E311*('損益分岐設定'!$B$13+(AN311-1)*'損益分岐設定'!$B$14)*'損益分岐設定'!$B$11</x:f>
        <x:v>50379.59338061063</x:v>
      </x:c>
      <x:c r="T311" s="7" t="n">
        <x:f>'損益分岐設定'!$B$18+'損益分岐設定'!$B$19+'損益分岐設定'!$B$20+'損益分岐設定'!E39+'損益分岐設定'!D39+AO311*('損益分岐設定'!$B$15+'損益分岐設定'!$B$16)+'損益分岐設定'!$B$17+E311*('損益分岐設定'!$B$13+(AO311-1)*'損益分岐設定'!$B$14)*'損益分岐設定'!$B$11</x:f>
        <x:v>124578.57683213723</x:v>
      </x:c>
      <x:c r="U311" s="7" t="n">
        <x:f>'損益分岐設定'!$B$18+'損益分岐設定'!$B$19+'損益分岐設定'!$B$20+'損益分岐設定'!E40+'損益分岐設定'!D40+AP311*('損益分岐設定'!$B$15+'損益分岐設定'!$B$16)+'損益分岐設定'!$B$17+E311*('損益分岐設定'!$B$13+(AP311-1)*'損益分岐設定'!$B$14)*'損益分岐設定'!$B$11</x:f>
        <x:v>227657.15366427446</x:v>
      </x:c>
      <x:c r="V311" s="1" t="n">
        <x:f>IF(I311&lt;=0,1001,IF(MAX('損益分岐設定'!B37,ROUNDUP(R311/I311,0))&lt;='損益分岐設定'!C37,MAX('損益分岐設定'!B37,ROUNDUP(R311/I311,0)),1001))</x:f>
        <x:v>1001</x:v>
      </x:c>
      <x:c r="W311" s="1" t="n">
        <x:f>IF(I311&lt;=0,1001,IF(MAX('損益分岐設定'!B38,ROUNDUP(S311/I311,0))&lt;='損益分岐設定'!C38,MAX('損益分岐設定'!B38,ROUNDUP(S311/I311,0)),1001))</x:f>
        <x:v>1001</x:v>
      </x:c>
      <x:c r="X311" s="1" t="n">
        <x:f>IF(I311&lt;=0,1001,IF(MAX('損益分岐設定'!B39,ROUNDUP(T311/I311,0))&lt;='損益分岐設定'!C39,MAX('損益分岐設定'!B39,ROUNDUP(T311/I311,0)),1001))</x:f>
        <x:v>1001</x:v>
      </x:c>
      <x:c r="Y311" s="1" t="n">
        <x:f>IF(I311&lt;=0,1001,IF(MAX('損益分岐設定'!B40,ROUNDUP(U311/I311,0))&lt;='損益分岐設定'!C40,MAX('損益分岐設定'!B40,ROUNDUP(U311/I311,0)),1001))</x:f>
        <x:v>1001</x:v>
      </x:c>
      <x:c r="Z311" s="1" t="n">
        <x:f>IF(I311&lt;=0,'損益分岐設定'!C37,IF('損益分岐設定'!C37*I311-R311&lt;0,'損益分岐設定'!C37,IF('損益分岐設定'!B37*I311-R311&gt;=0,0,ROUNDUP(R311/I311,0)-1)))</x:f>
        <x:v>10</x:v>
      </x:c>
      <x:c r="AA311" s="1" t="n">
        <x:f>IF(I311&lt;=0,'損益分岐設定'!C38,IF('損益分岐設定'!C38*I311-S311&lt;0,'損益分岐設定'!C38,IF('損益分岐設定'!B38*I311-S311&gt;=0,0,ROUNDUP(S311/I311,0)-1)))</x:f>
        <x:v>100</x:v>
      </x:c>
      <x:c r="AB311" s="1" t="n">
        <x:f>IF(I311&lt;=0,'損益分岐設定'!C39,IF('損益分岐設定'!C39*I311-T311&lt;0,'損益分岐設定'!C39,IF('損益分岐設定'!B39*I311-T311&gt;=0,0,ROUNDUP(T311/I311,0)-1)))</x:f>
        <x:v>500</x:v>
      </x:c>
      <x:c r="AC311" s="1" t="n">
        <x:f>IF(I311&lt;=0,'損益分岐設定'!C40,IF('損益分岐設定'!C40*I311-U311&lt;0,'損益分岐設定'!C40,IF('損益分岐設定'!B40*I311-U311&gt;=0,0,ROUNDUP(U311/I311,0)-1)))</x:f>
        <x:v>1000</x:v>
      </x:c>
      <x:c r="AD311" s="1" t="n">
        <x:f>'損益分岐設定'!$D$5/SUM('損益分岐設定'!$D$5:$D$7)</x:f>
        <x:v>0.5</x:v>
      </x:c>
      <x:c r="AE311" s="1" t="n">
        <x:f>'損益分岐設定'!$D$6/SUM('損益分岐設定'!$D$5:$D$7)</x:f>
        <x:v>0.3</x:v>
      </x:c>
      <x:c r="AF311" s="1" t="n">
        <x:f>'損益分岐設定'!$D$7/SUM('損益分岐設定'!$D$5:$D$7)</x:f>
        <x:v>0.2</x:v>
      </x:c>
      <x:c r="AG311" s="1" t="n">
        <x:f>AD311*'損益分岐設定'!$C$58+AE311*'損益分岐設定'!$C$61+AF311*'損益分岐設定'!$C$64</x:f>
        <x:v>9174.852856689453</x:v>
      </x:c>
      <x:c r="AH311" s="1" t="n">
        <x:f>AD311*'損益分岐設定'!$D$58+AE311*'損益分岐設定'!$D$61+AF311*'損益分岐設定'!$D$64</x:f>
        <x:v>444</x:v>
      </x:c>
      <x:c r="AI311" s="1" t="n">
        <x:f>AD311*'損益分岐設定'!$E$58+AE311*'損益分岐設定'!$E$61+AF311*'損益分岐設定'!$E$64</x:f>
        <x:v>592</x:v>
      </x:c>
      <x:c r="AJ311" s="1" t="n">
        <x:f>(AD311*'損益分岐設定'!$F$58+AE311*'損益分岐設定'!$F$61+AF311*'損益分岐設定'!$F$64*1)*'損益分岐設定'!$B$22</x:f>
        <x:v>6660</x:v>
      </x:c>
      <x:c r="AK311" s="1" t="n">
        <x:f>AD311*'損益分岐設定'!$G$58+AE311*'損益分岐設定'!$G$61+AF311*'損益分岐設定'!$G$64</x:f>
        <x:v>4440</x:v>
      </x:c>
      <x:c r="AL311" s="1" t="n">
        <x:f>AD311*'損益分岐設定'!$H$58+AE311*'損益分岐設定'!$H$61+AF311*'損益分岐設定'!$H$64</x:f>
        <x:v>1456.6666666666665</x:v>
      </x:c>
      <x:c r="AM311" s="1" t="n">
        <x:f>MAX(1,ROUNDUP('損益分岐設定'!C37*AJ311/('損益分岐設定'!$B$23*'損益分岐設定'!$B$24*3600*'損益分岐設定'!$B$25),0))</x:f>
        <x:v>1</x:v>
      </x:c>
      <x:c r="AN311" s="1" t="n">
        <x:f>MAX(2,ROUNDUP('損益分岐設定'!C38*AJ311/('損益分岐設定'!$B$23*'損益分岐設定'!$B$24*3600*'損益分岐設定'!$B$25),0))</x:f>
        <x:v>2</x:v>
      </x:c>
      <x:c r="AO311" s="1" t="n">
        <x:f>MAX(2,ROUNDUP('損益分岐設定'!C39*AJ311/('損益分岐設定'!$B$23*'損益分岐設定'!$B$24*3600*'損益分岐設定'!$B$25),0))</x:f>
        <x:v>7</x:v>
      </x:c>
      <x:c r="AP311" s="1" t="n">
        <x:f>MAX(2,ROUNDUP('損益分岐設定'!C40*AJ311/('損益分岐設定'!$B$23*'損益分岐設定'!$B$24*3600*'損益分岐設定'!$B$25),0))</x:f>
        <x:v>14</x:v>
      </x:c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 ht="23" customHeight="1">
      <x:c r="A312" s="1" t="str">
        <x:v>Hybrid</x:v>
      </x:c>
      <x:c r="B312" s="1" t="str">
        <x:v>混在</x:v>
      </x:c>
      <x:c r="C312" s="1" t="str">
        <x:v>高位</x:v>
      </x:c>
      <x:c r="D312" s="21" t="n">
        <x:v>0.4</x:v>
      </x:c>
      <x:c r="E312" s="1" t="n">
        <x:v>1</x:v>
      </x:c>
      <x:c r="F312" s="7" t="n">
        <x:f>AD312*'損益分岐設定'!$B$5+AE312*'損益分岐設定'!$B$6+AF312*'損益分岐設定'!$B$7</x:f>
        <x:v>4600</x:v>
      </x:c>
      <x:c r="G312" s="7" t="n">
        <x:f>AG312+(AH312+AI312)*('損益分岐設定'!$B$29+0.5*'損益分岐設定'!$B$30)+AK312*'損益分岐設定'!$B$33</x:f>
        <x:v>9179.133369915167</x:v>
      </x:c>
      <x:c r="H312" s="7" t="n">
        <x:f>AL312*E312</x:f>
        <x:v>1456.6666666666665</x:v>
      </x:c>
      <x:c r="I312" s="7" t="n">
        <x:f>F312*(1-D312-'損益分岐設定'!$B$10)-G312-H312</x:f>
        <x:v>-8041.400036581834</x:v>
      </x:c>
      <x:c r="J312" s="1" t="str">
        <x:f>IF(MIN(V312:Y312)&gt;1000,"範囲内なし",MIN(V312:Y312))</x:f>
        <x:v>範囲内なし</x:v>
      </x:c>
      <x:c r="K312" s="1" t="str">
        <x:f>IF(MAX(Z312:AC312)&gt;=1000,"範囲内なし",MAX(1,MAX(Z312:AC312)+1))</x:f>
        <x:v>範囲内なし</x:v>
      </x:c>
      <x:c r="L312" s="7" t="n">
        <x:f>10*I312-R312</x:f>
        <x:v>-131853.79705612367</x:v>
      </x:c>
      <x:c r="M312" s="7" t="n">
        <x:f>30*I312-S312</x:f>
        <x:v>-309621.5944780656</x:v>
      </x:c>
      <x:c r="N312" s="7" t="n">
        <x:f>50*I312-S312</x:f>
        <x:v>-470449.5952097023</x:v>
      </x:c>
      <x:c r="O312" s="7" t="n">
        <x:f>100*I312-S312</x:f>
        <x:v>-872519.5970387941</x:v>
      </x:c>
      <x:c r="P312" s="7" t="n">
        <x:f>300*I312-T312</x:f>
        <x:v>-2564998.587806687</x:v>
      </x:c>
      <x:c r="Q312" s="7" t="n">
        <x:f>1000*I312-U312</x:f>
        <x:v>-8311057.190246108</x:v>
      </x:c>
      <x:c r="R312" s="7" t="n">
        <x:f>'損益分岐設定'!$B$18+'損益分岐設定'!$B$19+'損益分岐設定'!$B$20+'損益分岐設定'!E37+'損益分岐設定'!D37+AM312*('損益分岐設定'!$B$15+'損益分岐設定'!$B$16)+'損益分岐設定'!$B$17+E312*('損益分岐設定'!$B$13+(AM312-1)*'損益分岐設定'!$B$14)*'損益分岐設定'!$B$11</x:f>
        <x:v>51439.79669030532</x:v>
      </x:c>
      <x:c r="S312" s="7" t="n">
        <x:f>'損益分岐設定'!$B$18+'損益分岐設定'!$B$19+'損益分岐設定'!$B$20+'損益分岐設定'!E38+'損益分岐設定'!D38+AN312*('損益分岐設定'!$B$15+'損益分岐設定'!$B$16)+'損益分岐設定'!$B$17+E312*('損益分岐設定'!$B$13+(AN312-1)*'損益分岐設定'!$B$14)*'損益分岐設定'!$B$11</x:f>
        <x:v>68379.59338061063</x:v>
      </x:c>
      <x:c r="T312" s="7" t="n">
        <x:f>'損益分岐設定'!$B$18+'損益分岐設定'!$B$19+'損益分岐設定'!$B$20+'損益分岐設定'!E39+'損益分岐設定'!D39+AO312*('損益分岐設定'!$B$15+'損益分岐設定'!$B$16)+'損益分岐設定'!$B$17+E312*('損益分岐設定'!$B$13+(AO312-1)*'損益分岐設定'!$B$14)*'損益分岐設定'!$B$11</x:f>
        <x:v>152578.57683213725</x:v>
      </x:c>
      <x:c r="U312" s="7" t="n">
        <x:f>'損益分岐設定'!$B$18+'損益分岐設定'!$B$19+'損益分岐設定'!$B$20+'損益分岐設定'!E40+'損益分岐設定'!D40+AP312*('損益分岐設定'!$B$15+'損益分岐設定'!$B$16)+'損益分岐設定'!$B$17+E312*('損益分岐設定'!$B$13+(AP312-1)*'損益分岐設定'!$B$14)*'損益分岐設定'!$B$11</x:f>
        <x:v>269657.1536642745</x:v>
      </x:c>
      <x:c r="V312" s="1" t="n">
        <x:f>IF(I312&lt;=0,1001,IF(MAX('損益分岐設定'!B37,ROUNDUP(R312/I312,0))&lt;='損益分岐設定'!C37,MAX('損益分岐設定'!B37,ROUNDUP(R312/I312,0)),1001))</x:f>
        <x:v>1001</x:v>
      </x:c>
      <x:c r="W312" s="1" t="n">
        <x:f>IF(I312&lt;=0,1001,IF(MAX('損益分岐設定'!B38,ROUNDUP(S312/I312,0))&lt;='損益分岐設定'!C38,MAX('損益分岐設定'!B38,ROUNDUP(S312/I312,0)),1001))</x:f>
        <x:v>1001</x:v>
      </x:c>
      <x:c r="X312" s="1" t="n">
        <x:f>IF(I312&lt;=0,1001,IF(MAX('損益分岐設定'!B39,ROUNDUP(T312/I312,0))&lt;='損益分岐設定'!C39,MAX('損益分岐設定'!B39,ROUNDUP(T312/I312,0)),1001))</x:f>
        <x:v>1001</x:v>
      </x:c>
      <x:c r="Y312" s="1" t="n">
        <x:f>IF(I312&lt;=0,1001,IF(MAX('損益分岐設定'!B40,ROUNDUP(U312/I312,0))&lt;='損益分岐設定'!C40,MAX('損益分岐設定'!B40,ROUNDUP(U312/I312,0)),1001))</x:f>
        <x:v>1001</x:v>
      </x:c>
      <x:c r="Z312" s="1" t="n">
        <x:f>IF(I312&lt;=0,'損益分岐設定'!C37,IF('損益分岐設定'!C37*I312-R312&lt;0,'損益分岐設定'!C37,IF('損益分岐設定'!B37*I312-R312&gt;=0,0,ROUNDUP(R312/I312,0)-1)))</x:f>
        <x:v>10</x:v>
      </x:c>
      <x:c r="AA312" s="1" t="n">
        <x:f>IF(I312&lt;=0,'損益分岐設定'!C38,IF('損益分岐設定'!C38*I312-S312&lt;0,'損益分岐設定'!C38,IF('損益分岐設定'!B38*I312-S312&gt;=0,0,ROUNDUP(S312/I312,0)-1)))</x:f>
        <x:v>100</x:v>
      </x:c>
      <x:c r="AB312" s="1" t="n">
        <x:f>IF(I312&lt;=0,'損益分岐設定'!C39,IF('損益分岐設定'!C39*I312-T312&lt;0,'損益分岐設定'!C39,IF('損益分岐設定'!B39*I312-T312&gt;=0,0,ROUNDUP(T312/I312,0)-1)))</x:f>
        <x:v>500</x:v>
      </x:c>
      <x:c r="AC312" s="1" t="n">
        <x:f>IF(I312&lt;=0,'損益分岐設定'!C40,IF('損益分岐設定'!C40*I312-U312&lt;0,'損益分岐設定'!C40,IF('損益分岐設定'!B40*I312-U312&gt;=0,0,ROUNDUP(U312/I312,0)-1)))</x:f>
        <x:v>1000</x:v>
      </x:c>
      <x:c r="AD312" s="1" t="n">
        <x:f>'損益分岐設定'!$D$5/SUM('損益分岐設定'!$D$5:$D$7)</x:f>
        <x:v>0.5</x:v>
      </x:c>
      <x:c r="AE312" s="1" t="n">
        <x:f>'損益分岐設定'!$D$6/SUM('損益分岐設定'!$D$5:$D$7)</x:f>
        <x:v>0.3</x:v>
      </x:c>
      <x:c r="AF312" s="1" t="n">
        <x:f>'損益分岐設定'!$D$7/SUM('損益分岐設定'!$D$5:$D$7)</x:f>
        <x:v>0.2</x:v>
      </x:c>
      <x:c r="AG312" s="1" t="n">
        <x:f>AD312*'損益分岐設定'!$C$58+AE312*'損益分岐設定'!$C$61+AF312*'損益分岐設定'!$C$64</x:f>
        <x:v>9174.852856689453</x:v>
      </x:c>
      <x:c r="AH312" s="1" t="n">
        <x:f>AD312*'損益分岐設定'!$D$58+AE312*'損益分岐設定'!$D$61+AF312*'損益分岐設定'!$D$64</x:f>
        <x:v>444</x:v>
      </x:c>
      <x:c r="AI312" s="1" t="n">
        <x:f>AD312*'損益分岐設定'!$E$58+AE312*'損益分岐設定'!$E$61+AF312*'損益分岐設定'!$E$64</x:f>
        <x:v>592</x:v>
      </x:c>
      <x:c r="AJ312" s="1" t="n">
        <x:f>(AD312*'損益分岐設定'!$F$58+AE312*'損益分岐設定'!$F$61+AF312*'損益分岐設定'!$F$64*1)*'損益分岐設定'!$B$22</x:f>
        <x:v>6660</x:v>
      </x:c>
      <x:c r="AK312" s="1" t="n">
        <x:f>AD312*'損益分岐設定'!$G$58+AE312*'損益分岐設定'!$G$61+AF312*'損益分岐設定'!$G$64</x:f>
        <x:v>4440</x:v>
      </x:c>
      <x:c r="AL312" s="1" t="n">
        <x:f>AD312*'損益分岐設定'!$H$58+AE312*'損益分岐設定'!$H$61+AF312*'損益分岐設定'!$H$64</x:f>
        <x:v>1456.6666666666665</x:v>
      </x:c>
      <x:c r="AM312" s="1" t="n">
        <x:f>MAX(1,ROUNDUP('損益分岐設定'!C37*AJ312/('損益分岐設定'!$B$23*'損益分岐設定'!$B$24*3600*'損益分岐設定'!$B$25),0))</x:f>
        <x:v>1</x:v>
      </x:c>
      <x:c r="AN312" s="1" t="n">
        <x:f>MAX(2,ROUNDUP('損益分岐設定'!C38*AJ312/('損益分岐設定'!$B$23*'損益分岐設定'!$B$24*3600*'損益分岐設定'!$B$25),0))</x:f>
        <x:v>2</x:v>
      </x:c>
      <x:c r="AO312" s="1" t="n">
        <x:f>MAX(2,ROUNDUP('損益分岐設定'!C39*AJ312/('損益分岐設定'!$B$23*'損益分岐設定'!$B$24*3600*'損益分岐設定'!$B$25),0))</x:f>
        <x:v>7</x:v>
      </x:c>
      <x:c r="AP312" s="1" t="n">
        <x:f>MAX(2,ROUNDUP('損益分岐設定'!C40*AJ312/('損益分岐設定'!$B$23*'損益分岐設定'!$B$24*3600*'損益分岐設定'!$B$25),0))</x:f>
        <x:v>14</x:v>
      </x:c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 ht="23" customHeight="1">
      <x:c r="A313" s="1" t="str">
        <x:v>Hybrid</x:v>
      </x:c>
      <x:c r="B313" s="1" t="str">
        <x:v>混在</x:v>
      </x:c>
      <x:c r="C313" s="1" t="str">
        <x:v>高位</x:v>
      </x:c>
      <x:c r="D313" s="21" t="n">
        <x:v>0.5</x:v>
      </x:c>
      <x:c r="E313" s="1" t="n">
        <x:v>0</x:v>
      </x:c>
      <x:c r="F313" s="7" t="n">
        <x:f>AD313*'損益分岐設定'!$B$5+AE313*'損益分岐設定'!$B$6+AF313*'損益分岐設定'!$B$7</x:f>
        <x:v>4600</x:v>
      </x:c>
      <x:c r="G313" s="7" t="n">
        <x:f>AG313+(AH313+AI313)*('損益分岐設定'!$B$29+0.5*'損益分岐設定'!$B$30)+AK313*'損益分岐設定'!$B$33</x:f>
        <x:v>9179.133369915167</x:v>
      </x:c>
      <x:c r="H313" s="7" t="n">
        <x:f>AL313*E313</x:f>
        <x:v>0</x:v>
      </x:c>
      <x:c r="I313" s="7" t="n">
        <x:f>F313*(1-D313-'損益分岐設定'!$B$10)-G313-H313</x:f>
        <x:v>-7044.733369915168</x:v>
      </x:c>
      <x:c r="J313" s="1" t="str">
        <x:f>IF(MIN(V313:Y313)&gt;1000,"範囲内なし",MIN(V313:Y313))</x:f>
        <x:v>範囲内なし</x:v>
      </x:c>
      <x:c r="K313" s="1" t="str">
        <x:f>IF(MAX(Z313:AC313)&gt;=1000,"範囲内なし",MAX(1,MAX(Z313:AC313)+1))</x:f>
        <x:v>範囲内なし</x:v>
      </x:c>
      <x:c r="L313" s="7" t="n">
        <x:f>10*I313-R313</x:f>
        <x:v>-105887.13038945699</x:v>
      </x:c>
      <x:c r="M313" s="7" t="n">
        <x:f>30*I313-S313</x:f>
        <x:v>-261721.59447806567</x:v>
      </x:c>
      <x:c r="N313" s="7" t="n">
        <x:f>50*I313-S313</x:f>
        <x:v>-402616.261876369</x:v>
      </x:c>
      <x:c r="O313" s="7" t="n">
        <x:f>100*I313-S313</x:f>
        <x:v>-754852.9303721273</x:v>
      </x:c>
      <x:c r="P313" s="7" t="n">
        <x:f>300*I313-T313</x:f>
        <x:v>-2237998.587806687</x:v>
      </x:c>
      <x:c r="Q313" s="7" t="n">
        <x:f>1000*I313-U313</x:f>
        <x:v>-7272390.523579442</x:v>
      </x:c>
      <x:c r="R313" s="7" t="n">
        <x:f>'損益分岐設定'!$B$18+'損益分岐設定'!$B$19+'損益分岐設定'!$B$20+'損益分岐設定'!E37+'損益分岐設定'!D37+AM313*('損益分岐設定'!$B$15+'損益分岐設定'!$B$16)+'損益分岐設定'!$B$17+E313*('損益分岐設定'!$B$13+(AM313-1)*'損益分岐設定'!$B$14)*'損益分岐設定'!$B$11</x:f>
        <x:v>35439.79669030532</x:v>
      </x:c>
      <x:c r="S313" s="7" t="n">
        <x:f>'損益分岐設定'!$B$18+'損益分岐設定'!$B$19+'損益分岐設定'!$B$20+'損益分岐設定'!E38+'損益分岐設定'!D38+AN313*('損益分岐設定'!$B$15+'損益分岐設定'!$B$16)+'損益分岐設定'!$B$17+E313*('損益分岐設定'!$B$13+(AN313-1)*'損益分岐設定'!$B$14)*'損益分岐設定'!$B$11</x:f>
        <x:v>50379.59338061063</x:v>
      </x:c>
      <x:c r="T313" s="7" t="n">
        <x:f>'損益分岐設定'!$B$18+'損益分岐設定'!$B$19+'損益分岐設定'!$B$20+'損益分岐設定'!E39+'損益分岐設定'!D39+AO313*('損益分岐設定'!$B$15+'損益分岐設定'!$B$16)+'損益分岐設定'!$B$17+E313*('損益分岐設定'!$B$13+(AO313-1)*'損益分岐設定'!$B$14)*'損益分岐設定'!$B$11</x:f>
        <x:v>124578.57683213723</x:v>
      </x:c>
      <x:c r="U313" s="7" t="n">
        <x:f>'損益分岐設定'!$B$18+'損益分岐設定'!$B$19+'損益分岐設定'!$B$20+'損益分岐設定'!E40+'損益分岐設定'!D40+AP313*('損益分岐設定'!$B$15+'損益分岐設定'!$B$16)+'損益分岐設定'!$B$17+E313*('損益分岐設定'!$B$13+(AP313-1)*'損益分岐設定'!$B$14)*'損益分岐設定'!$B$11</x:f>
        <x:v>227657.15366427446</x:v>
      </x:c>
      <x:c r="V313" s="1" t="n">
        <x:f>IF(I313&lt;=0,1001,IF(MAX('損益分岐設定'!B37,ROUNDUP(R313/I313,0))&lt;='損益分岐設定'!C37,MAX('損益分岐設定'!B37,ROUNDUP(R313/I313,0)),1001))</x:f>
        <x:v>1001</x:v>
      </x:c>
      <x:c r="W313" s="1" t="n">
        <x:f>IF(I313&lt;=0,1001,IF(MAX('損益分岐設定'!B38,ROUNDUP(S313/I313,0))&lt;='損益分岐設定'!C38,MAX('損益分岐設定'!B38,ROUNDUP(S313/I313,0)),1001))</x:f>
        <x:v>1001</x:v>
      </x:c>
      <x:c r="X313" s="1" t="n">
        <x:f>IF(I313&lt;=0,1001,IF(MAX('損益分岐設定'!B39,ROUNDUP(T313/I313,0))&lt;='損益分岐設定'!C39,MAX('損益分岐設定'!B39,ROUNDUP(T313/I313,0)),1001))</x:f>
        <x:v>1001</x:v>
      </x:c>
      <x:c r="Y313" s="1" t="n">
        <x:f>IF(I313&lt;=0,1001,IF(MAX('損益分岐設定'!B40,ROUNDUP(U313/I313,0))&lt;='損益分岐設定'!C40,MAX('損益分岐設定'!B40,ROUNDUP(U313/I313,0)),1001))</x:f>
        <x:v>1001</x:v>
      </x:c>
      <x:c r="Z313" s="1" t="n">
        <x:f>IF(I313&lt;=0,'損益分岐設定'!C37,IF('損益分岐設定'!C37*I313-R313&lt;0,'損益分岐設定'!C37,IF('損益分岐設定'!B37*I313-R313&gt;=0,0,ROUNDUP(R313/I313,0)-1)))</x:f>
        <x:v>10</x:v>
      </x:c>
      <x:c r="AA313" s="1" t="n">
        <x:f>IF(I313&lt;=0,'損益分岐設定'!C38,IF('損益分岐設定'!C38*I313-S313&lt;0,'損益分岐設定'!C38,IF('損益分岐設定'!B38*I313-S313&gt;=0,0,ROUNDUP(S313/I313,0)-1)))</x:f>
        <x:v>100</x:v>
      </x:c>
      <x:c r="AB313" s="1" t="n">
        <x:f>IF(I313&lt;=0,'損益分岐設定'!C39,IF('損益分岐設定'!C39*I313-T313&lt;0,'損益分岐設定'!C39,IF('損益分岐設定'!B39*I313-T313&gt;=0,0,ROUNDUP(T313/I313,0)-1)))</x:f>
        <x:v>500</x:v>
      </x:c>
      <x:c r="AC313" s="1" t="n">
        <x:f>IF(I313&lt;=0,'損益分岐設定'!C40,IF('損益分岐設定'!C40*I313-U313&lt;0,'損益分岐設定'!C40,IF('損益分岐設定'!B40*I313-U313&gt;=0,0,ROUNDUP(U313/I313,0)-1)))</x:f>
        <x:v>1000</x:v>
      </x:c>
      <x:c r="AD313" s="1" t="n">
        <x:f>'損益分岐設定'!$D$5/SUM('損益分岐設定'!$D$5:$D$7)</x:f>
        <x:v>0.5</x:v>
      </x:c>
      <x:c r="AE313" s="1" t="n">
        <x:f>'損益分岐設定'!$D$6/SUM('損益分岐設定'!$D$5:$D$7)</x:f>
        <x:v>0.3</x:v>
      </x:c>
      <x:c r="AF313" s="1" t="n">
        <x:f>'損益分岐設定'!$D$7/SUM('損益分岐設定'!$D$5:$D$7)</x:f>
        <x:v>0.2</x:v>
      </x:c>
      <x:c r="AG313" s="1" t="n">
        <x:f>AD313*'損益分岐設定'!$C$58+AE313*'損益分岐設定'!$C$61+AF313*'損益分岐設定'!$C$64</x:f>
        <x:v>9174.852856689453</x:v>
      </x:c>
      <x:c r="AH313" s="1" t="n">
        <x:f>AD313*'損益分岐設定'!$D$58+AE313*'損益分岐設定'!$D$61+AF313*'損益分岐設定'!$D$64</x:f>
        <x:v>444</x:v>
      </x:c>
      <x:c r="AI313" s="1" t="n">
        <x:f>AD313*'損益分岐設定'!$E$58+AE313*'損益分岐設定'!$E$61+AF313*'損益分岐設定'!$E$64</x:f>
        <x:v>592</x:v>
      </x:c>
      <x:c r="AJ313" s="1" t="n">
        <x:f>(AD313*'損益分岐設定'!$F$58+AE313*'損益分岐設定'!$F$61+AF313*'損益分岐設定'!$F$64*1)*'損益分岐設定'!$B$22</x:f>
        <x:v>6660</x:v>
      </x:c>
      <x:c r="AK313" s="1" t="n">
        <x:f>AD313*'損益分岐設定'!$G$58+AE313*'損益分岐設定'!$G$61+AF313*'損益分岐設定'!$G$64</x:f>
        <x:v>4440</x:v>
      </x:c>
      <x:c r="AL313" s="1" t="n">
        <x:f>AD313*'損益分岐設定'!$H$58+AE313*'損益分岐設定'!$H$61+AF313*'損益分岐設定'!$H$64</x:f>
        <x:v>1456.6666666666665</x:v>
      </x:c>
      <x:c r="AM313" s="1" t="n">
        <x:f>MAX(1,ROUNDUP('損益分岐設定'!C37*AJ313/('損益分岐設定'!$B$23*'損益分岐設定'!$B$24*3600*'損益分岐設定'!$B$25),0))</x:f>
        <x:v>1</x:v>
      </x:c>
      <x:c r="AN313" s="1" t="n">
        <x:f>MAX(2,ROUNDUP('損益分岐設定'!C38*AJ313/('損益分岐設定'!$B$23*'損益分岐設定'!$B$24*3600*'損益分岐設定'!$B$25),0))</x:f>
        <x:v>2</x:v>
      </x:c>
      <x:c r="AO313" s="1" t="n">
        <x:f>MAX(2,ROUNDUP('損益分岐設定'!C39*AJ313/('損益分岐設定'!$B$23*'損益分岐設定'!$B$24*3600*'損益分岐設定'!$B$25),0))</x:f>
        <x:v>7</x:v>
      </x:c>
      <x:c r="AP313" s="1" t="n">
        <x:f>MAX(2,ROUNDUP('損益分岐設定'!C40*AJ313/('損益分岐設定'!$B$23*'損益分岐設定'!$B$24*3600*'損益分岐設定'!$B$25),0))</x:f>
        <x:v>14</x:v>
      </x:c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 ht="23" customHeight="1">
      <x:c r="A314" s="1" t="str">
        <x:v>Hybrid</x:v>
      </x:c>
      <x:c r="B314" s="1" t="str">
        <x:v>混在</x:v>
      </x:c>
      <x:c r="C314" s="1" t="str">
        <x:v>高位</x:v>
      </x:c>
      <x:c r="D314" s="21" t="n">
        <x:v>0.5</x:v>
      </x:c>
      <x:c r="E314" s="1" t="n">
        <x:v>1</x:v>
      </x:c>
      <x:c r="F314" s="7" t="n">
        <x:f>AD314*'損益分岐設定'!$B$5+AE314*'損益分岐設定'!$B$6+AF314*'損益分岐設定'!$B$7</x:f>
        <x:v>4600</x:v>
      </x:c>
      <x:c r="G314" s="7" t="n">
        <x:f>AG314+(AH314+AI314)*('損益分岐設定'!$B$29+0.5*'損益分岐設定'!$B$30)+AK314*'損益分岐設定'!$B$33</x:f>
        <x:v>9179.133369915167</x:v>
      </x:c>
      <x:c r="H314" s="7" t="n">
        <x:f>AL314*E314</x:f>
        <x:v>1456.6666666666665</x:v>
      </x:c>
      <x:c r="I314" s="7" t="n">
        <x:f>F314*(1-D314-'損益分岐設定'!$B$10)-G314-H314</x:f>
        <x:v>-8501.400036581834</x:v>
      </x:c>
      <x:c r="J314" s="1" t="str">
        <x:f>IF(MIN(V314:Y314)&gt;1000,"範囲内なし",MIN(V314:Y314))</x:f>
        <x:v>範囲内なし</x:v>
      </x:c>
      <x:c r="K314" s="1" t="str">
        <x:f>IF(MAX(Z314:AC314)&gt;=1000,"範囲内なし",MAX(1,MAX(Z314:AC314)+1))</x:f>
        <x:v>範囲内なし</x:v>
      </x:c>
      <x:c r="L314" s="7" t="n">
        <x:f>10*I314-R314</x:f>
        <x:v>-136453.79705612367</x:v>
      </x:c>
      <x:c r="M314" s="7" t="n">
        <x:f>30*I314-S314</x:f>
        <x:v>-323421.5944780656</x:v>
      </x:c>
      <x:c r="N314" s="7" t="n">
        <x:f>50*I314-S314</x:f>
        <x:v>-493449.5952097023</x:v>
      </x:c>
      <x:c r="O314" s="7" t="n">
        <x:f>100*I314-S314</x:f>
        <x:v>-918519.5970387941</x:v>
      </x:c>
      <x:c r="P314" s="7" t="n">
        <x:f>300*I314-T314</x:f>
        <x:v>-2702998.587806687</x:v>
      </x:c>
      <x:c r="Q314" s="7" t="n">
        <x:f>1000*I314-U314</x:f>
        <x:v>-8771057.190246107</x:v>
      </x:c>
      <x:c r="R314" s="7" t="n">
        <x:f>'損益分岐設定'!$B$18+'損益分岐設定'!$B$19+'損益分岐設定'!$B$20+'損益分岐設定'!E37+'損益分岐設定'!D37+AM314*('損益分岐設定'!$B$15+'損益分岐設定'!$B$16)+'損益分岐設定'!$B$17+E314*('損益分岐設定'!$B$13+(AM314-1)*'損益分岐設定'!$B$14)*'損益分岐設定'!$B$11</x:f>
        <x:v>51439.79669030532</x:v>
      </x:c>
      <x:c r="S314" s="7" t="n">
        <x:f>'損益分岐設定'!$B$18+'損益分岐設定'!$B$19+'損益分岐設定'!$B$20+'損益分岐設定'!E38+'損益分岐設定'!D38+AN314*('損益分岐設定'!$B$15+'損益分岐設定'!$B$16)+'損益分岐設定'!$B$17+E314*('損益分岐設定'!$B$13+(AN314-1)*'損益分岐設定'!$B$14)*'損益分岐設定'!$B$11</x:f>
        <x:v>68379.59338061063</x:v>
      </x:c>
      <x:c r="T314" s="7" t="n">
        <x:f>'損益分岐設定'!$B$18+'損益分岐設定'!$B$19+'損益分岐設定'!$B$20+'損益分岐設定'!E39+'損益分岐設定'!D39+AO314*('損益分岐設定'!$B$15+'損益分岐設定'!$B$16)+'損益分岐設定'!$B$17+E314*('損益分岐設定'!$B$13+(AO314-1)*'損益分岐設定'!$B$14)*'損益分岐設定'!$B$11</x:f>
        <x:v>152578.57683213725</x:v>
      </x:c>
      <x:c r="U314" s="7" t="n">
        <x:f>'損益分岐設定'!$B$18+'損益分岐設定'!$B$19+'損益分岐設定'!$B$20+'損益分岐設定'!E40+'損益分岐設定'!D40+AP314*('損益分岐設定'!$B$15+'損益分岐設定'!$B$16)+'損益分岐設定'!$B$17+E314*('損益分岐設定'!$B$13+(AP314-1)*'損益分岐設定'!$B$14)*'損益分岐設定'!$B$11</x:f>
        <x:v>269657.1536642745</x:v>
      </x:c>
      <x:c r="V314" s="1" t="n">
        <x:f>IF(I314&lt;=0,1001,IF(MAX('損益分岐設定'!B37,ROUNDUP(R314/I314,0))&lt;='損益分岐設定'!C37,MAX('損益分岐設定'!B37,ROUNDUP(R314/I314,0)),1001))</x:f>
        <x:v>1001</x:v>
      </x:c>
      <x:c r="W314" s="1" t="n">
        <x:f>IF(I314&lt;=0,1001,IF(MAX('損益分岐設定'!B38,ROUNDUP(S314/I314,0))&lt;='損益分岐設定'!C38,MAX('損益分岐設定'!B38,ROUNDUP(S314/I314,0)),1001))</x:f>
        <x:v>1001</x:v>
      </x:c>
      <x:c r="X314" s="1" t="n">
        <x:f>IF(I314&lt;=0,1001,IF(MAX('損益分岐設定'!B39,ROUNDUP(T314/I314,0))&lt;='損益分岐設定'!C39,MAX('損益分岐設定'!B39,ROUNDUP(T314/I314,0)),1001))</x:f>
        <x:v>1001</x:v>
      </x:c>
      <x:c r="Y314" s="1" t="n">
        <x:f>IF(I314&lt;=0,1001,IF(MAX('損益分岐設定'!B40,ROUNDUP(U314/I314,0))&lt;='損益分岐設定'!C40,MAX('損益分岐設定'!B40,ROUNDUP(U314/I314,0)),1001))</x:f>
        <x:v>1001</x:v>
      </x:c>
      <x:c r="Z314" s="1" t="n">
        <x:f>IF(I314&lt;=0,'損益分岐設定'!C37,IF('損益分岐設定'!C37*I314-R314&lt;0,'損益分岐設定'!C37,IF('損益分岐設定'!B37*I314-R314&gt;=0,0,ROUNDUP(R314/I314,0)-1)))</x:f>
        <x:v>10</x:v>
      </x:c>
      <x:c r="AA314" s="1" t="n">
        <x:f>IF(I314&lt;=0,'損益分岐設定'!C38,IF('損益分岐設定'!C38*I314-S314&lt;0,'損益分岐設定'!C38,IF('損益分岐設定'!B38*I314-S314&gt;=0,0,ROUNDUP(S314/I314,0)-1)))</x:f>
        <x:v>100</x:v>
      </x:c>
      <x:c r="AB314" s="1" t="n">
        <x:f>IF(I314&lt;=0,'損益分岐設定'!C39,IF('損益分岐設定'!C39*I314-T314&lt;0,'損益分岐設定'!C39,IF('損益分岐設定'!B39*I314-T314&gt;=0,0,ROUNDUP(T314/I314,0)-1)))</x:f>
        <x:v>500</x:v>
      </x:c>
      <x:c r="AC314" s="1" t="n">
        <x:f>IF(I314&lt;=0,'損益分岐設定'!C40,IF('損益分岐設定'!C40*I314-U314&lt;0,'損益分岐設定'!C40,IF('損益分岐設定'!B40*I314-U314&gt;=0,0,ROUNDUP(U314/I314,0)-1)))</x:f>
        <x:v>1000</x:v>
      </x:c>
      <x:c r="AD314" s="1" t="n">
        <x:f>'損益分岐設定'!$D$5/SUM('損益分岐設定'!$D$5:$D$7)</x:f>
        <x:v>0.5</x:v>
      </x:c>
      <x:c r="AE314" s="1" t="n">
        <x:f>'損益分岐設定'!$D$6/SUM('損益分岐設定'!$D$5:$D$7)</x:f>
        <x:v>0.3</x:v>
      </x:c>
      <x:c r="AF314" s="1" t="n">
        <x:f>'損益分岐設定'!$D$7/SUM('損益分岐設定'!$D$5:$D$7)</x:f>
        <x:v>0.2</x:v>
      </x:c>
      <x:c r="AG314" s="1" t="n">
        <x:f>AD314*'損益分岐設定'!$C$58+AE314*'損益分岐設定'!$C$61+AF314*'損益分岐設定'!$C$64</x:f>
        <x:v>9174.852856689453</x:v>
      </x:c>
      <x:c r="AH314" s="1" t="n">
        <x:f>AD314*'損益分岐設定'!$D$58+AE314*'損益分岐設定'!$D$61+AF314*'損益分岐設定'!$D$64</x:f>
        <x:v>444</x:v>
      </x:c>
      <x:c r="AI314" s="1" t="n">
        <x:f>AD314*'損益分岐設定'!$E$58+AE314*'損益分岐設定'!$E$61+AF314*'損益分岐設定'!$E$64</x:f>
        <x:v>592</x:v>
      </x:c>
      <x:c r="AJ314" s="1" t="n">
        <x:f>(AD314*'損益分岐設定'!$F$58+AE314*'損益分岐設定'!$F$61+AF314*'損益分岐設定'!$F$64*1)*'損益分岐設定'!$B$22</x:f>
        <x:v>6660</x:v>
      </x:c>
      <x:c r="AK314" s="1" t="n">
        <x:f>AD314*'損益分岐設定'!$G$58+AE314*'損益分岐設定'!$G$61+AF314*'損益分岐設定'!$G$64</x:f>
        <x:v>4440</x:v>
      </x:c>
      <x:c r="AL314" s="1" t="n">
        <x:f>AD314*'損益分岐設定'!$H$58+AE314*'損益分岐設定'!$H$61+AF314*'損益分岐設定'!$H$64</x:f>
        <x:v>1456.6666666666665</x:v>
      </x:c>
      <x:c r="AM314" s="1" t="n">
        <x:f>MAX(1,ROUNDUP('損益分岐設定'!C37*AJ314/('損益分岐設定'!$B$23*'損益分岐設定'!$B$24*3600*'損益分岐設定'!$B$25),0))</x:f>
        <x:v>1</x:v>
      </x:c>
      <x:c r="AN314" s="1" t="n">
        <x:f>MAX(2,ROUNDUP('損益分岐設定'!C38*AJ314/('損益分岐設定'!$B$23*'損益分岐設定'!$B$24*3600*'損益分岐設定'!$B$25),0))</x:f>
        <x:v>2</x:v>
      </x:c>
      <x:c r="AO314" s="1" t="n">
        <x:f>MAX(2,ROUNDUP('損益分岐設定'!C39*AJ314/('損益分岐設定'!$B$23*'損益分岐設定'!$B$24*3600*'損益分岐設定'!$B$25),0))</x:f>
        <x:v>7</x:v>
      </x:c>
      <x:c r="AP314" s="1" t="n">
        <x:f>MAX(2,ROUNDUP('損益分岐設定'!C40*AJ314/('損益分岐設定'!$B$23*'損益分岐設定'!$B$24*3600*'損益分岐設定'!$B$25),0))</x:f>
        <x:v>14</x:v>
      </x:c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 ht="23" customHeight="1">
      <x:c r="A315" s="1" t="str">
        <x:v>Hybrid</x:v>
      </x:c>
      <x:c r="B315" s="1" t="str">
        <x:v>混在</x:v>
      </x:c>
      <x:c r="C315" s="1" t="str">
        <x:v>標準+高位混在</x:v>
      </x:c>
      <x:c r="D315" s="21" t="n">
        <x:v>0</x:v>
      </x:c>
      <x:c r="E315" s="1" t="n">
        <x:v>0</x:v>
      </x:c>
      <x:c r="F315" s="7" t="n">
        <x:f>AD315*'損益分岐設定'!$B$5+AE315*'損益分岐設定'!$B$6+AF315*'損益分岐設定'!$B$7</x:f>
        <x:v>4600</x:v>
      </x:c>
      <x:c r="G315" s="7" t="n">
        <x:f>AG315+(AH315+AI315)*('損益分岐設定'!$B$29+0.5*'損益分岐設定'!$B$30)+AK315*'損益分岐設定'!$B$33</x:f>
        <x:v>2166.3311697694553</x:v>
      </x:c>
      <x:c r="H315" s="7" t="n">
        <x:f>AL315*E315</x:f>
        <x:v>0</x:v>
      </x:c>
      <x:c r="I315" s="7" t="n">
        <x:f>F315*(1-D315-'損益分岐設定'!$B$10)-G315-H315</x:f>
        <x:v>2268.0688302305443</x:v>
      </x:c>
      <x:c r="J315" s="1" t="n">
        <x:f>IF(MIN(V315:Y315)&gt;1000,"範囲内なし",MIN(V315:Y315))</x:f>
        <x:v>23</x:v>
      </x:c>
      <x:c r="K315" s="1" t="n">
        <x:f>IF(MAX(Z315:AC315)&gt;=1000,"範囲内なし",MAX(1,MAX(Z315:AC315)+1))</x:f>
        <x:v>23</x:v>
      </x:c>
      <x:c r="L315" s="7" t="n">
        <x:f>10*I315-R315</x:f>
        <x:v>-12759.108387999873</x:v>
      </x:c>
      <x:c r="M315" s="7" t="n">
        <x:f>30*I315-S315</x:f>
        <x:v>17662.4715263057</x:v>
      </x:c>
      <x:c r="N315" s="7" t="n">
        <x:f>50*I315-S315</x:f>
        <x:v>63023.84813091658</x:v>
      </x:c>
      <x:c r="O315" s="7" t="n">
        <x:f>100*I315-S315</x:f>
        <x:v>176427.2896424438</x:v>
      </x:c>
      <x:c r="P315" s="7" t="n">
        <x:f>300*I315-T315</x:f>
        <x:v>608041.0556885526</x:v>
      </x:c>
      <x:c r="Q315" s="7" t="n">
        <x:f>1000*I315-U315</x:f>
        <x:v>2144809.643469323</x:v>
      </x:c>
      <x:c r="R315" s="7" t="n">
        <x:f>'損益分岐設定'!$B$18+'損益分岐設定'!$B$19+'損益分岐設定'!$B$20+'損益分岐設定'!E37+'損益分岐設定'!D37+AM315*('損益分岐設定'!$B$15+'損益分岐設定'!$B$16)+'損益分岐設定'!$B$17+E315*('損益分岐設定'!$B$13+(AM315-1)*'損益分岐設定'!$B$14)*'損益分岐設定'!$B$11</x:f>
        <x:v>35439.79669030532</x:v>
      </x:c>
      <x:c r="S315" s="7" t="n">
        <x:f>'損益分岐設定'!$B$18+'損益分岐設定'!$B$19+'損益分岐設定'!$B$20+'損益分岐設定'!E38+'損益分岐設定'!D38+AN315*('損益分岐設定'!$B$15+'損益分岐設定'!$B$16)+'損益分岐設定'!$B$17+E315*('損益分岐設定'!$B$13+(AN315-1)*'損益分岐設定'!$B$14)*'損益分岐設定'!$B$11</x:f>
        <x:v>50379.59338061063</x:v>
      </x:c>
      <x:c r="T315" s="7" t="n">
        <x:f>'損益分岐設定'!$B$18+'損益分岐設定'!$B$19+'損益分岐設定'!$B$20+'損益分岐設定'!E39+'損益分岐設定'!D39+AO315*('損益分岐設定'!$B$15+'損益分岐設定'!$B$16)+'損益分岐設定'!$B$17+E315*('損益分岐設定'!$B$13+(AO315-1)*'損益分岐設定'!$B$14)*'損益分岐設定'!$B$11</x:f>
        <x:v>72379.59338061063</x:v>
      </x:c>
      <x:c r="U315" s="7" t="n">
        <x:f>'損益分岐設定'!$B$18+'損益分岐設定'!$B$19+'損益分岐設定'!$B$20+'損益分岐設定'!E40+'損益分岐設定'!D40+AP315*('損益分岐設定'!$B$15+'損益分岐設定'!$B$16)+'損益分岐設定'!$B$17+E315*('損益分岐設定'!$B$13+(AP315-1)*'損益分岐設定'!$B$14)*'損益分岐設定'!$B$11</x:f>
        <x:v>123259.18676122127</x:v>
      </x:c>
      <x:c r="V315" s="1" t="n">
        <x:f>IF(I315&lt;=0,1001,IF(MAX('損益分岐設定'!B37,ROUNDUP(R315/I315,0))&lt;='損益分岐設定'!C37,MAX('損益分岐設定'!B37,ROUNDUP(R315/I315,0)),1001))</x:f>
        <x:v>1001</x:v>
      </x:c>
      <x:c r="W315" s="1" t="n">
        <x:f>IF(I315&lt;=0,1001,IF(MAX('損益分岐設定'!B38,ROUNDUP(S315/I315,0))&lt;='損益分岐設定'!C38,MAX('損益分岐設定'!B38,ROUNDUP(S315/I315,0)),1001))</x:f>
        <x:v>23</x:v>
      </x:c>
      <x:c r="X315" s="1" t="n">
        <x:f>IF(I315&lt;=0,1001,IF(MAX('損益分岐設定'!B39,ROUNDUP(T315/I315,0))&lt;='損益分岐設定'!C39,MAX('損益分岐設定'!B39,ROUNDUP(T315/I315,0)),1001))</x:f>
        <x:v>101</x:v>
      </x:c>
      <x:c r="Y315" s="1" t="n">
        <x:f>IF(I315&lt;=0,1001,IF(MAX('損益分岐設定'!B40,ROUNDUP(U315/I315,0))&lt;='損益分岐設定'!C40,MAX('損益分岐設定'!B40,ROUNDUP(U315/I315,0)),1001))</x:f>
        <x:v>501</x:v>
      </x:c>
      <x:c r="Z315" s="1" t="n">
        <x:f>IF(I315&lt;=0,'損益分岐設定'!C37,IF('損益分岐設定'!C37*I315-R315&lt;0,'損益分岐設定'!C37,IF('損益分岐設定'!B37*I315-R315&gt;=0,0,ROUNDUP(R315/I315,0)-1)))</x:f>
        <x:v>10</x:v>
      </x:c>
      <x:c r="AA315" s="1" t="n">
        <x:f>IF(I315&lt;=0,'損益分岐設定'!C38,IF('損益分岐設定'!C38*I315-S315&lt;0,'損益分岐設定'!C38,IF('損益分岐設定'!B38*I315-S315&gt;=0,0,ROUNDUP(S315/I315,0)-1)))</x:f>
        <x:v>22</x:v>
      </x:c>
      <x:c r="AB315" s="1" t="n">
        <x:f>IF(I315&lt;=0,'損益分岐設定'!C39,IF('損益分岐設定'!C39*I315-T315&lt;0,'損益分岐設定'!C39,IF('損益分岐設定'!B39*I315-T315&gt;=0,0,ROUNDUP(T315/I315,0)-1)))</x:f>
        <x:v>0</x:v>
      </x:c>
      <x:c r="AC315" s="1" t="n">
        <x:f>IF(I315&lt;=0,'損益分岐設定'!C40,IF('損益分岐設定'!C40*I315-U315&lt;0,'損益分岐設定'!C40,IF('損益分岐設定'!B40*I315-U315&gt;=0,0,ROUNDUP(U315/I315,0)-1)))</x:f>
        <x:v>0</x:v>
      </x:c>
      <x:c r="AD315" s="1" t="n">
        <x:f>'損益分岐設定'!$D$5/SUM('損益分岐設定'!$D$5:$D$7)</x:f>
        <x:v>0.5</x:v>
      </x:c>
      <x:c r="AE315" s="1" t="n">
        <x:f>'損益分岐設定'!$D$6/SUM('損益分岐設定'!$D$5:$D$7)</x:f>
        <x:v>0.3</x:v>
      </x:c>
      <x:c r="AF315" s="1" t="n">
        <x:f>'損益分岐設定'!$D$7/SUM('損益分岐設定'!$D$5:$D$7)</x:f>
        <x:v>0.2</x:v>
      </x:c>
      <x:c r="AG315" s="1" t="n">
        <x:f>AD315*('損益分岐設定'!$C$57*(1-'損益分岐設定'!$B$51)+'損益分岐設定'!$C$58*'損益分岐設定'!$B$51)+AE315*('損益分岐設定'!$C$60*(1-'損益分岐設定'!$B$51)+'損益分岐設定'!$C$61*'損益分岐設定'!$B$51)+AF315*('損益分岐設定'!$C$63*(1-'損益分岐設定'!$B$51)+'損益分岐設定'!$C$64*'損益分岐設定'!$B$51)</x:f>
        <x:v>2164.7431551757813</x:v>
      </x:c>
      <x:c r="AH315" s="1" t="n">
        <x:f>AD315*('損益分岐設定'!$D$57*(1-'損益分岐設定'!$B$51)+'損益分岐設定'!$D$58*'損益分岐設定'!$B$51)+AE315*('損益分岐設定'!$D$60*(1-'損益分岐設定'!$B$51)+'損益分岐設定'!$D$61*'損益分岐設定'!$B$51)+AF315*('損益分岐設定'!$D$63*(1-'損益分岐設定'!$B$51)+'損益分岐設定'!$D$64*'損益分岐設定'!$B$51)</x:f>
        <x:v>177.6</x:v>
      </x:c>
      <x:c r="AI315" s="1" t="n">
        <x:f>AD315*('損益分岐設定'!$E$57*(1-'損益分岐設定'!$B$51)+'損益分岐設定'!$E$58*'損益分岐設定'!$B$51)+AE315*('損益分岐設定'!$E$60*(1-'損益分岐設定'!$B$51)+'損益分岐設定'!$E$61*'損益分岐設定'!$B$51)+AF315*('損益分岐設定'!$E$63*(1-'損益分岐設定'!$B$51)+'損益分岐設定'!$E$64*'損益分岐設定'!$B$51)</x:f>
        <x:v>207.2</x:v>
      </x:c>
      <x:c r="AJ315" s="1" t="n">
        <x:f>(AD315*('損益分岐設定'!$F$57*(1-'損益分岐設定'!$B$51)+'損益分岐設定'!$F$58*'損益分岐設定'!$B$51)+AE315*('損益分岐設定'!$F$60*(1-'損益分岐設定'!$B$51)+'損益分岐設定'!$F$61*'損益分岐設定'!$B$51)+AF315*('損益分岐設定'!$F$63*(1-'損益分岐設定'!$B$51)+'損益分岐設定'!$F$64*'損益分岐設定'!$B$51)*1)*'損益分岐設定'!$B$22</x:f>
        <x:v>1687.2</x:v>
      </x:c>
      <x:c r="AK315" s="1" t="n">
        <x:f>AD315*('損益分岐設定'!$G$57*(1-'損益分岐設定'!$B$51)+'損益分岐設定'!$G$58*'損益分岐設定'!$B$51)+AE315*('損益分岐設定'!$G$60*(1-'損益分岐設定'!$B$51)+'損益分岐設定'!$G$61*'損益分岐設定'!$B$51)+AF315*('損益分岐設定'!$G$63*(1-'損益分岐設定'!$B$51)+'損益分岐設定'!$G$64*'損益分岐設定'!$B$51)</x:f>
        <x:v>1480</x:v>
      </x:c>
      <x:c r="AL315" s="1" t="n">
        <x:f>AD315*('損益分岐設定'!$H$57*(1-'損益分岐設定'!$B$51)+'損益分岐設定'!$H$58*'損益分岐設定'!$B$51)+AE315*('損益分岐設定'!$H$60*(1-'損益分岐設定'!$B$51)+'損益分岐設定'!$H$61*'損益分岐設定'!$B$51)+AF315*('損益分岐設定'!$H$63*(1-'損益分岐設定'!$B$51)+'損益分岐設定'!$H$64*'損益分岐設定'!$B$51)</x:f>
        <x:v>816.6666666666667</x:v>
      </x:c>
      <x:c r="AM315" s="1" t="n">
        <x:f>MAX(1,ROUNDUP('損益分岐設定'!C37*AJ315/('損益分岐設定'!$B$23*'損益分岐設定'!$B$24*3600*'損益分岐設定'!$B$25),0))</x:f>
        <x:v>1</x:v>
      </x:c>
      <x:c r="AN315" s="1" t="n">
        <x:f>MAX(2,ROUNDUP('損益分岐設定'!C38*AJ315/('損益分岐設定'!$B$23*'損益分岐設定'!$B$24*3600*'損益分岐設定'!$B$25),0))</x:f>
        <x:v>2</x:v>
      </x:c>
      <x:c r="AO315" s="1" t="n">
        <x:f>MAX(2,ROUNDUP('損益分岐設定'!C39*AJ315/('損益分岐設定'!$B$23*'損益分岐設定'!$B$24*3600*'損益分岐設定'!$B$25),0))</x:f>
        <x:v>2</x:v>
      </x:c>
      <x:c r="AP315" s="1" t="n">
        <x:f>MAX(2,ROUNDUP('損益分岐設定'!C40*AJ315/('損益分岐設定'!$B$23*'損益分岐設定'!$B$24*3600*'損益分岐設定'!$B$25),0))</x:f>
        <x:v>4</x:v>
      </x:c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 ht="23" customHeight="1">
      <x:c r="A316" s="1" t="str">
        <x:v>Hybrid</x:v>
      </x:c>
      <x:c r="B316" s="1" t="str">
        <x:v>混在</x:v>
      </x:c>
      <x:c r="C316" s="1" t="str">
        <x:v>標準+高位混在</x:v>
      </x:c>
      <x:c r="D316" s="21" t="n">
        <x:v>0</x:v>
      </x:c>
      <x:c r="E316" s="1" t="n">
        <x:v>1</x:v>
      </x:c>
      <x:c r="F316" s="7" t="n">
        <x:f>AD316*'損益分岐設定'!$B$5+AE316*'損益分岐設定'!$B$6+AF316*'損益分岐設定'!$B$7</x:f>
        <x:v>4600</x:v>
      </x:c>
      <x:c r="G316" s="7" t="n">
        <x:f>AG316+(AH316+AI316)*('損益分岐設定'!$B$29+0.5*'損益分岐設定'!$B$30)+AK316*'損益分岐設定'!$B$33</x:f>
        <x:v>2166.3311697694553</x:v>
      </x:c>
      <x:c r="H316" s="7" t="n">
        <x:f>AL316*E316</x:f>
        <x:v>816.6666666666667</x:v>
      </x:c>
      <x:c r="I316" s="7" t="n">
        <x:f>F316*(1-D316-'損益分岐設定'!$B$10)-G316-H316</x:f>
        <x:v>1451.4021635638776</x:v>
      </x:c>
      <x:c r="J316" s="1" t="n">
        <x:f>IF(MIN(V316:Y316)&gt;1000,"範囲内なし",MIN(V316:Y316))</x:f>
        <x:v>48</x:v>
      </x:c>
      <x:c r="K316" s="1" t="n">
        <x:f>IF(MAX(Z316:AC316)&gt;=1000,"範囲内なし",MAX(1,MAX(Z316:AC316)+1))</x:f>
        <x:v>48</x:v>
      </x:c>
      <x:c r="L316" s="7" t="n">
        <x:f>10*I316-R316</x:f>
        <x:v>-36925.77505466654</x:v>
      </x:c>
      <x:c r="M316" s="7" t="n">
        <x:f>30*I316-S316</x:f>
        <x:v>-24837.528473694307</x:v>
      </x:c>
      <x:c r="N316" s="7" t="n">
        <x:f>50*I316-S316</x:f>
        <x:v>4190.5147975832515</x:v>
      </x:c>
      <x:c r="O316" s="7" t="n">
        <x:f>100*I316-S316</x:f>
        <x:v>76760.62297577714</x:v>
      </x:c>
      <x:c r="P316" s="7" t="n">
        <x:f>300*I316-T316</x:f>
        <x:v>345041.0556885526</x:v>
      </x:c>
      <x:c r="Q316" s="7" t="n">
        <x:f>1000*I316-U316</x:f>
        <x:v>1306142.9768026564</x:v>
      </x:c>
      <x:c r="R316" s="7" t="n">
        <x:f>'損益分岐設定'!$B$18+'損益分岐設定'!$B$19+'損益分岐設定'!$B$20+'損益分岐設定'!E37+'損益分岐設定'!D37+AM316*('損益分岐設定'!$B$15+'損益分岐設定'!$B$16)+'損益分岐設定'!$B$17+E316*('損益分岐設定'!$B$13+(AM316-1)*'損益分岐設定'!$B$14)*'損益分岐設定'!$B$11</x:f>
        <x:v>51439.79669030532</x:v>
      </x:c>
      <x:c r="S316" s="7" t="n">
        <x:f>'損益分岐設定'!$B$18+'損益分岐設定'!$B$19+'損益分岐設定'!$B$20+'損益分岐設定'!E38+'損益分岐設定'!D38+AN316*('損益分岐設定'!$B$15+'損益分岐設定'!$B$16)+'損益分岐設定'!$B$17+E316*('損益分岐設定'!$B$13+(AN316-1)*'損益分岐設定'!$B$14)*'損益分岐設定'!$B$11</x:f>
        <x:v>68379.59338061063</x:v>
      </x:c>
      <x:c r="T316" s="7" t="n">
        <x:f>'損益分岐設定'!$B$18+'損益分岐設定'!$B$19+'損益分岐設定'!$B$20+'損益分岐設定'!E39+'損益分岐設定'!D39+AO316*('損益分岐設定'!$B$15+'損益分岐設定'!$B$16)+'損益分岐設定'!$B$17+E316*('損益分岐設定'!$B$13+(AO316-1)*'損益分岐設定'!$B$14)*'損益分岐設定'!$B$11</x:f>
        <x:v>90379.59338061063</x:v>
      </x:c>
      <x:c r="U316" s="7" t="n">
        <x:f>'損益分岐設定'!$B$18+'損益分岐設定'!$B$19+'損益分岐設定'!$B$20+'損益分岐設定'!E40+'損益分岐設定'!D40+AP316*('損益分岐設定'!$B$15+'損益分岐設定'!$B$16)+'損益分岐設定'!$B$17+E316*('損益分岐設定'!$B$13+(AP316-1)*'損益分岐設定'!$B$14)*'損益分岐設定'!$B$11</x:f>
        <x:v>145259.18676122127</x:v>
      </x:c>
      <x:c r="V316" s="1" t="n">
        <x:f>IF(I316&lt;=0,1001,IF(MAX('損益分岐設定'!B37,ROUNDUP(R316/I316,0))&lt;='損益分岐設定'!C37,MAX('損益分岐設定'!B37,ROUNDUP(R316/I316,0)),1001))</x:f>
        <x:v>1001</x:v>
      </x:c>
      <x:c r="W316" s="1" t="n">
        <x:f>IF(I316&lt;=0,1001,IF(MAX('損益分岐設定'!B38,ROUNDUP(S316/I316,0))&lt;='損益分岐設定'!C38,MAX('損益分岐設定'!B38,ROUNDUP(S316/I316,0)),1001))</x:f>
        <x:v>48</x:v>
      </x:c>
      <x:c r="X316" s="1" t="n">
        <x:f>IF(I316&lt;=0,1001,IF(MAX('損益分岐設定'!B39,ROUNDUP(T316/I316,0))&lt;='損益分岐設定'!C39,MAX('損益分岐設定'!B39,ROUNDUP(T316/I316,0)),1001))</x:f>
        <x:v>101</x:v>
      </x:c>
      <x:c r="Y316" s="1" t="n">
        <x:f>IF(I316&lt;=0,1001,IF(MAX('損益分岐設定'!B40,ROUNDUP(U316/I316,0))&lt;='損益分岐設定'!C40,MAX('損益分岐設定'!B40,ROUNDUP(U316/I316,0)),1001))</x:f>
        <x:v>501</x:v>
      </x:c>
      <x:c r="Z316" s="1" t="n">
        <x:f>IF(I316&lt;=0,'損益分岐設定'!C37,IF('損益分岐設定'!C37*I316-R316&lt;0,'損益分岐設定'!C37,IF('損益分岐設定'!B37*I316-R316&gt;=0,0,ROUNDUP(R316/I316,0)-1)))</x:f>
        <x:v>10</x:v>
      </x:c>
      <x:c r="AA316" s="1" t="n">
        <x:f>IF(I316&lt;=0,'損益分岐設定'!C38,IF('損益分岐設定'!C38*I316-S316&lt;0,'損益分岐設定'!C38,IF('損益分岐設定'!B38*I316-S316&gt;=0,0,ROUNDUP(S316/I316,0)-1)))</x:f>
        <x:v>47</x:v>
      </x:c>
      <x:c r="AB316" s="1" t="n">
        <x:f>IF(I316&lt;=0,'損益分岐設定'!C39,IF('損益分岐設定'!C39*I316-T316&lt;0,'損益分岐設定'!C39,IF('損益分岐設定'!B39*I316-T316&gt;=0,0,ROUNDUP(T316/I316,0)-1)))</x:f>
        <x:v>0</x:v>
      </x:c>
      <x:c r="AC316" s="1" t="n">
        <x:f>IF(I316&lt;=0,'損益分岐設定'!C40,IF('損益分岐設定'!C40*I316-U316&lt;0,'損益分岐設定'!C40,IF('損益分岐設定'!B40*I316-U316&gt;=0,0,ROUNDUP(U316/I316,0)-1)))</x:f>
        <x:v>0</x:v>
      </x:c>
      <x:c r="AD316" s="1" t="n">
        <x:f>'損益分岐設定'!$D$5/SUM('損益分岐設定'!$D$5:$D$7)</x:f>
        <x:v>0.5</x:v>
      </x:c>
      <x:c r="AE316" s="1" t="n">
        <x:f>'損益分岐設定'!$D$6/SUM('損益分岐設定'!$D$5:$D$7)</x:f>
        <x:v>0.3</x:v>
      </x:c>
      <x:c r="AF316" s="1" t="n">
        <x:f>'損益分岐設定'!$D$7/SUM('損益分岐設定'!$D$5:$D$7)</x:f>
        <x:v>0.2</x:v>
      </x:c>
      <x:c r="AG316" s="1" t="n">
        <x:f>AD316*('損益分岐設定'!$C$57*(1-'損益分岐設定'!$B$51)+'損益分岐設定'!$C$58*'損益分岐設定'!$B$51)+AE316*('損益分岐設定'!$C$60*(1-'損益分岐設定'!$B$51)+'損益分岐設定'!$C$61*'損益分岐設定'!$B$51)+AF316*('損益分岐設定'!$C$63*(1-'損益分岐設定'!$B$51)+'損益分岐設定'!$C$64*'損益分岐設定'!$B$51)</x:f>
        <x:v>2164.7431551757813</x:v>
      </x:c>
      <x:c r="AH316" s="1" t="n">
        <x:f>AD316*('損益分岐設定'!$D$57*(1-'損益分岐設定'!$B$51)+'損益分岐設定'!$D$58*'損益分岐設定'!$B$51)+AE316*('損益分岐設定'!$D$60*(1-'損益分岐設定'!$B$51)+'損益分岐設定'!$D$61*'損益分岐設定'!$B$51)+AF316*('損益分岐設定'!$D$63*(1-'損益分岐設定'!$B$51)+'損益分岐設定'!$D$64*'損益分岐設定'!$B$51)</x:f>
        <x:v>177.6</x:v>
      </x:c>
      <x:c r="AI316" s="1" t="n">
        <x:f>AD316*('損益分岐設定'!$E$57*(1-'損益分岐設定'!$B$51)+'損益分岐設定'!$E$58*'損益分岐設定'!$B$51)+AE316*('損益分岐設定'!$E$60*(1-'損益分岐設定'!$B$51)+'損益分岐設定'!$E$61*'損益分岐設定'!$B$51)+AF316*('損益分岐設定'!$E$63*(1-'損益分岐設定'!$B$51)+'損益分岐設定'!$E$64*'損益分岐設定'!$B$51)</x:f>
        <x:v>207.2</x:v>
      </x:c>
      <x:c r="AJ316" s="1" t="n">
        <x:f>(AD316*('損益分岐設定'!$F$57*(1-'損益分岐設定'!$B$51)+'損益分岐設定'!$F$58*'損益分岐設定'!$B$51)+AE316*('損益分岐設定'!$F$60*(1-'損益分岐設定'!$B$51)+'損益分岐設定'!$F$61*'損益分岐設定'!$B$51)+AF316*('損益分岐設定'!$F$63*(1-'損益分岐設定'!$B$51)+'損益分岐設定'!$F$64*'損益分岐設定'!$B$51)*1)*'損益分岐設定'!$B$22</x:f>
        <x:v>1687.2</x:v>
      </x:c>
      <x:c r="AK316" s="1" t="n">
        <x:f>AD316*('損益分岐設定'!$G$57*(1-'損益分岐設定'!$B$51)+'損益分岐設定'!$G$58*'損益分岐設定'!$B$51)+AE316*('損益分岐設定'!$G$60*(1-'損益分岐設定'!$B$51)+'損益分岐設定'!$G$61*'損益分岐設定'!$B$51)+AF316*('損益分岐設定'!$G$63*(1-'損益分岐設定'!$B$51)+'損益分岐設定'!$G$64*'損益分岐設定'!$B$51)</x:f>
        <x:v>1480</x:v>
      </x:c>
      <x:c r="AL316" s="1" t="n">
        <x:f>AD316*('損益分岐設定'!$H$57*(1-'損益分岐設定'!$B$51)+'損益分岐設定'!$H$58*'損益分岐設定'!$B$51)+AE316*('損益分岐設定'!$H$60*(1-'損益分岐設定'!$B$51)+'損益分岐設定'!$H$61*'損益分岐設定'!$B$51)+AF316*('損益分岐設定'!$H$63*(1-'損益分岐設定'!$B$51)+'損益分岐設定'!$H$64*'損益分岐設定'!$B$51)</x:f>
        <x:v>816.6666666666667</x:v>
      </x:c>
      <x:c r="AM316" s="1" t="n">
        <x:f>MAX(1,ROUNDUP('損益分岐設定'!C37*AJ316/('損益分岐設定'!$B$23*'損益分岐設定'!$B$24*3600*'損益分岐設定'!$B$25),0))</x:f>
        <x:v>1</x:v>
      </x:c>
      <x:c r="AN316" s="1" t="n">
        <x:f>MAX(2,ROUNDUP('損益分岐設定'!C38*AJ316/('損益分岐設定'!$B$23*'損益分岐設定'!$B$24*3600*'損益分岐設定'!$B$25),0))</x:f>
        <x:v>2</x:v>
      </x:c>
      <x:c r="AO316" s="1" t="n">
        <x:f>MAX(2,ROUNDUP('損益分岐設定'!C39*AJ316/('損益分岐設定'!$B$23*'損益分岐設定'!$B$24*3600*'損益分岐設定'!$B$25),0))</x:f>
        <x:v>2</x:v>
      </x:c>
      <x:c r="AP316" s="1" t="n">
        <x:f>MAX(2,ROUNDUP('損益分岐設定'!C40*AJ316/('損益分岐設定'!$B$23*'損益分岐設定'!$B$24*3600*'損益分岐設定'!$B$25),0))</x:f>
        <x:v>4</x:v>
      </x:c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 ht="23" customHeight="1">
      <x:c r="A317" s="1" t="str">
        <x:v>Hybrid</x:v>
      </x:c>
      <x:c r="B317" s="1" t="str">
        <x:v>混在</x:v>
      </x:c>
      <x:c r="C317" s="1" t="str">
        <x:v>標準+高位混在</x:v>
      </x:c>
      <x:c r="D317" s="21" t="n">
        <x:v>0.2</x:v>
      </x:c>
      <x:c r="E317" s="1" t="n">
        <x:v>0</x:v>
      </x:c>
      <x:c r="F317" s="7" t="n">
        <x:f>AD317*'損益分岐設定'!$B$5+AE317*'損益分岐設定'!$B$6+AF317*'損益分岐設定'!$B$7</x:f>
        <x:v>4600</x:v>
      </x:c>
      <x:c r="G317" s="7" t="n">
        <x:f>AG317+(AH317+AI317)*('損益分岐設定'!$B$29+0.5*'損益分岐設定'!$B$30)+AK317*'損益分岐設定'!$B$33</x:f>
        <x:v>2166.3311697694553</x:v>
      </x:c>
      <x:c r="H317" s="7" t="n">
        <x:f>AL317*E317</x:f>
        <x:v>0</x:v>
      </x:c>
      <x:c r="I317" s="7" t="n">
        <x:f>F317*(1-D317-'損益分岐設定'!$B$10)-G317-H317</x:f>
        <x:v>1348.0688302305448</x:v>
      </x:c>
      <x:c r="J317" s="1" t="n">
        <x:f>IF(MIN(V317:Y317)&gt;1000,"範囲内なし",MIN(V317:Y317))</x:f>
        <x:v>38</x:v>
      </x:c>
      <x:c r="K317" s="1" t="n">
        <x:f>IF(MAX(Z317:AC317)&gt;=1000,"範囲内なし",MAX(1,MAX(Z317:AC317)+1))</x:f>
        <x:v>38</x:v>
      </x:c>
      <x:c r="L317" s="7" t="n">
        <x:f>10*I317-R317</x:f>
        <x:v>-21959.10838799987</x:v>
      </x:c>
      <x:c r="M317" s="7" t="n">
        <x:f>30*I317-S317</x:f>
        <x:v>-9937.528473694292</x:v>
      </x:c>
      <x:c r="N317" s="7" t="n">
        <x:f>50*I317-S317</x:f>
        <x:v>17023.84813091661</x:v>
      </x:c>
      <x:c r="O317" s="7" t="n">
        <x:f>100*I317-S317</x:f>
        <x:v>84427.28964244385</x:v>
      </x:c>
      <x:c r="P317" s="7" t="n">
        <x:f>300*I317-T317</x:f>
        <x:v>332041.0556885528</x:v>
      </x:c>
      <x:c r="Q317" s="7" t="n">
        <x:f>1000*I317-U317</x:f>
        <x:v>1224809.6434693234</x:v>
      </x:c>
      <x:c r="R317" s="7" t="n">
        <x:f>'損益分岐設定'!$B$18+'損益分岐設定'!$B$19+'損益分岐設定'!$B$20+'損益分岐設定'!E37+'損益分岐設定'!D37+AM317*('損益分岐設定'!$B$15+'損益分岐設定'!$B$16)+'損益分岐設定'!$B$17+E317*('損益分岐設定'!$B$13+(AM317-1)*'損益分岐設定'!$B$14)*'損益分岐設定'!$B$11</x:f>
        <x:v>35439.79669030532</x:v>
      </x:c>
      <x:c r="S317" s="7" t="n">
        <x:f>'損益分岐設定'!$B$18+'損益分岐設定'!$B$19+'損益分岐設定'!$B$20+'損益分岐設定'!E38+'損益分岐設定'!D38+AN317*('損益分岐設定'!$B$15+'損益分岐設定'!$B$16)+'損益分岐設定'!$B$17+E317*('損益分岐設定'!$B$13+(AN317-1)*'損益分岐設定'!$B$14)*'損益分岐設定'!$B$11</x:f>
        <x:v>50379.59338061063</x:v>
      </x:c>
      <x:c r="T317" s="7" t="n">
        <x:f>'損益分岐設定'!$B$18+'損益分岐設定'!$B$19+'損益分岐設定'!$B$20+'損益分岐設定'!E39+'損益分岐設定'!D39+AO317*('損益分岐設定'!$B$15+'損益分岐設定'!$B$16)+'損益分岐設定'!$B$17+E317*('損益分岐設定'!$B$13+(AO317-1)*'損益分岐設定'!$B$14)*'損益分岐設定'!$B$11</x:f>
        <x:v>72379.59338061063</x:v>
      </x:c>
      <x:c r="U317" s="7" t="n">
        <x:f>'損益分岐設定'!$B$18+'損益分岐設定'!$B$19+'損益分岐設定'!$B$20+'損益分岐設定'!E40+'損益分岐設定'!D40+AP317*('損益分岐設定'!$B$15+'損益分岐設定'!$B$16)+'損益分岐設定'!$B$17+E317*('損益分岐設定'!$B$13+(AP317-1)*'損益分岐設定'!$B$14)*'損益分岐設定'!$B$11</x:f>
        <x:v>123259.18676122127</x:v>
      </x:c>
      <x:c r="V317" s="1" t="n">
        <x:f>IF(I317&lt;=0,1001,IF(MAX('損益分岐設定'!B37,ROUNDUP(R317/I317,0))&lt;='損益分岐設定'!C37,MAX('損益分岐設定'!B37,ROUNDUP(R317/I317,0)),1001))</x:f>
        <x:v>1001</x:v>
      </x:c>
      <x:c r="W317" s="1" t="n">
        <x:f>IF(I317&lt;=0,1001,IF(MAX('損益分岐設定'!B38,ROUNDUP(S317/I317,0))&lt;='損益分岐設定'!C38,MAX('損益分岐設定'!B38,ROUNDUP(S317/I317,0)),1001))</x:f>
        <x:v>38</x:v>
      </x:c>
      <x:c r="X317" s="1" t="n">
        <x:f>IF(I317&lt;=0,1001,IF(MAX('損益分岐設定'!B39,ROUNDUP(T317/I317,0))&lt;='損益分岐設定'!C39,MAX('損益分岐設定'!B39,ROUNDUP(T317/I317,0)),1001))</x:f>
        <x:v>101</x:v>
      </x:c>
      <x:c r="Y317" s="1" t="n">
        <x:f>IF(I317&lt;=0,1001,IF(MAX('損益分岐設定'!B40,ROUNDUP(U317/I317,0))&lt;='損益分岐設定'!C40,MAX('損益分岐設定'!B40,ROUNDUP(U317/I317,0)),1001))</x:f>
        <x:v>501</x:v>
      </x:c>
      <x:c r="Z317" s="1" t="n">
        <x:f>IF(I317&lt;=0,'損益分岐設定'!C37,IF('損益分岐設定'!C37*I317-R317&lt;0,'損益分岐設定'!C37,IF('損益分岐設定'!B37*I317-R317&gt;=0,0,ROUNDUP(R317/I317,0)-1)))</x:f>
        <x:v>10</x:v>
      </x:c>
      <x:c r="AA317" s="1" t="n">
        <x:f>IF(I317&lt;=0,'損益分岐設定'!C38,IF('損益分岐設定'!C38*I317-S317&lt;0,'損益分岐設定'!C38,IF('損益分岐設定'!B38*I317-S317&gt;=0,0,ROUNDUP(S317/I317,0)-1)))</x:f>
        <x:v>37</x:v>
      </x:c>
      <x:c r="AB317" s="1" t="n">
        <x:f>IF(I317&lt;=0,'損益分岐設定'!C39,IF('損益分岐設定'!C39*I317-T317&lt;0,'損益分岐設定'!C39,IF('損益分岐設定'!B39*I317-T317&gt;=0,0,ROUNDUP(T317/I317,0)-1)))</x:f>
        <x:v>0</x:v>
      </x:c>
      <x:c r="AC317" s="1" t="n">
        <x:f>IF(I317&lt;=0,'損益分岐設定'!C40,IF('損益分岐設定'!C40*I317-U317&lt;0,'損益分岐設定'!C40,IF('損益分岐設定'!B40*I317-U317&gt;=0,0,ROUNDUP(U317/I317,0)-1)))</x:f>
        <x:v>0</x:v>
      </x:c>
      <x:c r="AD317" s="1" t="n">
        <x:f>'損益分岐設定'!$D$5/SUM('損益分岐設定'!$D$5:$D$7)</x:f>
        <x:v>0.5</x:v>
      </x:c>
      <x:c r="AE317" s="1" t="n">
        <x:f>'損益分岐設定'!$D$6/SUM('損益分岐設定'!$D$5:$D$7)</x:f>
        <x:v>0.3</x:v>
      </x:c>
      <x:c r="AF317" s="1" t="n">
        <x:f>'損益分岐設定'!$D$7/SUM('損益分岐設定'!$D$5:$D$7)</x:f>
        <x:v>0.2</x:v>
      </x:c>
      <x:c r="AG317" s="1" t="n">
        <x:f>AD317*('損益分岐設定'!$C$57*(1-'損益分岐設定'!$B$51)+'損益分岐設定'!$C$58*'損益分岐設定'!$B$51)+AE317*('損益分岐設定'!$C$60*(1-'損益分岐設定'!$B$51)+'損益分岐設定'!$C$61*'損益分岐設定'!$B$51)+AF317*('損益分岐設定'!$C$63*(1-'損益分岐設定'!$B$51)+'損益分岐設定'!$C$64*'損益分岐設定'!$B$51)</x:f>
        <x:v>2164.7431551757813</x:v>
      </x:c>
      <x:c r="AH317" s="1" t="n">
        <x:f>AD317*('損益分岐設定'!$D$57*(1-'損益分岐設定'!$B$51)+'損益分岐設定'!$D$58*'損益分岐設定'!$B$51)+AE317*('損益分岐設定'!$D$60*(1-'損益分岐設定'!$B$51)+'損益分岐設定'!$D$61*'損益分岐設定'!$B$51)+AF317*('損益分岐設定'!$D$63*(1-'損益分岐設定'!$B$51)+'損益分岐設定'!$D$64*'損益分岐設定'!$B$51)</x:f>
        <x:v>177.6</x:v>
      </x:c>
      <x:c r="AI317" s="1" t="n">
        <x:f>AD317*('損益分岐設定'!$E$57*(1-'損益分岐設定'!$B$51)+'損益分岐設定'!$E$58*'損益分岐設定'!$B$51)+AE317*('損益分岐設定'!$E$60*(1-'損益分岐設定'!$B$51)+'損益分岐設定'!$E$61*'損益分岐設定'!$B$51)+AF317*('損益分岐設定'!$E$63*(1-'損益分岐設定'!$B$51)+'損益分岐設定'!$E$64*'損益分岐設定'!$B$51)</x:f>
        <x:v>207.2</x:v>
      </x:c>
      <x:c r="AJ317" s="1" t="n">
        <x:f>(AD317*('損益分岐設定'!$F$57*(1-'損益分岐設定'!$B$51)+'損益分岐設定'!$F$58*'損益分岐設定'!$B$51)+AE317*('損益分岐設定'!$F$60*(1-'損益分岐設定'!$B$51)+'損益分岐設定'!$F$61*'損益分岐設定'!$B$51)+AF317*('損益分岐設定'!$F$63*(1-'損益分岐設定'!$B$51)+'損益分岐設定'!$F$64*'損益分岐設定'!$B$51)*1)*'損益分岐設定'!$B$22</x:f>
        <x:v>1687.2</x:v>
      </x:c>
      <x:c r="AK317" s="1" t="n">
        <x:f>AD317*('損益分岐設定'!$G$57*(1-'損益分岐設定'!$B$51)+'損益分岐設定'!$G$58*'損益分岐設定'!$B$51)+AE317*('損益分岐設定'!$G$60*(1-'損益分岐設定'!$B$51)+'損益分岐設定'!$G$61*'損益分岐設定'!$B$51)+AF317*('損益分岐設定'!$G$63*(1-'損益分岐設定'!$B$51)+'損益分岐設定'!$G$64*'損益分岐設定'!$B$51)</x:f>
        <x:v>1480</x:v>
      </x:c>
      <x:c r="AL317" s="1" t="n">
        <x:f>AD317*('損益分岐設定'!$H$57*(1-'損益分岐設定'!$B$51)+'損益分岐設定'!$H$58*'損益分岐設定'!$B$51)+AE317*('損益分岐設定'!$H$60*(1-'損益分岐設定'!$B$51)+'損益分岐設定'!$H$61*'損益分岐設定'!$B$51)+AF317*('損益分岐設定'!$H$63*(1-'損益分岐設定'!$B$51)+'損益分岐設定'!$H$64*'損益分岐設定'!$B$51)</x:f>
        <x:v>816.6666666666667</x:v>
      </x:c>
      <x:c r="AM317" s="1" t="n">
        <x:f>MAX(1,ROUNDUP('損益分岐設定'!C37*AJ317/('損益分岐設定'!$B$23*'損益分岐設定'!$B$24*3600*'損益分岐設定'!$B$25),0))</x:f>
        <x:v>1</x:v>
      </x:c>
      <x:c r="AN317" s="1" t="n">
        <x:f>MAX(2,ROUNDUP('損益分岐設定'!C38*AJ317/('損益分岐設定'!$B$23*'損益分岐設定'!$B$24*3600*'損益分岐設定'!$B$25),0))</x:f>
        <x:v>2</x:v>
      </x:c>
      <x:c r="AO317" s="1" t="n">
        <x:f>MAX(2,ROUNDUP('損益分岐設定'!C39*AJ317/('損益分岐設定'!$B$23*'損益分岐設定'!$B$24*3600*'損益分岐設定'!$B$25),0))</x:f>
        <x:v>2</x:v>
      </x:c>
      <x:c r="AP317" s="1" t="n">
        <x:f>MAX(2,ROUNDUP('損益分岐設定'!C40*AJ317/('損益分岐設定'!$B$23*'損益分岐設定'!$B$24*3600*'損益分岐設定'!$B$25),0))</x:f>
        <x:v>4</x:v>
      </x:c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 ht="23" customHeight="1">
      <x:c r="A318" s="1" t="str">
        <x:v>Hybrid</x:v>
      </x:c>
      <x:c r="B318" s="1" t="str">
        <x:v>混在</x:v>
      </x:c>
      <x:c r="C318" s="1" t="str">
        <x:v>標準+高位混在</x:v>
      </x:c>
      <x:c r="D318" s="21" t="n">
        <x:v>0.2</x:v>
      </x:c>
      <x:c r="E318" s="1" t="n">
        <x:v>1</x:v>
      </x:c>
      <x:c r="F318" s="7" t="n">
        <x:f>AD318*'損益分岐設定'!$B$5+AE318*'損益分岐設定'!$B$6+AF318*'損益分岐設定'!$B$7</x:f>
        <x:v>4600</x:v>
      </x:c>
      <x:c r="G318" s="7" t="n">
        <x:f>AG318+(AH318+AI318)*('損益分岐設定'!$B$29+0.5*'損益分岐設定'!$B$30)+AK318*'損益分岐設定'!$B$33</x:f>
        <x:v>2166.3311697694553</x:v>
      </x:c>
      <x:c r="H318" s="7" t="n">
        <x:f>AL318*E318</x:f>
        <x:v>816.6666666666667</x:v>
      </x:c>
      <x:c r="I318" s="7" t="n">
        <x:f>F318*(1-D318-'損益分岐設定'!$B$10)-G318-H318</x:f>
        <x:v>531.402163563878</x:v>
      </x:c>
      <x:c r="J318" s="1" t="n">
        <x:f>IF(MIN(V318:Y318)&gt;1000,"範囲内なし",MIN(V318:Y318))</x:f>
        <x:v>171</x:v>
      </x:c>
      <x:c r="K318" s="1" t="n">
        <x:f>IF(MAX(Z318:AC318)&gt;=1000,"範囲内なし",MAX(1,MAX(Z318:AC318)+1))</x:f>
        <x:v>171</x:v>
      </x:c>
      <x:c r="L318" s="7" t="n">
        <x:f>10*I318-R318</x:f>
        <x:v>-46125.775054666534</x:v>
      </x:c>
      <x:c r="M318" s="7" t="n">
        <x:f>30*I318-S318</x:f>
        <x:v>-52437.52847369429</x:v>
      </x:c>
      <x:c r="N318" s="7" t="n">
        <x:f>50*I318-S318</x:f>
        <x:v>-41809.485202416734</x:v>
      </x:c>
      <x:c r="O318" s="7" t="n">
        <x:f>100*I318-S318</x:f>
        <x:v>-15239.377024222827</x:v>
      </x:c>
      <x:c r="P318" s="7" t="n">
        <x:f>300*I318-T318</x:f>
        <x:v>69041.05568855279</x:v>
      </x:c>
      <x:c r="Q318" s="7" t="n">
        <x:f>1000*I318-U318</x:f>
        <x:v>386142.9768026568</x:v>
      </x:c>
      <x:c r="R318" s="7" t="n">
        <x:f>'損益分岐設定'!$B$18+'損益分岐設定'!$B$19+'損益分岐設定'!$B$20+'損益分岐設定'!E37+'損益分岐設定'!D37+AM318*('損益分岐設定'!$B$15+'損益分岐設定'!$B$16)+'損益分岐設定'!$B$17+E318*('損益分岐設定'!$B$13+(AM318-1)*'損益分岐設定'!$B$14)*'損益分岐設定'!$B$11</x:f>
        <x:v>51439.79669030532</x:v>
      </x:c>
      <x:c r="S318" s="7" t="n">
        <x:f>'損益分岐設定'!$B$18+'損益分岐設定'!$B$19+'損益分岐設定'!$B$20+'損益分岐設定'!E38+'損益分岐設定'!D38+AN318*('損益分岐設定'!$B$15+'損益分岐設定'!$B$16)+'損益分岐設定'!$B$17+E318*('損益分岐設定'!$B$13+(AN318-1)*'損益分岐設定'!$B$14)*'損益分岐設定'!$B$11</x:f>
        <x:v>68379.59338061063</x:v>
      </x:c>
      <x:c r="T318" s="7" t="n">
        <x:f>'損益分岐設定'!$B$18+'損益分岐設定'!$B$19+'損益分岐設定'!$B$20+'損益分岐設定'!E39+'損益分岐設定'!D39+AO318*('損益分岐設定'!$B$15+'損益分岐設定'!$B$16)+'損益分岐設定'!$B$17+E318*('損益分岐設定'!$B$13+(AO318-1)*'損益分岐設定'!$B$14)*'損益分岐設定'!$B$11</x:f>
        <x:v>90379.59338061063</x:v>
      </x:c>
      <x:c r="U318" s="7" t="n">
        <x:f>'損益分岐設定'!$B$18+'損益分岐設定'!$B$19+'損益分岐設定'!$B$20+'損益分岐設定'!E40+'損益分岐設定'!D40+AP318*('損益分岐設定'!$B$15+'損益分岐設定'!$B$16)+'損益分岐設定'!$B$17+E318*('損益分岐設定'!$B$13+(AP318-1)*'損益分岐設定'!$B$14)*'損益分岐設定'!$B$11</x:f>
        <x:v>145259.18676122127</x:v>
      </x:c>
      <x:c r="V318" s="1" t="n">
        <x:f>IF(I318&lt;=0,1001,IF(MAX('損益分岐設定'!B37,ROUNDUP(R318/I318,0))&lt;='損益分岐設定'!C37,MAX('損益分岐設定'!B37,ROUNDUP(R318/I318,0)),1001))</x:f>
        <x:v>1001</x:v>
      </x:c>
      <x:c r="W318" s="1" t="n">
        <x:f>IF(I318&lt;=0,1001,IF(MAX('損益分岐設定'!B38,ROUNDUP(S318/I318,0))&lt;='損益分岐設定'!C38,MAX('損益分岐設定'!B38,ROUNDUP(S318/I318,0)),1001))</x:f>
        <x:v>1001</x:v>
      </x:c>
      <x:c r="X318" s="1" t="n">
        <x:f>IF(I318&lt;=0,1001,IF(MAX('損益分岐設定'!B39,ROUNDUP(T318/I318,0))&lt;='損益分岐設定'!C39,MAX('損益分岐設定'!B39,ROUNDUP(T318/I318,0)),1001))</x:f>
        <x:v>171</x:v>
      </x:c>
      <x:c r="Y318" s="1" t="n">
        <x:f>IF(I318&lt;=0,1001,IF(MAX('損益分岐設定'!B40,ROUNDUP(U318/I318,0))&lt;='損益分岐設定'!C40,MAX('損益分岐設定'!B40,ROUNDUP(U318/I318,0)),1001))</x:f>
        <x:v>501</x:v>
      </x:c>
      <x:c r="Z318" s="1" t="n">
        <x:f>IF(I318&lt;=0,'損益分岐設定'!C37,IF('損益分岐設定'!C37*I318-R318&lt;0,'損益分岐設定'!C37,IF('損益分岐設定'!B37*I318-R318&gt;=0,0,ROUNDUP(R318/I318,0)-1)))</x:f>
        <x:v>10</x:v>
      </x:c>
      <x:c r="AA318" s="1" t="n">
        <x:f>IF(I318&lt;=0,'損益分岐設定'!C38,IF('損益分岐設定'!C38*I318-S318&lt;0,'損益分岐設定'!C38,IF('損益分岐設定'!B38*I318-S318&gt;=0,0,ROUNDUP(S318/I318,0)-1)))</x:f>
        <x:v>100</x:v>
      </x:c>
      <x:c r="AB318" s="1" t="n">
        <x:f>IF(I318&lt;=0,'損益分岐設定'!C39,IF('損益分岐設定'!C39*I318-T318&lt;0,'損益分岐設定'!C39,IF('損益分岐設定'!B39*I318-T318&gt;=0,0,ROUNDUP(T318/I318,0)-1)))</x:f>
        <x:v>170</x:v>
      </x:c>
      <x:c r="AC318" s="1" t="n">
        <x:f>IF(I318&lt;=0,'損益分岐設定'!C40,IF('損益分岐設定'!C40*I318-U318&lt;0,'損益分岐設定'!C40,IF('損益分岐設定'!B40*I318-U318&gt;=0,0,ROUNDUP(U318/I318,0)-1)))</x:f>
        <x:v>0</x:v>
      </x:c>
      <x:c r="AD318" s="1" t="n">
        <x:f>'損益分岐設定'!$D$5/SUM('損益分岐設定'!$D$5:$D$7)</x:f>
        <x:v>0.5</x:v>
      </x:c>
      <x:c r="AE318" s="1" t="n">
        <x:f>'損益分岐設定'!$D$6/SUM('損益分岐設定'!$D$5:$D$7)</x:f>
        <x:v>0.3</x:v>
      </x:c>
      <x:c r="AF318" s="1" t="n">
        <x:f>'損益分岐設定'!$D$7/SUM('損益分岐設定'!$D$5:$D$7)</x:f>
        <x:v>0.2</x:v>
      </x:c>
      <x:c r="AG318" s="1" t="n">
        <x:f>AD318*('損益分岐設定'!$C$57*(1-'損益分岐設定'!$B$51)+'損益分岐設定'!$C$58*'損益分岐設定'!$B$51)+AE318*('損益分岐設定'!$C$60*(1-'損益分岐設定'!$B$51)+'損益分岐設定'!$C$61*'損益分岐設定'!$B$51)+AF318*('損益分岐設定'!$C$63*(1-'損益分岐設定'!$B$51)+'損益分岐設定'!$C$64*'損益分岐設定'!$B$51)</x:f>
        <x:v>2164.7431551757813</x:v>
      </x:c>
      <x:c r="AH318" s="1" t="n">
        <x:f>AD318*('損益分岐設定'!$D$57*(1-'損益分岐設定'!$B$51)+'損益分岐設定'!$D$58*'損益分岐設定'!$B$51)+AE318*('損益分岐設定'!$D$60*(1-'損益分岐設定'!$B$51)+'損益分岐設定'!$D$61*'損益分岐設定'!$B$51)+AF318*('損益分岐設定'!$D$63*(1-'損益分岐設定'!$B$51)+'損益分岐設定'!$D$64*'損益分岐設定'!$B$51)</x:f>
        <x:v>177.6</x:v>
      </x:c>
      <x:c r="AI318" s="1" t="n">
        <x:f>AD318*('損益分岐設定'!$E$57*(1-'損益分岐設定'!$B$51)+'損益分岐設定'!$E$58*'損益分岐設定'!$B$51)+AE318*('損益分岐設定'!$E$60*(1-'損益分岐設定'!$B$51)+'損益分岐設定'!$E$61*'損益分岐設定'!$B$51)+AF318*('損益分岐設定'!$E$63*(1-'損益分岐設定'!$B$51)+'損益分岐設定'!$E$64*'損益分岐設定'!$B$51)</x:f>
        <x:v>207.2</x:v>
      </x:c>
      <x:c r="AJ318" s="1" t="n">
        <x:f>(AD318*('損益分岐設定'!$F$57*(1-'損益分岐設定'!$B$51)+'損益分岐設定'!$F$58*'損益分岐設定'!$B$51)+AE318*('損益分岐設定'!$F$60*(1-'損益分岐設定'!$B$51)+'損益分岐設定'!$F$61*'損益分岐設定'!$B$51)+AF318*('損益分岐設定'!$F$63*(1-'損益分岐設定'!$B$51)+'損益分岐設定'!$F$64*'損益分岐設定'!$B$51)*1)*'損益分岐設定'!$B$22</x:f>
        <x:v>1687.2</x:v>
      </x:c>
      <x:c r="AK318" s="1" t="n">
        <x:f>AD318*('損益分岐設定'!$G$57*(1-'損益分岐設定'!$B$51)+'損益分岐設定'!$G$58*'損益分岐設定'!$B$51)+AE318*('損益分岐設定'!$G$60*(1-'損益分岐設定'!$B$51)+'損益分岐設定'!$G$61*'損益分岐設定'!$B$51)+AF318*('損益分岐設定'!$G$63*(1-'損益分岐設定'!$B$51)+'損益分岐設定'!$G$64*'損益分岐設定'!$B$51)</x:f>
        <x:v>1480</x:v>
      </x:c>
      <x:c r="AL318" s="1" t="n">
        <x:f>AD318*('損益分岐設定'!$H$57*(1-'損益分岐設定'!$B$51)+'損益分岐設定'!$H$58*'損益分岐設定'!$B$51)+AE318*('損益分岐設定'!$H$60*(1-'損益分岐設定'!$B$51)+'損益分岐設定'!$H$61*'損益分岐設定'!$B$51)+AF318*('損益分岐設定'!$H$63*(1-'損益分岐設定'!$B$51)+'損益分岐設定'!$H$64*'損益分岐設定'!$B$51)</x:f>
        <x:v>816.6666666666667</x:v>
      </x:c>
      <x:c r="AM318" s="1" t="n">
        <x:f>MAX(1,ROUNDUP('損益分岐設定'!C37*AJ318/('損益分岐設定'!$B$23*'損益分岐設定'!$B$24*3600*'損益分岐設定'!$B$25),0))</x:f>
        <x:v>1</x:v>
      </x:c>
      <x:c r="AN318" s="1" t="n">
        <x:f>MAX(2,ROUNDUP('損益分岐設定'!C38*AJ318/('損益分岐設定'!$B$23*'損益分岐設定'!$B$24*3600*'損益分岐設定'!$B$25),0))</x:f>
        <x:v>2</x:v>
      </x:c>
      <x:c r="AO318" s="1" t="n">
        <x:f>MAX(2,ROUNDUP('損益分岐設定'!C39*AJ318/('損益分岐設定'!$B$23*'損益分岐設定'!$B$24*3600*'損益分岐設定'!$B$25),0))</x:f>
        <x:v>2</x:v>
      </x:c>
      <x:c r="AP318" s="1" t="n">
        <x:f>MAX(2,ROUNDUP('損益分岐設定'!C40*AJ318/('損益分岐設定'!$B$23*'損益分岐設定'!$B$24*3600*'損益分岐設定'!$B$25),0))</x:f>
        <x:v>4</x:v>
      </x:c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 ht="23" customHeight="1">
      <x:c r="A319" s="1" t="str">
        <x:v>Hybrid</x:v>
      </x:c>
      <x:c r="B319" s="1" t="str">
        <x:v>混在</x:v>
      </x:c>
      <x:c r="C319" s="1" t="str">
        <x:v>標準+高位混在</x:v>
      </x:c>
      <x:c r="D319" s="21" t="n">
        <x:v>0.3</x:v>
      </x:c>
      <x:c r="E319" s="1" t="n">
        <x:v>0</x:v>
      </x:c>
      <x:c r="F319" s="7" t="n">
        <x:f>AD319*'損益分岐設定'!$B$5+AE319*'損益分岐設定'!$B$6+AF319*'損益分岐設定'!$B$7</x:f>
        <x:v>4600</x:v>
      </x:c>
      <x:c r="G319" s="7" t="n">
        <x:f>AG319+(AH319+AI319)*('損益分岐設定'!$B$29+0.5*'損益分岐設定'!$B$30)+AK319*'損益分岐設定'!$B$33</x:f>
        <x:v>2166.3311697694553</x:v>
      </x:c>
      <x:c r="H319" s="7" t="n">
        <x:f>AL319*E319</x:f>
        <x:v>0</x:v>
      </x:c>
      <x:c r="I319" s="7" t="n">
        <x:f>F319*(1-D319-'損益分岐設定'!$B$10)-G319-H319</x:f>
        <x:v>888.0688302305443</x:v>
      </x:c>
      <x:c r="J319" s="1" t="n">
        <x:f>IF(MIN(V319:Y319)&gt;1000,"範囲内なし",MIN(V319:Y319))</x:f>
        <x:v>57</x:v>
      </x:c>
      <x:c r="K319" s="1" t="n">
        <x:f>IF(MAX(Z319:AC319)&gt;=1000,"範囲内なし",MAX(1,MAX(Z319:AC319)+1))</x:f>
        <x:v>57</x:v>
      </x:c>
      <x:c r="L319" s="7" t="n">
        <x:f>10*I319-R319</x:f>
        <x:v>-26559.108387999873</x:v>
      </x:c>
      <x:c r="M319" s="7" t="n">
        <x:f>30*I319-S319</x:f>
        <x:v>-23737.528473694303</x:v>
      </x:c>
      <x:c r="N319" s="7" t="n">
        <x:f>50*I319-S319</x:f>
        <x:v>-5976.15186908342</x:v>
      </x:c>
      <x:c r="O319" s="7" t="n">
        <x:f>100*I319-S319</x:f>
        <x:v>38427.28964244379</x:v>
      </x:c>
      <x:c r="P319" s="7" t="n">
        <x:f>300*I319-T319</x:f>
        <x:v>194041.05568855267</x:v>
      </x:c>
      <x:c r="Q319" s="7" t="n">
        <x:f>1000*I319-U319</x:f>
        <x:v>764809.643469323</x:v>
      </x:c>
      <x:c r="R319" s="7" t="n">
        <x:f>'損益分岐設定'!$B$18+'損益分岐設定'!$B$19+'損益分岐設定'!$B$20+'損益分岐設定'!E37+'損益分岐設定'!D37+AM319*('損益分岐設定'!$B$15+'損益分岐設定'!$B$16)+'損益分岐設定'!$B$17+E319*('損益分岐設定'!$B$13+(AM319-1)*'損益分岐設定'!$B$14)*'損益分岐設定'!$B$11</x:f>
        <x:v>35439.79669030532</x:v>
      </x:c>
      <x:c r="S319" s="7" t="n">
        <x:f>'損益分岐設定'!$B$18+'損益分岐設定'!$B$19+'損益分岐設定'!$B$20+'損益分岐設定'!E38+'損益分岐設定'!D38+AN319*('損益分岐設定'!$B$15+'損益分岐設定'!$B$16)+'損益分岐設定'!$B$17+E319*('損益分岐設定'!$B$13+(AN319-1)*'損益分岐設定'!$B$14)*'損益分岐設定'!$B$11</x:f>
        <x:v>50379.59338061063</x:v>
      </x:c>
      <x:c r="T319" s="7" t="n">
        <x:f>'損益分岐設定'!$B$18+'損益分岐設定'!$B$19+'損益分岐設定'!$B$20+'損益分岐設定'!E39+'損益分岐設定'!D39+AO319*('損益分岐設定'!$B$15+'損益分岐設定'!$B$16)+'損益分岐設定'!$B$17+E319*('損益分岐設定'!$B$13+(AO319-1)*'損益分岐設定'!$B$14)*'損益分岐設定'!$B$11</x:f>
        <x:v>72379.59338061063</x:v>
      </x:c>
      <x:c r="U319" s="7" t="n">
        <x:f>'損益分岐設定'!$B$18+'損益分岐設定'!$B$19+'損益分岐設定'!$B$20+'損益分岐設定'!E40+'損益分岐設定'!D40+AP319*('損益分岐設定'!$B$15+'損益分岐設定'!$B$16)+'損益分岐設定'!$B$17+E319*('損益分岐設定'!$B$13+(AP319-1)*'損益分岐設定'!$B$14)*'損益分岐設定'!$B$11</x:f>
        <x:v>123259.18676122127</x:v>
      </x:c>
      <x:c r="V319" s="1" t="n">
        <x:f>IF(I319&lt;=0,1001,IF(MAX('損益分岐設定'!B37,ROUNDUP(R319/I319,0))&lt;='損益分岐設定'!C37,MAX('損益分岐設定'!B37,ROUNDUP(R319/I319,0)),1001))</x:f>
        <x:v>1001</x:v>
      </x:c>
      <x:c r="W319" s="1" t="n">
        <x:f>IF(I319&lt;=0,1001,IF(MAX('損益分岐設定'!B38,ROUNDUP(S319/I319,0))&lt;='損益分岐設定'!C38,MAX('損益分岐設定'!B38,ROUNDUP(S319/I319,0)),1001))</x:f>
        <x:v>57</x:v>
      </x:c>
      <x:c r="X319" s="1" t="n">
        <x:f>IF(I319&lt;=0,1001,IF(MAX('損益分岐設定'!B39,ROUNDUP(T319/I319,0))&lt;='損益分岐設定'!C39,MAX('損益分岐設定'!B39,ROUNDUP(T319/I319,0)),1001))</x:f>
        <x:v>101</x:v>
      </x:c>
      <x:c r="Y319" s="1" t="n">
        <x:f>IF(I319&lt;=0,1001,IF(MAX('損益分岐設定'!B40,ROUNDUP(U319/I319,0))&lt;='損益分岐設定'!C40,MAX('損益分岐設定'!B40,ROUNDUP(U319/I319,0)),1001))</x:f>
        <x:v>501</x:v>
      </x:c>
      <x:c r="Z319" s="1" t="n">
        <x:f>IF(I319&lt;=0,'損益分岐設定'!C37,IF('損益分岐設定'!C37*I319-R319&lt;0,'損益分岐設定'!C37,IF('損益分岐設定'!B37*I319-R319&gt;=0,0,ROUNDUP(R319/I319,0)-1)))</x:f>
        <x:v>10</x:v>
      </x:c>
      <x:c r="AA319" s="1" t="n">
        <x:f>IF(I319&lt;=0,'損益分岐設定'!C38,IF('損益分岐設定'!C38*I319-S319&lt;0,'損益分岐設定'!C38,IF('損益分岐設定'!B38*I319-S319&gt;=0,0,ROUNDUP(S319/I319,0)-1)))</x:f>
        <x:v>56</x:v>
      </x:c>
      <x:c r="AB319" s="1" t="n">
        <x:f>IF(I319&lt;=0,'損益分岐設定'!C39,IF('損益分岐設定'!C39*I319-T319&lt;0,'損益分岐設定'!C39,IF('損益分岐設定'!B39*I319-T319&gt;=0,0,ROUNDUP(T319/I319,0)-1)))</x:f>
        <x:v>0</x:v>
      </x:c>
      <x:c r="AC319" s="1" t="n">
        <x:f>IF(I319&lt;=0,'損益分岐設定'!C40,IF('損益分岐設定'!C40*I319-U319&lt;0,'損益分岐設定'!C40,IF('損益分岐設定'!B40*I319-U319&gt;=0,0,ROUNDUP(U319/I319,0)-1)))</x:f>
        <x:v>0</x:v>
      </x:c>
      <x:c r="AD319" s="1" t="n">
        <x:f>'損益分岐設定'!$D$5/SUM('損益分岐設定'!$D$5:$D$7)</x:f>
        <x:v>0.5</x:v>
      </x:c>
      <x:c r="AE319" s="1" t="n">
        <x:f>'損益分岐設定'!$D$6/SUM('損益分岐設定'!$D$5:$D$7)</x:f>
        <x:v>0.3</x:v>
      </x:c>
      <x:c r="AF319" s="1" t="n">
        <x:f>'損益分岐設定'!$D$7/SUM('損益分岐設定'!$D$5:$D$7)</x:f>
        <x:v>0.2</x:v>
      </x:c>
      <x:c r="AG319" s="1" t="n">
        <x:f>AD319*('損益分岐設定'!$C$57*(1-'損益分岐設定'!$B$51)+'損益分岐設定'!$C$58*'損益分岐設定'!$B$51)+AE319*('損益分岐設定'!$C$60*(1-'損益分岐設定'!$B$51)+'損益分岐設定'!$C$61*'損益分岐設定'!$B$51)+AF319*('損益分岐設定'!$C$63*(1-'損益分岐設定'!$B$51)+'損益分岐設定'!$C$64*'損益分岐設定'!$B$51)</x:f>
        <x:v>2164.7431551757813</x:v>
      </x:c>
      <x:c r="AH319" s="1" t="n">
        <x:f>AD319*('損益分岐設定'!$D$57*(1-'損益分岐設定'!$B$51)+'損益分岐設定'!$D$58*'損益分岐設定'!$B$51)+AE319*('損益分岐設定'!$D$60*(1-'損益分岐設定'!$B$51)+'損益分岐設定'!$D$61*'損益分岐設定'!$B$51)+AF319*('損益分岐設定'!$D$63*(1-'損益分岐設定'!$B$51)+'損益分岐設定'!$D$64*'損益分岐設定'!$B$51)</x:f>
        <x:v>177.6</x:v>
      </x:c>
      <x:c r="AI319" s="1" t="n">
        <x:f>AD319*('損益分岐設定'!$E$57*(1-'損益分岐設定'!$B$51)+'損益分岐設定'!$E$58*'損益分岐設定'!$B$51)+AE319*('損益分岐設定'!$E$60*(1-'損益分岐設定'!$B$51)+'損益分岐設定'!$E$61*'損益分岐設定'!$B$51)+AF319*('損益分岐設定'!$E$63*(1-'損益分岐設定'!$B$51)+'損益分岐設定'!$E$64*'損益分岐設定'!$B$51)</x:f>
        <x:v>207.2</x:v>
      </x:c>
      <x:c r="AJ319" s="1" t="n">
        <x:f>(AD319*('損益分岐設定'!$F$57*(1-'損益分岐設定'!$B$51)+'損益分岐設定'!$F$58*'損益分岐設定'!$B$51)+AE319*('損益分岐設定'!$F$60*(1-'損益分岐設定'!$B$51)+'損益分岐設定'!$F$61*'損益分岐設定'!$B$51)+AF319*('損益分岐設定'!$F$63*(1-'損益分岐設定'!$B$51)+'損益分岐設定'!$F$64*'損益分岐設定'!$B$51)*1)*'損益分岐設定'!$B$22</x:f>
        <x:v>1687.2</x:v>
      </x:c>
      <x:c r="AK319" s="1" t="n">
        <x:f>AD319*('損益分岐設定'!$G$57*(1-'損益分岐設定'!$B$51)+'損益分岐設定'!$G$58*'損益分岐設定'!$B$51)+AE319*('損益分岐設定'!$G$60*(1-'損益分岐設定'!$B$51)+'損益分岐設定'!$G$61*'損益分岐設定'!$B$51)+AF319*('損益分岐設定'!$G$63*(1-'損益分岐設定'!$B$51)+'損益分岐設定'!$G$64*'損益分岐設定'!$B$51)</x:f>
        <x:v>1480</x:v>
      </x:c>
      <x:c r="AL319" s="1" t="n">
        <x:f>AD319*('損益分岐設定'!$H$57*(1-'損益分岐設定'!$B$51)+'損益分岐設定'!$H$58*'損益分岐設定'!$B$51)+AE319*('損益分岐設定'!$H$60*(1-'損益分岐設定'!$B$51)+'損益分岐設定'!$H$61*'損益分岐設定'!$B$51)+AF319*('損益分岐設定'!$H$63*(1-'損益分岐設定'!$B$51)+'損益分岐設定'!$H$64*'損益分岐設定'!$B$51)</x:f>
        <x:v>816.6666666666667</x:v>
      </x:c>
      <x:c r="AM319" s="1" t="n">
        <x:f>MAX(1,ROUNDUP('損益分岐設定'!C37*AJ319/('損益分岐設定'!$B$23*'損益分岐設定'!$B$24*3600*'損益分岐設定'!$B$25),0))</x:f>
        <x:v>1</x:v>
      </x:c>
      <x:c r="AN319" s="1" t="n">
        <x:f>MAX(2,ROUNDUP('損益分岐設定'!C38*AJ319/('損益分岐設定'!$B$23*'損益分岐設定'!$B$24*3600*'損益分岐設定'!$B$25),0))</x:f>
        <x:v>2</x:v>
      </x:c>
      <x:c r="AO319" s="1" t="n">
        <x:f>MAX(2,ROUNDUP('損益分岐設定'!C39*AJ319/('損益分岐設定'!$B$23*'損益分岐設定'!$B$24*3600*'損益分岐設定'!$B$25),0))</x:f>
        <x:v>2</x:v>
      </x:c>
      <x:c r="AP319" s="1" t="n">
        <x:f>MAX(2,ROUNDUP('損益分岐設定'!C40*AJ319/('損益分岐設定'!$B$23*'損益分岐設定'!$B$24*3600*'損益分岐設定'!$B$25),0))</x:f>
        <x:v>4</x:v>
      </x:c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 ht="23" customHeight="1">
      <x:c r="A320" s="1" t="str">
        <x:v>Hybrid</x:v>
      </x:c>
      <x:c r="B320" s="1" t="str">
        <x:v>混在</x:v>
      </x:c>
      <x:c r="C320" s="1" t="str">
        <x:v>標準+高位混在</x:v>
      </x:c>
      <x:c r="D320" s="21" t="n">
        <x:v>0.3</x:v>
      </x:c>
      <x:c r="E320" s="1" t="n">
        <x:v>1</x:v>
      </x:c>
      <x:c r="F320" s="7" t="n">
        <x:f>AD320*'損益分岐設定'!$B$5+AE320*'損益分岐設定'!$B$6+AF320*'損益分岐設定'!$B$7</x:f>
        <x:v>4600</x:v>
      </x:c>
      <x:c r="G320" s="7" t="n">
        <x:f>AG320+(AH320+AI320)*('損益分岐設定'!$B$29+0.5*'損益分岐設定'!$B$30)+AK320*'損益分岐設定'!$B$33</x:f>
        <x:v>2166.3311697694553</x:v>
      </x:c>
      <x:c r="H320" s="7" t="n">
        <x:f>AL320*E320</x:f>
        <x:v>816.6666666666667</x:v>
      </x:c>
      <x:c r="I320" s="7" t="n">
        <x:f>F320*(1-D320-'損益分岐設定'!$B$10)-G320-H320</x:f>
        <x:v>71.4021635638776</x:v>
      </x:c>
      <x:c r="J320" s="1" t="str">
        <x:f>IF(MIN(V320:Y320)&gt;1000,"範囲内なし",MIN(V320:Y320))</x:f>
        <x:v>範囲内なし</x:v>
      </x:c>
      <x:c r="K320" s="1" t="str">
        <x:f>IF(MAX(Z320:AC320)&gt;=1000,"範囲内なし",MAX(1,MAX(Z320:AC320)+1))</x:f>
        <x:v>範囲内なし</x:v>
      </x:c>
      <x:c r="L320" s="7" t="n">
        <x:f>10*I320-R320</x:f>
        <x:v>-50725.77505466654</x:v>
      </x:c>
      <x:c r="M320" s="7" t="n">
        <x:f>30*I320-S320</x:f>
        <x:v>-66237.5284736943</x:v>
      </x:c>
      <x:c r="N320" s="7" t="n">
        <x:f>50*I320-S320</x:f>
        <x:v>-64809.485202416756</x:v>
      </x:c>
      <x:c r="O320" s="7" t="n">
        <x:f>100*I320-S320</x:f>
        <x:v>-61239.37702422287</x:v>
      </x:c>
      <x:c r="P320" s="7" t="n">
        <x:f>300*I320-T320</x:f>
        <x:v>-68958.94431144735</x:v>
      </x:c>
      <x:c r="Q320" s="7" t="n">
        <x:f>1000*I320-U320</x:f>
        <x:v>-73857.02319734367</x:v>
      </x:c>
      <x:c r="R320" s="7" t="n">
        <x:f>'損益分岐設定'!$B$18+'損益分岐設定'!$B$19+'損益分岐設定'!$B$20+'損益分岐設定'!E37+'損益分岐設定'!D37+AM320*('損益分岐設定'!$B$15+'損益分岐設定'!$B$16)+'損益分岐設定'!$B$17+E320*('損益分岐設定'!$B$13+(AM320-1)*'損益分岐設定'!$B$14)*'損益分岐設定'!$B$11</x:f>
        <x:v>51439.79669030532</x:v>
      </x:c>
      <x:c r="S320" s="7" t="n">
        <x:f>'損益分岐設定'!$B$18+'損益分岐設定'!$B$19+'損益分岐設定'!$B$20+'損益分岐設定'!E38+'損益分岐設定'!D38+AN320*('損益分岐設定'!$B$15+'損益分岐設定'!$B$16)+'損益分岐設定'!$B$17+E320*('損益分岐設定'!$B$13+(AN320-1)*'損益分岐設定'!$B$14)*'損益分岐設定'!$B$11</x:f>
        <x:v>68379.59338061063</x:v>
      </x:c>
      <x:c r="T320" s="7" t="n">
        <x:f>'損益分岐設定'!$B$18+'損益分岐設定'!$B$19+'損益分岐設定'!$B$20+'損益分岐設定'!E39+'損益分岐設定'!D39+AO320*('損益分岐設定'!$B$15+'損益分岐設定'!$B$16)+'損益分岐設定'!$B$17+E320*('損益分岐設定'!$B$13+(AO320-1)*'損益分岐設定'!$B$14)*'損益分岐設定'!$B$11</x:f>
        <x:v>90379.59338061063</x:v>
      </x:c>
      <x:c r="U320" s="7" t="n">
        <x:f>'損益分岐設定'!$B$18+'損益分岐設定'!$B$19+'損益分岐設定'!$B$20+'損益分岐設定'!E40+'損益分岐設定'!D40+AP320*('損益分岐設定'!$B$15+'損益分岐設定'!$B$16)+'損益分岐設定'!$B$17+E320*('損益分岐設定'!$B$13+(AP320-1)*'損益分岐設定'!$B$14)*'損益分岐設定'!$B$11</x:f>
        <x:v>145259.18676122127</x:v>
      </x:c>
      <x:c r="V320" s="1" t="n">
        <x:f>IF(I320&lt;=0,1001,IF(MAX('損益分岐設定'!B37,ROUNDUP(R320/I320,0))&lt;='損益分岐設定'!C37,MAX('損益分岐設定'!B37,ROUNDUP(R320/I320,0)),1001))</x:f>
        <x:v>1001</x:v>
      </x:c>
      <x:c r="W320" s="1" t="n">
        <x:f>IF(I320&lt;=0,1001,IF(MAX('損益分岐設定'!B38,ROUNDUP(S320/I320,0))&lt;='損益分岐設定'!C38,MAX('損益分岐設定'!B38,ROUNDUP(S320/I320,0)),1001))</x:f>
        <x:v>1001</x:v>
      </x:c>
      <x:c r="X320" s="1" t="n">
        <x:f>IF(I320&lt;=0,1001,IF(MAX('損益分岐設定'!B39,ROUNDUP(T320/I320,0))&lt;='損益分岐設定'!C39,MAX('損益分岐設定'!B39,ROUNDUP(T320/I320,0)),1001))</x:f>
        <x:v>1001</x:v>
      </x:c>
      <x:c r="Y320" s="1" t="n">
        <x:f>IF(I320&lt;=0,1001,IF(MAX('損益分岐設定'!B40,ROUNDUP(U320/I320,0))&lt;='損益分岐設定'!C40,MAX('損益分岐設定'!B40,ROUNDUP(U320/I320,0)),1001))</x:f>
        <x:v>1001</x:v>
      </x:c>
      <x:c r="Z320" s="1" t="n">
        <x:f>IF(I320&lt;=0,'損益分岐設定'!C37,IF('損益分岐設定'!C37*I320-R320&lt;0,'損益分岐設定'!C37,IF('損益分岐設定'!B37*I320-R320&gt;=0,0,ROUNDUP(R320/I320,0)-1)))</x:f>
        <x:v>10</x:v>
      </x:c>
      <x:c r="AA320" s="1" t="n">
        <x:f>IF(I320&lt;=0,'損益分岐設定'!C38,IF('損益分岐設定'!C38*I320-S320&lt;0,'損益分岐設定'!C38,IF('損益分岐設定'!B38*I320-S320&gt;=0,0,ROUNDUP(S320/I320,0)-1)))</x:f>
        <x:v>100</x:v>
      </x:c>
      <x:c r="AB320" s="1" t="n">
        <x:f>IF(I320&lt;=0,'損益分岐設定'!C39,IF('損益分岐設定'!C39*I320-T320&lt;0,'損益分岐設定'!C39,IF('損益分岐設定'!B39*I320-T320&gt;=0,0,ROUNDUP(T320/I320,0)-1)))</x:f>
        <x:v>500</x:v>
      </x:c>
      <x:c r="AC320" s="1" t="n">
        <x:f>IF(I320&lt;=0,'損益分岐設定'!C40,IF('損益分岐設定'!C40*I320-U320&lt;0,'損益分岐設定'!C40,IF('損益分岐設定'!B40*I320-U320&gt;=0,0,ROUNDUP(U320/I320,0)-1)))</x:f>
        <x:v>1000</x:v>
      </x:c>
      <x:c r="AD320" s="1" t="n">
        <x:f>'損益分岐設定'!$D$5/SUM('損益分岐設定'!$D$5:$D$7)</x:f>
        <x:v>0.5</x:v>
      </x:c>
      <x:c r="AE320" s="1" t="n">
        <x:f>'損益分岐設定'!$D$6/SUM('損益分岐設定'!$D$5:$D$7)</x:f>
        <x:v>0.3</x:v>
      </x:c>
      <x:c r="AF320" s="1" t="n">
        <x:f>'損益分岐設定'!$D$7/SUM('損益分岐設定'!$D$5:$D$7)</x:f>
        <x:v>0.2</x:v>
      </x:c>
      <x:c r="AG320" s="1" t="n">
        <x:f>AD320*('損益分岐設定'!$C$57*(1-'損益分岐設定'!$B$51)+'損益分岐設定'!$C$58*'損益分岐設定'!$B$51)+AE320*('損益分岐設定'!$C$60*(1-'損益分岐設定'!$B$51)+'損益分岐設定'!$C$61*'損益分岐設定'!$B$51)+AF320*('損益分岐設定'!$C$63*(1-'損益分岐設定'!$B$51)+'損益分岐設定'!$C$64*'損益分岐設定'!$B$51)</x:f>
        <x:v>2164.7431551757813</x:v>
      </x:c>
      <x:c r="AH320" s="1" t="n">
        <x:f>AD320*('損益分岐設定'!$D$57*(1-'損益分岐設定'!$B$51)+'損益分岐設定'!$D$58*'損益分岐設定'!$B$51)+AE320*('損益分岐設定'!$D$60*(1-'損益分岐設定'!$B$51)+'損益分岐設定'!$D$61*'損益分岐設定'!$B$51)+AF320*('損益分岐設定'!$D$63*(1-'損益分岐設定'!$B$51)+'損益分岐設定'!$D$64*'損益分岐設定'!$B$51)</x:f>
        <x:v>177.6</x:v>
      </x:c>
      <x:c r="AI320" s="1" t="n">
        <x:f>AD320*('損益分岐設定'!$E$57*(1-'損益分岐設定'!$B$51)+'損益分岐設定'!$E$58*'損益分岐設定'!$B$51)+AE320*('損益分岐設定'!$E$60*(1-'損益分岐設定'!$B$51)+'損益分岐設定'!$E$61*'損益分岐設定'!$B$51)+AF320*('損益分岐設定'!$E$63*(1-'損益分岐設定'!$B$51)+'損益分岐設定'!$E$64*'損益分岐設定'!$B$51)</x:f>
        <x:v>207.2</x:v>
      </x:c>
      <x:c r="AJ320" s="1" t="n">
        <x:f>(AD320*('損益分岐設定'!$F$57*(1-'損益分岐設定'!$B$51)+'損益分岐設定'!$F$58*'損益分岐設定'!$B$51)+AE320*('損益分岐設定'!$F$60*(1-'損益分岐設定'!$B$51)+'損益分岐設定'!$F$61*'損益分岐設定'!$B$51)+AF320*('損益分岐設定'!$F$63*(1-'損益分岐設定'!$B$51)+'損益分岐設定'!$F$64*'損益分岐設定'!$B$51)*1)*'損益分岐設定'!$B$22</x:f>
        <x:v>1687.2</x:v>
      </x:c>
      <x:c r="AK320" s="1" t="n">
        <x:f>AD320*('損益分岐設定'!$G$57*(1-'損益分岐設定'!$B$51)+'損益分岐設定'!$G$58*'損益分岐設定'!$B$51)+AE320*('損益分岐設定'!$G$60*(1-'損益分岐設定'!$B$51)+'損益分岐設定'!$G$61*'損益分岐設定'!$B$51)+AF320*('損益分岐設定'!$G$63*(1-'損益分岐設定'!$B$51)+'損益分岐設定'!$G$64*'損益分岐設定'!$B$51)</x:f>
        <x:v>1480</x:v>
      </x:c>
      <x:c r="AL320" s="1" t="n">
        <x:f>AD320*('損益分岐設定'!$H$57*(1-'損益分岐設定'!$B$51)+'損益分岐設定'!$H$58*'損益分岐設定'!$B$51)+AE320*('損益分岐設定'!$H$60*(1-'損益分岐設定'!$B$51)+'損益分岐設定'!$H$61*'損益分岐設定'!$B$51)+AF320*('損益分岐設定'!$H$63*(1-'損益分岐設定'!$B$51)+'損益分岐設定'!$H$64*'損益分岐設定'!$B$51)</x:f>
        <x:v>816.6666666666667</x:v>
      </x:c>
      <x:c r="AM320" s="1" t="n">
        <x:f>MAX(1,ROUNDUP('損益分岐設定'!C37*AJ320/('損益分岐設定'!$B$23*'損益分岐設定'!$B$24*3600*'損益分岐設定'!$B$25),0))</x:f>
        <x:v>1</x:v>
      </x:c>
      <x:c r="AN320" s="1" t="n">
        <x:f>MAX(2,ROUNDUP('損益分岐設定'!C38*AJ320/('損益分岐設定'!$B$23*'損益分岐設定'!$B$24*3600*'損益分岐設定'!$B$25),0))</x:f>
        <x:v>2</x:v>
      </x:c>
      <x:c r="AO320" s="1" t="n">
        <x:f>MAX(2,ROUNDUP('損益分岐設定'!C39*AJ320/('損益分岐設定'!$B$23*'損益分岐設定'!$B$24*3600*'損益分岐設定'!$B$25),0))</x:f>
        <x:v>2</x:v>
      </x:c>
      <x:c r="AP320" s="1" t="n">
        <x:f>MAX(2,ROUNDUP('損益分岐設定'!C40*AJ320/('損益分岐設定'!$B$23*'損益分岐設定'!$B$24*3600*'損益分岐設定'!$B$25),0))</x:f>
        <x:v>4</x:v>
      </x:c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 ht="23" customHeight="1">
      <x:c r="A321" s="1" t="str">
        <x:v>Hybrid</x:v>
      </x:c>
      <x:c r="B321" s="1" t="str">
        <x:v>混在</x:v>
      </x:c>
      <x:c r="C321" s="1" t="str">
        <x:v>標準+高位混在</x:v>
      </x:c>
      <x:c r="D321" s="21" t="n">
        <x:v>0.4</x:v>
      </x:c>
      <x:c r="E321" s="1" t="n">
        <x:v>0</x:v>
      </x:c>
      <x:c r="F321" s="7" t="n">
        <x:f>AD321*'損益分岐設定'!$B$5+AE321*'損益分岐設定'!$B$6+AF321*'損益分岐設定'!$B$7</x:f>
        <x:v>4600</x:v>
      </x:c>
      <x:c r="G321" s="7" t="n">
        <x:f>AG321+(AH321+AI321)*('損益分岐設定'!$B$29+0.5*'損益分岐設定'!$B$30)+AK321*'損益分岐設定'!$B$33</x:f>
        <x:v>2166.3311697694553</x:v>
      </x:c>
      <x:c r="H321" s="7" t="n">
        <x:f>AL321*E321</x:f>
        <x:v>0</x:v>
      </x:c>
      <x:c r="I321" s="7" t="n">
        <x:f>F321*(1-D321-'損益分岐設定'!$B$10)-G321-H321</x:f>
        <x:v>428.06883023054434</x:v>
      </x:c>
      <x:c r="J321" s="1" t="n">
        <x:f>IF(MIN(V321:Y321)&gt;1000,"範囲内なし",MIN(V321:Y321))</x:f>
        <x:v>170</x:v>
      </x:c>
      <x:c r="K321" s="1" t="n">
        <x:f>IF(MAX(Z321:AC321)&gt;=1000,"範囲内なし",MAX(1,MAX(Z321:AC321)+1))</x:f>
        <x:v>170</x:v>
      </x:c>
      <x:c r="L321" s="7" t="n">
        <x:f>10*I321-R321</x:f>
        <x:v>-31159.108387999873</x:v>
      </x:c>
      <x:c r="M321" s="7" t="n">
        <x:f>30*I321-S321</x:f>
        <x:v>-37537.5284736943</x:v>
      </x:c>
      <x:c r="N321" s="7" t="n">
        <x:f>50*I321-S321</x:f>
        <x:v>-28976.151869083416</x:v>
      </x:c>
      <x:c r="O321" s="7" t="n">
        <x:f>100*I321-S321</x:f>
        <x:v>-7572.7103575562</x:v>
      </x:c>
      <x:c r="P321" s="7" t="n">
        <x:f>300*I321-T321</x:f>
        <x:v>56041.055688552675</x:v>
      </x:c>
      <x:c r="Q321" s="7" t="n">
        <x:f>1000*I321-U321</x:f>
        <x:v>304809.64346932305</x:v>
      </x:c>
      <x:c r="R321" s="7" t="n">
        <x:f>'損益分岐設定'!$B$18+'損益分岐設定'!$B$19+'損益分岐設定'!$B$20+'損益分岐設定'!E37+'損益分岐設定'!D37+AM321*('損益分岐設定'!$B$15+'損益分岐設定'!$B$16)+'損益分岐設定'!$B$17+E321*('損益分岐設定'!$B$13+(AM321-1)*'損益分岐設定'!$B$14)*'損益分岐設定'!$B$11</x:f>
        <x:v>35439.79669030532</x:v>
      </x:c>
      <x:c r="S321" s="7" t="n">
        <x:f>'損益分岐設定'!$B$18+'損益分岐設定'!$B$19+'損益分岐設定'!$B$20+'損益分岐設定'!E38+'損益分岐設定'!D38+AN321*('損益分岐設定'!$B$15+'損益分岐設定'!$B$16)+'損益分岐設定'!$B$17+E321*('損益分岐設定'!$B$13+(AN321-1)*'損益分岐設定'!$B$14)*'損益分岐設定'!$B$11</x:f>
        <x:v>50379.59338061063</x:v>
      </x:c>
      <x:c r="T321" s="7" t="n">
        <x:f>'損益分岐設定'!$B$18+'損益分岐設定'!$B$19+'損益分岐設定'!$B$20+'損益分岐設定'!E39+'損益分岐設定'!D39+AO321*('損益分岐設定'!$B$15+'損益分岐設定'!$B$16)+'損益分岐設定'!$B$17+E321*('損益分岐設定'!$B$13+(AO321-1)*'損益分岐設定'!$B$14)*'損益分岐設定'!$B$11</x:f>
        <x:v>72379.59338061063</x:v>
      </x:c>
      <x:c r="U321" s="7" t="n">
        <x:f>'損益分岐設定'!$B$18+'損益分岐設定'!$B$19+'損益分岐設定'!$B$20+'損益分岐設定'!E40+'損益分岐設定'!D40+AP321*('損益分岐設定'!$B$15+'損益分岐設定'!$B$16)+'損益分岐設定'!$B$17+E321*('損益分岐設定'!$B$13+(AP321-1)*'損益分岐設定'!$B$14)*'損益分岐設定'!$B$11</x:f>
        <x:v>123259.18676122127</x:v>
      </x:c>
      <x:c r="V321" s="1" t="n">
        <x:f>IF(I321&lt;=0,1001,IF(MAX('損益分岐設定'!B37,ROUNDUP(R321/I321,0))&lt;='損益分岐設定'!C37,MAX('損益分岐設定'!B37,ROUNDUP(R321/I321,0)),1001))</x:f>
        <x:v>1001</x:v>
      </x:c>
      <x:c r="W321" s="1" t="n">
        <x:f>IF(I321&lt;=0,1001,IF(MAX('損益分岐設定'!B38,ROUNDUP(S321/I321,0))&lt;='損益分岐設定'!C38,MAX('損益分岐設定'!B38,ROUNDUP(S321/I321,0)),1001))</x:f>
        <x:v>1001</x:v>
      </x:c>
      <x:c r="X321" s="1" t="n">
        <x:f>IF(I321&lt;=0,1001,IF(MAX('損益分岐設定'!B39,ROUNDUP(T321/I321,0))&lt;='損益分岐設定'!C39,MAX('損益分岐設定'!B39,ROUNDUP(T321/I321,0)),1001))</x:f>
        <x:v>170</x:v>
      </x:c>
      <x:c r="Y321" s="1" t="n">
        <x:f>IF(I321&lt;=0,1001,IF(MAX('損益分岐設定'!B40,ROUNDUP(U321/I321,0))&lt;='損益分岐設定'!C40,MAX('損益分岐設定'!B40,ROUNDUP(U321/I321,0)),1001))</x:f>
        <x:v>501</x:v>
      </x:c>
      <x:c r="Z321" s="1" t="n">
        <x:f>IF(I321&lt;=0,'損益分岐設定'!C37,IF('損益分岐設定'!C37*I321-R321&lt;0,'損益分岐設定'!C37,IF('損益分岐設定'!B37*I321-R321&gt;=0,0,ROUNDUP(R321/I321,0)-1)))</x:f>
        <x:v>10</x:v>
      </x:c>
      <x:c r="AA321" s="1" t="n">
        <x:f>IF(I321&lt;=0,'損益分岐設定'!C38,IF('損益分岐設定'!C38*I321-S321&lt;0,'損益分岐設定'!C38,IF('損益分岐設定'!B38*I321-S321&gt;=0,0,ROUNDUP(S321/I321,0)-1)))</x:f>
        <x:v>100</x:v>
      </x:c>
      <x:c r="AB321" s="1" t="n">
        <x:f>IF(I321&lt;=0,'損益分岐設定'!C39,IF('損益分岐設定'!C39*I321-T321&lt;0,'損益分岐設定'!C39,IF('損益分岐設定'!B39*I321-T321&gt;=0,0,ROUNDUP(T321/I321,0)-1)))</x:f>
        <x:v>169</x:v>
      </x:c>
      <x:c r="AC321" s="1" t="n">
        <x:f>IF(I321&lt;=0,'損益分岐設定'!C40,IF('損益分岐設定'!C40*I321-U321&lt;0,'損益分岐設定'!C40,IF('損益分岐設定'!B40*I321-U321&gt;=0,0,ROUNDUP(U321/I321,0)-1)))</x:f>
        <x:v>0</x:v>
      </x:c>
      <x:c r="AD321" s="1" t="n">
        <x:f>'損益分岐設定'!$D$5/SUM('損益分岐設定'!$D$5:$D$7)</x:f>
        <x:v>0.5</x:v>
      </x:c>
      <x:c r="AE321" s="1" t="n">
        <x:f>'損益分岐設定'!$D$6/SUM('損益分岐設定'!$D$5:$D$7)</x:f>
        <x:v>0.3</x:v>
      </x:c>
      <x:c r="AF321" s="1" t="n">
        <x:f>'損益分岐設定'!$D$7/SUM('損益分岐設定'!$D$5:$D$7)</x:f>
        <x:v>0.2</x:v>
      </x:c>
      <x:c r="AG321" s="1" t="n">
        <x:f>AD321*('損益分岐設定'!$C$57*(1-'損益分岐設定'!$B$51)+'損益分岐設定'!$C$58*'損益分岐設定'!$B$51)+AE321*('損益分岐設定'!$C$60*(1-'損益分岐設定'!$B$51)+'損益分岐設定'!$C$61*'損益分岐設定'!$B$51)+AF321*('損益分岐設定'!$C$63*(1-'損益分岐設定'!$B$51)+'損益分岐設定'!$C$64*'損益分岐設定'!$B$51)</x:f>
        <x:v>2164.7431551757813</x:v>
      </x:c>
      <x:c r="AH321" s="1" t="n">
        <x:f>AD321*('損益分岐設定'!$D$57*(1-'損益分岐設定'!$B$51)+'損益分岐設定'!$D$58*'損益分岐設定'!$B$51)+AE321*('損益分岐設定'!$D$60*(1-'損益分岐設定'!$B$51)+'損益分岐設定'!$D$61*'損益分岐設定'!$B$51)+AF321*('損益分岐設定'!$D$63*(1-'損益分岐設定'!$B$51)+'損益分岐設定'!$D$64*'損益分岐設定'!$B$51)</x:f>
        <x:v>177.6</x:v>
      </x:c>
      <x:c r="AI321" s="1" t="n">
        <x:f>AD321*('損益分岐設定'!$E$57*(1-'損益分岐設定'!$B$51)+'損益分岐設定'!$E$58*'損益分岐設定'!$B$51)+AE321*('損益分岐設定'!$E$60*(1-'損益分岐設定'!$B$51)+'損益分岐設定'!$E$61*'損益分岐設定'!$B$51)+AF321*('損益分岐設定'!$E$63*(1-'損益分岐設定'!$B$51)+'損益分岐設定'!$E$64*'損益分岐設定'!$B$51)</x:f>
        <x:v>207.2</x:v>
      </x:c>
      <x:c r="AJ321" s="1" t="n">
        <x:f>(AD321*('損益分岐設定'!$F$57*(1-'損益分岐設定'!$B$51)+'損益分岐設定'!$F$58*'損益分岐設定'!$B$51)+AE321*('損益分岐設定'!$F$60*(1-'損益分岐設定'!$B$51)+'損益分岐設定'!$F$61*'損益分岐設定'!$B$51)+AF321*('損益分岐設定'!$F$63*(1-'損益分岐設定'!$B$51)+'損益分岐設定'!$F$64*'損益分岐設定'!$B$51)*1)*'損益分岐設定'!$B$22</x:f>
        <x:v>1687.2</x:v>
      </x:c>
      <x:c r="AK321" s="1" t="n">
        <x:f>AD321*('損益分岐設定'!$G$57*(1-'損益分岐設定'!$B$51)+'損益分岐設定'!$G$58*'損益分岐設定'!$B$51)+AE321*('損益分岐設定'!$G$60*(1-'損益分岐設定'!$B$51)+'損益分岐設定'!$G$61*'損益分岐設定'!$B$51)+AF321*('損益分岐設定'!$G$63*(1-'損益分岐設定'!$B$51)+'損益分岐設定'!$G$64*'損益分岐設定'!$B$51)</x:f>
        <x:v>1480</x:v>
      </x:c>
      <x:c r="AL321" s="1" t="n">
        <x:f>AD321*('損益分岐設定'!$H$57*(1-'損益分岐設定'!$B$51)+'損益分岐設定'!$H$58*'損益分岐設定'!$B$51)+AE321*('損益分岐設定'!$H$60*(1-'損益分岐設定'!$B$51)+'損益分岐設定'!$H$61*'損益分岐設定'!$B$51)+AF321*('損益分岐設定'!$H$63*(1-'損益分岐設定'!$B$51)+'損益分岐設定'!$H$64*'損益分岐設定'!$B$51)</x:f>
        <x:v>816.6666666666667</x:v>
      </x:c>
      <x:c r="AM321" s="1" t="n">
        <x:f>MAX(1,ROUNDUP('損益分岐設定'!C37*AJ321/('損益分岐設定'!$B$23*'損益分岐設定'!$B$24*3600*'損益分岐設定'!$B$25),0))</x:f>
        <x:v>1</x:v>
      </x:c>
      <x:c r="AN321" s="1" t="n">
        <x:f>MAX(2,ROUNDUP('損益分岐設定'!C38*AJ321/('損益分岐設定'!$B$23*'損益分岐設定'!$B$24*3600*'損益分岐設定'!$B$25),0))</x:f>
        <x:v>2</x:v>
      </x:c>
      <x:c r="AO321" s="1" t="n">
        <x:f>MAX(2,ROUNDUP('損益分岐設定'!C39*AJ321/('損益分岐設定'!$B$23*'損益分岐設定'!$B$24*3600*'損益分岐設定'!$B$25),0))</x:f>
        <x:v>2</x:v>
      </x:c>
      <x:c r="AP321" s="1" t="n">
        <x:f>MAX(2,ROUNDUP('損益分岐設定'!C40*AJ321/('損益分岐設定'!$B$23*'損益分岐設定'!$B$24*3600*'損益分岐設定'!$B$25),0))</x:f>
        <x:v>4</x:v>
      </x:c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 ht="23" customHeight="1">
      <x:c r="A322" s="1" t="str">
        <x:v>Hybrid</x:v>
      </x:c>
      <x:c r="B322" s="1" t="str">
        <x:v>混在</x:v>
      </x:c>
      <x:c r="C322" s="1" t="str">
        <x:v>標準+高位混在</x:v>
      </x:c>
      <x:c r="D322" s="21" t="n">
        <x:v>0.4</x:v>
      </x:c>
      <x:c r="E322" s="1" t="n">
        <x:v>1</x:v>
      </x:c>
      <x:c r="F322" s="7" t="n">
        <x:f>AD322*'損益分岐設定'!$B$5+AE322*'損益分岐設定'!$B$6+AF322*'損益分岐設定'!$B$7</x:f>
        <x:v>4600</x:v>
      </x:c>
      <x:c r="G322" s="7" t="n">
        <x:f>AG322+(AH322+AI322)*('損益分岐設定'!$B$29+0.5*'損益分岐設定'!$B$30)+AK322*'損益分岐設定'!$B$33</x:f>
        <x:v>2166.3311697694553</x:v>
      </x:c>
      <x:c r="H322" s="7" t="n">
        <x:f>AL322*E322</x:f>
        <x:v>816.6666666666667</x:v>
      </x:c>
      <x:c r="I322" s="7" t="n">
        <x:f>F322*(1-D322-'損益分岐設定'!$B$10)-G322-H322</x:f>
        <x:v>-388.5978364361224</x:v>
      </x:c>
      <x:c r="J322" s="1" t="str">
        <x:f>IF(MIN(V322:Y322)&gt;1000,"範囲内なし",MIN(V322:Y322))</x:f>
        <x:v>範囲内なし</x:v>
      </x:c>
      <x:c r="K322" s="1" t="str">
        <x:f>IF(MAX(Z322:AC322)&gt;=1000,"範囲内なし",MAX(1,MAX(Z322:AC322)+1))</x:f>
        <x:v>範囲内なし</x:v>
      </x:c>
      <x:c r="L322" s="7" t="n">
        <x:f>10*I322-R322</x:f>
        <x:v>-55325.77505466654</x:v>
      </x:c>
      <x:c r="M322" s="7" t="n">
        <x:f>30*I322-S322</x:f>
        <x:v>-80037.5284736943</x:v>
      </x:c>
      <x:c r="N322" s="7" t="n">
        <x:f>50*I322-S322</x:f>
        <x:v>-87809.48520241675</x:v>
      </x:c>
      <x:c r="O322" s="7" t="n">
        <x:f>100*I322-S322</x:f>
        <x:v>-107239.37702422286</x:v>
      </x:c>
      <x:c r="P322" s="7" t="n">
        <x:f>300*I322-T322</x:f>
        <x:v>-206958.94431144735</x:v>
      </x:c>
      <x:c r="Q322" s="7" t="n">
        <x:f>1000*I322-U322</x:f>
        <x:v>-533857.0231973437</x:v>
      </x:c>
      <x:c r="R322" s="7" t="n">
        <x:f>'損益分岐設定'!$B$18+'損益分岐設定'!$B$19+'損益分岐設定'!$B$20+'損益分岐設定'!E37+'損益分岐設定'!D37+AM322*('損益分岐設定'!$B$15+'損益分岐設定'!$B$16)+'損益分岐設定'!$B$17+E322*('損益分岐設定'!$B$13+(AM322-1)*'損益分岐設定'!$B$14)*'損益分岐設定'!$B$11</x:f>
        <x:v>51439.79669030532</x:v>
      </x:c>
      <x:c r="S322" s="7" t="n">
        <x:f>'損益分岐設定'!$B$18+'損益分岐設定'!$B$19+'損益分岐設定'!$B$20+'損益分岐設定'!E38+'損益分岐設定'!D38+AN322*('損益分岐設定'!$B$15+'損益分岐設定'!$B$16)+'損益分岐設定'!$B$17+E322*('損益分岐設定'!$B$13+(AN322-1)*'損益分岐設定'!$B$14)*'損益分岐設定'!$B$11</x:f>
        <x:v>68379.59338061063</x:v>
      </x:c>
      <x:c r="T322" s="7" t="n">
        <x:f>'損益分岐設定'!$B$18+'損益分岐設定'!$B$19+'損益分岐設定'!$B$20+'損益分岐設定'!E39+'損益分岐設定'!D39+AO322*('損益分岐設定'!$B$15+'損益分岐設定'!$B$16)+'損益分岐設定'!$B$17+E322*('損益分岐設定'!$B$13+(AO322-1)*'損益分岐設定'!$B$14)*'損益分岐設定'!$B$11</x:f>
        <x:v>90379.59338061063</x:v>
      </x:c>
      <x:c r="U322" s="7" t="n">
        <x:f>'損益分岐設定'!$B$18+'損益分岐設定'!$B$19+'損益分岐設定'!$B$20+'損益分岐設定'!E40+'損益分岐設定'!D40+AP322*('損益分岐設定'!$B$15+'損益分岐設定'!$B$16)+'損益分岐設定'!$B$17+E322*('損益分岐設定'!$B$13+(AP322-1)*'損益分岐設定'!$B$14)*'損益分岐設定'!$B$11</x:f>
        <x:v>145259.18676122127</x:v>
      </x:c>
      <x:c r="V322" s="1" t="n">
        <x:f>IF(I322&lt;=0,1001,IF(MAX('損益分岐設定'!B37,ROUNDUP(R322/I322,0))&lt;='損益分岐設定'!C37,MAX('損益分岐設定'!B37,ROUNDUP(R322/I322,0)),1001))</x:f>
        <x:v>1001</x:v>
      </x:c>
      <x:c r="W322" s="1" t="n">
        <x:f>IF(I322&lt;=0,1001,IF(MAX('損益分岐設定'!B38,ROUNDUP(S322/I322,0))&lt;='損益分岐設定'!C38,MAX('損益分岐設定'!B38,ROUNDUP(S322/I322,0)),1001))</x:f>
        <x:v>1001</x:v>
      </x:c>
      <x:c r="X322" s="1" t="n">
        <x:f>IF(I322&lt;=0,1001,IF(MAX('損益分岐設定'!B39,ROUNDUP(T322/I322,0))&lt;='損益分岐設定'!C39,MAX('損益分岐設定'!B39,ROUNDUP(T322/I322,0)),1001))</x:f>
        <x:v>1001</x:v>
      </x:c>
      <x:c r="Y322" s="1" t="n">
        <x:f>IF(I322&lt;=0,1001,IF(MAX('損益分岐設定'!B40,ROUNDUP(U322/I322,0))&lt;='損益分岐設定'!C40,MAX('損益分岐設定'!B40,ROUNDUP(U322/I322,0)),1001))</x:f>
        <x:v>1001</x:v>
      </x:c>
      <x:c r="Z322" s="1" t="n">
        <x:f>IF(I322&lt;=0,'損益分岐設定'!C37,IF('損益分岐設定'!C37*I322-R322&lt;0,'損益分岐設定'!C37,IF('損益分岐設定'!B37*I322-R322&gt;=0,0,ROUNDUP(R322/I322,0)-1)))</x:f>
        <x:v>10</x:v>
      </x:c>
      <x:c r="AA322" s="1" t="n">
        <x:f>IF(I322&lt;=0,'損益分岐設定'!C38,IF('損益分岐設定'!C38*I322-S322&lt;0,'損益分岐設定'!C38,IF('損益分岐設定'!B38*I322-S322&gt;=0,0,ROUNDUP(S322/I322,0)-1)))</x:f>
        <x:v>100</x:v>
      </x:c>
      <x:c r="AB322" s="1" t="n">
        <x:f>IF(I322&lt;=0,'損益分岐設定'!C39,IF('損益分岐設定'!C39*I322-T322&lt;0,'損益分岐設定'!C39,IF('損益分岐設定'!B39*I322-T322&gt;=0,0,ROUNDUP(T322/I322,0)-1)))</x:f>
        <x:v>500</x:v>
      </x:c>
      <x:c r="AC322" s="1" t="n">
        <x:f>IF(I322&lt;=0,'損益分岐設定'!C40,IF('損益分岐設定'!C40*I322-U322&lt;0,'損益分岐設定'!C40,IF('損益分岐設定'!B40*I322-U322&gt;=0,0,ROUNDUP(U322/I322,0)-1)))</x:f>
        <x:v>1000</x:v>
      </x:c>
      <x:c r="AD322" s="1" t="n">
        <x:f>'損益分岐設定'!$D$5/SUM('損益分岐設定'!$D$5:$D$7)</x:f>
        <x:v>0.5</x:v>
      </x:c>
      <x:c r="AE322" s="1" t="n">
        <x:f>'損益分岐設定'!$D$6/SUM('損益分岐設定'!$D$5:$D$7)</x:f>
        <x:v>0.3</x:v>
      </x:c>
      <x:c r="AF322" s="1" t="n">
        <x:f>'損益分岐設定'!$D$7/SUM('損益分岐設定'!$D$5:$D$7)</x:f>
        <x:v>0.2</x:v>
      </x:c>
      <x:c r="AG322" s="1" t="n">
        <x:f>AD322*('損益分岐設定'!$C$57*(1-'損益分岐設定'!$B$51)+'損益分岐設定'!$C$58*'損益分岐設定'!$B$51)+AE322*('損益分岐設定'!$C$60*(1-'損益分岐設定'!$B$51)+'損益分岐設定'!$C$61*'損益分岐設定'!$B$51)+AF322*('損益分岐設定'!$C$63*(1-'損益分岐設定'!$B$51)+'損益分岐設定'!$C$64*'損益分岐設定'!$B$51)</x:f>
        <x:v>2164.7431551757813</x:v>
      </x:c>
      <x:c r="AH322" s="1" t="n">
        <x:f>AD322*('損益分岐設定'!$D$57*(1-'損益分岐設定'!$B$51)+'損益分岐設定'!$D$58*'損益分岐設定'!$B$51)+AE322*('損益分岐設定'!$D$60*(1-'損益分岐設定'!$B$51)+'損益分岐設定'!$D$61*'損益分岐設定'!$B$51)+AF322*('損益分岐設定'!$D$63*(1-'損益分岐設定'!$B$51)+'損益分岐設定'!$D$64*'損益分岐設定'!$B$51)</x:f>
        <x:v>177.6</x:v>
      </x:c>
      <x:c r="AI322" s="1" t="n">
        <x:f>AD322*('損益分岐設定'!$E$57*(1-'損益分岐設定'!$B$51)+'損益分岐設定'!$E$58*'損益分岐設定'!$B$51)+AE322*('損益分岐設定'!$E$60*(1-'損益分岐設定'!$B$51)+'損益分岐設定'!$E$61*'損益分岐設定'!$B$51)+AF322*('損益分岐設定'!$E$63*(1-'損益分岐設定'!$B$51)+'損益分岐設定'!$E$64*'損益分岐設定'!$B$51)</x:f>
        <x:v>207.2</x:v>
      </x:c>
      <x:c r="AJ322" s="1" t="n">
        <x:f>(AD322*('損益分岐設定'!$F$57*(1-'損益分岐設定'!$B$51)+'損益分岐設定'!$F$58*'損益分岐設定'!$B$51)+AE322*('損益分岐設定'!$F$60*(1-'損益分岐設定'!$B$51)+'損益分岐設定'!$F$61*'損益分岐設定'!$B$51)+AF322*('損益分岐設定'!$F$63*(1-'損益分岐設定'!$B$51)+'損益分岐設定'!$F$64*'損益分岐設定'!$B$51)*1)*'損益分岐設定'!$B$22</x:f>
        <x:v>1687.2</x:v>
      </x:c>
      <x:c r="AK322" s="1" t="n">
        <x:f>AD322*('損益分岐設定'!$G$57*(1-'損益分岐設定'!$B$51)+'損益分岐設定'!$G$58*'損益分岐設定'!$B$51)+AE322*('損益分岐設定'!$G$60*(1-'損益分岐設定'!$B$51)+'損益分岐設定'!$G$61*'損益分岐設定'!$B$51)+AF322*('損益分岐設定'!$G$63*(1-'損益分岐設定'!$B$51)+'損益分岐設定'!$G$64*'損益分岐設定'!$B$51)</x:f>
        <x:v>1480</x:v>
      </x:c>
      <x:c r="AL322" s="1" t="n">
        <x:f>AD322*('損益分岐設定'!$H$57*(1-'損益分岐設定'!$B$51)+'損益分岐設定'!$H$58*'損益分岐設定'!$B$51)+AE322*('損益分岐設定'!$H$60*(1-'損益分岐設定'!$B$51)+'損益分岐設定'!$H$61*'損益分岐設定'!$B$51)+AF322*('損益分岐設定'!$H$63*(1-'損益分岐設定'!$B$51)+'損益分岐設定'!$H$64*'損益分岐設定'!$B$51)</x:f>
        <x:v>816.6666666666667</x:v>
      </x:c>
      <x:c r="AM322" s="1" t="n">
        <x:f>MAX(1,ROUNDUP('損益分岐設定'!C37*AJ322/('損益分岐設定'!$B$23*'損益分岐設定'!$B$24*3600*'損益分岐設定'!$B$25),0))</x:f>
        <x:v>1</x:v>
      </x:c>
      <x:c r="AN322" s="1" t="n">
        <x:f>MAX(2,ROUNDUP('損益分岐設定'!C38*AJ322/('損益分岐設定'!$B$23*'損益分岐設定'!$B$24*3600*'損益分岐設定'!$B$25),0))</x:f>
        <x:v>2</x:v>
      </x:c>
      <x:c r="AO322" s="1" t="n">
        <x:f>MAX(2,ROUNDUP('損益分岐設定'!C39*AJ322/('損益分岐設定'!$B$23*'損益分岐設定'!$B$24*3600*'損益分岐設定'!$B$25),0))</x:f>
        <x:v>2</x:v>
      </x:c>
      <x:c r="AP322" s="1" t="n">
        <x:f>MAX(2,ROUNDUP('損益分岐設定'!C40*AJ322/('損益分岐設定'!$B$23*'損益分岐設定'!$B$24*3600*'損益分岐設定'!$B$25),0))</x:f>
        <x:v>4</x:v>
      </x:c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 ht="23" customHeight="1">
      <x:c r="A323" s="1" t="str">
        <x:v>Hybrid</x:v>
      </x:c>
      <x:c r="B323" s="1" t="str">
        <x:v>混在</x:v>
      </x:c>
      <x:c r="C323" s="1" t="str">
        <x:v>標準+高位混在</x:v>
      </x:c>
      <x:c r="D323" s="21" t="n">
        <x:v>0.5</x:v>
      </x:c>
      <x:c r="E323" s="1" t="n">
        <x:v>0</x:v>
      </x:c>
      <x:c r="F323" s="7" t="n">
        <x:f>AD323*'損益分岐設定'!$B$5+AE323*'損益分岐設定'!$B$6+AF323*'損益分岐設定'!$B$7</x:f>
        <x:v>4600</x:v>
      </x:c>
      <x:c r="G323" s="7" t="n">
        <x:f>AG323+(AH323+AI323)*('損益分岐設定'!$B$29+0.5*'損益分岐設定'!$B$30)+AK323*'損益分岐設定'!$B$33</x:f>
        <x:v>2166.3311697694553</x:v>
      </x:c>
      <x:c r="H323" s="7" t="n">
        <x:f>AL323*E323</x:f>
        <x:v>0</x:v>
      </x:c>
      <x:c r="I323" s="7" t="n">
        <x:f>F323*(1-D323-'損益分岐設定'!$B$10)-G323-H323</x:f>
        <x:v>-31.93116976945521</x:v>
      </x:c>
      <x:c r="J323" s="1" t="str">
        <x:f>IF(MIN(V323:Y323)&gt;1000,"範囲内なし",MIN(V323:Y323))</x:f>
        <x:v>範囲内なし</x:v>
      </x:c>
      <x:c r="K323" s="1" t="str">
        <x:f>IF(MAX(Z323:AC323)&gt;=1000,"範囲内なし",MAX(1,MAX(Z323:AC323)+1))</x:f>
        <x:v>範囲内なし</x:v>
      </x:c>
      <x:c r="L323" s="7" t="n">
        <x:f>10*I323-R323</x:f>
        <x:v>-35759.10838799987</x:v>
      </x:c>
      <x:c r="M323" s="7" t="n">
        <x:f>30*I323-S323</x:f>
        <x:v>-51337.52847369429</x:v>
      </x:c>
      <x:c r="N323" s="7" t="n">
        <x:f>50*I323-S323</x:f>
        <x:v>-51976.15186908339</x:v>
      </x:c>
      <x:c r="O323" s="7" t="n">
        <x:f>100*I323-S323</x:f>
        <x:v>-53572.710357556156</x:v>
      </x:c>
      <x:c r="P323" s="7" t="n">
        <x:f>300*I323-T323</x:f>
        <x:v>-81958.9443114472</x:v>
      </x:c>
      <x:c r="Q323" s="7" t="n">
        <x:f>1000*I323-U323</x:f>
        <x:v>-155190.35653067648</x:v>
      </x:c>
      <x:c r="R323" s="7" t="n">
        <x:f>'損益分岐設定'!$B$18+'損益分岐設定'!$B$19+'損益分岐設定'!$B$20+'損益分岐設定'!E37+'損益分岐設定'!D37+AM323*('損益分岐設定'!$B$15+'損益分岐設定'!$B$16)+'損益分岐設定'!$B$17+E323*('損益分岐設定'!$B$13+(AM323-1)*'損益分岐設定'!$B$14)*'損益分岐設定'!$B$11</x:f>
        <x:v>35439.79669030532</x:v>
      </x:c>
      <x:c r="S323" s="7" t="n">
        <x:f>'損益分岐設定'!$B$18+'損益分岐設定'!$B$19+'損益分岐設定'!$B$20+'損益分岐設定'!E38+'損益分岐設定'!D38+AN323*('損益分岐設定'!$B$15+'損益分岐設定'!$B$16)+'損益分岐設定'!$B$17+E323*('損益分岐設定'!$B$13+(AN323-1)*'損益分岐設定'!$B$14)*'損益分岐設定'!$B$11</x:f>
        <x:v>50379.59338061063</x:v>
      </x:c>
      <x:c r="T323" s="7" t="n">
        <x:f>'損益分岐設定'!$B$18+'損益分岐設定'!$B$19+'損益分岐設定'!$B$20+'損益分岐設定'!E39+'損益分岐設定'!D39+AO323*('損益分岐設定'!$B$15+'損益分岐設定'!$B$16)+'損益分岐設定'!$B$17+E323*('損益分岐設定'!$B$13+(AO323-1)*'損益分岐設定'!$B$14)*'損益分岐設定'!$B$11</x:f>
        <x:v>72379.59338061063</x:v>
      </x:c>
      <x:c r="U323" s="7" t="n">
        <x:f>'損益分岐設定'!$B$18+'損益分岐設定'!$B$19+'損益分岐設定'!$B$20+'損益分岐設定'!E40+'損益分岐設定'!D40+AP323*('損益分岐設定'!$B$15+'損益分岐設定'!$B$16)+'損益分岐設定'!$B$17+E323*('損益分岐設定'!$B$13+(AP323-1)*'損益分岐設定'!$B$14)*'損益分岐設定'!$B$11</x:f>
        <x:v>123259.18676122127</x:v>
      </x:c>
      <x:c r="V323" s="1" t="n">
        <x:f>IF(I323&lt;=0,1001,IF(MAX('損益分岐設定'!B37,ROUNDUP(R323/I323,0))&lt;='損益分岐設定'!C37,MAX('損益分岐設定'!B37,ROUNDUP(R323/I323,0)),1001))</x:f>
        <x:v>1001</x:v>
      </x:c>
      <x:c r="W323" s="1" t="n">
        <x:f>IF(I323&lt;=0,1001,IF(MAX('損益分岐設定'!B38,ROUNDUP(S323/I323,0))&lt;='損益分岐設定'!C38,MAX('損益分岐設定'!B38,ROUNDUP(S323/I323,0)),1001))</x:f>
        <x:v>1001</x:v>
      </x:c>
      <x:c r="X323" s="1" t="n">
        <x:f>IF(I323&lt;=0,1001,IF(MAX('損益分岐設定'!B39,ROUNDUP(T323/I323,0))&lt;='損益分岐設定'!C39,MAX('損益分岐設定'!B39,ROUNDUP(T323/I323,0)),1001))</x:f>
        <x:v>1001</x:v>
      </x:c>
      <x:c r="Y323" s="1" t="n">
        <x:f>IF(I323&lt;=0,1001,IF(MAX('損益分岐設定'!B40,ROUNDUP(U323/I323,0))&lt;='損益分岐設定'!C40,MAX('損益分岐設定'!B40,ROUNDUP(U323/I323,0)),1001))</x:f>
        <x:v>1001</x:v>
      </x:c>
      <x:c r="Z323" s="1" t="n">
        <x:f>IF(I323&lt;=0,'損益分岐設定'!C37,IF('損益分岐設定'!C37*I323-R323&lt;0,'損益分岐設定'!C37,IF('損益分岐設定'!B37*I323-R323&gt;=0,0,ROUNDUP(R323/I323,0)-1)))</x:f>
        <x:v>10</x:v>
      </x:c>
      <x:c r="AA323" s="1" t="n">
        <x:f>IF(I323&lt;=0,'損益分岐設定'!C38,IF('損益分岐設定'!C38*I323-S323&lt;0,'損益分岐設定'!C38,IF('損益分岐設定'!B38*I323-S323&gt;=0,0,ROUNDUP(S323/I323,0)-1)))</x:f>
        <x:v>100</x:v>
      </x:c>
      <x:c r="AB323" s="1" t="n">
        <x:f>IF(I323&lt;=0,'損益分岐設定'!C39,IF('損益分岐設定'!C39*I323-T323&lt;0,'損益分岐設定'!C39,IF('損益分岐設定'!B39*I323-T323&gt;=0,0,ROUNDUP(T323/I323,0)-1)))</x:f>
        <x:v>500</x:v>
      </x:c>
      <x:c r="AC323" s="1" t="n">
        <x:f>IF(I323&lt;=0,'損益分岐設定'!C40,IF('損益分岐設定'!C40*I323-U323&lt;0,'損益分岐設定'!C40,IF('損益分岐設定'!B40*I323-U323&gt;=0,0,ROUNDUP(U323/I323,0)-1)))</x:f>
        <x:v>1000</x:v>
      </x:c>
      <x:c r="AD323" s="1" t="n">
        <x:f>'損益分岐設定'!$D$5/SUM('損益分岐設定'!$D$5:$D$7)</x:f>
        <x:v>0.5</x:v>
      </x:c>
      <x:c r="AE323" s="1" t="n">
        <x:f>'損益分岐設定'!$D$6/SUM('損益分岐設定'!$D$5:$D$7)</x:f>
        <x:v>0.3</x:v>
      </x:c>
      <x:c r="AF323" s="1" t="n">
        <x:f>'損益分岐設定'!$D$7/SUM('損益分岐設定'!$D$5:$D$7)</x:f>
        <x:v>0.2</x:v>
      </x:c>
      <x:c r="AG323" s="1" t="n">
        <x:f>AD323*('損益分岐設定'!$C$57*(1-'損益分岐設定'!$B$51)+'損益分岐設定'!$C$58*'損益分岐設定'!$B$51)+AE323*('損益分岐設定'!$C$60*(1-'損益分岐設定'!$B$51)+'損益分岐設定'!$C$61*'損益分岐設定'!$B$51)+AF323*('損益分岐設定'!$C$63*(1-'損益分岐設定'!$B$51)+'損益分岐設定'!$C$64*'損益分岐設定'!$B$51)</x:f>
        <x:v>2164.7431551757813</x:v>
      </x:c>
      <x:c r="AH323" s="1" t="n">
        <x:f>AD323*('損益分岐設定'!$D$57*(1-'損益分岐設定'!$B$51)+'損益分岐設定'!$D$58*'損益分岐設定'!$B$51)+AE323*('損益分岐設定'!$D$60*(1-'損益分岐設定'!$B$51)+'損益分岐設定'!$D$61*'損益分岐設定'!$B$51)+AF323*('損益分岐設定'!$D$63*(1-'損益分岐設定'!$B$51)+'損益分岐設定'!$D$64*'損益分岐設定'!$B$51)</x:f>
        <x:v>177.6</x:v>
      </x:c>
      <x:c r="AI323" s="1" t="n">
        <x:f>AD323*('損益分岐設定'!$E$57*(1-'損益分岐設定'!$B$51)+'損益分岐設定'!$E$58*'損益分岐設定'!$B$51)+AE323*('損益分岐設定'!$E$60*(1-'損益分岐設定'!$B$51)+'損益分岐設定'!$E$61*'損益分岐設定'!$B$51)+AF323*('損益分岐設定'!$E$63*(1-'損益分岐設定'!$B$51)+'損益分岐設定'!$E$64*'損益分岐設定'!$B$51)</x:f>
        <x:v>207.2</x:v>
      </x:c>
      <x:c r="AJ323" s="1" t="n">
        <x:f>(AD323*('損益分岐設定'!$F$57*(1-'損益分岐設定'!$B$51)+'損益分岐設定'!$F$58*'損益分岐設定'!$B$51)+AE323*('損益分岐設定'!$F$60*(1-'損益分岐設定'!$B$51)+'損益分岐設定'!$F$61*'損益分岐設定'!$B$51)+AF323*('損益分岐設定'!$F$63*(1-'損益分岐設定'!$B$51)+'損益分岐設定'!$F$64*'損益分岐設定'!$B$51)*1)*'損益分岐設定'!$B$22</x:f>
        <x:v>1687.2</x:v>
      </x:c>
      <x:c r="AK323" s="1" t="n">
        <x:f>AD323*('損益分岐設定'!$G$57*(1-'損益分岐設定'!$B$51)+'損益分岐設定'!$G$58*'損益分岐設定'!$B$51)+AE323*('損益分岐設定'!$G$60*(1-'損益分岐設定'!$B$51)+'損益分岐設定'!$G$61*'損益分岐設定'!$B$51)+AF323*('損益分岐設定'!$G$63*(1-'損益分岐設定'!$B$51)+'損益分岐設定'!$G$64*'損益分岐設定'!$B$51)</x:f>
        <x:v>1480</x:v>
      </x:c>
      <x:c r="AL323" s="1" t="n">
        <x:f>AD323*('損益分岐設定'!$H$57*(1-'損益分岐設定'!$B$51)+'損益分岐設定'!$H$58*'損益分岐設定'!$B$51)+AE323*('損益分岐設定'!$H$60*(1-'損益分岐設定'!$B$51)+'損益分岐設定'!$H$61*'損益分岐設定'!$B$51)+AF323*('損益分岐設定'!$H$63*(1-'損益分岐設定'!$B$51)+'損益分岐設定'!$H$64*'損益分岐設定'!$B$51)</x:f>
        <x:v>816.6666666666667</x:v>
      </x:c>
      <x:c r="AM323" s="1" t="n">
        <x:f>MAX(1,ROUNDUP('損益分岐設定'!C37*AJ323/('損益分岐設定'!$B$23*'損益分岐設定'!$B$24*3600*'損益分岐設定'!$B$25),0))</x:f>
        <x:v>1</x:v>
      </x:c>
      <x:c r="AN323" s="1" t="n">
        <x:f>MAX(2,ROUNDUP('損益分岐設定'!C38*AJ323/('損益分岐設定'!$B$23*'損益分岐設定'!$B$24*3600*'損益分岐設定'!$B$25),0))</x:f>
        <x:v>2</x:v>
      </x:c>
      <x:c r="AO323" s="1" t="n">
        <x:f>MAX(2,ROUNDUP('損益分岐設定'!C39*AJ323/('損益分岐設定'!$B$23*'損益分岐設定'!$B$24*3600*'損益分岐設定'!$B$25),0))</x:f>
        <x:v>2</x:v>
      </x:c>
      <x:c r="AP323" s="1" t="n">
        <x:f>MAX(2,ROUNDUP('損益分岐設定'!C40*AJ323/('損益分岐設定'!$B$23*'損益分岐設定'!$B$24*3600*'損益分岐設定'!$B$25),0))</x:f>
        <x:v>4</x:v>
      </x:c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 ht="23" customHeight="1">
      <x:c r="A324" s="1" t="str">
        <x:v>Hybrid</x:v>
      </x:c>
      <x:c r="B324" s="1" t="str">
        <x:v>混在</x:v>
      </x:c>
      <x:c r="C324" s="1" t="str">
        <x:v>標準+高位混在</x:v>
      </x:c>
      <x:c r="D324" s="21" t="n">
        <x:v>0.5</x:v>
      </x:c>
      <x:c r="E324" s="1" t="n">
        <x:v>1</x:v>
      </x:c>
      <x:c r="F324" s="7" t="n">
        <x:f>AD324*'損益分岐設定'!$B$5+AE324*'損益分岐設定'!$B$6+AF324*'損益分岐設定'!$B$7</x:f>
        <x:v>4600</x:v>
      </x:c>
      <x:c r="G324" s="7" t="n">
        <x:f>AG324+(AH324+AI324)*('損益分岐設定'!$B$29+0.5*'損益分岐設定'!$B$30)+AK324*'損益分岐設定'!$B$33</x:f>
        <x:v>2166.3311697694553</x:v>
      </x:c>
      <x:c r="H324" s="7" t="n">
        <x:f>AL324*E324</x:f>
        <x:v>816.6666666666667</x:v>
      </x:c>
      <x:c r="I324" s="7" t="n">
        <x:f>F324*(1-D324-'損益分岐設定'!$B$10)-G324-H324</x:f>
        <x:v>-848.597836436122</x:v>
      </x:c>
      <x:c r="J324" s="1" t="str">
        <x:f>IF(MIN(V324:Y324)&gt;1000,"範囲内なし",MIN(V324:Y324))</x:f>
        <x:v>範囲内なし</x:v>
      </x:c>
      <x:c r="K324" s="1" t="str">
        <x:f>IF(MAX(Z324:AC324)&gt;=1000,"範囲内なし",MAX(1,MAX(Z324:AC324)+1))</x:f>
        <x:v>範囲内なし</x:v>
      </x:c>
      <x:c r="L324" s="7" t="n">
        <x:f>10*I324-R324</x:f>
        <x:v>-59925.775054666534</x:v>
      </x:c>
      <x:c r="M324" s="7" t="n">
        <x:f>30*I324-S324</x:f>
        <x:v>-93837.52847369428</x:v>
      </x:c>
      <x:c r="N324" s="7" t="n">
        <x:f>50*I324-S324</x:f>
        <x:v>-110809.48520241673</x:v>
      </x:c>
      <x:c r="O324" s="7" t="n">
        <x:f>100*I324-S324</x:f>
        <x:v>-153239.37702422283</x:v>
      </x:c>
      <x:c r="P324" s="7" t="n">
        <x:f>300*I324-T324</x:f>
        <x:v>-344958.9443114472</x:v>
      </x:c>
      <x:c r="Q324" s="7" t="n">
        <x:f>1000*I324-U324</x:f>
        <x:v>-993857.0231973432</x:v>
      </x:c>
      <x:c r="R324" s="7" t="n">
        <x:f>'損益分岐設定'!$B$18+'損益分岐設定'!$B$19+'損益分岐設定'!$B$20+'損益分岐設定'!E37+'損益分岐設定'!D37+AM324*('損益分岐設定'!$B$15+'損益分岐設定'!$B$16)+'損益分岐設定'!$B$17+E324*('損益分岐設定'!$B$13+(AM324-1)*'損益分岐設定'!$B$14)*'損益分岐設定'!$B$11</x:f>
        <x:v>51439.79669030532</x:v>
      </x:c>
      <x:c r="S324" s="7" t="n">
        <x:f>'損益分岐設定'!$B$18+'損益分岐設定'!$B$19+'損益分岐設定'!$B$20+'損益分岐設定'!E38+'損益分岐設定'!D38+AN324*('損益分岐設定'!$B$15+'損益分岐設定'!$B$16)+'損益分岐設定'!$B$17+E324*('損益分岐設定'!$B$13+(AN324-1)*'損益分岐設定'!$B$14)*'損益分岐設定'!$B$11</x:f>
        <x:v>68379.59338061063</x:v>
      </x:c>
      <x:c r="T324" s="7" t="n">
        <x:f>'損益分岐設定'!$B$18+'損益分岐設定'!$B$19+'損益分岐設定'!$B$20+'損益分岐設定'!E39+'損益分岐設定'!D39+AO324*('損益分岐設定'!$B$15+'損益分岐設定'!$B$16)+'損益分岐設定'!$B$17+E324*('損益分岐設定'!$B$13+(AO324-1)*'損益分岐設定'!$B$14)*'損益分岐設定'!$B$11</x:f>
        <x:v>90379.59338061063</x:v>
      </x:c>
      <x:c r="U324" s="7" t="n">
        <x:f>'損益分岐設定'!$B$18+'損益分岐設定'!$B$19+'損益分岐設定'!$B$20+'損益分岐設定'!E40+'損益分岐設定'!D40+AP324*('損益分岐設定'!$B$15+'損益分岐設定'!$B$16)+'損益分岐設定'!$B$17+E324*('損益分岐設定'!$B$13+(AP324-1)*'損益分岐設定'!$B$14)*'損益分岐設定'!$B$11</x:f>
        <x:v>145259.18676122127</x:v>
      </x:c>
      <x:c r="V324" s="1" t="n">
        <x:f>IF(I324&lt;=0,1001,IF(MAX('損益分岐設定'!B37,ROUNDUP(R324/I324,0))&lt;='損益分岐設定'!C37,MAX('損益分岐設定'!B37,ROUNDUP(R324/I324,0)),1001))</x:f>
        <x:v>1001</x:v>
      </x:c>
      <x:c r="W324" s="1" t="n">
        <x:f>IF(I324&lt;=0,1001,IF(MAX('損益分岐設定'!B38,ROUNDUP(S324/I324,0))&lt;='損益分岐設定'!C38,MAX('損益分岐設定'!B38,ROUNDUP(S324/I324,0)),1001))</x:f>
        <x:v>1001</x:v>
      </x:c>
      <x:c r="X324" s="1" t="n">
        <x:f>IF(I324&lt;=0,1001,IF(MAX('損益分岐設定'!B39,ROUNDUP(T324/I324,0))&lt;='損益分岐設定'!C39,MAX('損益分岐設定'!B39,ROUNDUP(T324/I324,0)),1001))</x:f>
        <x:v>1001</x:v>
      </x:c>
      <x:c r="Y324" s="1" t="n">
        <x:f>IF(I324&lt;=0,1001,IF(MAX('損益分岐設定'!B40,ROUNDUP(U324/I324,0))&lt;='損益分岐設定'!C40,MAX('損益分岐設定'!B40,ROUNDUP(U324/I324,0)),1001))</x:f>
        <x:v>1001</x:v>
      </x:c>
      <x:c r="Z324" s="1" t="n">
        <x:f>IF(I324&lt;=0,'損益分岐設定'!C37,IF('損益分岐設定'!C37*I324-R324&lt;0,'損益分岐設定'!C37,IF('損益分岐設定'!B37*I324-R324&gt;=0,0,ROUNDUP(R324/I324,0)-1)))</x:f>
        <x:v>10</x:v>
      </x:c>
      <x:c r="AA324" s="1" t="n">
        <x:f>IF(I324&lt;=0,'損益分岐設定'!C38,IF('損益分岐設定'!C38*I324-S324&lt;0,'損益分岐設定'!C38,IF('損益分岐設定'!B38*I324-S324&gt;=0,0,ROUNDUP(S324/I324,0)-1)))</x:f>
        <x:v>100</x:v>
      </x:c>
      <x:c r="AB324" s="1" t="n">
        <x:f>IF(I324&lt;=0,'損益分岐設定'!C39,IF('損益分岐設定'!C39*I324-T324&lt;0,'損益分岐設定'!C39,IF('損益分岐設定'!B39*I324-T324&gt;=0,0,ROUNDUP(T324/I324,0)-1)))</x:f>
        <x:v>500</x:v>
      </x:c>
      <x:c r="AC324" s="1" t="n">
        <x:f>IF(I324&lt;=0,'損益分岐設定'!C40,IF('損益分岐設定'!C40*I324-U324&lt;0,'損益分岐設定'!C40,IF('損益分岐設定'!B40*I324-U324&gt;=0,0,ROUNDUP(U324/I324,0)-1)))</x:f>
        <x:v>1000</x:v>
      </x:c>
      <x:c r="AD324" s="1" t="n">
        <x:f>'損益分岐設定'!$D$5/SUM('損益分岐設定'!$D$5:$D$7)</x:f>
        <x:v>0.5</x:v>
      </x:c>
      <x:c r="AE324" s="1" t="n">
        <x:f>'損益分岐設定'!$D$6/SUM('損益分岐設定'!$D$5:$D$7)</x:f>
        <x:v>0.3</x:v>
      </x:c>
      <x:c r="AF324" s="1" t="n">
        <x:f>'損益分岐設定'!$D$7/SUM('損益分岐設定'!$D$5:$D$7)</x:f>
        <x:v>0.2</x:v>
      </x:c>
      <x:c r="AG324" s="1" t="n">
        <x:f>AD324*('損益分岐設定'!$C$57*(1-'損益分岐設定'!$B$51)+'損益分岐設定'!$C$58*'損益分岐設定'!$B$51)+AE324*('損益分岐設定'!$C$60*(1-'損益分岐設定'!$B$51)+'損益分岐設定'!$C$61*'損益分岐設定'!$B$51)+AF324*('損益分岐設定'!$C$63*(1-'損益分岐設定'!$B$51)+'損益分岐設定'!$C$64*'損益分岐設定'!$B$51)</x:f>
        <x:v>2164.7431551757813</x:v>
      </x:c>
      <x:c r="AH324" s="1" t="n">
        <x:f>AD324*('損益分岐設定'!$D$57*(1-'損益分岐設定'!$B$51)+'損益分岐設定'!$D$58*'損益分岐設定'!$B$51)+AE324*('損益分岐設定'!$D$60*(1-'損益分岐設定'!$B$51)+'損益分岐設定'!$D$61*'損益分岐設定'!$B$51)+AF324*('損益分岐設定'!$D$63*(1-'損益分岐設定'!$B$51)+'損益分岐設定'!$D$64*'損益分岐設定'!$B$51)</x:f>
        <x:v>177.6</x:v>
      </x:c>
      <x:c r="AI324" s="1" t="n">
        <x:f>AD324*('損益分岐設定'!$E$57*(1-'損益分岐設定'!$B$51)+'損益分岐設定'!$E$58*'損益分岐設定'!$B$51)+AE324*('損益分岐設定'!$E$60*(1-'損益分岐設定'!$B$51)+'損益分岐設定'!$E$61*'損益分岐設定'!$B$51)+AF324*('損益分岐設定'!$E$63*(1-'損益分岐設定'!$B$51)+'損益分岐設定'!$E$64*'損益分岐設定'!$B$51)</x:f>
        <x:v>207.2</x:v>
      </x:c>
      <x:c r="AJ324" s="1" t="n">
        <x:f>(AD324*('損益分岐設定'!$F$57*(1-'損益分岐設定'!$B$51)+'損益分岐設定'!$F$58*'損益分岐設定'!$B$51)+AE324*('損益分岐設定'!$F$60*(1-'損益分岐設定'!$B$51)+'損益分岐設定'!$F$61*'損益分岐設定'!$B$51)+AF324*('損益分岐設定'!$F$63*(1-'損益分岐設定'!$B$51)+'損益分岐設定'!$F$64*'損益分岐設定'!$B$51)*1)*'損益分岐設定'!$B$22</x:f>
        <x:v>1687.2</x:v>
      </x:c>
      <x:c r="AK324" s="1" t="n">
        <x:f>AD324*('損益分岐設定'!$G$57*(1-'損益分岐設定'!$B$51)+'損益分岐設定'!$G$58*'損益分岐設定'!$B$51)+AE324*('損益分岐設定'!$G$60*(1-'損益分岐設定'!$B$51)+'損益分岐設定'!$G$61*'損益分岐設定'!$B$51)+AF324*('損益分岐設定'!$G$63*(1-'損益分岐設定'!$B$51)+'損益分岐設定'!$G$64*'損益分岐設定'!$B$51)</x:f>
        <x:v>1480</x:v>
      </x:c>
      <x:c r="AL324" s="1" t="n">
        <x:f>AD324*('損益分岐設定'!$H$57*(1-'損益分岐設定'!$B$51)+'損益分岐設定'!$H$58*'損益分岐設定'!$B$51)+AE324*('損益分岐設定'!$H$60*(1-'損益分岐設定'!$B$51)+'損益分岐設定'!$H$61*'損益分岐設定'!$B$51)+AF324*('損益分岐設定'!$H$63*(1-'損益分岐設定'!$B$51)+'損益分岐設定'!$H$64*'損益分岐設定'!$B$51)</x:f>
        <x:v>816.6666666666667</x:v>
      </x:c>
      <x:c r="AM324" s="1" t="n">
        <x:f>MAX(1,ROUNDUP('損益分岐設定'!C37*AJ324/('損益分岐設定'!$B$23*'損益分岐設定'!$B$24*3600*'損益分岐設定'!$B$25),0))</x:f>
        <x:v>1</x:v>
      </x:c>
      <x:c r="AN324" s="1" t="n">
        <x:f>MAX(2,ROUNDUP('損益分岐設定'!C38*AJ324/('損益分岐設定'!$B$23*'損益分岐設定'!$B$24*3600*'損益分岐設定'!$B$25),0))</x:f>
        <x:v>2</x:v>
      </x:c>
      <x:c r="AO324" s="1" t="n">
        <x:f>MAX(2,ROUNDUP('損益分岐設定'!C39*AJ324/('損益分岐設定'!$B$23*'損益分岐設定'!$B$24*3600*'損益分岐設定'!$B$25),0))</x:f>
        <x:v>2</x:v>
      </x:c>
      <x:c r="AP324" s="1" t="n">
        <x:f>MAX(2,ROUNDUP('損益分岐設定'!C40*AJ324/('損益分岐設定'!$B$23*'損益分岐設定'!$B$24*3600*'損益分岐設定'!$B$25),0))</x:f>
        <x:v>4</x:v>
      </x:c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 ht="23" customHeight="1">
      <x:c r="A325" s="1" t="str">
        <x:v>VM</x:v>
      </x:c>
      <x:c r="B325" s="1" t="str">
        <x:v>Starter</x:v>
      </x:c>
      <x:c r="C325" s="1" t="str">
        <x:v>低位</x:v>
      </x:c>
      <x:c r="D325" s="21" t="n">
        <x:v>0</x:v>
      </x:c>
      <x:c r="E325" s="1" t="n">
        <x:v>0</x:v>
      </x:c>
      <x:c r="F325" s="7" t="n">
        <x:f>AD325*'損益分岐設定'!$B$5+AE325*'損益分岐設定'!$B$6+AF325*'損益分岐設定'!$B$7</x:f>
        <x:v>3000</x:v>
      </x:c>
      <x:c r="G325" s="7" t="n">
        <x:f>AG325+0+AK325*'損益分岐設定'!$B$33</x:f>
        <x:v>66.35679175639153</x:v>
      </x:c>
      <x:c r="H325" s="7" t="n">
        <x:f>AL325*E325</x:f>
        <x:v>0</x:v>
      </x:c>
      <x:c r="I325" s="7" t="n">
        <x:f>F325*(1-D325-'損益分岐設定'!$B$10)-G325-H325</x:f>
        <x:v>2825.6432082436086</x:v>
      </x:c>
      <x:c r="J325" s="1" t="n">
        <x:f>IF(MIN(V325:Y325)&gt;1000,"範囲内なし",MIN(V325:Y325))</x:f>
        <x:v>35</x:v>
      </x:c>
      <x:c r="K325" s="1" t="n">
        <x:f>IF(MAX(Z325:AC325)&gt;=1000,"範囲内なし",MAX(1,MAX(Z325:AC325)+1))</x:f>
        <x:v>35</x:v>
      </x:c>
      <x:c r="L325" s="7" t="n">
        <x:f>10*I325-R325</x:f>
        <x:v>-22502.75467878519</x:v>
      </x:c>
      <x:c r="M325" s="7" t="n">
        <x:f>30*I325-S325</x:f>
        <x:v>-12249.077275134288</x:v>
      </x:c>
      <x:c r="N325" s="7" t="n">
        <x:f>50*I325-S325</x:f>
        <x:v>44263.786889737894</x:v>
      </x:c>
      <x:c r="O325" s="7" t="n">
        <x:f>100*I325-S325</x:f>
        <x:v>185545.94730191835</x:v>
      </x:c>
      <x:c r="P325" s="7" t="n">
        <x:f>300*I325-T325</x:f>
        <x:v>750674.58895064</x:v>
      </x:c>
      <x:c r="Q325" s="7" t="n">
        <x:f>1000*I325-U325</x:f>
        <x:v>2707745.2413405553</x:v>
      </x:c>
      <x:c r="R325" s="7" t="n">
        <x:f>'損益分岐設定'!$B$18+'損益分岐設定'!$B$19+'損益分岐設定'!$B$20+'損益分岐設定'!E37+('損益分岐設定'!F37+2*'損益分岐設定'!G37+AM325)*('損益分岐設定'!$B$15+'損益分岐設定'!$B$16)+'損益分岐設定'!$B$17+'損益分岐設定'!$B$21+E325*'損益分岐設定'!H37*'損益分岐設定'!$B$11</x:f>
        <x:v>50759.18676122127</x:v>
      </x:c>
      <x:c r="S325" s="7" t="n">
        <x:f>'損益分岐設定'!$B$18+'損益分岐設定'!$B$19+'損益分岐設定'!$B$20+'損益分岐設定'!E38+('損益分岐設定'!F38+2*'損益分岐設定'!G38+AN325)*('損益分岐設定'!$B$15+'損益分岐設定'!$B$16)+'損益分岐設定'!$B$17+'損益分岐設定'!$B$21+E325*'損益分岐設定'!H38*'損益分岐設定'!$B$11</x:f>
        <x:v>97018.37352244255</x:v>
      </x:c>
      <x:c r="T325" s="7" t="n">
        <x:f>'損益分岐設定'!$B$18+'損益分岐設定'!$B$19+'損益分岐設定'!$B$20+'損益分岐設定'!E39+('損益分岐設定'!F39+2*'損益分岐設定'!G39+AO325)*('損益分岐設定'!$B$15+'損益分岐設定'!$B$16)+'損益分岐設定'!$B$17+'損益分岐設定'!$B$21+E325*'損益分岐設定'!H39*'損益分岐設定'!$B$11</x:f>
        <x:v>97018.37352244255</x:v>
      </x:c>
      <x:c r="U325" s="7" t="n">
        <x:f>'損益分岐設定'!$B$18+'損益分岐設定'!$B$19+'損益分岐設定'!$B$20+'損益分岐設定'!E40+('損益分岐設定'!F40+2*'損益分岐設定'!G40+AP325)*('損益分岐設定'!$B$15+'損益分岐設定'!$B$16)+'損益分岐設定'!$B$17+'損益分岐設定'!$B$21+E325*'損益分岐設定'!H40*'損益分岐設定'!$B$11</x:f>
        <x:v>117897.96690305318</x:v>
      </x:c>
      <x:c r="V325" s="1" t="n">
        <x:f>IF(I325&lt;=0,1001,IF(MAX('損益分岐設定'!B37,ROUNDUP(R325/I325,0))&lt;='損益分岐設定'!C37,MAX('損益分岐設定'!B37,ROUNDUP(R325/I325,0)),1001))</x:f>
        <x:v>1001</x:v>
      </x:c>
      <x:c r="W325" s="1" t="n">
        <x:f>IF(I325&lt;=0,1001,IF(MAX('損益分岐設定'!B38,ROUNDUP(S325/I325,0))&lt;='損益分岐設定'!C38,MAX('損益分岐設定'!B38,ROUNDUP(S325/I325,0)),1001))</x:f>
        <x:v>35</x:v>
      </x:c>
      <x:c r="X325" s="1" t="n">
        <x:f>IF(I325&lt;=0,1001,IF(MAX('損益分岐設定'!B39,ROUNDUP(T325/I325,0))&lt;='損益分岐設定'!C39,MAX('損益分岐設定'!B39,ROUNDUP(T325/I325,0)),1001))</x:f>
        <x:v>101</x:v>
      </x:c>
      <x:c r="Y325" s="1" t="n">
        <x:f>IF(I325&lt;=0,1001,IF(MAX('損益分岐設定'!B40,ROUNDUP(U325/I325,0))&lt;='損益分岐設定'!C40,MAX('損益分岐設定'!B40,ROUNDUP(U325/I325,0)),1001))</x:f>
        <x:v>501</x:v>
      </x:c>
      <x:c r="Z325" s="1" t="n">
        <x:f>IF(I325&lt;=0,'損益分岐設定'!C37,IF('損益分岐設定'!C37*I325-R325&lt;0,'損益分岐設定'!C37,IF('損益分岐設定'!B37*I325-R325&gt;=0,0,ROUNDUP(R325/I325,0)-1)))</x:f>
        <x:v>10</x:v>
      </x:c>
      <x:c r="AA325" s="1" t="n">
        <x:f>IF(I325&lt;=0,'損益分岐設定'!C38,IF('損益分岐設定'!C38*I325-S325&lt;0,'損益分岐設定'!C38,IF('損益分岐設定'!B38*I325-S325&gt;=0,0,ROUNDUP(S325/I325,0)-1)))</x:f>
        <x:v>34</x:v>
      </x:c>
      <x:c r="AB325" s="1" t="n">
        <x:f>IF(I325&lt;=0,'損益分岐設定'!C39,IF('損益分岐設定'!C39*I325-T325&lt;0,'損益分岐設定'!C39,IF('損益分岐設定'!B39*I325-T325&gt;=0,0,ROUNDUP(T325/I325,0)-1)))</x:f>
        <x:v>0</x:v>
      </x:c>
      <x:c r="AC325" s="1" t="n">
        <x:f>IF(I325&lt;=0,'損益分岐設定'!C40,IF('損益分岐設定'!C40*I325-U325&lt;0,'損益分岐設定'!C40,IF('損益分岐設定'!B40*I325-U325&gt;=0,0,ROUNDUP(U325/I325,0)-1)))</x:f>
        <x:v>0</x:v>
      </x:c>
      <x:c r="AD325" s="1" t="n">
        <x:v>1</x:v>
      </x:c>
      <x:c r="AE325" s="1" t="n">
        <x:v>0</x:v>
      </x:c>
      <x:c r="AF325" s="1" t="n">
        <x:v>0</x:v>
      </x:c>
      <x:c r="AG325" s="1" t="n">
        <x:f>AD325*'損益分岐設定'!$C$56+AE325*'損益分岐設定'!$C$59+AF325*'損益分岐設定'!$C$62</x:f>
        <x:v>66.35651235961915</x:v>
      </x:c>
      <x:c r="AH325" s="1" t="n">
        <x:f>AD325*'損益分岐設定'!$D$56+AE325*'損益分岐設定'!$D$59+AF325*'損益分岐設定'!$D$62</x:f>
        <x:v>7.5</x:v>
      </x:c>
      <x:c r="AI325" s="1" t="n">
        <x:f>AD325*'損益分岐設定'!$E$56+AE325*'損益分岐設定'!$E$59+AF325*'損益分岐設定'!$E$62</x:f>
        <x:v>5</x:v>
      </x:c>
      <x:c r="AJ325" s="1" t="n">
        <x:f>(AD325*'損益分岐設定'!$F$56+AE325*'損益分岐設定'!$F$59+AF325*'損益分岐設定'!$F$62*1)*'損益分岐設定'!$B$22</x:f>
        <x:v>7.5</x:v>
      </x:c>
      <x:c r="AK325" s="1" t="n">
        <x:f>AD325*'損益分岐設定'!$G$56+AE325*'損益分岐設定'!$G$59+AF325*'損益分岐設定'!$G$62</x:f>
        <x:v>25</x:v>
      </x:c>
      <x:c r="AL325" s="1" t="n">
        <x:f>AD325*'損益分岐設定'!$H$56+AE325*'損益分岐設定'!$H$59+AF325*'損益分岐設定'!$H$62</x:f>
        <x:v>233.33333333333334</x:v>
      </x:c>
      <x:c r="AM325" s="1" t="n">
        <x:f>MAX(1,ROUNDUP('損益分岐設定'!C37*AJ325/('損益分岐設定'!$B$23*'損益分岐設定'!$B$24*3600*'損益分岐設定'!$B$25),0))</x:f>
        <x:v>1</x:v>
      </x:c>
      <x:c r="AN325" s="1" t="n">
        <x:f>MAX(2,ROUNDUP('損益分岐設定'!C38*AJ325/('損益分岐設定'!$B$23*'損益分岐設定'!$B$24*3600*'損益分岐設定'!$B$25),0))</x:f>
        <x:v>2</x:v>
      </x:c>
      <x:c r="AO325" s="1" t="n">
        <x:f>MAX(2,ROUNDUP('損益分岐設定'!C39*AJ325/('損益分岐設定'!$B$23*'損益分岐設定'!$B$24*3600*'損益分岐設定'!$B$25),0))</x:f>
        <x:v>2</x:v>
      </x:c>
      <x:c r="AP325" s="1" t="n">
        <x:f>MAX(2,ROUNDUP('損益分岐設定'!C40*AJ325/('損益分岐設定'!$B$23*'損益分岐設定'!$B$24*3600*'損益分岐設定'!$B$25),0))</x:f>
        <x:v>2</x:v>
      </x:c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 ht="23" customHeight="1">
      <x:c r="A326" s="1" t="str">
        <x:v>VM</x:v>
      </x:c>
      <x:c r="B326" s="1" t="str">
        <x:v>Starter</x:v>
      </x:c>
      <x:c r="C326" s="1" t="str">
        <x:v>低位</x:v>
      </x:c>
      <x:c r="D326" s="21" t="n">
        <x:v>0</x:v>
      </x:c>
      <x:c r="E326" s="1" t="n">
        <x:v>1</x:v>
      </x:c>
      <x:c r="F326" s="7" t="n">
        <x:f>AD326*'損益分岐設定'!$B$5+AE326*'損益分岐設定'!$B$6+AF326*'損益分岐設定'!$B$7</x:f>
        <x:v>3000</x:v>
      </x:c>
      <x:c r="G326" s="7" t="n">
        <x:f>AG326+0+AK326*'損益分岐設定'!$B$33</x:f>
        <x:v>66.35679175639153</x:v>
      </x:c>
      <x:c r="H326" s="7" t="n">
        <x:f>AL326*E326</x:f>
        <x:v>233.33333333333334</x:v>
      </x:c>
      <x:c r="I326" s="7" t="n">
        <x:f>F326*(1-D326-'損益分岐設定'!$B$10)-G326-H326</x:f>
        <x:v>2592.309874910275</x:v>
      </x:c>
      <x:c r="J326" s="1" t="n">
        <x:f>IF(MIN(V326:Y326)&gt;1000,"範囲内なし",MIN(V326:Y326))</x:f>
        <x:v>56</x:v>
      </x:c>
      <x:c r="K326" s="1" t="n">
        <x:f>IF(MAX(Z326:AC326)&gt;=1000,"範囲内なし",MAX(1,MAX(Z326:AC326)+1))</x:f>
        <x:v>56</x:v>
      </x:c>
      <x:c r="L326" s="7" t="n">
        <x:f>10*I326-R326</x:f>
        <x:v>-56836.08801211852</x:v>
      </x:c>
      <x:c r="M326" s="7" t="n">
        <x:f>30*I326-S326</x:f>
        <x:v>-67249.07727513427</x:v>
      </x:c>
      <x:c r="N326" s="7" t="n">
        <x:f>50*I326-S326</x:f>
        <x:v>-15402.879776928778</x:v>
      </x:c>
      <x:c r="O326" s="7" t="n">
        <x:f>100*I326-S326</x:f>
        <x:v>114212.61396858498</x:v>
      </x:c>
      <x:c r="P326" s="7" t="n">
        <x:f>300*I326-T326</x:f>
        <x:v>600674.5889506399</x:v>
      </x:c>
      <x:c r="Q326" s="7" t="n">
        <x:f>1000*I326-U326</x:f>
        <x:v>2346411.9080072218</x:v>
      </x:c>
      <x:c r="R326" s="7" t="n">
        <x:f>'損益分岐設定'!$B$18+'損益分岐設定'!$B$19+'損益分岐設定'!$B$20+'損益分岐設定'!E37+('損益分岐設定'!F37+2*'損益分岐設定'!G37+AM326)*('損益分岐設定'!$B$15+'損益分岐設定'!$B$16)+'損益分岐設定'!$B$17+'損益分岐設定'!$B$21+E326*'損益分岐設定'!H37*'損益分岐設定'!$B$11</x:f>
        <x:v>82759.18676122127</x:v>
      </x:c>
      <x:c r="S326" s="7" t="n">
        <x:f>'損益分岐設定'!$B$18+'損益分岐設定'!$B$19+'損益分岐設定'!$B$20+'損益分岐設定'!E38+('損益分岐設定'!F38+2*'損益分岐設定'!G38+AN326)*('損益分岐設定'!$B$15+'損益分岐設定'!$B$16)+'損益分岐設定'!$B$17+'損益分岐設定'!$B$21+E326*'損益分岐設定'!H38*'損益分岐設定'!$B$11</x:f>
        <x:v>145018.37352244253</x:v>
      </x:c>
      <x:c r="T326" s="7" t="n">
        <x:f>'損益分岐設定'!$B$18+'損益分岐設定'!$B$19+'損益分岐設定'!$B$20+'損益分岐設定'!E39+('損益分岐設定'!F39+2*'損益分岐設定'!G39+AO326)*('損益分岐設定'!$B$15+'損益分岐設定'!$B$16)+'損益分岐設定'!$B$17+'損益分岐設定'!$B$21+E326*'損益分岐設定'!H39*'損益分岐設定'!$B$11</x:f>
        <x:v>177018.37352244253</x:v>
      </x:c>
      <x:c r="U326" s="7" t="n">
        <x:f>'損益分岐設定'!$B$18+'損益分岐設定'!$B$19+'損益分岐設定'!$B$20+'損益分岐設定'!E40+('損益分岐設定'!F40+2*'損益分岐設定'!G40+AP326)*('損益分岐設定'!$B$15+'損益分岐設定'!$B$16)+'損益分岐設定'!$B$17+'損益分岐設定'!$B$21+E326*'損益分岐設定'!H40*'損益分岐設定'!$B$11</x:f>
        <x:v>245897.96690305317</x:v>
      </x:c>
      <x:c r="V326" s="1" t="n">
        <x:f>IF(I326&lt;=0,1001,IF(MAX('損益分岐設定'!B37,ROUNDUP(R326/I326,0))&lt;='損益分岐設定'!C37,MAX('損益分岐設定'!B37,ROUNDUP(R326/I326,0)),1001))</x:f>
        <x:v>1001</x:v>
      </x:c>
      <x:c r="W326" s="1" t="n">
        <x:f>IF(I326&lt;=0,1001,IF(MAX('損益分岐設定'!B38,ROUNDUP(S326/I326,0))&lt;='損益分岐設定'!C38,MAX('損益分岐設定'!B38,ROUNDUP(S326/I326,0)),1001))</x:f>
        <x:v>56</x:v>
      </x:c>
      <x:c r="X326" s="1" t="n">
        <x:f>IF(I326&lt;=0,1001,IF(MAX('損益分岐設定'!B39,ROUNDUP(T326/I326,0))&lt;='損益分岐設定'!C39,MAX('損益分岐設定'!B39,ROUNDUP(T326/I326,0)),1001))</x:f>
        <x:v>101</x:v>
      </x:c>
      <x:c r="Y326" s="1" t="n">
        <x:f>IF(I326&lt;=0,1001,IF(MAX('損益分岐設定'!B40,ROUNDUP(U326/I326,0))&lt;='損益分岐設定'!C40,MAX('損益分岐設定'!B40,ROUNDUP(U326/I326,0)),1001))</x:f>
        <x:v>501</x:v>
      </x:c>
      <x:c r="Z326" s="1" t="n">
        <x:f>IF(I326&lt;=0,'損益分岐設定'!C37,IF('損益分岐設定'!C37*I326-R326&lt;0,'損益分岐設定'!C37,IF('損益分岐設定'!B37*I326-R326&gt;=0,0,ROUNDUP(R326/I326,0)-1)))</x:f>
        <x:v>10</x:v>
      </x:c>
      <x:c r="AA326" s="1" t="n">
        <x:f>IF(I326&lt;=0,'損益分岐設定'!C38,IF('損益分岐設定'!C38*I326-S326&lt;0,'損益分岐設定'!C38,IF('損益分岐設定'!B38*I326-S326&gt;=0,0,ROUNDUP(S326/I326,0)-1)))</x:f>
        <x:v>55</x:v>
      </x:c>
      <x:c r="AB326" s="1" t="n">
        <x:f>IF(I326&lt;=0,'損益分岐設定'!C39,IF('損益分岐設定'!C39*I326-T326&lt;0,'損益分岐設定'!C39,IF('損益分岐設定'!B39*I326-T326&gt;=0,0,ROUNDUP(T326/I326,0)-1)))</x:f>
        <x:v>0</x:v>
      </x:c>
      <x:c r="AC326" s="1" t="n">
        <x:f>IF(I326&lt;=0,'損益分岐設定'!C40,IF('損益分岐設定'!C40*I326-U326&lt;0,'損益分岐設定'!C40,IF('損益分岐設定'!B40*I326-U326&gt;=0,0,ROUNDUP(U326/I326,0)-1)))</x:f>
        <x:v>0</x:v>
      </x:c>
      <x:c r="AD326" s="1" t="n">
        <x:v>1</x:v>
      </x:c>
      <x:c r="AE326" s="1" t="n">
        <x:v>0</x:v>
      </x:c>
      <x:c r="AF326" s="1" t="n">
        <x:v>0</x:v>
      </x:c>
      <x:c r="AG326" s="1" t="n">
        <x:f>AD326*'損益分岐設定'!$C$56+AE326*'損益分岐設定'!$C$59+AF326*'損益分岐設定'!$C$62</x:f>
        <x:v>66.35651235961915</x:v>
      </x:c>
      <x:c r="AH326" s="1" t="n">
        <x:f>AD326*'損益分岐設定'!$D$56+AE326*'損益分岐設定'!$D$59+AF326*'損益分岐設定'!$D$62</x:f>
        <x:v>7.5</x:v>
      </x:c>
      <x:c r="AI326" s="1" t="n">
        <x:f>AD326*'損益分岐設定'!$E$56+AE326*'損益分岐設定'!$E$59+AF326*'損益分岐設定'!$E$62</x:f>
        <x:v>5</x:v>
      </x:c>
      <x:c r="AJ326" s="1" t="n">
        <x:f>(AD326*'損益分岐設定'!$F$56+AE326*'損益分岐設定'!$F$59+AF326*'損益分岐設定'!$F$62*1)*'損益分岐設定'!$B$22</x:f>
        <x:v>7.5</x:v>
      </x:c>
      <x:c r="AK326" s="1" t="n">
        <x:f>AD326*'損益分岐設定'!$G$56+AE326*'損益分岐設定'!$G$59+AF326*'損益分岐設定'!$G$62</x:f>
        <x:v>25</x:v>
      </x:c>
      <x:c r="AL326" s="1" t="n">
        <x:f>AD326*'損益分岐設定'!$H$56+AE326*'損益分岐設定'!$H$59+AF326*'損益分岐設定'!$H$62</x:f>
        <x:v>233.33333333333334</x:v>
      </x:c>
      <x:c r="AM326" s="1" t="n">
        <x:f>MAX(1,ROUNDUP('損益分岐設定'!C37*AJ326/('損益分岐設定'!$B$23*'損益分岐設定'!$B$24*3600*'損益分岐設定'!$B$25),0))</x:f>
        <x:v>1</x:v>
      </x:c>
      <x:c r="AN326" s="1" t="n">
        <x:f>MAX(2,ROUNDUP('損益分岐設定'!C38*AJ326/('損益分岐設定'!$B$23*'損益分岐設定'!$B$24*3600*'損益分岐設定'!$B$25),0))</x:f>
        <x:v>2</x:v>
      </x:c>
      <x:c r="AO326" s="1" t="n">
        <x:f>MAX(2,ROUNDUP('損益分岐設定'!C39*AJ326/('損益分岐設定'!$B$23*'損益分岐設定'!$B$24*3600*'損益分岐設定'!$B$25),0))</x:f>
        <x:v>2</x:v>
      </x:c>
      <x:c r="AP326" s="1" t="n">
        <x:f>MAX(2,ROUNDUP('損益分岐設定'!C40*AJ326/('損益分岐設定'!$B$23*'損益分岐設定'!$B$24*3600*'損益分岐設定'!$B$25),0))</x:f>
        <x:v>2</x:v>
      </x:c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 ht="23" customHeight="1">
      <x:c r="A327" s="1" t="str">
        <x:v>VM</x:v>
      </x:c>
      <x:c r="B327" s="1" t="str">
        <x:v>Starter</x:v>
      </x:c>
      <x:c r="C327" s="1" t="str">
        <x:v>低位</x:v>
      </x:c>
      <x:c r="D327" s="21" t="n">
        <x:v>0.2</x:v>
      </x:c>
      <x:c r="E327" s="1" t="n">
        <x:v>0</x:v>
      </x:c>
      <x:c r="F327" s="7" t="n">
        <x:f>AD327*'損益分岐設定'!$B$5+AE327*'損益分岐設定'!$B$6+AF327*'損益分岐設定'!$B$7</x:f>
        <x:v>3000</x:v>
      </x:c>
      <x:c r="G327" s="7" t="n">
        <x:f>AG327+0+AK327*'損益分岐設定'!$B$33</x:f>
        <x:v>66.35679175639153</x:v>
      </x:c>
      <x:c r="H327" s="7" t="n">
        <x:f>AL327*E327</x:f>
        <x:v>0</x:v>
      </x:c>
      <x:c r="I327" s="7" t="n">
        <x:f>F327*(1-D327-'損益分岐設定'!$B$10)-G327-H327</x:f>
        <x:v>2225.6432082436086</x:v>
      </x:c>
      <x:c r="J327" s="1" t="n">
        <x:f>IF(MIN(V327:Y327)&gt;1000,"範囲内なし",MIN(V327:Y327))</x:f>
        <x:v>44</x:v>
      </x:c>
      <x:c r="K327" s="1" t="n">
        <x:f>IF(MAX(Z327:AC327)&gt;=1000,"範囲内なし",MAX(1,MAX(Z327:AC327)+1))</x:f>
        <x:v>44</x:v>
      </x:c>
      <x:c r="L327" s="7" t="n">
        <x:f>10*I327-R327</x:f>
        <x:v>-28502.75467878519</x:v>
      </x:c>
      <x:c r="M327" s="7" t="n">
        <x:f>30*I327-S327</x:f>
        <x:v>-30249.07727513429</x:v>
      </x:c>
      <x:c r="N327" s="7" t="n">
        <x:f>50*I327-S327</x:f>
        <x:v>14263.78688973788</x:v>
      </x:c>
      <x:c r="O327" s="7" t="n">
        <x:f>100*I327-S327</x:f>
        <x:v>125545.9473019183</x:v>
      </x:c>
      <x:c r="P327" s="7" t="n">
        <x:f>300*I327-T327</x:f>
        <x:v>570674.58895064</x:v>
      </x:c>
      <x:c r="Q327" s="7" t="n">
        <x:f>1000*I327-U327</x:f>
        <x:v>2107745.2413405553</x:v>
      </x:c>
      <x:c r="R327" s="7" t="n">
        <x:f>'損益分岐設定'!$B$18+'損益分岐設定'!$B$19+'損益分岐設定'!$B$20+'損益分岐設定'!E37+('損益分岐設定'!F37+2*'損益分岐設定'!G37+AM327)*('損益分岐設定'!$B$15+'損益分岐設定'!$B$16)+'損益分岐設定'!$B$17+'損益分岐設定'!$B$21+E327*'損益分岐設定'!H37*'損益分岐設定'!$B$11</x:f>
        <x:v>50759.18676122127</x:v>
      </x:c>
      <x:c r="S327" s="7" t="n">
        <x:f>'損益分岐設定'!$B$18+'損益分岐設定'!$B$19+'損益分岐設定'!$B$20+'損益分岐設定'!E38+('損益分岐設定'!F38+2*'損益分岐設定'!G38+AN327)*('損益分岐設定'!$B$15+'損益分岐設定'!$B$16)+'損益分岐設定'!$B$17+'損益分岐設定'!$B$21+E327*'損益分岐設定'!H38*'損益分岐設定'!$B$11</x:f>
        <x:v>97018.37352244255</x:v>
      </x:c>
      <x:c r="T327" s="7" t="n">
        <x:f>'損益分岐設定'!$B$18+'損益分岐設定'!$B$19+'損益分岐設定'!$B$20+'損益分岐設定'!E39+('損益分岐設定'!F39+2*'損益分岐設定'!G39+AO327)*('損益分岐設定'!$B$15+'損益分岐設定'!$B$16)+'損益分岐設定'!$B$17+'損益分岐設定'!$B$21+E327*'損益分岐設定'!H39*'損益分岐設定'!$B$11</x:f>
        <x:v>97018.37352244255</x:v>
      </x:c>
      <x:c r="U327" s="7" t="n">
        <x:f>'損益分岐設定'!$B$18+'損益分岐設定'!$B$19+'損益分岐設定'!$B$20+'損益分岐設定'!E40+('損益分岐設定'!F40+2*'損益分岐設定'!G40+AP327)*('損益分岐設定'!$B$15+'損益分岐設定'!$B$16)+'損益分岐設定'!$B$17+'損益分岐設定'!$B$21+E327*'損益分岐設定'!H40*'損益分岐設定'!$B$11</x:f>
        <x:v>117897.96690305318</x:v>
      </x:c>
      <x:c r="V327" s="1" t="n">
        <x:f>IF(I327&lt;=0,1001,IF(MAX('損益分岐設定'!B37,ROUNDUP(R327/I327,0))&lt;='損益分岐設定'!C37,MAX('損益分岐設定'!B37,ROUNDUP(R327/I327,0)),1001))</x:f>
        <x:v>1001</x:v>
      </x:c>
      <x:c r="W327" s="1" t="n">
        <x:f>IF(I327&lt;=0,1001,IF(MAX('損益分岐設定'!B38,ROUNDUP(S327/I327,0))&lt;='損益分岐設定'!C38,MAX('損益分岐設定'!B38,ROUNDUP(S327/I327,0)),1001))</x:f>
        <x:v>44</x:v>
      </x:c>
      <x:c r="X327" s="1" t="n">
        <x:f>IF(I327&lt;=0,1001,IF(MAX('損益分岐設定'!B39,ROUNDUP(T327/I327,0))&lt;='損益分岐設定'!C39,MAX('損益分岐設定'!B39,ROUNDUP(T327/I327,0)),1001))</x:f>
        <x:v>101</x:v>
      </x:c>
      <x:c r="Y327" s="1" t="n">
        <x:f>IF(I327&lt;=0,1001,IF(MAX('損益分岐設定'!B40,ROUNDUP(U327/I327,0))&lt;='損益分岐設定'!C40,MAX('損益分岐設定'!B40,ROUNDUP(U327/I327,0)),1001))</x:f>
        <x:v>501</x:v>
      </x:c>
      <x:c r="Z327" s="1" t="n">
        <x:f>IF(I327&lt;=0,'損益分岐設定'!C37,IF('損益分岐設定'!C37*I327-R327&lt;0,'損益分岐設定'!C37,IF('損益分岐設定'!B37*I327-R327&gt;=0,0,ROUNDUP(R327/I327,0)-1)))</x:f>
        <x:v>10</x:v>
      </x:c>
      <x:c r="AA327" s="1" t="n">
        <x:f>IF(I327&lt;=0,'損益分岐設定'!C38,IF('損益分岐設定'!C38*I327-S327&lt;0,'損益分岐設定'!C38,IF('損益分岐設定'!B38*I327-S327&gt;=0,0,ROUNDUP(S327/I327,0)-1)))</x:f>
        <x:v>43</x:v>
      </x:c>
      <x:c r="AB327" s="1" t="n">
        <x:f>IF(I327&lt;=0,'損益分岐設定'!C39,IF('損益分岐設定'!C39*I327-T327&lt;0,'損益分岐設定'!C39,IF('損益分岐設定'!B39*I327-T327&gt;=0,0,ROUNDUP(T327/I327,0)-1)))</x:f>
        <x:v>0</x:v>
      </x:c>
      <x:c r="AC327" s="1" t="n">
        <x:f>IF(I327&lt;=0,'損益分岐設定'!C40,IF('損益分岐設定'!C40*I327-U327&lt;0,'損益分岐設定'!C40,IF('損益分岐設定'!B40*I327-U327&gt;=0,0,ROUNDUP(U327/I327,0)-1)))</x:f>
        <x:v>0</x:v>
      </x:c>
      <x:c r="AD327" s="1" t="n">
        <x:v>1</x:v>
      </x:c>
      <x:c r="AE327" s="1" t="n">
        <x:v>0</x:v>
      </x:c>
      <x:c r="AF327" s="1" t="n">
        <x:v>0</x:v>
      </x:c>
      <x:c r="AG327" s="1" t="n">
        <x:f>AD327*'損益分岐設定'!$C$56+AE327*'損益分岐設定'!$C$59+AF327*'損益分岐設定'!$C$62</x:f>
        <x:v>66.35651235961915</x:v>
      </x:c>
      <x:c r="AH327" s="1" t="n">
        <x:f>AD327*'損益分岐設定'!$D$56+AE327*'損益分岐設定'!$D$59+AF327*'損益分岐設定'!$D$62</x:f>
        <x:v>7.5</x:v>
      </x:c>
      <x:c r="AI327" s="1" t="n">
        <x:f>AD327*'損益分岐設定'!$E$56+AE327*'損益分岐設定'!$E$59+AF327*'損益分岐設定'!$E$62</x:f>
        <x:v>5</x:v>
      </x:c>
      <x:c r="AJ327" s="1" t="n">
        <x:f>(AD327*'損益分岐設定'!$F$56+AE327*'損益分岐設定'!$F$59+AF327*'損益分岐設定'!$F$62*1)*'損益分岐設定'!$B$22</x:f>
        <x:v>7.5</x:v>
      </x:c>
      <x:c r="AK327" s="1" t="n">
        <x:f>AD327*'損益分岐設定'!$G$56+AE327*'損益分岐設定'!$G$59+AF327*'損益分岐設定'!$G$62</x:f>
        <x:v>25</x:v>
      </x:c>
      <x:c r="AL327" s="1" t="n">
        <x:f>AD327*'損益分岐設定'!$H$56+AE327*'損益分岐設定'!$H$59+AF327*'損益分岐設定'!$H$62</x:f>
        <x:v>233.33333333333334</x:v>
      </x:c>
      <x:c r="AM327" s="1" t="n">
        <x:f>MAX(1,ROUNDUP('損益分岐設定'!C37*AJ327/('損益分岐設定'!$B$23*'損益分岐設定'!$B$24*3600*'損益分岐設定'!$B$25),0))</x:f>
        <x:v>1</x:v>
      </x:c>
      <x:c r="AN327" s="1" t="n">
        <x:f>MAX(2,ROUNDUP('損益分岐設定'!C38*AJ327/('損益分岐設定'!$B$23*'損益分岐設定'!$B$24*3600*'損益分岐設定'!$B$25),0))</x:f>
        <x:v>2</x:v>
      </x:c>
      <x:c r="AO327" s="1" t="n">
        <x:f>MAX(2,ROUNDUP('損益分岐設定'!C39*AJ327/('損益分岐設定'!$B$23*'損益分岐設定'!$B$24*3600*'損益分岐設定'!$B$25),0))</x:f>
        <x:v>2</x:v>
      </x:c>
      <x:c r="AP327" s="1" t="n">
        <x:f>MAX(2,ROUNDUP('損益分岐設定'!C40*AJ327/('損益分岐設定'!$B$23*'損益分岐設定'!$B$24*3600*'損益分岐設定'!$B$25),0))</x:f>
        <x:v>2</x:v>
      </x:c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 ht="23" customHeight="1">
      <x:c r="A328" s="1" t="str">
        <x:v>VM</x:v>
      </x:c>
      <x:c r="B328" s="1" t="str">
        <x:v>Starter</x:v>
      </x:c>
      <x:c r="C328" s="1" t="str">
        <x:v>低位</x:v>
      </x:c>
      <x:c r="D328" s="21" t="n">
        <x:v>0.2</x:v>
      </x:c>
      <x:c r="E328" s="1" t="n">
        <x:v>1</x:v>
      </x:c>
      <x:c r="F328" s="7" t="n">
        <x:f>AD328*'損益分岐設定'!$B$5+AE328*'損益分岐設定'!$B$6+AF328*'損益分岐設定'!$B$7</x:f>
        <x:v>3000</x:v>
      </x:c>
      <x:c r="G328" s="7" t="n">
        <x:f>AG328+0+AK328*'損益分岐設定'!$B$33</x:f>
        <x:v>66.35679175639153</x:v>
      </x:c>
      <x:c r="H328" s="7" t="n">
        <x:f>AL328*E328</x:f>
        <x:v>233.33333333333334</x:v>
      </x:c>
      <x:c r="I328" s="7" t="n">
        <x:f>F328*(1-D328-'損益分岐設定'!$B$10)-G328-H328</x:f>
        <x:v>1992.3098749102753</x:v>
      </x:c>
      <x:c r="J328" s="1" t="n">
        <x:f>IF(MIN(V328:Y328)&gt;1000,"範囲内なし",MIN(V328:Y328))</x:f>
        <x:v>73</x:v>
      </x:c>
      <x:c r="K328" s="1" t="n">
        <x:f>IF(MAX(Z328:AC328)&gt;=1000,"範囲内なし",MAX(1,MAX(Z328:AC328)+1))</x:f>
        <x:v>73</x:v>
      </x:c>
      <x:c r="L328" s="7" t="n">
        <x:f>10*I328-R328</x:f>
        <x:v>-62836.08801211852</x:v>
      </x:c>
      <x:c r="M328" s="7" t="n">
        <x:f>30*I328-S328</x:f>
        <x:v>-85249.07727513427</x:v>
      </x:c>
      <x:c r="N328" s="7" t="n">
        <x:f>50*I328-S328</x:f>
        <x:v>-45402.87977692876</x:v>
      </x:c>
      <x:c r="O328" s="7" t="n">
        <x:f>100*I328-S328</x:f>
        <x:v>54212.61396858501</x:v>
      </x:c>
      <x:c r="P328" s="7" t="n">
        <x:f>300*I328-T328</x:f>
        <x:v>420674.58895064006</x:v>
      </x:c>
      <x:c r="Q328" s="7" t="n">
        <x:f>1000*I328-U328</x:f>
        <x:v>1746411.908007222</x:v>
      </x:c>
      <x:c r="R328" s="7" t="n">
        <x:f>'損益分岐設定'!$B$18+'損益分岐設定'!$B$19+'損益分岐設定'!$B$20+'損益分岐設定'!E37+('損益分岐設定'!F37+2*'損益分岐設定'!G37+AM328)*('損益分岐設定'!$B$15+'損益分岐設定'!$B$16)+'損益分岐設定'!$B$17+'損益分岐設定'!$B$21+E328*'損益分岐設定'!H37*'損益分岐設定'!$B$11</x:f>
        <x:v>82759.18676122127</x:v>
      </x:c>
      <x:c r="S328" s="7" t="n">
        <x:f>'損益分岐設定'!$B$18+'損益分岐設定'!$B$19+'損益分岐設定'!$B$20+'損益分岐設定'!E38+('損益分岐設定'!F38+2*'損益分岐設定'!G38+AN328)*('損益分岐設定'!$B$15+'損益分岐設定'!$B$16)+'損益分岐設定'!$B$17+'損益分岐設定'!$B$21+E328*'損益分岐設定'!H38*'損益分岐設定'!$B$11</x:f>
        <x:v>145018.37352244253</x:v>
      </x:c>
      <x:c r="T328" s="7" t="n">
        <x:f>'損益分岐設定'!$B$18+'損益分岐設定'!$B$19+'損益分岐設定'!$B$20+'損益分岐設定'!E39+('損益分岐設定'!F39+2*'損益分岐設定'!G39+AO328)*('損益分岐設定'!$B$15+'損益分岐設定'!$B$16)+'損益分岐設定'!$B$17+'損益分岐設定'!$B$21+E328*'損益分岐設定'!H39*'損益分岐設定'!$B$11</x:f>
        <x:v>177018.37352244253</x:v>
      </x:c>
      <x:c r="U328" s="7" t="n">
        <x:f>'損益分岐設定'!$B$18+'損益分岐設定'!$B$19+'損益分岐設定'!$B$20+'損益分岐設定'!E40+('損益分岐設定'!F40+2*'損益分岐設定'!G40+AP328)*('損益分岐設定'!$B$15+'損益分岐設定'!$B$16)+'損益分岐設定'!$B$17+'損益分岐設定'!$B$21+E328*'損益分岐設定'!H40*'損益分岐設定'!$B$11</x:f>
        <x:v>245897.96690305317</x:v>
      </x:c>
      <x:c r="V328" s="1" t="n">
        <x:f>IF(I328&lt;=0,1001,IF(MAX('損益分岐設定'!B37,ROUNDUP(R328/I328,0))&lt;='損益分岐設定'!C37,MAX('損益分岐設定'!B37,ROUNDUP(R328/I328,0)),1001))</x:f>
        <x:v>1001</x:v>
      </x:c>
      <x:c r="W328" s="1" t="n">
        <x:f>IF(I328&lt;=0,1001,IF(MAX('損益分岐設定'!B38,ROUNDUP(S328/I328,0))&lt;='損益分岐設定'!C38,MAX('損益分岐設定'!B38,ROUNDUP(S328/I328,0)),1001))</x:f>
        <x:v>73</x:v>
      </x:c>
      <x:c r="X328" s="1" t="n">
        <x:f>IF(I328&lt;=0,1001,IF(MAX('損益分岐設定'!B39,ROUNDUP(T328/I328,0))&lt;='損益分岐設定'!C39,MAX('損益分岐設定'!B39,ROUNDUP(T328/I328,0)),1001))</x:f>
        <x:v>101</x:v>
      </x:c>
      <x:c r="Y328" s="1" t="n">
        <x:f>IF(I328&lt;=0,1001,IF(MAX('損益分岐設定'!B40,ROUNDUP(U328/I328,0))&lt;='損益分岐設定'!C40,MAX('損益分岐設定'!B40,ROUNDUP(U328/I328,0)),1001))</x:f>
        <x:v>501</x:v>
      </x:c>
      <x:c r="Z328" s="1" t="n">
        <x:f>IF(I328&lt;=0,'損益分岐設定'!C37,IF('損益分岐設定'!C37*I328-R328&lt;0,'損益分岐設定'!C37,IF('損益分岐設定'!B37*I328-R328&gt;=0,0,ROUNDUP(R328/I328,0)-1)))</x:f>
        <x:v>10</x:v>
      </x:c>
      <x:c r="AA328" s="1" t="n">
        <x:f>IF(I328&lt;=0,'損益分岐設定'!C38,IF('損益分岐設定'!C38*I328-S328&lt;0,'損益分岐設定'!C38,IF('損益分岐設定'!B38*I328-S328&gt;=0,0,ROUNDUP(S328/I328,0)-1)))</x:f>
        <x:v>72</x:v>
      </x:c>
      <x:c r="AB328" s="1" t="n">
        <x:f>IF(I328&lt;=0,'損益分岐設定'!C39,IF('損益分岐設定'!C39*I328-T328&lt;0,'損益分岐設定'!C39,IF('損益分岐設定'!B39*I328-T328&gt;=0,0,ROUNDUP(T328/I328,0)-1)))</x:f>
        <x:v>0</x:v>
      </x:c>
      <x:c r="AC328" s="1" t="n">
        <x:f>IF(I328&lt;=0,'損益分岐設定'!C40,IF('損益分岐設定'!C40*I328-U328&lt;0,'損益分岐設定'!C40,IF('損益分岐設定'!B40*I328-U328&gt;=0,0,ROUNDUP(U328/I328,0)-1)))</x:f>
        <x:v>0</x:v>
      </x:c>
      <x:c r="AD328" s="1" t="n">
        <x:v>1</x:v>
      </x:c>
      <x:c r="AE328" s="1" t="n">
        <x:v>0</x:v>
      </x:c>
      <x:c r="AF328" s="1" t="n">
        <x:v>0</x:v>
      </x:c>
      <x:c r="AG328" s="1" t="n">
        <x:f>AD328*'損益分岐設定'!$C$56+AE328*'損益分岐設定'!$C$59+AF328*'損益分岐設定'!$C$62</x:f>
        <x:v>66.35651235961915</x:v>
      </x:c>
      <x:c r="AH328" s="1" t="n">
        <x:f>AD328*'損益分岐設定'!$D$56+AE328*'損益分岐設定'!$D$59+AF328*'損益分岐設定'!$D$62</x:f>
        <x:v>7.5</x:v>
      </x:c>
      <x:c r="AI328" s="1" t="n">
        <x:f>AD328*'損益分岐設定'!$E$56+AE328*'損益分岐設定'!$E$59+AF328*'損益分岐設定'!$E$62</x:f>
        <x:v>5</x:v>
      </x:c>
      <x:c r="AJ328" s="1" t="n">
        <x:f>(AD328*'損益分岐設定'!$F$56+AE328*'損益分岐設定'!$F$59+AF328*'損益分岐設定'!$F$62*1)*'損益分岐設定'!$B$22</x:f>
        <x:v>7.5</x:v>
      </x:c>
      <x:c r="AK328" s="1" t="n">
        <x:f>AD328*'損益分岐設定'!$G$56+AE328*'損益分岐設定'!$G$59+AF328*'損益分岐設定'!$G$62</x:f>
        <x:v>25</x:v>
      </x:c>
      <x:c r="AL328" s="1" t="n">
        <x:f>AD328*'損益分岐設定'!$H$56+AE328*'損益分岐設定'!$H$59+AF328*'損益分岐設定'!$H$62</x:f>
        <x:v>233.33333333333334</x:v>
      </x:c>
      <x:c r="AM328" s="1" t="n">
        <x:f>MAX(1,ROUNDUP('損益分岐設定'!C37*AJ328/('損益分岐設定'!$B$23*'損益分岐設定'!$B$24*3600*'損益分岐設定'!$B$25),0))</x:f>
        <x:v>1</x:v>
      </x:c>
      <x:c r="AN328" s="1" t="n">
        <x:f>MAX(2,ROUNDUP('損益分岐設定'!C38*AJ328/('損益分岐設定'!$B$23*'損益分岐設定'!$B$24*3600*'損益分岐設定'!$B$25),0))</x:f>
        <x:v>2</x:v>
      </x:c>
      <x:c r="AO328" s="1" t="n">
        <x:f>MAX(2,ROUNDUP('損益分岐設定'!C39*AJ328/('損益分岐設定'!$B$23*'損益分岐設定'!$B$24*3600*'損益分岐設定'!$B$25),0))</x:f>
        <x:v>2</x:v>
      </x:c>
      <x:c r="AP328" s="1" t="n">
        <x:f>MAX(2,ROUNDUP('損益分岐設定'!C40*AJ328/('損益分岐設定'!$B$23*'損益分岐設定'!$B$24*3600*'損益分岐設定'!$B$25),0))</x:f>
        <x:v>2</x:v>
      </x:c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 ht="23" customHeight="1">
      <x:c r="A329" s="1" t="str">
        <x:v>VM</x:v>
      </x:c>
      <x:c r="B329" s="1" t="str">
        <x:v>Starter</x:v>
      </x:c>
      <x:c r="C329" s="1" t="str">
        <x:v>低位</x:v>
      </x:c>
      <x:c r="D329" s="21" t="n">
        <x:v>0.3</x:v>
      </x:c>
      <x:c r="E329" s="1" t="n">
        <x:v>0</x:v>
      </x:c>
      <x:c r="F329" s="7" t="n">
        <x:f>AD329*'損益分岐設定'!$B$5+AE329*'損益分岐設定'!$B$6+AF329*'損益分岐設定'!$B$7</x:f>
        <x:v>3000</x:v>
      </x:c>
      <x:c r="G329" s="7" t="n">
        <x:f>AG329+0+AK329*'損益分岐設定'!$B$33</x:f>
        <x:v>66.35679175639153</x:v>
      </x:c>
      <x:c r="H329" s="7" t="n">
        <x:f>AL329*E329</x:f>
        <x:v>0</x:v>
      </x:c>
      <x:c r="I329" s="7" t="n">
        <x:f>F329*(1-D329-'損益分岐設定'!$B$10)-G329-H329</x:f>
        <x:v>1925.6432082436083</x:v>
      </x:c>
      <x:c r="J329" s="1" t="n">
        <x:f>IF(MIN(V329:Y329)&gt;1000,"範囲内なし",MIN(V329:Y329))</x:f>
        <x:v>51</x:v>
      </x:c>
      <x:c r="K329" s="1" t="n">
        <x:f>IF(MAX(Z329:AC329)&gt;=1000,"範囲内なし",MAX(1,MAX(Z329:AC329)+1))</x:f>
        <x:v>51</x:v>
      </x:c>
      <x:c r="L329" s="7" t="n">
        <x:f>10*I329-R329</x:f>
        <x:v>-31502.75467878519</x:v>
      </x:c>
      <x:c r="M329" s="7" t="n">
        <x:f>30*I329-S329</x:f>
        <x:v>-39249.077275134296</x:v>
      </x:c>
      <x:c r="N329" s="7" t="n">
        <x:f>50*I329-S329</x:f>
        <x:v>-736.2131102621352</x:v>
      </x:c>
      <x:c r="O329" s="7" t="n">
        <x:f>100*I329-S329</x:f>
        <x:v>95545.94730191828</x:v>
      </x:c>
      <x:c r="P329" s="7" t="n">
        <x:f>300*I329-T329</x:f>
        <x:v>480674.58895063994</x:v>
      </x:c>
      <x:c r="Q329" s="7" t="n">
        <x:f>1000*I329-U329</x:f>
        <x:v>1807745.241340555</x:v>
      </x:c>
      <x:c r="R329" s="7" t="n">
        <x:f>'損益分岐設定'!$B$18+'損益分岐設定'!$B$19+'損益分岐設定'!$B$20+'損益分岐設定'!E37+('損益分岐設定'!F37+2*'損益分岐設定'!G37+AM329)*('損益分岐設定'!$B$15+'損益分岐設定'!$B$16)+'損益分岐設定'!$B$17+'損益分岐設定'!$B$21+E329*'損益分岐設定'!H37*'損益分岐設定'!$B$11</x:f>
        <x:v>50759.18676122127</x:v>
      </x:c>
      <x:c r="S329" s="7" t="n">
        <x:f>'損益分岐設定'!$B$18+'損益分岐設定'!$B$19+'損益分岐設定'!$B$20+'損益分岐設定'!E38+('損益分岐設定'!F38+2*'損益分岐設定'!G38+AN329)*('損益分岐設定'!$B$15+'損益分岐設定'!$B$16)+'損益分岐設定'!$B$17+'損益分岐設定'!$B$21+E329*'損益分岐設定'!H38*'損益分岐設定'!$B$11</x:f>
        <x:v>97018.37352244255</x:v>
      </x:c>
      <x:c r="T329" s="7" t="n">
        <x:f>'損益分岐設定'!$B$18+'損益分岐設定'!$B$19+'損益分岐設定'!$B$20+'損益分岐設定'!E39+('損益分岐設定'!F39+2*'損益分岐設定'!G39+AO329)*('損益分岐設定'!$B$15+'損益分岐設定'!$B$16)+'損益分岐設定'!$B$17+'損益分岐設定'!$B$21+E329*'損益分岐設定'!H39*'損益分岐設定'!$B$11</x:f>
        <x:v>97018.37352244255</x:v>
      </x:c>
      <x:c r="U329" s="7" t="n">
        <x:f>'損益分岐設定'!$B$18+'損益分岐設定'!$B$19+'損益分岐設定'!$B$20+'損益分岐設定'!E40+('損益分岐設定'!F40+2*'損益分岐設定'!G40+AP329)*('損益分岐設定'!$B$15+'損益分岐設定'!$B$16)+'損益分岐設定'!$B$17+'損益分岐設定'!$B$21+E329*'損益分岐設定'!H40*'損益分岐設定'!$B$11</x:f>
        <x:v>117897.96690305318</x:v>
      </x:c>
      <x:c r="V329" s="1" t="n">
        <x:f>IF(I329&lt;=0,1001,IF(MAX('損益分岐設定'!B37,ROUNDUP(R329/I329,0))&lt;='損益分岐設定'!C37,MAX('損益分岐設定'!B37,ROUNDUP(R329/I329,0)),1001))</x:f>
        <x:v>1001</x:v>
      </x:c>
      <x:c r="W329" s="1" t="n">
        <x:f>IF(I329&lt;=0,1001,IF(MAX('損益分岐設定'!B38,ROUNDUP(S329/I329,0))&lt;='損益分岐設定'!C38,MAX('損益分岐設定'!B38,ROUNDUP(S329/I329,0)),1001))</x:f>
        <x:v>51</x:v>
      </x:c>
      <x:c r="X329" s="1" t="n">
        <x:f>IF(I329&lt;=0,1001,IF(MAX('損益分岐設定'!B39,ROUNDUP(T329/I329,0))&lt;='損益分岐設定'!C39,MAX('損益分岐設定'!B39,ROUNDUP(T329/I329,0)),1001))</x:f>
        <x:v>101</x:v>
      </x:c>
      <x:c r="Y329" s="1" t="n">
        <x:f>IF(I329&lt;=0,1001,IF(MAX('損益分岐設定'!B40,ROUNDUP(U329/I329,0))&lt;='損益分岐設定'!C40,MAX('損益分岐設定'!B40,ROUNDUP(U329/I329,0)),1001))</x:f>
        <x:v>501</x:v>
      </x:c>
      <x:c r="Z329" s="1" t="n">
        <x:f>IF(I329&lt;=0,'損益分岐設定'!C37,IF('損益分岐設定'!C37*I329-R329&lt;0,'損益分岐設定'!C37,IF('損益分岐設定'!B37*I329-R329&gt;=0,0,ROUNDUP(R329/I329,0)-1)))</x:f>
        <x:v>10</x:v>
      </x:c>
      <x:c r="AA329" s="1" t="n">
        <x:f>IF(I329&lt;=0,'損益分岐設定'!C38,IF('損益分岐設定'!C38*I329-S329&lt;0,'損益分岐設定'!C38,IF('損益分岐設定'!B38*I329-S329&gt;=0,0,ROUNDUP(S329/I329,0)-1)))</x:f>
        <x:v>50</x:v>
      </x:c>
      <x:c r="AB329" s="1" t="n">
        <x:f>IF(I329&lt;=0,'損益分岐設定'!C39,IF('損益分岐設定'!C39*I329-T329&lt;0,'損益分岐設定'!C39,IF('損益分岐設定'!B39*I329-T329&gt;=0,0,ROUNDUP(T329/I329,0)-1)))</x:f>
        <x:v>0</x:v>
      </x:c>
      <x:c r="AC329" s="1" t="n">
        <x:f>IF(I329&lt;=0,'損益分岐設定'!C40,IF('損益分岐設定'!C40*I329-U329&lt;0,'損益分岐設定'!C40,IF('損益分岐設定'!B40*I329-U329&gt;=0,0,ROUNDUP(U329/I329,0)-1)))</x:f>
        <x:v>0</x:v>
      </x:c>
      <x:c r="AD329" s="1" t="n">
        <x:v>1</x:v>
      </x:c>
      <x:c r="AE329" s="1" t="n">
        <x:v>0</x:v>
      </x:c>
      <x:c r="AF329" s="1" t="n">
        <x:v>0</x:v>
      </x:c>
      <x:c r="AG329" s="1" t="n">
        <x:f>AD329*'損益分岐設定'!$C$56+AE329*'損益分岐設定'!$C$59+AF329*'損益分岐設定'!$C$62</x:f>
        <x:v>66.35651235961915</x:v>
      </x:c>
      <x:c r="AH329" s="1" t="n">
        <x:f>AD329*'損益分岐設定'!$D$56+AE329*'損益分岐設定'!$D$59+AF329*'損益分岐設定'!$D$62</x:f>
        <x:v>7.5</x:v>
      </x:c>
      <x:c r="AI329" s="1" t="n">
        <x:f>AD329*'損益分岐設定'!$E$56+AE329*'損益分岐設定'!$E$59+AF329*'損益分岐設定'!$E$62</x:f>
        <x:v>5</x:v>
      </x:c>
      <x:c r="AJ329" s="1" t="n">
        <x:f>(AD329*'損益分岐設定'!$F$56+AE329*'損益分岐設定'!$F$59+AF329*'損益分岐設定'!$F$62*1)*'損益分岐設定'!$B$22</x:f>
        <x:v>7.5</x:v>
      </x:c>
      <x:c r="AK329" s="1" t="n">
        <x:f>AD329*'損益分岐設定'!$G$56+AE329*'損益分岐設定'!$G$59+AF329*'損益分岐設定'!$G$62</x:f>
        <x:v>25</x:v>
      </x:c>
      <x:c r="AL329" s="1" t="n">
        <x:f>AD329*'損益分岐設定'!$H$56+AE329*'損益分岐設定'!$H$59+AF329*'損益分岐設定'!$H$62</x:f>
        <x:v>233.33333333333334</x:v>
      </x:c>
      <x:c r="AM329" s="1" t="n">
        <x:f>MAX(1,ROUNDUP('損益分岐設定'!C37*AJ329/('損益分岐設定'!$B$23*'損益分岐設定'!$B$24*3600*'損益分岐設定'!$B$25),0))</x:f>
        <x:v>1</x:v>
      </x:c>
      <x:c r="AN329" s="1" t="n">
        <x:f>MAX(2,ROUNDUP('損益分岐設定'!C38*AJ329/('損益分岐設定'!$B$23*'損益分岐設定'!$B$24*3600*'損益分岐設定'!$B$25),0))</x:f>
        <x:v>2</x:v>
      </x:c>
      <x:c r="AO329" s="1" t="n">
        <x:f>MAX(2,ROUNDUP('損益分岐設定'!C39*AJ329/('損益分岐設定'!$B$23*'損益分岐設定'!$B$24*3600*'損益分岐設定'!$B$25),0))</x:f>
        <x:v>2</x:v>
      </x:c>
      <x:c r="AP329" s="1" t="n">
        <x:f>MAX(2,ROUNDUP('損益分岐設定'!C40*AJ329/('損益分岐設定'!$B$23*'損益分岐設定'!$B$24*3600*'損益分岐設定'!$B$25),0))</x:f>
        <x:v>2</x:v>
      </x:c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 ht="23" customHeight="1">
      <x:c r="A330" s="1" t="str">
        <x:v>VM</x:v>
      </x:c>
      <x:c r="B330" s="1" t="str">
        <x:v>Starter</x:v>
      </x:c>
      <x:c r="C330" s="1" t="str">
        <x:v>低位</x:v>
      </x:c>
      <x:c r="D330" s="21" t="n">
        <x:v>0.3</x:v>
      </x:c>
      <x:c r="E330" s="1" t="n">
        <x:v>1</x:v>
      </x:c>
      <x:c r="F330" s="7" t="n">
        <x:f>AD330*'損益分岐設定'!$B$5+AE330*'損益分岐設定'!$B$6+AF330*'損益分岐設定'!$B$7</x:f>
        <x:v>3000</x:v>
      </x:c>
      <x:c r="G330" s="7" t="n">
        <x:f>AG330+0+AK330*'損益分岐設定'!$B$33</x:f>
        <x:v>66.35679175639153</x:v>
      </x:c>
      <x:c r="H330" s="7" t="n">
        <x:f>AL330*E330</x:f>
        <x:v>233.33333333333334</x:v>
      </x:c>
      <x:c r="I330" s="7" t="n">
        <x:f>F330*(1-D330-'損益分岐設定'!$B$10)-G330-H330</x:f>
        <x:v>1692.309874910275</x:v>
      </x:c>
      <x:c r="J330" s="1" t="n">
        <x:f>IF(MIN(V330:Y330)&gt;1000,"範囲内なし",MIN(V330:Y330))</x:f>
        <x:v>86</x:v>
      </x:c>
      <x:c r="K330" s="1" t="n">
        <x:f>IF(MAX(Z330:AC330)&gt;=1000,"範囲内なし",MAX(1,MAX(Z330:AC330)+1))</x:f>
        <x:v>105</x:v>
      </x:c>
      <x:c r="L330" s="7" t="n">
        <x:f>10*I330-R330</x:f>
        <x:v>-65836.08801211852</x:v>
      </x:c>
      <x:c r="M330" s="7" t="n">
        <x:f>30*I330-S330</x:f>
        <x:v>-94249.07727513427</x:v>
      </x:c>
      <x:c r="N330" s="7" t="n">
        <x:f>50*I330-S330</x:f>
        <x:v>-60402.87977692878</x:v>
      </x:c>
      <x:c r="O330" s="7" t="n">
        <x:f>100*I330-S330</x:f>
        <x:v>24212.613968584978</x:v>
      </x:c>
      <x:c r="P330" s="7" t="n">
        <x:f>300*I330-T330</x:f>
        <x:v>330674.58895064</x:v>
      </x:c>
      <x:c r="Q330" s="7" t="n">
        <x:f>1000*I330-U330</x:f>
        <x:v>1446411.9080072218</x:v>
      </x:c>
      <x:c r="R330" s="7" t="n">
        <x:f>'損益分岐設定'!$B$18+'損益分岐設定'!$B$19+'損益分岐設定'!$B$20+'損益分岐設定'!E37+('損益分岐設定'!F37+2*'損益分岐設定'!G37+AM330)*('損益分岐設定'!$B$15+'損益分岐設定'!$B$16)+'損益分岐設定'!$B$17+'損益分岐設定'!$B$21+E330*'損益分岐設定'!H37*'損益分岐設定'!$B$11</x:f>
        <x:v>82759.18676122127</x:v>
      </x:c>
      <x:c r="S330" s="7" t="n">
        <x:f>'損益分岐設定'!$B$18+'損益分岐設定'!$B$19+'損益分岐設定'!$B$20+'損益分岐設定'!E38+('損益分岐設定'!F38+2*'損益分岐設定'!G38+AN330)*('損益分岐設定'!$B$15+'損益分岐設定'!$B$16)+'損益分岐設定'!$B$17+'損益分岐設定'!$B$21+E330*'損益分岐設定'!H38*'損益分岐設定'!$B$11</x:f>
        <x:v>145018.37352244253</x:v>
      </x:c>
      <x:c r="T330" s="7" t="n">
        <x:f>'損益分岐設定'!$B$18+'損益分岐設定'!$B$19+'損益分岐設定'!$B$20+'損益分岐設定'!E39+('損益分岐設定'!F39+2*'損益分岐設定'!G39+AO330)*('損益分岐設定'!$B$15+'損益分岐設定'!$B$16)+'損益分岐設定'!$B$17+'損益分岐設定'!$B$21+E330*'損益分岐設定'!H39*'損益分岐設定'!$B$11</x:f>
        <x:v>177018.37352244253</x:v>
      </x:c>
      <x:c r="U330" s="7" t="n">
        <x:f>'損益分岐設定'!$B$18+'損益分岐設定'!$B$19+'損益分岐設定'!$B$20+'損益分岐設定'!E40+('損益分岐設定'!F40+2*'損益分岐設定'!G40+AP330)*('損益分岐設定'!$B$15+'損益分岐設定'!$B$16)+'損益分岐設定'!$B$17+'損益分岐設定'!$B$21+E330*'損益分岐設定'!H40*'損益分岐設定'!$B$11</x:f>
        <x:v>245897.96690305317</x:v>
      </x:c>
      <x:c r="V330" s="1" t="n">
        <x:f>IF(I330&lt;=0,1001,IF(MAX('損益分岐設定'!B37,ROUNDUP(R330/I330,0))&lt;='損益分岐設定'!C37,MAX('損益分岐設定'!B37,ROUNDUP(R330/I330,0)),1001))</x:f>
        <x:v>1001</x:v>
      </x:c>
      <x:c r="W330" s="1" t="n">
        <x:f>IF(I330&lt;=0,1001,IF(MAX('損益分岐設定'!B38,ROUNDUP(S330/I330,0))&lt;='損益分岐設定'!C38,MAX('損益分岐設定'!B38,ROUNDUP(S330/I330,0)),1001))</x:f>
        <x:v>86</x:v>
      </x:c>
      <x:c r="X330" s="1" t="n">
        <x:f>IF(I330&lt;=0,1001,IF(MAX('損益分岐設定'!B39,ROUNDUP(T330/I330,0))&lt;='損益分岐設定'!C39,MAX('損益分岐設定'!B39,ROUNDUP(T330/I330,0)),1001))</x:f>
        <x:v>105</x:v>
      </x:c>
      <x:c r="Y330" s="1" t="n">
        <x:f>IF(I330&lt;=0,1001,IF(MAX('損益分岐設定'!B40,ROUNDUP(U330/I330,0))&lt;='損益分岐設定'!C40,MAX('損益分岐設定'!B40,ROUNDUP(U330/I330,0)),1001))</x:f>
        <x:v>501</x:v>
      </x:c>
      <x:c r="Z330" s="1" t="n">
        <x:f>IF(I330&lt;=0,'損益分岐設定'!C37,IF('損益分岐設定'!C37*I330-R330&lt;0,'損益分岐設定'!C37,IF('損益分岐設定'!B37*I330-R330&gt;=0,0,ROUNDUP(R330/I330,0)-1)))</x:f>
        <x:v>10</x:v>
      </x:c>
      <x:c r="AA330" s="1" t="n">
        <x:f>IF(I330&lt;=0,'損益分岐設定'!C38,IF('損益分岐設定'!C38*I330-S330&lt;0,'損益分岐設定'!C38,IF('損益分岐設定'!B38*I330-S330&gt;=0,0,ROUNDUP(S330/I330,0)-1)))</x:f>
        <x:v>85</x:v>
      </x:c>
      <x:c r="AB330" s="1" t="n">
        <x:f>IF(I330&lt;=0,'損益分岐設定'!C39,IF('損益分岐設定'!C39*I330-T330&lt;0,'損益分岐設定'!C39,IF('損益分岐設定'!B39*I330-T330&gt;=0,0,ROUNDUP(T330/I330,0)-1)))</x:f>
        <x:v>104</x:v>
      </x:c>
      <x:c r="AC330" s="1" t="n">
        <x:f>IF(I330&lt;=0,'損益分岐設定'!C40,IF('損益分岐設定'!C40*I330-U330&lt;0,'損益分岐設定'!C40,IF('損益分岐設定'!B40*I330-U330&gt;=0,0,ROUNDUP(U330/I330,0)-1)))</x:f>
        <x:v>0</x:v>
      </x:c>
      <x:c r="AD330" s="1" t="n">
        <x:v>1</x:v>
      </x:c>
      <x:c r="AE330" s="1" t="n">
        <x:v>0</x:v>
      </x:c>
      <x:c r="AF330" s="1" t="n">
        <x:v>0</x:v>
      </x:c>
      <x:c r="AG330" s="1" t="n">
        <x:f>AD330*'損益分岐設定'!$C$56+AE330*'損益分岐設定'!$C$59+AF330*'損益分岐設定'!$C$62</x:f>
        <x:v>66.35651235961915</x:v>
      </x:c>
      <x:c r="AH330" s="1" t="n">
        <x:f>AD330*'損益分岐設定'!$D$56+AE330*'損益分岐設定'!$D$59+AF330*'損益分岐設定'!$D$62</x:f>
        <x:v>7.5</x:v>
      </x:c>
      <x:c r="AI330" s="1" t="n">
        <x:f>AD330*'損益分岐設定'!$E$56+AE330*'損益分岐設定'!$E$59+AF330*'損益分岐設定'!$E$62</x:f>
        <x:v>5</x:v>
      </x:c>
      <x:c r="AJ330" s="1" t="n">
        <x:f>(AD330*'損益分岐設定'!$F$56+AE330*'損益分岐設定'!$F$59+AF330*'損益分岐設定'!$F$62*1)*'損益分岐設定'!$B$22</x:f>
        <x:v>7.5</x:v>
      </x:c>
      <x:c r="AK330" s="1" t="n">
        <x:f>AD330*'損益分岐設定'!$G$56+AE330*'損益分岐設定'!$G$59+AF330*'損益分岐設定'!$G$62</x:f>
        <x:v>25</x:v>
      </x:c>
      <x:c r="AL330" s="1" t="n">
        <x:f>AD330*'損益分岐設定'!$H$56+AE330*'損益分岐設定'!$H$59+AF330*'損益分岐設定'!$H$62</x:f>
        <x:v>233.33333333333334</x:v>
      </x:c>
      <x:c r="AM330" s="1" t="n">
        <x:f>MAX(1,ROUNDUP('損益分岐設定'!C37*AJ330/('損益分岐設定'!$B$23*'損益分岐設定'!$B$24*3600*'損益分岐設定'!$B$25),0))</x:f>
        <x:v>1</x:v>
      </x:c>
      <x:c r="AN330" s="1" t="n">
        <x:f>MAX(2,ROUNDUP('損益分岐設定'!C38*AJ330/('損益分岐設定'!$B$23*'損益分岐設定'!$B$24*3600*'損益分岐設定'!$B$25),0))</x:f>
        <x:v>2</x:v>
      </x:c>
      <x:c r="AO330" s="1" t="n">
        <x:f>MAX(2,ROUNDUP('損益分岐設定'!C39*AJ330/('損益分岐設定'!$B$23*'損益分岐設定'!$B$24*3600*'損益分岐設定'!$B$25),0))</x:f>
        <x:v>2</x:v>
      </x:c>
      <x:c r="AP330" s="1" t="n">
        <x:f>MAX(2,ROUNDUP('損益分岐設定'!C40*AJ330/('損益分岐設定'!$B$23*'損益分岐設定'!$B$24*3600*'損益分岐設定'!$B$25),0))</x:f>
        <x:v>2</x:v>
      </x:c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 ht="23" customHeight="1">
      <x:c r="A331" s="1" t="str">
        <x:v>VM</x:v>
      </x:c>
      <x:c r="B331" s="1" t="str">
        <x:v>Starter</x:v>
      </x:c>
      <x:c r="C331" s="1" t="str">
        <x:v>低位</x:v>
      </x:c>
      <x:c r="D331" s="21" t="n">
        <x:v>0.4</x:v>
      </x:c>
      <x:c r="E331" s="1" t="n">
        <x:v>0</x:v>
      </x:c>
      <x:c r="F331" s="7" t="n">
        <x:f>AD331*'損益分岐設定'!$B$5+AE331*'損益分岐設定'!$B$6+AF331*'損益分岐設定'!$B$7</x:f>
        <x:v>3000</x:v>
      </x:c>
      <x:c r="G331" s="7" t="n">
        <x:f>AG331+0+AK331*'損益分岐設定'!$B$33</x:f>
        <x:v>66.35679175639153</x:v>
      </x:c>
      <x:c r="H331" s="7" t="n">
        <x:f>AL331*E331</x:f>
        <x:v>0</x:v>
      </x:c>
      <x:c r="I331" s="7" t="n">
        <x:f>F331*(1-D331-'損益分岐設定'!$B$10)-G331-H331</x:f>
        <x:v>1625.6432082436083</x:v>
      </x:c>
      <x:c r="J331" s="1" t="n">
        <x:f>IF(MIN(V331:Y331)&gt;1000,"範囲内なし",MIN(V331:Y331))</x:f>
        <x:v>60</x:v>
      </x:c>
      <x:c r="K331" s="1" t="n">
        <x:f>IF(MAX(Z331:AC331)&gt;=1000,"範囲内なし",MAX(1,MAX(Z331:AC331)+1))</x:f>
        <x:v>60</x:v>
      </x:c>
      <x:c r="L331" s="7" t="n">
        <x:f>10*I331-R331</x:f>
        <x:v>-34502.75467878519</x:v>
      </x:c>
      <x:c r="M331" s="7" t="n">
        <x:f>30*I331-S331</x:f>
        <x:v>-48249.077275134296</x:v>
      </x:c>
      <x:c r="N331" s="7" t="n">
        <x:f>50*I331-S331</x:f>
        <x:v>-15736.213110262135</x:v>
      </x:c>
      <x:c r="O331" s="7" t="n">
        <x:f>100*I331-S331</x:f>
        <x:v>65545.94730191828</x:v>
      </x:c>
      <x:c r="P331" s="7" t="n">
        <x:f>300*I331-T331</x:f>
        <x:v>390674.58895064</x:v>
      </x:c>
      <x:c r="Q331" s="7" t="n">
        <x:f>1000*I331-U331</x:f>
        <x:v>1507745.241340555</x:v>
      </x:c>
      <x:c r="R331" s="7" t="n">
        <x:f>'損益分岐設定'!$B$18+'損益分岐設定'!$B$19+'損益分岐設定'!$B$20+'損益分岐設定'!E37+('損益分岐設定'!F37+2*'損益分岐設定'!G37+AM331)*('損益分岐設定'!$B$15+'損益分岐設定'!$B$16)+'損益分岐設定'!$B$17+'損益分岐設定'!$B$21+E331*'損益分岐設定'!H37*'損益分岐設定'!$B$11</x:f>
        <x:v>50759.18676122127</x:v>
      </x:c>
      <x:c r="S331" s="7" t="n">
        <x:f>'損益分岐設定'!$B$18+'損益分岐設定'!$B$19+'損益分岐設定'!$B$20+'損益分岐設定'!E38+('損益分岐設定'!F38+2*'損益分岐設定'!G38+AN331)*('損益分岐設定'!$B$15+'損益分岐設定'!$B$16)+'損益分岐設定'!$B$17+'損益分岐設定'!$B$21+E331*'損益分岐設定'!H38*'損益分岐設定'!$B$11</x:f>
        <x:v>97018.37352244255</x:v>
      </x:c>
      <x:c r="T331" s="7" t="n">
        <x:f>'損益分岐設定'!$B$18+'損益分岐設定'!$B$19+'損益分岐設定'!$B$20+'損益分岐設定'!E39+('損益分岐設定'!F39+2*'損益分岐設定'!G39+AO331)*('損益分岐設定'!$B$15+'損益分岐設定'!$B$16)+'損益分岐設定'!$B$17+'損益分岐設定'!$B$21+E331*'損益分岐設定'!H39*'損益分岐設定'!$B$11</x:f>
        <x:v>97018.37352244255</x:v>
      </x:c>
      <x:c r="U331" s="7" t="n">
        <x:f>'損益分岐設定'!$B$18+'損益分岐設定'!$B$19+'損益分岐設定'!$B$20+'損益分岐設定'!E40+('損益分岐設定'!F40+2*'損益分岐設定'!G40+AP331)*('損益分岐設定'!$B$15+'損益分岐設定'!$B$16)+'損益分岐設定'!$B$17+'損益分岐設定'!$B$21+E331*'損益分岐設定'!H40*'損益分岐設定'!$B$11</x:f>
        <x:v>117897.96690305318</x:v>
      </x:c>
      <x:c r="V331" s="1" t="n">
        <x:f>IF(I331&lt;=0,1001,IF(MAX('損益分岐設定'!B37,ROUNDUP(R331/I331,0))&lt;='損益分岐設定'!C37,MAX('損益分岐設定'!B37,ROUNDUP(R331/I331,0)),1001))</x:f>
        <x:v>1001</x:v>
      </x:c>
      <x:c r="W331" s="1" t="n">
        <x:f>IF(I331&lt;=0,1001,IF(MAX('損益分岐設定'!B38,ROUNDUP(S331/I331,0))&lt;='損益分岐設定'!C38,MAX('損益分岐設定'!B38,ROUNDUP(S331/I331,0)),1001))</x:f>
        <x:v>60</x:v>
      </x:c>
      <x:c r="X331" s="1" t="n">
        <x:f>IF(I331&lt;=0,1001,IF(MAX('損益分岐設定'!B39,ROUNDUP(T331/I331,0))&lt;='損益分岐設定'!C39,MAX('損益分岐設定'!B39,ROUNDUP(T331/I331,0)),1001))</x:f>
        <x:v>101</x:v>
      </x:c>
      <x:c r="Y331" s="1" t="n">
        <x:f>IF(I331&lt;=0,1001,IF(MAX('損益分岐設定'!B40,ROUNDUP(U331/I331,0))&lt;='損益分岐設定'!C40,MAX('損益分岐設定'!B40,ROUNDUP(U331/I331,0)),1001))</x:f>
        <x:v>501</x:v>
      </x:c>
      <x:c r="Z331" s="1" t="n">
        <x:f>IF(I331&lt;=0,'損益分岐設定'!C37,IF('損益分岐設定'!C37*I331-R331&lt;0,'損益分岐設定'!C37,IF('損益分岐設定'!B37*I331-R331&gt;=0,0,ROUNDUP(R331/I331,0)-1)))</x:f>
        <x:v>10</x:v>
      </x:c>
      <x:c r="AA331" s="1" t="n">
        <x:f>IF(I331&lt;=0,'損益分岐設定'!C38,IF('損益分岐設定'!C38*I331-S331&lt;0,'損益分岐設定'!C38,IF('損益分岐設定'!B38*I331-S331&gt;=0,0,ROUNDUP(S331/I331,0)-1)))</x:f>
        <x:v>59</x:v>
      </x:c>
      <x:c r="AB331" s="1" t="n">
        <x:f>IF(I331&lt;=0,'損益分岐設定'!C39,IF('損益分岐設定'!C39*I331-T331&lt;0,'損益分岐設定'!C39,IF('損益分岐設定'!B39*I331-T331&gt;=0,0,ROUNDUP(T331/I331,0)-1)))</x:f>
        <x:v>0</x:v>
      </x:c>
      <x:c r="AC331" s="1" t="n">
        <x:f>IF(I331&lt;=0,'損益分岐設定'!C40,IF('損益分岐設定'!C40*I331-U331&lt;0,'損益分岐設定'!C40,IF('損益分岐設定'!B40*I331-U331&gt;=0,0,ROUNDUP(U331/I331,0)-1)))</x:f>
        <x:v>0</x:v>
      </x:c>
      <x:c r="AD331" s="1" t="n">
        <x:v>1</x:v>
      </x:c>
      <x:c r="AE331" s="1" t="n">
        <x:v>0</x:v>
      </x:c>
      <x:c r="AF331" s="1" t="n">
        <x:v>0</x:v>
      </x:c>
      <x:c r="AG331" s="1" t="n">
        <x:f>AD331*'損益分岐設定'!$C$56+AE331*'損益分岐設定'!$C$59+AF331*'損益分岐設定'!$C$62</x:f>
        <x:v>66.35651235961915</x:v>
      </x:c>
      <x:c r="AH331" s="1" t="n">
        <x:f>AD331*'損益分岐設定'!$D$56+AE331*'損益分岐設定'!$D$59+AF331*'損益分岐設定'!$D$62</x:f>
        <x:v>7.5</x:v>
      </x:c>
      <x:c r="AI331" s="1" t="n">
        <x:f>AD331*'損益分岐設定'!$E$56+AE331*'損益分岐設定'!$E$59+AF331*'損益分岐設定'!$E$62</x:f>
        <x:v>5</x:v>
      </x:c>
      <x:c r="AJ331" s="1" t="n">
        <x:f>(AD331*'損益分岐設定'!$F$56+AE331*'損益分岐設定'!$F$59+AF331*'損益分岐設定'!$F$62*1)*'損益分岐設定'!$B$22</x:f>
        <x:v>7.5</x:v>
      </x:c>
      <x:c r="AK331" s="1" t="n">
        <x:f>AD331*'損益分岐設定'!$G$56+AE331*'損益分岐設定'!$G$59+AF331*'損益分岐設定'!$G$62</x:f>
        <x:v>25</x:v>
      </x:c>
      <x:c r="AL331" s="1" t="n">
        <x:f>AD331*'損益分岐設定'!$H$56+AE331*'損益分岐設定'!$H$59+AF331*'損益分岐設定'!$H$62</x:f>
        <x:v>233.33333333333334</x:v>
      </x:c>
      <x:c r="AM331" s="1" t="n">
        <x:f>MAX(1,ROUNDUP('損益分岐設定'!C37*AJ331/('損益分岐設定'!$B$23*'損益分岐設定'!$B$24*3600*'損益分岐設定'!$B$25),0))</x:f>
        <x:v>1</x:v>
      </x:c>
      <x:c r="AN331" s="1" t="n">
        <x:f>MAX(2,ROUNDUP('損益分岐設定'!C38*AJ331/('損益分岐設定'!$B$23*'損益分岐設定'!$B$24*3600*'損益分岐設定'!$B$25),0))</x:f>
        <x:v>2</x:v>
      </x:c>
      <x:c r="AO331" s="1" t="n">
        <x:f>MAX(2,ROUNDUP('損益分岐設定'!C39*AJ331/('損益分岐設定'!$B$23*'損益分岐設定'!$B$24*3600*'損益分岐設定'!$B$25),0))</x:f>
        <x:v>2</x:v>
      </x:c>
      <x:c r="AP331" s="1" t="n">
        <x:f>MAX(2,ROUNDUP('損益分岐設定'!C40*AJ331/('損益分岐設定'!$B$23*'損益分岐設定'!$B$24*3600*'損益分岐設定'!$B$25),0))</x:f>
        <x:v>2</x:v>
      </x:c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 ht="23" customHeight="1">
      <x:c r="A332" s="1" t="str">
        <x:v>VM</x:v>
      </x:c>
      <x:c r="B332" s="1" t="str">
        <x:v>Starter</x:v>
      </x:c>
      <x:c r="C332" s="1" t="str">
        <x:v>低位</x:v>
      </x:c>
      <x:c r="D332" s="21" t="n">
        <x:v>0.4</x:v>
      </x:c>
      <x:c r="E332" s="1" t="n">
        <x:v>1</x:v>
      </x:c>
      <x:c r="F332" s="7" t="n">
        <x:f>AD332*'損益分岐設定'!$B$5+AE332*'損益分岐設定'!$B$6+AF332*'損益分岐設定'!$B$7</x:f>
        <x:v>3000</x:v>
      </x:c>
      <x:c r="G332" s="7" t="n">
        <x:f>AG332+0+AK332*'損益分岐設定'!$B$33</x:f>
        <x:v>66.35679175639153</x:v>
      </x:c>
      <x:c r="H332" s="7" t="n">
        <x:f>AL332*E332</x:f>
        <x:v>233.33333333333334</x:v>
      </x:c>
      <x:c r="I332" s="7" t="n">
        <x:f>F332*(1-D332-'損益分岐設定'!$B$10)-G332-H332</x:f>
        <x:v>1392.309874910275</x:v>
      </x:c>
      <x:c r="J332" s="1" t="n">
        <x:f>IF(MIN(V332:Y332)&gt;1000,"範囲内なし",MIN(V332:Y332))</x:f>
        <x:v>128</x:v>
      </x:c>
      <x:c r="K332" s="1" t="n">
        <x:f>IF(MAX(Z332:AC332)&gt;=1000,"範囲内なし",MAX(1,MAX(Z332:AC332)+1))</x:f>
        <x:v>128</x:v>
      </x:c>
      <x:c r="L332" s="7" t="n">
        <x:f>10*I332-R332</x:f>
        <x:v>-68836.08801211852</x:v>
      </x:c>
      <x:c r="M332" s="7" t="n">
        <x:f>30*I332-S332</x:f>
        <x:v>-103249.07727513427</x:v>
      </x:c>
      <x:c r="N332" s="7" t="n">
        <x:f>50*I332-S332</x:f>
        <x:v>-75402.87977692878</x:v>
      </x:c>
      <x:c r="O332" s="7" t="n">
        <x:f>100*I332-S332</x:f>
        <x:v>-5787.386031415022</x:v>
      </x:c>
      <x:c r="P332" s="7" t="n">
        <x:f>300*I332-T332</x:f>
        <x:v>240674.58895064</x:v>
      </x:c>
      <x:c r="Q332" s="7" t="n">
        <x:f>1000*I332-U332</x:f>
        <x:v>1146411.9080072218</x:v>
      </x:c>
      <x:c r="R332" s="7" t="n">
        <x:f>'損益分岐設定'!$B$18+'損益分岐設定'!$B$19+'損益分岐設定'!$B$20+'損益分岐設定'!E37+('損益分岐設定'!F37+2*'損益分岐設定'!G37+AM332)*('損益分岐設定'!$B$15+'損益分岐設定'!$B$16)+'損益分岐設定'!$B$17+'損益分岐設定'!$B$21+E332*'損益分岐設定'!H37*'損益分岐設定'!$B$11</x:f>
        <x:v>82759.18676122127</x:v>
      </x:c>
      <x:c r="S332" s="7" t="n">
        <x:f>'損益分岐設定'!$B$18+'損益分岐設定'!$B$19+'損益分岐設定'!$B$20+'損益分岐設定'!E38+('損益分岐設定'!F38+2*'損益分岐設定'!G38+AN332)*('損益分岐設定'!$B$15+'損益分岐設定'!$B$16)+'損益分岐設定'!$B$17+'損益分岐設定'!$B$21+E332*'損益分岐設定'!H38*'損益分岐設定'!$B$11</x:f>
        <x:v>145018.37352244253</x:v>
      </x:c>
      <x:c r="T332" s="7" t="n">
        <x:f>'損益分岐設定'!$B$18+'損益分岐設定'!$B$19+'損益分岐設定'!$B$20+'損益分岐設定'!E39+('損益分岐設定'!F39+2*'損益分岐設定'!G39+AO332)*('損益分岐設定'!$B$15+'損益分岐設定'!$B$16)+'損益分岐設定'!$B$17+'損益分岐設定'!$B$21+E332*'損益分岐設定'!H39*'損益分岐設定'!$B$11</x:f>
        <x:v>177018.37352244253</x:v>
      </x:c>
      <x:c r="U332" s="7" t="n">
        <x:f>'損益分岐設定'!$B$18+'損益分岐設定'!$B$19+'損益分岐設定'!$B$20+'損益分岐設定'!E40+('損益分岐設定'!F40+2*'損益分岐設定'!G40+AP332)*('損益分岐設定'!$B$15+'損益分岐設定'!$B$16)+'損益分岐設定'!$B$17+'損益分岐設定'!$B$21+E332*'損益分岐設定'!H40*'損益分岐設定'!$B$11</x:f>
        <x:v>245897.96690305317</x:v>
      </x:c>
      <x:c r="V332" s="1" t="n">
        <x:f>IF(I332&lt;=0,1001,IF(MAX('損益分岐設定'!B37,ROUNDUP(R332/I332,0))&lt;='損益分岐設定'!C37,MAX('損益分岐設定'!B37,ROUNDUP(R332/I332,0)),1001))</x:f>
        <x:v>1001</x:v>
      </x:c>
      <x:c r="W332" s="1" t="n">
        <x:f>IF(I332&lt;=0,1001,IF(MAX('損益分岐設定'!B38,ROUNDUP(S332/I332,0))&lt;='損益分岐設定'!C38,MAX('損益分岐設定'!B38,ROUNDUP(S332/I332,0)),1001))</x:f>
        <x:v>1001</x:v>
      </x:c>
      <x:c r="X332" s="1" t="n">
        <x:f>IF(I332&lt;=0,1001,IF(MAX('損益分岐設定'!B39,ROUNDUP(T332/I332,0))&lt;='損益分岐設定'!C39,MAX('損益分岐設定'!B39,ROUNDUP(T332/I332,0)),1001))</x:f>
        <x:v>128</x:v>
      </x:c>
      <x:c r="Y332" s="1" t="n">
        <x:f>IF(I332&lt;=0,1001,IF(MAX('損益分岐設定'!B40,ROUNDUP(U332/I332,0))&lt;='損益分岐設定'!C40,MAX('損益分岐設定'!B40,ROUNDUP(U332/I332,0)),1001))</x:f>
        <x:v>501</x:v>
      </x:c>
      <x:c r="Z332" s="1" t="n">
        <x:f>IF(I332&lt;=0,'損益分岐設定'!C37,IF('損益分岐設定'!C37*I332-R332&lt;0,'損益分岐設定'!C37,IF('損益分岐設定'!B37*I332-R332&gt;=0,0,ROUNDUP(R332/I332,0)-1)))</x:f>
        <x:v>10</x:v>
      </x:c>
      <x:c r="AA332" s="1" t="n">
        <x:f>IF(I332&lt;=0,'損益分岐設定'!C38,IF('損益分岐設定'!C38*I332-S332&lt;0,'損益分岐設定'!C38,IF('損益分岐設定'!B38*I332-S332&gt;=0,0,ROUNDUP(S332/I332,0)-1)))</x:f>
        <x:v>100</x:v>
      </x:c>
      <x:c r="AB332" s="1" t="n">
        <x:f>IF(I332&lt;=0,'損益分岐設定'!C39,IF('損益分岐設定'!C39*I332-T332&lt;0,'損益分岐設定'!C39,IF('損益分岐設定'!B39*I332-T332&gt;=0,0,ROUNDUP(T332/I332,0)-1)))</x:f>
        <x:v>127</x:v>
      </x:c>
      <x:c r="AC332" s="1" t="n">
        <x:f>IF(I332&lt;=0,'損益分岐設定'!C40,IF('損益分岐設定'!C40*I332-U332&lt;0,'損益分岐設定'!C40,IF('損益分岐設定'!B40*I332-U332&gt;=0,0,ROUNDUP(U332/I332,0)-1)))</x:f>
        <x:v>0</x:v>
      </x:c>
      <x:c r="AD332" s="1" t="n">
        <x:v>1</x:v>
      </x:c>
      <x:c r="AE332" s="1" t="n">
        <x:v>0</x:v>
      </x:c>
      <x:c r="AF332" s="1" t="n">
        <x:v>0</x:v>
      </x:c>
      <x:c r="AG332" s="1" t="n">
        <x:f>AD332*'損益分岐設定'!$C$56+AE332*'損益分岐設定'!$C$59+AF332*'損益分岐設定'!$C$62</x:f>
        <x:v>66.35651235961915</x:v>
      </x:c>
      <x:c r="AH332" s="1" t="n">
        <x:f>AD332*'損益分岐設定'!$D$56+AE332*'損益分岐設定'!$D$59+AF332*'損益分岐設定'!$D$62</x:f>
        <x:v>7.5</x:v>
      </x:c>
      <x:c r="AI332" s="1" t="n">
        <x:f>AD332*'損益分岐設定'!$E$56+AE332*'損益分岐設定'!$E$59+AF332*'損益分岐設定'!$E$62</x:f>
        <x:v>5</x:v>
      </x:c>
      <x:c r="AJ332" s="1" t="n">
        <x:f>(AD332*'損益分岐設定'!$F$56+AE332*'損益分岐設定'!$F$59+AF332*'損益分岐設定'!$F$62*1)*'損益分岐設定'!$B$22</x:f>
        <x:v>7.5</x:v>
      </x:c>
      <x:c r="AK332" s="1" t="n">
        <x:f>AD332*'損益分岐設定'!$G$56+AE332*'損益分岐設定'!$G$59+AF332*'損益分岐設定'!$G$62</x:f>
        <x:v>25</x:v>
      </x:c>
      <x:c r="AL332" s="1" t="n">
        <x:f>AD332*'損益分岐設定'!$H$56+AE332*'損益分岐設定'!$H$59+AF332*'損益分岐設定'!$H$62</x:f>
        <x:v>233.33333333333334</x:v>
      </x:c>
      <x:c r="AM332" s="1" t="n">
        <x:f>MAX(1,ROUNDUP('損益分岐設定'!C37*AJ332/('損益分岐設定'!$B$23*'損益分岐設定'!$B$24*3600*'損益分岐設定'!$B$25),0))</x:f>
        <x:v>1</x:v>
      </x:c>
      <x:c r="AN332" s="1" t="n">
        <x:f>MAX(2,ROUNDUP('損益分岐設定'!C38*AJ332/('損益分岐設定'!$B$23*'損益分岐設定'!$B$24*3600*'損益分岐設定'!$B$25),0))</x:f>
        <x:v>2</x:v>
      </x:c>
      <x:c r="AO332" s="1" t="n">
        <x:f>MAX(2,ROUNDUP('損益分岐設定'!C39*AJ332/('損益分岐設定'!$B$23*'損益分岐設定'!$B$24*3600*'損益分岐設定'!$B$25),0))</x:f>
        <x:v>2</x:v>
      </x:c>
      <x:c r="AP332" s="1" t="n">
        <x:f>MAX(2,ROUNDUP('損益分岐設定'!C40*AJ332/('損益分岐設定'!$B$23*'損益分岐設定'!$B$24*3600*'損益分岐設定'!$B$25),0))</x:f>
        <x:v>2</x:v>
      </x:c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 ht="23" customHeight="1">
      <x:c r="A333" s="1" t="str">
        <x:v>VM</x:v>
      </x:c>
      <x:c r="B333" s="1" t="str">
        <x:v>Starter</x:v>
      </x:c>
      <x:c r="C333" s="1" t="str">
        <x:v>低位</x:v>
      </x:c>
      <x:c r="D333" s="21" t="n">
        <x:v>0.5</x:v>
      </x:c>
      <x:c r="E333" s="1" t="n">
        <x:v>0</x:v>
      </x:c>
      <x:c r="F333" s="7" t="n">
        <x:f>AD333*'損益分岐設定'!$B$5+AE333*'損益分岐設定'!$B$6+AF333*'損益分岐設定'!$B$7</x:f>
        <x:v>3000</x:v>
      </x:c>
      <x:c r="G333" s="7" t="n">
        <x:f>AG333+0+AK333*'損益分岐設定'!$B$33</x:f>
        <x:v>66.35679175639153</x:v>
      </x:c>
      <x:c r="H333" s="7" t="n">
        <x:f>AL333*E333</x:f>
        <x:v>0</x:v>
      </x:c>
      <x:c r="I333" s="7" t="n">
        <x:f>F333*(1-D333-'損益分岐設定'!$B$10)-G333-H333</x:f>
        <x:v>1325.6432082436086</x:v>
      </x:c>
      <x:c r="J333" s="1" t="n">
        <x:f>IF(MIN(V333:Y333)&gt;1000,"範囲内なし",MIN(V333:Y333))</x:f>
        <x:v>74</x:v>
      </x:c>
      <x:c r="K333" s="1" t="n">
        <x:f>IF(MAX(Z333:AC333)&gt;=1000,"範囲内なし",MAX(1,MAX(Z333:AC333)+1))</x:f>
        <x:v>74</x:v>
      </x:c>
      <x:c r="L333" s="7" t="n">
        <x:f>10*I333-R333</x:f>
        <x:v>-37502.75467878519</x:v>
      </x:c>
      <x:c r="M333" s="7" t="n">
        <x:f>30*I333-S333</x:f>
        <x:v>-57249.07727513429</x:v>
      </x:c>
      <x:c r="N333" s="7" t="n">
        <x:f>50*I333-S333</x:f>
        <x:v>-30736.21311026212</x:v>
      </x:c>
      <x:c r="O333" s="7" t="n">
        <x:f>100*I333-S333</x:f>
        <x:v>35545.947301918306</x:v>
      </x:c>
      <x:c r="P333" s="7" t="n">
        <x:f>300*I333-T333</x:f>
        <x:v>300674.58895064006</x:v>
      </x:c>
      <x:c r="Q333" s="7" t="n">
        <x:f>1000*I333-U333</x:f>
        <x:v>1207745.2413405553</x:v>
      </x:c>
      <x:c r="R333" s="7" t="n">
        <x:f>'損益分岐設定'!$B$18+'損益分岐設定'!$B$19+'損益分岐設定'!$B$20+'損益分岐設定'!E37+('損益分岐設定'!F37+2*'損益分岐設定'!G37+AM333)*('損益分岐設定'!$B$15+'損益分岐設定'!$B$16)+'損益分岐設定'!$B$17+'損益分岐設定'!$B$21+E333*'損益分岐設定'!H37*'損益分岐設定'!$B$11</x:f>
        <x:v>50759.18676122127</x:v>
      </x:c>
      <x:c r="S333" s="7" t="n">
        <x:f>'損益分岐設定'!$B$18+'損益分岐設定'!$B$19+'損益分岐設定'!$B$20+'損益分岐設定'!E38+('損益分岐設定'!F38+2*'損益分岐設定'!G38+AN333)*('損益分岐設定'!$B$15+'損益分岐設定'!$B$16)+'損益分岐設定'!$B$17+'損益分岐設定'!$B$21+E333*'損益分岐設定'!H38*'損益分岐設定'!$B$11</x:f>
        <x:v>97018.37352244255</x:v>
      </x:c>
      <x:c r="T333" s="7" t="n">
        <x:f>'損益分岐設定'!$B$18+'損益分岐設定'!$B$19+'損益分岐設定'!$B$20+'損益分岐設定'!E39+('損益分岐設定'!F39+2*'損益分岐設定'!G39+AO333)*('損益分岐設定'!$B$15+'損益分岐設定'!$B$16)+'損益分岐設定'!$B$17+'損益分岐設定'!$B$21+E333*'損益分岐設定'!H39*'損益分岐設定'!$B$11</x:f>
        <x:v>97018.37352244255</x:v>
      </x:c>
      <x:c r="U333" s="7" t="n">
        <x:f>'損益分岐設定'!$B$18+'損益分岐設定'!$B$19+'損益分岐設定'!$B$20+'損益分岐設定'!E40+('損益分岐設定'!F40+2*'損益分岐設定'!G40+AP333)*('損益分岐設定'!$B$15+'損益分岐設定'!$B$16)+'損益分岐設定'!$B$17+'損益分岐設定'!$B$21+E333*'損益分岐設定'!H40*'損益分岐設定'!$B$11</x:f>
        <x:v>117897.96690305318</x:v>
      </x:c>
      <x:c r="V333" s="1" t="n">
        <x:f>IF(I333&lt;=0,1001,IF(MAX('損益分岐設定'!B37,ROUNDUP(R333/I333,0))&lt;='損益分岐設定'!C37,MAX('損益分岐設定'!B37,ROUNDUP(R333/I333,0)),1001))</x:f>
        <x:v>1001</x:v>
      </x:c>
      <x:c r="W333" s="1" t="n">
        <x:f>IF(I333&lt;=0,1001,IF(MAX('損益分岐設定'!B38,ROUNDUP(S333/I333,0))&lt;='損益分岐設定'!C38,MAX('損益分岐設定'!B38,ROUNDUP(S333/I333,0)),1001))</x:f>
        <x:v>74</x:v>
      </x:c>
      <x:c r="X333" s="1" t="n">
        <x:f>IF(I333&lt;=0,1001,IF(MAX('損益分岐設定'!B39,ROUNDUP(T333/I333,0))&lt;='損益分岐設定'!C39,MAX('損益分岐設定'!B39,ROUNDUP(T333/I333,0)),1001))</x:f>
        <x:v>101</x:v>
      </x:c>
      <x:c r="Y333" s="1" t="n">
        <x:f>IF(I333&lt;=0,1001,IF(MAX('損益分岐設定'!B40,ROUNDUP(U333/I333,0))&lt;='損益分岐設定'!C40,MAX('損益分岐設定'!B40,ROUNDUP(U333/I333,0)),1001))</x:f>
        <x:v>501</x:v>
      </x:c>
      <x:c r="Z333" s="1" t="n">
        <x:f>IF(I333&lt;=0,'損益分岐設定'!C37,IF('損益分岐設定'!C37*I333-R333&lt;0,'損益分岐設定'!C37,IF('損益分岐設定'!B37*I333-R333&gt;=0,0,ROUNDUP(R333/I333,0)-1)))</x:f>
        <x:v>10</x:v>
      </x:c>
      <x:c r="AA333" s="1" t="n">
        <x:f>IF(I333&lt;=0,'損益分岐設定'!C38,IF('損益分岐設定'!C38*I333-S333&lt;0,'損益分岐設定'!C38,IF('損益分岐設定'!B38*I333-S333&gt;=0,0,ROUNDUP(S333/I333,0)-1)))</x:f>
        <x:v>73</x:v>
      </x:c>
      <x:c r="AB333" s="1" t="n">
        <x:f>IF(I333&lt;=0,'損益分岐設定'!C39,IF('損益分岐設定'!C39*I333-T333&lt;0,'損益分岐設定'!C39,IF('損益分岐設定'!B39*I333-T333&gt;=0,0,ROUNDUP(T333/I333,0)-1)))</x:f>
        <x:v>0</x:v>
      </x:c>
      <x:c r="AC333" s="1" t="n">
        <x:f>IF(I333&lt;=0,'損益分岐設定'!C40,IF('損益分岐設定'!C40*I333-U333&lt;0,'損益分岐設定'!C40,IF('損益分岐設定'!B40*I333-U333&gt;=0,0,ROUNDUP(U333/I333,0)-1)))</x:f>
        <x:v>0</x:v>
      </x:c>
      <x:c r="AD333" s="1" t="n">
        <x:v>1</x:v>
      </x:c>
      <x:c r="AE333" s="1" t="n">
        <x:v>0</x:v>
      </x:c>
      <x:c r="AF333" s="1" t="n">
        <x:v>0</x:v>
      </x:c>
      <x:c r="AG333" s="1" t="n">
        <x:f>AD333*'損益分岐設定'!$C$56+AE333*'損益分岐設定'!$C$59+AF333*'損益分岐設定'!$C$62</x:f>
        <x:v>66.35651235961915</x:v>
      </x:c>
      <x:c r="AH333" s="1" t="n">
        <x:f>AD333*'損益分岐設定'!$D$56+AE333*'損益分岐設定'!$D$59+AF333*'損益分岐設定'!$D$62</x:f>
        <x:v>7.5</x:v>
      </x:c>
      <x:c r="AI333" s="1" t="n">
        <x:f>AD333*'損益分岐設定'!$E$56+AE333*'損益分岐設定'!$E$59+AF333*'損益分岐設定'!$E$62</x:f>
        <x:v>5</x:v>
      </x:c>
      <x:c r="AJ333" s="1" t="n">
        <x:f>(AD333*'損益分岐設定'!$F$56+AE333*'損益分岐設定'!$F$59+AF333*'損益分岐設定'!$F$62*1)*'損益分岐設定'!$B$22</x:f>
        <x:v>7.5</x:v>
      </x:c>
      <x:c r="AK333" s="1" t="n">
        <x:f>AD333*'損益分岐設定'!$G$56+AE333*'損益分岐設定'!$G$59+AF333*'損益分岐設定'!$G$62</x:f>
        <x:v>25</x:v>
      </x:c>
      <x:c r="AL333" s="1" t="n">
        <x:f>AD333*'損益分岐設定'!$H$56+AE333*'損益分岐設定'!$H$59+AF333*'損益分岐設定'!$H$62</x:f>
        <x:v>233.33333333333334</x:v>
      </x:c>
      <x:c r="AM333" s="1" t="n">
        <x:f>MAX(1,ROUNDUP('損益分岐設定'!C37*AJ333/('損益分岐設定'!$B$23*'損益分岐設定'!$B$24*3600*'損益分岐設定'!$B$25),0))</x:f>
        <x:v>1</x:v>
      </x:c>
      <x:c r="AN333" s="1" t="n">
        <x:f>MAX(2,ROUNDUP('損益分岐設定'!C38*AJ333/('損益分岐設定'!$B$23*'損益分岐設定'!$B$24*3600*'損益分岐設定'!$B$25),0))</x:f>
        <x:v>2</x:v>
      </x:c>
      <x:c r="AO333" s="1" t="n">
        <x:f>MAX(2,ROUNDUP('損益分岐設定'!C39*AJ333/('損益分岐設定'!$B$23*'損益分岐設定'!$B$24*3600*'損益分岐設定'!$B$25),0))</x:f>
        <x:v>2</x:v>
      </x:c>
      <x:c r="AP333" s="1" t="n">
        <x:f>MAX(2,ROUNDUP('損益分岐設定'!C40*AJ333/('損益分岐設定'!$B$23*'損益分岐設定'!$B$24*3600*'損益分岐設定'!$B$25),0))</x:f>
        <x:v>2</x:v>
      </x:c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 ht="23" customHeight="1">
      <x:c r="A334" s="1" t="str">
        <x:v>VM</x:v>
      </x:c>
      <x:c r="B334" s="1" t="str">
        <x:v>Starter</x:v>
      </x:c>
      <x:c r="C334" s="1" t="str">
        <x:v>低位</x:v>
      </x:c>
      <x:c r="D334" s="21" t="n">
        <x:v>0.5</x:v>
      </x:c>
      <x:c r="E334" s="1" t="n">
        <x:v>1</x:v>
      </x:c>
      <x:c r="F334" s="7" t="n">
        <x:f>AD334*'損益分岐設定'!$B$5+AE334*'損益分岐設定'!$B$6+AF334*'損益分岐設定'!$B$7</x:f>
        <x:v>3000</x:v>
      </x:c>
      <x:c r="G334" s="7" t="n">
        <x:f>AG334+0+AK334*'損益分岐設定'!$B$33</x:f>
        <x:v>66.35679175639153</x:v>
      </x:c>
      <x:c r="H334" s="7" t="n">
        <x:f>AL334*E334</x:f>
        <x:v>233.33333333333334</x:v>
      </x:c>
      <x:c r="I334" s="7" t="n">
        <x:f>F334*(1-D334-'損益分岐設定'!$B$10)-G334-H334</x:f>
        <x:v>1092.3098749102753</x:v>
      </x:c>
      <x:c r="J334" s="1" t="n">
        <x:f>IF(MIN(V334:Y334)&gt;1000,"範囲内なし",MIN(V334:Y334))</x:f>
        <x:v>163</x:v>
      </x:c>
      <x:c r="K334" s="1" t="n">
        <x:f>IF(MAX(Z334:AC334)&gt;=1000,"範囲内なし",MAX(1,MAX(Z334:AC334)+1))</x:f>
        <x:v>163</x:v>
      </x:c>
      <x:c r="L334" s="7" t="n">
        <x:f>10*I334-R334</x:f>
        <x:v>-71836.08801211852</x:v>
      </x:c>
      <x:c r="M334" s="7" t="n">
        <x:f>30*I334-S334</x:f>
        <x:v>-112249.07727513427</x:v>
      </x:c>
      <x:c r="N334" s="7" t="n">
        <x:f>50*I334-S334</x:f>
        <x:v>-90402.87977692878</x:v>
      </x:c>
      <x:c r="O334" s="7" t="n">
        <x:f>100*I334-S334</x:f>
        <x:v>-35787.38603141501</x:v>
      </x:c>
      <x:c r="P334" s="7" t="n">
        <x:f>300*I334-T334</x:f>
        <x:v>150674.58895064006</x:v>
      </x:c>
      <x:c r="Q334" s="7" t="n">
        <x:f>1000*I334-U334</x:f>
        <x:v>846411.908007222</x:v>
      </x:c>
      <x:c r="R334" s="7" t="n">
        <x:f>'損益分岐設定'!$B$18+'損益分岐設定'!$B$19+'損益分岐設定'!$B$20+'損益分岐設定'!E37+('損益分岐設定'!F37+2*'損益分岐設定'!G37+AM334)*('損益分岐設定'!$B$15+'損益分岐設定'!$B$16)+'損益分岐設定'!$B$17+'損益分岐設定'!$B$21+E334*'損益分岐設定'!H37*'損益分岐設定'!$B$11</x:f>
        <x:v>82759.18676122127</x:v>
      </x:c>
      <x:c r="S334" s="7" t="n">
        <x:f>'損益分岐設定'!$B$18+'損益分岐設定'!$B$19+'損益分岐設定'!$B$20+'損益分岐設定'!E38+('損益分岐設定'!F38+2*'損益分岐設定'!G38+AN334)*('損益分岐設定'!$B$15+'損益分岐設定'!$B$16)+'損益分岐設定'!$B$17+'損益分岐設定'!$B$21+E334*'損益分岐設定'!H38*'損益分岐設定'!$B$11</x:f>
        <x:v>145018.37352244253</x:v>
      </x:c>
      <x:c r="T334" s="7" t="n">
        <x:f>'損益分岐設定'!$B$18+'損益分岐設定'!$B$19+'損益分岐設定'!$B$20+'損益分岐設定'!E39+('損益分岐設定'!F39+2*'損益分岐設定'!G39+AO334)*('損益分岐設定'!$B$15+'損益分岐設定'!$B$16)+'損益分岐設定'!$B$17+'損益分岐設定'!$B$21+E334*'損益分岐設定'!H39*'損益分岐設定'!$B$11</x:f>
        <x:v>177018.37352244253</x:v>
      </x:c>
      <x:c r="U334" s="7" t="n">
        <x:f>'損益分岐設定'!$B$18+'損益分岐設定'!$B$19+'損益分岐設定'!$B$20+'損益分岐設定'!E40+('損益分岐設定'!F40+2*'損益分岐設定'!G40+AP334)*('損益分岐設定'!$B$15+'損益分岐設定'!$B$16)+'損益分岐設定'!$B$17+'損益分岐設定'!$B$21+E334*'損益分岐設定'!H40*'損益分岐設定'!$B$11</x:f>
        <x:v>245897.96690305317</x:v>
      </x:c>
      <x:c r="V334" s="1" t="n">
        <x:f>IF(I334&lt;=0,1001,IF(MAX('損益分岐設定'!B37,ROUNDUP(R334/I334,0))&lt;='損益分岐設定'!C37,MAX('損益分岐設定'!B37,ROUNDUP(R334/I334,0)),1001))</x:f>
        <x:v>1001</x:v>
      </x:c>
      <x:c r="W334" s="1" t="n">
        <x:f>IF(I334&lt;=0,1001,IF(MAX('損益分岐設定'!B38,ROUNDUP(S334/I334,0))&lt;='損益分岐設定'!C38,MAX('損益分岐設定'!B38,ROUNDUP(S334/I334,0)),1001))</x:f>
        <x:v>1001</x:v>
      </x:c>
      <x:c r="X334" s="1" t="n">
        <x:f>IF(I334&lt;=0,1001,IF(MAX('損益分岐設定'!B39,ROUNDUP(T334/I334,0))&lt;='損益分岐設定'!C39,MAX('損益分岐設定'!B39,ROUNDUP(T334/I334,0)),1001))</x:f>
        <x:v>163</x:v>
      </x:c>
      <x:c r="Y334" s="1" t="n">
        <x:f>IF(I334&lt;=0,1001,IF(MAX('損益分岐設定'!B40,ROUNDUP(U334/I334,0))&lt;='損益分岐設定'!C40,MAX('損益分岐設定'!B40,ROUNDUP(U334/I334,0)),1001))</x:f>
        <x:v>501</x:v>
      </x:c>
      <x:c r="Z334" s="1" t="n">
        <x:f>IF(I334&lt;=0,'損益分岐設定'!C37,IF('損益分岐設定'!C37*I334-R334&lt;0,'損益分岐設定'!C37,IF('損益分岐設定'!B37*I334-R334&gt;=0,0,ROUNDUP(R334/I334,0)-1)))</x:f>
        <x:v>10</x:v>
      </x:c>
      <x:c r="AA334" s="1" t="n">
        <x:f>IF(I334&lt;=0,'損益分岐設定'!C38,IF('損益分岐設定'!C38*I334-S334&lt;0,'損益分岐設定'!C38,IF('損益分岐設定'!B38*I334-S334&gt;=0,0,ROUNDUP(S334/I334,0)-1)))</x:f>
        <x:v>100</x:v>
      </x:c>
      <x:c r="AB334" s="1" t="n">
        <x:f>IF(I334&lt;=0,'損益分岐設定'!C39,IF('損益分岐設定'!C39*I334-T334&lt;0,'損益分岐設定'!C39,IF('損益分岐設定'!B39*I334-T334&gt;=0,0,ROUNDUP(T334/I334,0)-1)))</x:f>
        <x:v>162</x:v>
      </x:c>
      <x:c r="AC334" s="1" t="n">
        <x:f>IF(I334&lt;=0,'損益分岐設定'!C40,IF('損益分岐設定'!C40*I334-U334&lt;0,'損益分岐設定'!C40,IF('損益分岐設定'!B40*I334-U334&gt;=0,0,ROUNDUP(U334/I334,0)-1)))</x:f>
        <x:v>0</x:v>
      </x:c>
      <x:c r="AD334" s="1" t="n">
        <x:v>1</x:v>
      </x:c>
      <x:c r="AE334" s="1" t="n">
        <x:v>0</x:v>
      </x:c>
      <x:c r="AF334" s="1" t="n">
        <x:v>0</x:v>
      </x:c>
      <x:c r="AG334" s="1" t="n">
        <x:f>AD334*'損益分岐設定'!$C$56+AE334*'損益分岐設定'!$C$59+AF334*'損益分岐設定'!$C$62</x:f>
        <x:v>66.35651235961915</x:v>
      </x:c>
      <x:c r="AH334" s="1" t="n">
        <x:f>AD334*'損益分岐設定'!$D$56+AE334*'損益分岐設定'!$D$59+AF334*'損益分岐設定'!$D$62</x:f>
        <x:v>7.5</x:v>
      </x:c>
      <x:c r="AI334" s="1" t="n">
        <x:f>AD334*'損益分岐設定'!$E$56+AE334*'損益分岐設定'!$E$59+AF334*'損益分岐設定'!$E$62</x:f>
        <x:v>5</x:v>
      </x:c>
      <x:c r="AJ334" s="1" t="n">
        <x:f>(AD334*'損益分岐設定'!$F$56+AE334*'損益分岐設定'!$F$59+AF334*'損益分岐設定'!$F$62*1)*'損益分岐設定'!$B$22</x:f>
        <x:v>7.5</x:v>
      </x:c>
      <x:c r="AK334" s="1" t="n">
        <x:f>AD334*'損益分岐設定'!$G$56+AE334*'損益分岐設定'!$G$59+AF334*'損益分岐設定'!$G$62</x:f>
        <x:v>25</x:v>
      </x:c>
      <x:c r="AL334" s="1" t="n">
        <x:f>AD334*'損益分岐設定'!$H$56+AE334*'損益分岐設定'!$H$59+AF334*'損益分岐設定'!$H$62</x:f>
        <x:v>233.33333333333334</x:v>
      </x:c>
      <x:c r="AM334" s="1" t="n">
        <x:f>MAX(1,ROUNDUP('損益分岐設定'!C37*AJ334/('損益分岐設定'!$B$23*'損益分岐設定'!$B$24*3600*'損益分岐設定'!$B$25),0))</x:f>
        <x:v>1</x:v>
      </x:c>
      <x:c r="AN334" s="1" t="n">
        <x:f>MAX(2,ROUNDUP('損益分岐設定'!C38*AJ334/('損益分岐設定'!$B$23*'損益分岐設定'!$B$24*3600*'損益分岐設定'!$B$25),0))</x:f>
        <x:v>2</x:v>
      </x:c>
      <x:c r="AO334" s="1" t="n">
        <x:f>MAX(2,ROUNDUP('損益分岐設定'!C39*AJ334/('損益分岐設定'!$B$23*'損益分岐設定'!$B$24*3600*'損益分岐設定'!$B$25),0))</x:f>
        <x:v>2</x:v>
      </x:c>
      <x:c r="AP334" s="1" t="n">
        <x:f>MAX(2,ROUNDUP('損益分岐設定'!C40*AJ334/('損益分岐設定'!$B$23*'損益分岐設定'!$B$24*3600*'損益分岐設定'!$B$25),0))</x:f>
        <x:v>2</x:v>
      </x:c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 ht="23" customHeight="1">
      <x:c r="A335" s="1" t="str">
        <x:v>VM</x:v>
      </x:c>
      <x:c r="B335" s="1" t="str">
        <x:v>Starter</x:v>
      </x:c>
      <x:c r="C335" s="1" t="str">
        <x:v>標準</x:v>
      </x:c>
      <x:c r="D335" s="21" t="n">
        <x:v>0</x:v>
      </x:c>
      <x:c r="E335" s="1" t="n">
        <x:v>0</x:v>
      </x:c>
      <x:c r="F335" s="7" t="n">
        <x:f>AD335*'損益分岐設定'!$B$5+AE335*'損益分岐設定'!$B$6+AF335*'損益分岐設定'!$B$7</x:f>
        <x:v>3000</x:v>
      </x:c>
      <x:c r="G335" s="7" t="n">
        <x:f>AG335+0+AK335*'損益分岐設定'!$B$33</x:f>
        <x:v>147.89837836265565</x:v>
      </x:c>
      <x:c r="H335" s="7" t="n">
        <x:f>AL335*E335</x:f>
        <x:v>0</x:v>
      </x:c>
      <x:c r="I335" s="7" t="n">
        <x:f>F335*(1-D335-'損益分岐設定'!$B$10)-G335-H335</x:f>
        <x:v>2744.1016216373446</x:v>
      </x:c>
      <x:c r="J335" s="1" t="n">
        <x:f>IF(MIN(V335:Y335)&gt;1000,"範囲内なし",MIN(V335:Y335))</x:f>
        <x:v>36</x:v>
      </x:c>
      <x:c r="K335" s="1" t="n">
        <x:f>IF(MAX(Z335:AC335)&gt;=1000,"範囲内なし",MAX(1,MAX(Z335:AC335)+1))</x:f>
        <x:v>36</x:v>
      </x:c>
      <x:c r="L335" s="7" t="n">
        <x:f>10*I335-R335</x:f>
        <x:v>-23318.170544847828</x:v>
      </x:c>
      <x:c r="M335" s="7" t="n">
        <x:f>30*I335-S335</x:f>
        <x:v>-14695.324873322214</x:v>
      </x:c>
      <x:c r="N335" s="7" t="n">
        <x:f>50*I335-S335</x:f>
        <x:v>40186.70755942467</x:v>
      </x:c>
      <x:c r="O335" s="7" t="n">
        <x:f>100*I335-S335</x:f>
        <x:v>177391.7886412919</x:v>
      </x:c>
      <x:c r="P335" s="7" t="n">
        <x:f>300*I335-T335</x:f>
        <x:v>726212.1129687609</x:v>
      </x:c>
      <x:c r="Q335" s="7" t="n">
        <x:f>1000*I335-U335</x:f>
        <x:v>2626203.654734291</x:v>
      </x:c>
      <x:c r="R335" s="7" t="n">
        <x:f>'損益分岐設定'!$B$18+'損益分岐設定'!$B$19+'損益分岐設定'!$B$20+'損益分岐設定'!E37+('損益分岐設定'!F37+2*'損益分岐設定'!G37+AM335)*('損益分岐設定'!$B$15+'損益分岐設定'!$B$16)+'損益分岐設定'!$B$17+'損益分岐設定'!$B$21+E335*'損益分岐設定'!H37*'損益分岐設定'!$B$11</x:f>
        <x:v>50759.18676122127</x:v>
      </x:c>
      <x:c r="S335" s="7" t="n">
        <x:f>'損益分岐設定'!$B$18+'損益分岐設定'!$B$19+'損益分岐設定'!$B$20+'損益分岐設定'!E38+('損益分岐設定'!F38+2*'損益分岐設定'!G38+AN335)*('損益分岐設定'!$B$15+'損益分岐設定'!$B$16)+'損益分岐設定'!$B$17+'損益分岐設定'!$B$21+E335*'損益分岐設定'!H38*'損益分岐設定'!$B$11</x:f>
        <x:v>97018.37352244255</x:v>
      </x:c>
      <x:c r="T335" s="7" t="n">
        <x:f>'損益分岐設定'!$B$18+'損益分岐設定'!$B$19+'損益分岐設定'!$B$20+'損益分岐設定'!E39+('損益分岐設定'!F39+2*'損益分岐設定'!G39+AO335)*('損益分岐設定'!$B$15+'損益分岐設定'!$B$16)+'損益分岐設定'!$B$17+'損益分岐設定'!$B$21+E335*'損益分岐設定'!H39*'損益分岐設定'!$B$11</x:f>
        <x:v>97018.37352244255</x:v>
      </x:c>
      <x:c r="U335" s="7" t="n">
        <x:f>'損益分岐設定'!$B$18+'損益分岐設定'!$B$19+'損益分岐設定'!$B$20+'損益分岐設定'!E40+('損益分岐設定'!F40+2*'損益分岐設定'!G40+AP335)*('損益分岐設定'!$B$15+'損益分岐設定'!$B$16)+'損益分岐設定'!$B$17+'損益分岐設定'!$B$21+E335*'損益分岐設定'!H40*'損益分岐設定'!$B$11</x:f>
        <x:v>117897.96690305318</x:v>
      </x:c>
      <x:c r="V335" s="1" t="n">
        <x:f>IF(I335&lt;=0,1001,IF(MAX('損益分岐設定'!B37,ROUNDUP(R335/I335,0))&lt;='損益分岐設定'!C37,MAX('損益分岐設定'!B37,ROUNDUP(R335/I335,0)),1001))</x:f>
        <x:v>1001</x:v>
      </x:c>
      <x:c r="W335" s="1" t="n">
        <x:f>IF(I335&lt;=0,1001,IF(MAX('損益分岐設定'!B38,ROUNDUP(S335/I335,0))&lt;='損益分岐設定'!C38,MAX('損益分岐設定'!B38,ROUNDUP(S335/I335,0)),1001))</x:f>
        <x:v>36</x:v>
      </x:c>
      <x:c r="X335" s="1" t="n">
        <x:f>IF(I335&lt;=0,1001,IF(MAX('損益分岐設定'!B39,ROUNDUP(T335/I335,0))&lt;='損益分岐設定'!C39,MAX('損益分岐設定'!B39,ROUNDUP(T335/I335,0)),1001))</x:f>
        <x:v>101</x:v>
      </x:c>
      <x:c r="Y335" s="1" t="n">
        <x:f>IF(I335&lt;=0,1001,IF(MAX('損益分岐設定'!B40,ROUNDUP(U335/I335,0))&lt;='損益分岐設定'!C40,MAX('損益分岐設定'!B40,ROUNDUP(U335/I335,0)),1001))</x:f>
        <x:v>501</x:v>
      </x:c>
      <x:c r="Z335" s="1" t="n">
        <x:f>IF(I335&lt;=0,'損益分岐設定'!C37,IF('損益分岐設定'!C37*I335-R335&lt;0,'損益分岐設定'!C37,IF('損益分岐設定'!B37*I335-R335&gt;=0,0,ROUNDUP(R335/I335,0)-1)))</x:f>
        <x:v>10</x:v>
      </x:c>
      <x:c r="AA335" s="1" t="n">
        <x:f>IF(I335&lt;=0,'損益分岐設定'!C38,IF('損益分岐設定'!C38*I335-S335&lt;0,'損益分岐設定'!C38,IF('損益分岐設定'!B38*I335-S335&gt;=0,0,ROUNDUP(S335/I335,0)-1)))</x:f>
        <x:v>35</x:v>
      </x:c>
      <x:c r="AB335" s="1" t="n">
        <x:f>IF(I335&lt;=0,'損益分岐設定'!C39,IF('損益分岐設定'!C39*I335-T335&lt;0,'損益分岐設定'!C39,IF('損益分岐設定'!B39*I335-T335&gt;=0,0,ROUNDUP(T335/I335,0)-1)))</x:f>
        <x:v>0</x:v>
      </x:c>
      <x:c r="AC335" s="1" t="n">
        <x:f>IF(I335&lt;=0,'損益分岐設定'!C40,IF('損益分岐設定'!C40*I335-U335&lt;0,'損益分岐設定'!C40,IF('損益分岐設定'!B40*I335-U335&gt;=0,0,ROUNDUP(U335/I335,0)-1)))</x:f>
        <x:v>0</x:v>
      </x:c>
      <x:c r="AD335" s="1" t="n">
        <x:v>1</x:v>
      </x:c>
      <x:c r="AE335" s="1" t="n">
        <x:v>0</x:v>
      </x:c>
      <x:c r="AF335" s="1" t="n">
        <x:v>0</x:v>
      </x:c>
      <x:c r="AG335" s="1" t="n">
        <x:f>AD335*'損益分岐設定'!$C$57+AE335*'損益分岐設定'!$C$60+AF335*'損益分岐設定'!$C$63</x:f>
        <x:v>147.89614318847657</x:v>
      </x:c>
      <x:c r="AH335" s="1" t="n">
        <x:f>AD335*'損益分岐設定'!$D$57+AE335*'損益分岐設定'!$D$60+AF335*'損益分岐設定'!$D$63</x:f>
        <x:v>30</x:v>
      </x:c>
      <x:c r="AI335" s="1" t="n">
        <x:f>AD335*'損益分岐設定'!$E$57+AE335*'損益分岐設定'!$E$60+AF335*'損益分岐設定'!$E$63</x:f>
        <x:v>30</x:v>
      </x:c>
      <x:c r="AJ335" s="1" t="n">
        <x:f>(AD335*'損益分岐設定'!$F$57+AE335*'損益分岐設定'!$F$60+AF335*'損益分岐設定'!$F$63*1)*'損益分岐設定'!$B$22</x:f>
        <x:v>120</x:v>
      </x:c>
      <x:c r="AK335" s="1" t="n">
        <x:f>AD335*'損益分岐設定'!$G$57+AE335*'損益分岐設定'!$G$60+AF335*'損益分岐設定'!$G$63</x:f>
        <x:v>200</x:v>
      </x:c>
      <x:c r="AL335" s="1" t="n">
        <x:f>AD335*'損益分岐設定'!$H$57+AE335*'損益分岐設定'!$H$60+AF335*'損益分岐設定'!$H$63</x:f>
        <x:v>566.6666666666666</x:v>
      </x:c>
      <x:c r="AM335" s="1" t="n">
        <x:f>MAX(1,ROUNDUP('損益分岐設定'!C37*AJ335/('損益分岐設定'!$B$23*'損益分岐設定'!$B$24*3600*'損益分岐設定'!$B$25),0))</x:f>
        <x:v>1</x:v>
      </x:c>
      <x:c r="AN335" s="1" t="n">
        <x:f>MAX(2,ROUNDUP('損益分岐設定'!C38*AJ335/('損益分岐設定'!$B$23*'損益分岐設定'!$B$24*3600*'損益分岐設定'!$B$25),0))</x:f>
        <x:v>2</x:v>
      </x:c>
      <x:c r="AO335" s="1" t="n">
        <x:f>MAX(2,ROUNDUP('損益分岐設定'!C39*AJ335/('損益分岐設定'!$B$23*'損益分岐設定'!$B$24*3600*'損益分岐設定'!$B$25),0))</x:f>
        <x:v>2</x:v>
      </x:c>
      <x:c r="AP335" s="1" t="n">
        <x:f>MAX(2,ROUNDUP('損益分岐設定'!C40*AJ335/('損益分岐設定'!$B$23*'損益分岐設定'!$B$24*3600*'損益分岐設定'!$B$25),0))</x:f>
        <x:v>2</x:v>
      </x:c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 ht="23" customHeight="1">
      <x:c r="A336" s="1" t="str">
        <x:v>VM</x:v>
      </x:c>
      <x:c r="B336" s="1" t="str">
        <x:v>Starter</x:v>
      </x:c>
      <x:c r="C336" s="1" t="str">
        <x:v>標準</x:v>
      </x:c>
      <x:c r="D336" s="21" t="n">
        <x:v>0</x:v>
      </x:c>
      <x:c r="E336" s="1" t="n">
        <x:v>1</x:v>
      </x:c>
      <x:c r="F336" s="7" t="n">
        <x:f>AD336*'損益分岐設定'!$B$5+AE336*'損益分岐設定'!$B$6+AF336*'損益分岐設定'!$B$7</x:f>
        <x:v>3000</x:v>
      </x:c>
      <x:c r="G336" s="7" t="n">
        <x:f>AG336+0+AK336*'損益分岐設定'!$B$33</x:f>
        <x:v>147.89837836265565</x:v>
      </x:c>
      <x:c r="H336" s="7" t="n">
        <x:f>AL336*E336</x:f>
        <x:v>566.6666666666666</x:v>
      </x:c>
      <x:c r="I336" s="7" t="n">
        <x:f>F336*(1-D336-'損益分岐設定'!$B$10)-G336-H336</x:f>
        <x:v>2177.434954970678</x:v>
      </x:c>
      <x:c r="J336" s="1" t="n">
        <x:f>IF(MIN(V336:Y336)&gt;1000,"範囲内なし",MIN(V336:Y336))</x:f>
        <x:v>67</x:v>
      </x:c>
      <x:c r="K336" s="1" t="n">
        <x:f>IF(MAX(Z336:AC336)&gt;=1000,"範囲内なし",MAX(1,MAX(Z336:AC336)+1))</x:f>
        <x:v>67</x:v>
      </x:c>
      <x:c r="L336" s="7" t="n">
        <x:f>10*I336-R336</x:f>
        <x:v>-60984.83721151449</x:v>
      </x:c>
      <x:c r="M336" s="7" t="n">
        <x:f>30*I336-S336</x:f>
        <x:v>-79695.32487332218</x:v>
      </x:c>
      <x:c r="N336" s="7" t="n">
        <x:f>50*I336-S336</x:f>
        <x:v>-36146.62577390863</x:v>
      </x:c>
      <x:c r="O336" s="7" t="n">
        <x:f>100*I336-S336</x:f>
        <x:v>72725.12197462528</x:v>
      </x:c>
      <x:c r="P336" s="7" t="n">
        <x:f>300*I336-T336</x:f>
        <x:v>476212.1129687609</x:v>
      </x:c>
      <x:c r="Q336" s="7" t="n">
        <x:f>1000*I336-U336</x:f>
        <x:v>1931536.9880676246</x:v>
      </x:c>
      <x:c r="R336" s="7" t="n">
        <x:f>'損益分岐設定'!$B$18+'損益分岐設定'!$B$19+'損益分岐設定'!$B$20+'損益分岐設定'!E37+('損益分岐設定'!F37+2*'損益分岐設定'!G37+AM336)*('損益分岐設定'!$B$15+'損益分岐設定'!$B$16)+'損益分岐設定'!$B$17+'損益分岐設定'!$B$21+E336*'損益分岐設定'!H37*'損益分岐設定'!$B$11</x:f>
        <x:v>82759.18676122127</x:v>
      </x:c>
      <x:c r="S336" s="7" t="n">
        <x:f>'損益分岐設定'!$B$18+'損益分岐設定'!$B$19+'損益分岐設定'!$B$20+'損益分岐設定'!E38+('損益分岐設定'!F38+2*'損益分岐設定'!G38+AN336)*('損益分岐設定'!$B$15+'損益分岐設定'!$B$16)+'損益分岐設定'!$B$17+'損益分岐設定'!$B$21+E336*'損益分岐設定'!H38*'損益分岐設定'!$B$11</x:f>
        <x:v>145018.37352244253</x:v>
      </x:c>
      <x:c r="T336" s="7" t="n">
        <x:f>'損益分岐設定'!$B$18+'損益分岐設定'!$B$19+'損益分岐設定'!$B$20+'損益分岐設定'!E39+('損益分岐設定'!F39+2*'損益分岐設定'!G39+AO336)*('損益分岐設定'!$B$15+'損益分岐設定'!$B$16)+'損益分岐設定'!$B$17+'損益分岐設定'!$B$21+E336*'損益分岐設定'!H39*'損益分岐設定'!$B$11</x:f>
        <x:v>177018.37352244253</x:v>
      </x:c>
      <x:c r="U336" s="7" t="n">
        <x:f>'損益分岐設定'!$B$18+'損益分岐設定'!$B$19+'損益分岐設定'!$B$20+'損益分岐設定'!E40+('損益分岐設定'!F40+2*'損益分岐設定'!G40+AP336)*('損益分岐設定'!$B$15+'損益分岐設定'!$B$16)+'損益分岐設定'!$B$17+'損益分岐設定'!$B$21+E336*'損益分岐設定'!H40*'損益分岐設定'!$B$11</x:f>
        <x:v>245897.96690305317</x:v>
      </x:c>
      <x:c r="V336" s="1" t="n">
        <x:f>IF(I336&lt;=0,1001,IF(MAX('損益分岐設定'!B37,ROUNDUP(R336/I336,0))&lt;='損益分岐設定'!C37,MAX('損益分岐設定'!B37,ROUNDUP(R336/I336,0)),1001))</x:f>
        <x:v>1001</x:v>
      </x:c>
      <x:c r="W336" s="1" t="n">
        <x:f>IF(I336&lt;=0,1001,IF(MAX('損益分岐設定'!B38,ROUNDUP(S336/I336,0))&lt;='損益分岐設定'!C38,MAX('損益分岐設定'!B38,ROUNDUP(S336/I336,0)),1001))</x:f>
        <x:v>67</x:v>
      </x:c>
      <x:c r="X336" s="1" t="n">
        <x:f>IF(I336&lt;=0,1001,IF(MAX('損益分岐設定'!B39,ROUNDUP(T336/I336,0))&lt;='損益分岐設定'!C39,MAX('損益分岐設定'!B39,ROUNDUP(T336/I336,0)),1001))</x:f>
        <x:v>101</x:v>
      </x:c>
      <x:c r="Y336" s="1" t="n">
        <x:f>IF(I336&lt;=0,1001,IF(MAX('損益分岐設定'!B40,ROUNDUP(U336/I336,0))&lt;='損益分岐設定'!C40,MAX('損益分岐設定'!B40,ROUNDUP(U336/I336,0)),1001))</x:f>
        <x:v>501</x:v>
      </x:c>
      <x:c r="Z336" s="1" t="n">
        <x:f>IF(I336&lt;=0,'損益分岐設定'!C37,IF('損益分岐設定'!C37*I336-R336&lt;0,'損益分岐設定'!C37,IF('損益分岐設定'!B37*I336-R336&gt;=0,0,ROUNDUP(R336/I336,0)-1)))</x:f>
        <x:v>10</x:v>
      </x:c>
      <x:c r="AA336" s="1" t="n">
        <x:f>IF(I336&lt;=0,'損益分岐設定'!C38,IF('損益分岐設定'!C38*I336-S336&lt;0,'損益分岐設定'!C38,IF('損益分岐設定'!B38*I336-S336&gt;=0,0,ROUNDUP(S336/I336,0)-1)))</x:f>
        <x:v>66</x:v>
      </x:c>
      <x:c r="AB336" s="1" t="n">
        <x:f>IF(I336&lt;=0,'損益分岐設定'!C39,IF('損益分岐設定'!C39*I336-T336&lt;0,'損益分岐設定'!C39,IF('損益分岐設定'!B39*I336-T336&gt;=0,0,ROUNDUP(T336/I336,0)-1)))</x:f>
        <x:v>0</x:v>
      </x:c>
      <x:c r="AC336" s="1" t="n">
        <x:f>IF(I336&lt;=0,'損益分岐設定'!C40,IF('損益分岐設定'!C40*I336-U336&lt;0,'損益分岐設定'!C40,IF('損益分岐設定'!B40*I336-U336&gt;=0,0,ROUNDUP(U336/I336,0)-1)))</x:f>
        <x:v>0</x:v>
      </x:c>
      <x:c r="AD336" s="1" t="n">
        <x:v>1</x:v>
      </x:c>
      <x:c r="AE336" s="1" t="n">
        <x:v>0</x:v>
      </x:c>
      <x:c r="AF336" s="1" t="n">
        <x:v>0</x:v>
      </x:c>
      <x:c r="AG336" s="1" t="n">
        <x:f>AD336*'損益分岐設定'!$C$57+AE336*'損益分岐設定'!$C$60+AF336*'損益分岐設定'!$C$63</x:f>
        <x:v>147.89614318847657</x:v>
      </x:c>
      <x:c r="AH336" s="1" t="n">
        <x:f>AD336*'損益分岐設定'!$D$57+AE336*'損益分岐設定'!$D$60+AF336*'損益分岐設定'!$D$63</x:f>
        <x:v>30</x:v>
      </x:c>
      <x:c r="AI336" s="1" t="n">
        <x:f>AD336*'損益分岐設定'!$E$57+AE336*'損益分岐設定'!$E$60+AF336*'損益分岐設定'!$E$63</x:f>
        <x:v>30</x:v>
      </x:c>
      <x:c r="AJ336" s="1" t="n">
        <x:f>(AD336*'損益分岐設定'!$F$57+AE336*'損益分岐設定'!$F$60+AF336*'損益分岐設定'!$F$63*1)*'損益分岐設定'!$B$22</x:f>
        <x:v>120</x:v>
      </x:c>
      <x:c r="AK336" s="1" t="n">
        <x:f>AD336*'損益分岐設定'!$G$57+AE336*'損益分岐設定'!$G$60+AF336*'損益分岐設定'!$G$63</x:f>
        <x:v>200</x:v>
      </x:c>
      <x:c r="AL336" s="1" t="n">
        <x:f>AD336*'損益分岐設定'!$H$57+AE336*'損益分岐設定'!$H$60+AF336*'損益分岐設定'!$H$63</x:f>
        <x:v>566.6666666666666</x:v>
      </x:c>
      <x:c r="AM336" s="1" t="n">
        <x:f>MAX(1,ROUNDUP('損益分岐設定'!C37*AJ336/('損益分岐設定'!$B$23*'損益分岐設定'!$B$24*3600*'損益分岐設定'!$B$25),0))</x:f>
        <x:v>1</x:v>
      </x:c>
      <x:c r="AN336" s="1" t="n">
        <x:f>MAX(2,ROUNDUP('損益分岐設定'!C38*AJ336/('損益分岐設定'!$B$23*'損益分岐設定'!$B$24*3600*'損益分岐設定'!$B$25),0))</x:f>
        <x:v>2</x:v>
      </x:c>
      <x:c r="AO336" s="1" t="n">
        <x:f>MAX(2,ROUNDUP('損益分岐設定'!C39*AJ336/('損益分岐設定'!$B$23*'損益分岐設定'!$B$24*3600*'損益分岐設定'!$B$25),0))</x:f>
        <x:v>2</x:v>
      </x:c>
      <x:c r="AP336" s="1" t="n">
        <x:f>MAX(2,ROUNDUP('損益分岐設定'!C40*AJ336/('損益分岐設定'!$B$23*'損益分岐設定'!$B$24*3600*'損益分岐設定'!$B$25),0))</x:f>
        <x:v>2</x:v>
      </x:c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 ht="23" customHeight="1">
      <x:c r="A337" s="1" t="str">
        <x:v>VM</x:v>
      </x:c>
      <x:c r="B337" s="1" t="str">
        <x:v>Starter</x:v>
      </x:c>
      <x:c r="C337" s="1" t="str">
        <x:v>標準</x:v>
      </x:c>
      <x:c r="D337" s="21" t="n">
        <x:v>0.2</x:v>
      </x:c>
      <x:c r="E337" s="1" t="n">
        <x:v>0</x:v>
      </x:c>
      <x:c r="F337" s="7" t="n">
        <x:f>AD337*'損益分岐設定'!$B$5+AE337*'損益分岐設定'!$B$6+AF337*'損益分岐設定'!$B$7</x:f>
        <x:v>3000</x:v>
      </x:c>
      <x:c r="G337" s="7" t="n">
        <x:f>AG337+0+AK337*'損益分岐設定'!$B$33</x:f>
        <x:v>147.89837836265565</x:v>
      </x:c>
      <x:c r="H337" s="7" t="n">
        <x:f>AL337*E337</x:f>
        <x:v>0</x:v>
      </x:c>
      <x:c r="I337" s="7" t="n">
        <x:f>F337*(1-D337-'損益分岐設定'!$B$10)-G337-H337</x:f>
        <x:v>2144.1016216373446</x:v>
      </x:c>
      <x:c r="J337" s="1" t="n">
        <x:f>IF(MIN(V337:Y337)&gt;1000,"範囲内なし",MIN(V337:Y337))</x:f>
        <x:v>46</x:v>
      </x:c>
      <x:c r="K337" s="1" t="n">
        <x:f>IF(MAX(Z337:AC337)&gt;=1000,"範囲内なし",MAX(1,MAX(Z337:AC337)+1))</x:f>
        <x:v>46</x:v>
      </x:c>
      <x:c r="L337" s="7" t="n">
        <x:f>10*I337-R337</x:f>
        <x:v>-29318.170544847828</x:v>
      </x:c>
      <x:c r="M337" s="7" t="n">
        <x:f>30*I337-S337</x:f>
        <x:v>-32695.324873322214</x:v>
      </x:c>
      <x:c r="N337" s="7" t="n">
        <x:f>50*I337-S337</x:f>
        <x:v>10186.707559424685</x:v>
      </x:c>
      <x:c r="O337" s="7" t="n">
        <x:f>100*I337-S337</x:f>
        <x:v>117391.78864129192</x:v>
      </x:c>
      <x:c r="P337" s="7" t="n">
        <x:f>300*I337-T337</x:f>
        <x:v>546212.1129687609</x:v>
      </x:c>
      <x:c r="Q337" s="7" t="n">
        <x:f>1000*I337-U337</x:f>
        <x:v>2026203.6547342911</x:v>
      </x:c>
      <x:c r="R337" s="7" t="n">
        <x:f>'損益分岐設定'!$B$18+'損益分岐設定'!$B$19+'損益分岐設定'!$B$20+'損益分岐設定'!E37+('損益分岐設定'!F37+2*'損益分岐設定'!G37+AM337)*('損益分岐設定'!$B$15+'損益分岐設定'!$B$16)+'損益分岐設定'!$B$17+'損益分岐設定'!$B$21+E337*'損益分岐設定'!H37*'損益分岐設定'!$B$11</x:f>
        <x:v>50759.18676122127</x:v>
      </x:c>
      <x:c r="S337" s="7" t="n">
        <x:f>'損益分岐設定'!$B$18+'損益分岐設定'!$B$19+'損益分岐設定'!$B$20+'損益分岐設定'!E38+('損益分岐設定'!F38+2*'損益分岐設定'!G38+AN337)*('損益分岐設定'!$B$15+'損益分岐設定'!$B$16)+'損益分岐設定'!$B$17+'損益分岐設定'!$B$21+E337*'損益分岐設定'!H38*'損益分岐設定'!$B$11</x:f>
        <x:v>97018.37352244255</x:v>
      </x:c>
      <x:c r="T337" s="7" t="n">
        <x:f>'損益分岐設定'!$B$18+'損益分岐設定'!$B$19+'損益分岐設定'!$B$20+'損益分岐設定'!E39+('損益分岐設定'!F39+2*'損益分岐設定'!G39+AO337)*('損益分岐設定'!$B$15+'損益分岐設定'!$B$16)+'損益分岐設定'!$B$17+'損益分岐設定'!$B$21+E337*'損益分岐設定'!H39*'損益分岐設定'!$B$11</x:f>
        <x:v>97018.37352244255</x:v>
      </x:c>
      <x:c r="U337" s="7" t="n">
        <x:f>'損益分岐設定'!$B$18+'損益分岐設定'!$B$19+'損益分岐設定'!$B$20+'損益分岐設定'!E40+('損益分岐設定'!F40+2*'損益分岐設定'!G40+AP337)*('損益分岐設定'!$B$15+'損益分岐設定'!$B$16)+'損益分岐設定'!$B$17+'損益分岐設定'!$B$21+E337*'損益分岐設定'!H40*'損益分岐設定'!$B$11</x:f>
        <x:v>117897.96690305318</x:v>
      </x:c>
      <x:c r="V337" s="1" t="n">
        <x:f>IF(I337&lt;=0,1001,IF(MAX('損益分岐設定'!B37,ROUNDUP(R337/I337,0))&lt;='損益分岐設定'!C37,MAX('損益分岐設定'!B37,ROUNDUP(R337/I337,0)),1001))</x:f>
        <x:v>1001</x:v>
      </x:c>
      <x:c r="W337" s="1" t="n">
        <x:f>IF(I337&lt;=0,1001,IF(MAX('損益分岐設定'!B38,ROUNDUP(S337/I337,0))&lt;='損益分岐設定'!C38,MAX('損益分岐設定'!B38,ROUNDUP(S337/I337,0)),1001))</x:f>
        <x:v>46</x:v>
      </x:c>
      <x:c r="X337" s="1" t="n">
        <x:f>IF(I337&lt;=0,1001,IF(MAX('損益分岐設定'!B39,ROUNDUP(T337/I337,0))&lt;='損益分岐設定'!C39,MAX('損益分岐設定'!B39,ROUNDUP(T337/I337,0)),1001))</x:f>
        <x:v>101</x:v>
      </x:c>
      <x:c r="Y337" s="1" t="n">
        <x:f>IF(I337&lt;=0,1001,IF(MAX('損益分岐設定'!B40,ROUNDUP(U337/I337,0))&lt;='損益分岐設定'!C40,MAX('損益分岐設定'!B40,ROUNDUP(U337/I337,0)),1001))</x:f>
        <x:v>501</x:v>
      </x:c>
      <x:c r="Z337" s="1" t="n">
        <x:f>IF(I337&lt;=0,'損益分岐設定'!C37,IF('損益分岐設定'!C37*I337-R337&lt;0,'損益分岐設定'!C37,IF('損益分岐設定'!B37*I337-R337&gt;=0,0,ROUNDUP(R337/I337,0)-1)))</x:f>
        <x:v>10</x:v>
      </x:c>
      <x:c r="AA337" s="1" t="n">
        <x:f>IF(I337&lt;=0,'損益分岐設定'!C38,IF('損益分岐設定'!C38*I337-S337&lt;0,'損益分岐設定'!C38,IF('損益分岐設定'!B38*I337-S337&gt;=0,0,ROUNDUP(S337/I337,0)-1)))</x:f>
        <x:v>45</x:v>
      </x:c>
      <x:c r="AB337" s="1" t="n">
        <x:f>IF(I337&lt;=0,'損益分岐設定'!C39,IF('損益分岐設定'!C39*I337-T337&lt;0,'損益分岐設定'!C39,IF('損益分岐設定'!B39*I337-T337&gt;=0,0,ROUNDUP(T337/I337,0)-1)))</x:f>
        <x:v>0</x:v>
      </x:c>
      <x:c r="AC337" s="1" t="n">
        <x:f>IF(I337&lt;=0,'損益分岐設定'!C40,IF('損益分岐設定'!C40*I337-U337&lt;0,'損益分岐設定'!C40,IF('損益分岐設定'!B40*I337-U337&gt;=0,0,ROUNDUP(U337/I337,0)-1)))</x:f>
        <x:v>0</x:v>
      </x:c>
      <x:c r="AD337" s="1" t="n">
        <x:v>1</x:v>
      </x:c>
      <x:c r="AE337" s="1" t="n">
        <x:v>0</x:v>
      </x:c>
      <x:c r="AF337" s="1" t="n">
        <x:v>0</x:v>
      </x:c>
      <x:c r="AG337" s="1" t="n">
        <x:f>AD337*'損益分岐設定'!$C$57+AE337*'損益分岐設定'!$C$60+AF337*'損益分岐設定'!$C$63</x:f>
        <x:v>147.89614318847657</x:v>
      </x:c>
      <x:c r="AH337" s="1" t="n">
        <x:f>AD337*'損益分岐設定'!$D$57+AE337*'損益分岐設定'!$D$60+AF337*'損益分岐設定'!$D$63</x:f>
        <x:v>30</x:v>
      </x:c>
      <x:c r="AI337" s="1" t="n">
        <x:f>AD337*'損益分岐設定'!$E$57+AE337*'損益分岐設定'!$E$60+AF337*'損益分岐設定'!$E$63</x:f>
        <x:v>30</x:v>
      </x:c>
      <x:c r="AJ337" s="1" t="n">
        <x:f>(AD337*'損益分岐設定'!$F$57+AE337*'損益分岐設定'!$F$60+AF337*'損益分岐設定'!$F$63*1)*'損益分岐設定'!$B$22</x:f>
        <x:v>120</x:v>
      </x:c>
      <x:c r="AK337" s="1" t="n">
        <x:f>AD337*'損益分岐設定'!$G$57+AE337*'損益分岐設定'!$G$60+AF337*'損益分岐設定'!$G$63</x:f>
        <x:v>200</x:v>
      </x:c>
      <x:c r="AL337" s="1" t="n">
        <x:f>AD337*'損益分岐設定'!$H$57+AE337*'損益分岐設定'!$H$60+AF337*'損益分岐設定'!$H$63</x:f>
        <x:v>566.6666666666666</x:v>
      </x:c>
      <x:c r="AM337" s="1" t="n">
        <x:f>MAX(1,ROUNDUP('損益分岐設定'!C37*AJ337/('損益分岐設定'!$B$23*'損益分岐設定'!$B$24*3600*'損益分岐設定'!$B$25),0))</x:f>
        <x:v>1</x:v>
      </x:c>
      <x:c r="AN337" s="1" t="n">
        <x:f>MAX(2,ROUNDUP('損益分岐設定'!C38*AJ337/('損益分岐設定'!$B$23*'損益分岐設定'!$B$24*3600*'損益分岐設定'!$B$25),0))</x:f>
        <x:v>2</x:v>
      </x:c>
      <x:c r="AO337" s="1" t="n">
        <x:f>MAX(2,ROUNDUP('損益分岐設定'!C39*AJ337/('損益分岐設定'!$B$23*'損益分岐設定'!$B$24*3600*'損益分岐設定'!$B$25),0))</x:f>
        <x:v>2</x:v>
      </x:c>
      <x:c r="AP337" s="1" t="n">
        <x:f>MAX(2,ROUNDUP('損益分岐設定'!C40*AJ337/('損益分岐設定'!$B$23*'損益分岐設定'!$B$24*3600*'損益分岐設定'!$B$25),0))</x:f>
        <x:v>2</x:v>
      </x:c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 ht="23" customHeight="1">
      <x:c r="A338" s="1" t="str">
        <x:v>VM</x:v>
      </x:c>
      <x:c r="B338" s="1" t="str">
        <x:v>Starter</x:v>
      </x:c>
      <x:c r="C338" s="1" t="str">
        <x:v>標準</x:v>
      </x:c>
      <x:c r="D338" s="21" t="n">
        <x:v>0.2</x:v>
      </x:c>
      <x:c r="E338" s="1" t="n">
        <x:v>1</x:v>
      </x:c>
      <x:c r="F338" s="7" t="n">
        <x:f>AD338*'損益分岐設定'!$B$5+AE338*'損益分岐設定'!$B$6+AF338*'損益分岐設定'!$B$7</x:f>
        <x:v>3000</x:v>
      </x:c>
      <x:c r="G338" s="7" t="n">
        <x:f>AG338+0+AK338*'損益分岐設定'!$B$33</x:f>
        <x:v>147.89837836265565</x:v>
      </x:c>
      <x:c r="H338" s="7" t="n">
        <x:f>AL338*E338</x:f>
        <x:v>566.6666666666666</x:v>
      </x:c>
      <x:c r="I338" s="7" t="n">
        <x:f>F338*(1-D338-'損益分岐設定'!$B$10)-G338-H338</x:f>
        <x:v>1577.434954970678</x:v>
      </x:c>
      <x:c r="J338" s="1" t="n">
        <x:f>IF(MIN(V338:Y338)&gt;1000,"範囲内なし",MIN(V338:Y338))</x:f>
        <x:v>92</x:v>
      </x:c>
      <x:c r="K338" s="1" t="n">
        <x:f>IF(MAX(Z338:AC338)&gt;=1000,"範囲内なし",MAX(1,MAX(Z338:AC338)+1))</x:f>
        <x:v>113</x:v>
      </x:c>
      <x:c r="L338" s="7" t="n">
        <x:f>10*I338-R338</x:f>
        <x:v>-66984.83721151449</x:v>
      </x:c>
      <x:c r="M338" s="7" t="n">
        <x:f>30*I338-S338</x:f>
        <x:v>-97695.32487332218</x:v>
      </x:c>
      <x:c r="N338" s="7" t="n">
        <x:f>50*I338-S338</x:f>
        <x:v>-66146.62577390863</x:v>
      </x:c>
      <x:c r="O338" s="7" t="n">
        <x:f>100*I338-S338</x:f>
        <x:v>12725.121974625275</x:v>
      </x:c>
      <x:c r="P338" s="7" t="n">
        <x:f>300*I338-T338</x:f>
        <x:v>296212.1129687609</x:v>
      </x:c>
      <x:c r="Q338" s="7" t="n">
        <x:f>1000*I338-U338</x:f>
        <x:v>1331536.9880676249</x:v>
      </x:c>
      <x:c r="R338" s="7" t="n">
        <x:f>'損益分岐設定'!$B$18+'損益分岐設定'!$B$19+'損益分岐設定'!$B$20+'損益分岐設定'!E37+('損益分岐設定'!F37+2*'損益分岐設定'!G37+AM338)*('損益分岐設定'!$B$15+'損益分岐設定'!$B$16)+'損益分岐設定'!$B$17+'損益分岐設定'!$B$21+E338*'損益分岐設定'!H37*'損益分岐設定'!$B$11</x:f>
        <x:v>82759.18676122127</x:v>
      </x:c>
      <x:c r="S338" s="7" t="n">
        <x:f>'損益分岐設定'!$B$18+'損益分岐設定'!$B$19+'損益分岐設定'!$B$20+'損益分岐設定'!E38+('損益分岐設定'!F38+2*'損益分岐設定'!G38+AN338)*('損益分岐設定'!$B$15+'損益分岐設定'!$B$16)+'損益分岐設定'!$B$17+'損益分岐設定'!$B$21+E338*'損益分岐設定'!H38*'損益分岐設定'!$B$11</x:f>
        <x:v>145018.37352244253</x:v>
      </x:c>
      <x:c r="T338" s="7" t="n">
        <x:f>'損益分岐設定'!$B$18+'損益分岐設定'!$B$19+'損益分岐設定'!$B$20+'損益分岐設定'!E39+('損益分岐設定'!F39+2*'損益分岐設定'!G39+AO338)*('損益分岐設定'!$B$15+'損益分岐設定'!$B$16)+'損益分岐設定'!$B$17+'損益分岐設定'!$B$21+E338*'損益分岐設定'!H39*'損益分岐設定'!$B$11</x:f>
        <x:v>177018.37352244253</x:v>
      </x:c>
      <x:c r="U338" s="7" t="n">
        <x:f>'損益分岐設定'!$B$18+'損益分岐設定'!$B$19+'損益分岐設定'!$B$20+'損益分岐設定'!E40+('損益分岐設定'!F40+2*'損益分岐設定'!G40+AP338)*('損益分岐設定'!$B$15+'損益分岐設定'!$B$16)+'損益分岐設定'!$B$17+'損益分岐設定'!$B$21+E338*'損益分岐設定'!H40*'損益分岐設定'!$B$11</x:f>
        <x:v>245897.96690305317</x:v>
      </x:c>
      <x:c r="V338" s="1" t="n">
        <x:f>IF(I338&lt;=0,1001,IF(MAX('損益分岐設定'!B37,ROUNDUP(R338/I338,0))&lt;='損益分岐設定'!C37,MAX('損益分岐設定'!B37,ROUNDUP(R338/I338,0)),1001))</x:f>
        <x:v>1001</x:v>
      </x:c>
      <x:c r="W338" s="1" t="n">
        <x:f>IF(I338&lt;=0,1001,IF(MAX('損益分岐設定'!B38,ROUNDUP(S338/I338,0))&lt;='損益分岐設定'!C38,MAX('損益分岐設定'!B38,ROUNDUP(S338/I338,0)),1001))</x:f>
        <x:v>92</x:v>
      </x:c>
      <x:c r="X338" s="1" t="n">
        <x:f>IF(I338&lt;=0,1001,IF(MAX('損益分岐設定'!B39,ROUNDUP(T338/I338,0))&lt;='損益分岐設定'!C39,MAX('損益分岐設定'!B39,ROUNDUP(T338/I338,0)),1001))</x:f>
        <x:v>113</x:v>
      </x:c>
      <x:c r="Y338" s="1" t="n">
        <x:f>IF(I338&lt;=0,1001,IF(MAX('損益分岐設定'!B40,ROUNDUP(U338/I338,0))&lt;='損益分岐設定'!C40,MAX('損益分岐設定'!B40,ROUNDUP(U338/I338,0)),1001))</x:f>
        <x:v>501</x:v>
      </x:c>
      <x:c r="Z338" s="1" t="n">
        <x:f>IF(I338&lt;=0,'損益分岐設定'!C37,IF('損益分岐設定'!C37*I338-R338&lt;0,'損益分岐設定'!C37,IF('損益分岐設定'!B37*I338-R338&gt;=0,0,ROUNDUP(R338/I338,0)-1)))</x:f>
        <x:v>10</x:v>
      </x:c>
      <x:c r="AA338" s="1" t="n">
        <x:f>IF(I338&lt;=0,'損益分岐設定'!C38,IF('損益分岐設定'!C38*I338-S338&lt;0,'損益分岐設定'!C38,IF('損益分岐設定'!B38*I338-S338&gt;=0,0,ROUNDUP(S338/I338,0)-1)))</x:f>
        <x:v>91</x:v>
      </x:c>
      <x:c r="AB338" s="1" t="n">
        <x:f>IF(I338&lt;=0,'損益分岐設定'!C39,IF('損益分岐設定'!C39*I338-T338&lt;0,'損益分岐設定'!C39,IF('損益分岐設定'!B39*I338-T338&gt;=0,0,ROUNDUP(T338/I338,0)-1)))</x:f>
        <x:v>112</x:v>
      </x:c>
      <x:c r="AC338" s="1" t="n">
        <x:f>IF(I338&lt;=0,'損益分岐設定'!C40,IF('損益分岐設定'!C40*I338-U338&lt;0,'損益分岐設定'!C40,IF('損益分岐設定'!B40*I338-U338&gt;=0,0,ROUNDUP(U338/I338,0)-1)))</x:f>
        <x:v>0</x:v>
      </x:c>
      <x:c r="AD338" s="1" t="n">
        <x:v>1</x:v>
      </x:c>
      <x:c r="AE338" s="1" t="n">
        <x:v>0</x:v>
      </x:c>
      <x:c r="AF338" s="1" t="n">
        <x:v>0</x:v>
      </x:c>
      <x:c r="AG338" s="1" t="n">
        <x:f>AD338*'損益分岐設定'!$C$57+AE338*'損益分岐設定'!$C$60+AF338*'損益分岐設定'!$C$63</x:f>
        <x:v>147.89614318847657</x:v>
      </x:c>
      <x:c r="AH338" s="1" t="n">
        <x:f>AD338*'損益分岐設定'!$D$57+AE338*'損益分岐設定'!$D$60+AF338*'損益分岐設定'!$D$63</x:f>
        <x:v>30</x:v>
      </x:c>
      <x:c r="AI338" s="1" t="n">
        <x:f>AD338*'損益分岐設定'!$E$57+AE338*'損益分岐設定'!$E$60+AF338*'損益分岐設定'!$E$63</x:f>
        <x:v>30</x:v>
      </x:c>
      <x:c r="AJ338" s="1" t="n">
        <x:f>(AD338*'損益分岐設定'!$F$57+AE338*'損益分岐設定'!$F$60+AF338*'損益分岐設定'!$F$63*1)*'損益分岐設定'!$B$22</x:f>
        <x:v>120</x:v>
      </x:c>
      <x:c r="AK338" s="1" t="n">
        <x:f>AD338*'損益分岐設定'!$G$57+AE338*'損益分岐設定'!$G$60+AF338*'損益分岐設定'!$G$63</x:f>
        <x:v>200</x:v>
      </x:c>
      <x:c r="AL338" s="1" t="n">
        <x:f>AD338*'損益分岐設定'!$H$57+AE338*'損益分岐設定'!$H$60+AF338*'損益分岐設定'!$H$63</x:f>
        <x:v>566.6666666666666</x:v>
      </x:c>
      <x:c r="AM338" s="1" t="n">
        <x:f>MAX(1,ROUNDUP('損益分岐設定'!C37*AJ338/('損益分岐設定'!$B$23*'損益分岐設定'!$B$24*3600*'損益分岐設定'!$B$25),0))</x:f>
        <x:v>1</x:v>
      </x:c>
      <x:c r="AN338" s="1" t="n">
        <x:f>MAX(2,ROUNDUP('損益分岐設定'!C38*AJ338/('損益分岐設定'!$B$23*'損益分岐設定'!$B$24*3600*'損益分岐設定'!$B$25),0))</x:f>
        <x:v>2</x:v>
      </x:c>
      <x:c r="AO338" s="1" t="n">
        <x:f>MAX(2,ROUNDUP('損益分岐設定'!C39*AJ338/('損益分岐設定'!$B$23*'損益分岐設定'!$B$24*3600*'損益分岐設定'!$B$25),0))</x:f>
        <x:v>2</x:v>
      </x:c>
      <x:c r="AP338" s="1" t="n">
        <x:f>MAX(2,ROUNDUP('損益分岐設定'!C40*AJ338/('損益分岐設定'!$B$23*'損益分岐設定'!$B$24*3600*'損益分岐設定'!$B$25),0))</x:f>
        <x:v>2</x:v>
      </x:c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 ht="23" customHeight="1">
      <x:c r="A339" s="1" t="str">
        <x:v>VM</x:v>
      </x:c>
      <x:c r="B339" s="1" t="str">
        <x:v>Starter</x:v>
      </x:c>
      <x:c r="C339" s="1" t="str">
        <x:v>標準</x:v>
      </x:c>
      <x:c r="D339" s="21" t="n">
        <x:v>0.3</x:v>
      </x:c>
      <x:c r="E339" s="1" t="n">
        <x:v>0</x:v>
      </x:c>
      <x:c r="F339" s="7" t="n">
        <x:f>AD339*'損益分岐設定'!$B$5+AE339*'損益分岐設定'!$B$6+AF339*'損益分岐設定'!$B$7</x:f>
        <x:v>3000</x:v>
      </x:c>
      <x:c r="G339" s="7" t="n">
        <x:f>AG339+0+AK339*'損益分岐設定'!$B$33</x:f>
        <x:v>147.89837836265565</x:v>
      </x:c>
      <x:c r="H339" s="7" t="n">
        <x:f>AL339*E339</x:f>
        <x:v>0</x:v>
      </x:c>
      <x:c r="I339" s="7" t="n">
        <x:f>F339*(1-D339-'損益分岐設定'!$B$10)-G339-H339</x:f>
        <x:v>1844.1016216373441</x:v>
      </x:c>
      <x:c r="J339" s="1" t="n">
        <x:f>IF(MIN(V339:Y339)&gt;1000,"範囲内なし",MIN(V339:Y339))</x:f>
        <x:v>53</x:v>
      </x:c>
      <x:c r="K339" s="1" t="n">
        <x:f>IF(MAX(Z339:AC339)&gt;=1000,"範囲内なし",MAX(1,MAX(Z339:AC339)+1))</x:f>
        <x:v>53</x:v>
      </x:c>
      <x:c r="L339" s="7" t="n">
        <x:f>10*I339-R339</x:f>
        <x:v>-32318.17054484783</x:v>
      </x:c>
      <x:c r="M339" s="7" t="n">
        <x:f>30*I339-S339</x:f>
        <x:v>-41695.32487332222</x:v>
      </x:c>
      <x:c r="N339" s="7" t="n">
        <x:f>50*I339-S339</x:f>
        <x:v>-4813.292440575344</x:v>
      </x:c>
      <x:c r="O339" s="7" t="n">
        <x:f>100*I339-S339</x:f>
        <x:v>87391.78864129186</x:v>
      </x:c>
      <x:c r="P339" s="7" t="n">
        <x:f>300*I339-T339</x:f>
        <x:v>456212.11296876066</x:v>
      </x:c>
      <x:c r="Q339" s="7" t="n">
        <x:f>1000*I339-U339</x:f>
        <x:v>1726203.654734291</x:v>
      </x:c>
      <x:c r="R339" s="7" t="n">
        <x:f>'損益分岐設定'!$B$18+'損益分岐設定'!$B$19+'損益分岐設定'!$B$20+'損益分岐設定'!E37+('損益分岐設定'!F37+2*'損益分岐設定'!G37+AM339)*('損益分岐設定'!$B$15+'損益分岐設定'!$B$16)+'損益分岐設定'!$B$17+'損益分岐設定'!$B$21+E339*'損益分岐設定'!H37*'損益分岐設定'!$B$11</x:f>
        <x:v>50759.18676122127</x:v>
      </x:c>
      <x:c r="S339" s="7" t="n">
        <x:f>'損益分岐設定'!$B$18+'損益分岐設定'!$B$19+'損益分岐設定'!$B$20+'損益分岐設定'!E38+('損益分岐設定'!F38+2*'損益分岐設定'!G38+AN339)*('損益分岐設定'!$B$15+'損益分岐設定'!$B$16)+'損益分岐設定'!$B$17+'損益分岐設定'!$B$21+E339*'損益分岐設定'!H38*'損益分岐設定'!$B$11</x:f>
        <x:v>97018.37352244255</x:v>
      </x:c>
      <x:c r="T339" s="7" t="n">
        <x:f>'損益分岐設定'!$B$18+'損益分岐設定'!$B$19+'損益分岐設定'!$B$20+'損益分岐設定'!E39+('損益分岐設定'!F39+2*'損益分岐設定'!G39+AO339)*('損益分岐設定'!$B$15+'損益分岐設定'!$B$16)+'損益分岐設定'!$B$17+'損益分岐設定'!$B$21+E339*'損益分岐設定'!H39*'損益分岐設定'!$B$11</x:f>
        <x:v>97018.37352244255</x:v>
      </x:c>
      <x:c r="U339" s="7" t="n">
        <x:f>'損益分岐設定'!$B$18+'損益分岐設定'!$B$19+'損益分岐設定'!$B$20+'損益分岐設定'!E40+('損益分岐設定'!F40+2*'損益分岐設定'!G40+AP339)*('損益分岐設定'!$B$15+'損益分岐設定'!$B$16)+'損益分岐設定'!$B$17+'損益分岐設定'!$B$21+E339*'損益分岐設定'!H40*'損益分岐設定'!$B$11</x:f>
        <x:v>117897.96690305318</x:v>
      </x:c>
      <x:c r="V339" s="1" t="n">
        <x:f>IF(I339&lt;=0,1001,IF(MAX('損益分岐設定'!B37,ROUNDUP(R339/I339,0))&lt;='損益分岐設定'!C37,MAX('損益分岐設定'!B37,ROUNDUP(R339/I339,0)),1001))</x:f>
        <x:v>1001</x:v>
      </x:c>
      <x:c r="W339" s="1" t="n">
        <x:f>IF(I339&lt;=0,1001,IF(MAX('損益分岐設定'!B38,ROUNDUP(S339/I339,0))&lt;='損益分岐設定'!C38,MAX('損益分岐設定'!B38,ROUNDUP(S339/I339,0)),1001))</x:f>
        <x:v>53</x:v>
      </x:c>
      <x:c r="X339" s="1" t="n">
        <x:f>IF(I339&lt;=0,1001,IF(MAX('損益分岐設定'!B39,ROUNDUP(T339/I339,0))&lt;='損益分岐設定'!C39,MAX('損益分岐設定'!B39,ROUNDUP(T339/I339,0)),1001))</x:f>
        <x:v>101</x:v>
      </x:c>
      <x:c r="Y339" s="1" t="n">
        <x:f>IF(I339&lt;=0,1001,IF(MAX('損益分岐設定'!B40,ROUNDUP(U339/I339,0))&lt;='損益分岐設定'!C40,MAX('損益分岐設定'!B40,ROUNDUP(U339/I339,0)),1001))</x:f>
        <x:v>501</x:v>
      </x:c>
      <x:c r="Z339" s="1" t="n">
        <x:f>IF(I339&lt;=0,'損益分岐設定'!C37,IF('損益分岐設定'!C37*I339-R339&lt;0,'損益分岐設定'!C37,IF('損益分岐設定'!B37*I339-R339&gt;=0,0,ROUNDUP(R339/I339,0)-1)))</x:f>
        <x:v>10</x:v>
      </x:c>
      <x:c r="AA339" s="1" t="n">
        <x:f>IF(I339&lt;=0,'損益分岐設定'!C38,IF('損益分岐設定'!C38*I339-S339&lt;0,'損益分岐設定'!C38,IF('損益分岐設定'!B38*I339-S339&gt;=0,0,ROUNDUP(S339/I339,0)-1)))</x:f>
        <x:v>52</x:v>
      </x:c>
      <x:c r="AB339" s="1" t="n">
        <x:f>IF(I339&lt;=0,'損益分岐設定'!C39,IF('損益分岐設定'!C39*I339-T339&lt;0,'損益分岐設定'!C39,IF('損益分岐設定'!B39*I339-T339&gt;=0,0,ROUNDUP(T339/I339,0)-1)))</x:f>
        <x:v>0</x:v>
      </x:c>
      <x:c r="AC339" s="1" t="n">
        <x:f>IF(I339&lt;=0,'損益分岐設定'!C40,IF('損益分岐設定'!C40*I339-U339&lt;0,'損益分岐設定'!C40,IF('損益分岐設定'!B40*I339-U339&gt;=0,0,ROUNDUP(U339/I339,0)-1)))</x:f>
        <x:v>0</x:v>
      </x:c>
      <x:c r="AD339" s="1" t="n">
        <x:v>1</x:v>
      </x:c>
      <x:c r="AE339" s="1" t="n">
        <x:v>0</x:v>
      </x:c>
      <x:c r="AF339" s="1" t="n">
        <x:v>0</x:v>
      </x:c>
      <x:c r="AG339" s="1" t="n">
        <x:f>AD339*'損益分岐設定'!$C$57+AE339*'損益分岐設定'!$C$60+AF339*'損益分岐設定'!$C$63</x:f>
        <x:v>147.89614318847657</x:v>
      </x:c>
      <x:c r="AH339" s="1" t="n">
        <x:f>AD339*'損益分岐設定'!$D$57+AE339*'損益分岐設定'!$D$60+AF339*'損益分岐設定'!$D$63</x:f>
        <x:v>30</x:v>
      </x:c>
      <x:c r="AI339" s="1" t="n">
        <x:f>AD339*'損益分岐設定'!$E$57+AE339*'損益分岐設定'!$E$60+AF339*'損益分岐設定'!$E$63</x:f>
        <x:v>30</x:v>
      </x:c>
      <x:c r="AJ339" s="1" t="n">
        <x:f>(AD339*'損益分岐設定'!$F$57+AE339*'損益分岐設定'!$F$60+AF339*'損益分岐設定'!$F$63*1)*'損益分岐設定'!$B$22</x:f>
        <x:v>120</x:v>
      </x:c>
      <x:c r="AK339" s="1" t="n">
        <x:f>AD339*'損益分岐設定'!$G$57+AE339*'損益分岐設定'!$G$60+AF339*'損益分岐設定'!$G$63</x:f>
        <x:v>200</x:v>
      </x:c>
      <x:c r="AL339" s="1" t="n">
        <x:f>AD339*'損益分岐設定'!$H$57+AE339*'損益分岐設定'!$H$60+AF339*'損益分岐設定'!$H$63</x:f>
        <x:v>566.6666666666666</x:v>
      </x:c>
      <x:c r="AM339" s="1" t="n">
        <x:f>MAX(1,ROUNDUP('損益分岐設定'!C37*AJ339/('損益分岐設定'!$B$23*'損益分岐設定'!$B$24*3600*'損益分岐設定'!$B$25),0))</x:f>
        <x:v>1</x:v>
      </x:c>
      <x:c r="AN339" s="1" t="n">
        <x:f>MAX(2,ROUNDUP('損益分岐設定'!C38*AJ339/('損益分岐設定'!$B$23*'損益分岐設定'!$B$24*3600*'損益分岐設定'!$B$25),0))</x:f>
        <x:v>2</x:v>
      </x:c>
      <x:c r="AO339" s="1" t="n">
        <x:f>MAX(2,ROUNDUP('損益分岐設定'!C39*AJ339/('損益分岐設定'!$B$23*'損益分岐設定'!$B$24*3600*'損益分岐設定'!$B$25),0))</x:f>
        <x:v>2</x:v>
      </x:c>
      <x:c r="AP339" s="1" t="n">
        <x:f>MAX(2,ROUNDUP('損益分岐設定'!C40*AJ339/('損益分岐設定'!$B$23*'損益分岐設定'!$B$24*3600*'損益分岐設定'!$B$25),0))</x:f>
        <x:v>2</x:v>
      </x:c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 ht="23" customHeight="1">
      <x:c r="A340" s="1" t="str">
        <x:v>VM</x:v>
      </x:c>
      <x:c r="B340" s="1" t="str">
        <x:v>Starter</x:v>
      </x:c>
      <x:c r="C340" s="1" t="str">
        <x:v>標準</x:v>
      </x:c>
      <x:c r="D340" s="21" t="n">
        <x:v>0.3</x:v>
      </x:c>
      <x:c r="E340" s="1" t="n">
        <x:v>1</x:v>
      </x:c>
      <x:c r="F340" s="7" t="n">
        <x:f>AD340*'損益分岐設定'!$B$5+AE340*'損益分岐設定'!$B$6+AF340*'損益分岐設定'!$B$7</x:f>
        <x:v>3000</x:v>
      </x:c>
      <x:c r="G340" s="7" t="n">
        <x:f>AG340+0+AK340*'損益分岐設定'!$B$33</x:f>
        <x:v>147.89837836265565</x:v>
      </x:c>
      <x:c r="H340" s="7" t="n">
        <x:f>AL340*E340</x:f>
        <x:v>566.6666666666666</x:v>
      </x:c>
      <x:c r="I340" s="7" t="n">
        <x:f>F340*(1-D340-'損益分岐設定'!$B$10)-G340-H340</x:f>
        <x:v>1277.4349549706776</x:v>
      </x:c>
      <x:c r="J340" s="1" t="n">
        <x:f>IF(MIN(V340:Y340)&gt;1000,"範囲内なし",MIN(V340:Y340))</x:f>
        <x:v>139</x:v>
      </x:c>
      <x:c r="K340" s="1" t="n">
        <x:f>IF(MAX(Z340:AC340)&gt;=1000,"範囲内なし",MAX(1,MAX(Z340:AC340)+1))</x:f>
        <x:v>139</x:v>
      </x:c>
      <x:c r="L340" s="7" t="n">
        <x:f>10*I340-R340</x:f>
        <x:v>-69984.83721151449</x:v>
      </x:c>
      <x:c r="M340" s="7" t="n">
        <x:f>30*I340-S340</x:f>
        <x:v>-106695.32487332221</x:v>
      </x:c>
      <x:c r="N340" s="7" t="n">
        <x:f>50*I340-S340</x:f>
        <x:v>-81146.62577390866</x:v>
      </x:c>
      <x:c r="O340" s="7" t="n">
        <x:f>100*I340-S340</x:f>
        <x:v>-17274.87802537477</x:v>
      </x:c>
      <x:c r="P340" s="7" t="n">
        <x:f>300*I340-T340</x:f>
        <x:v>206212.11296876078</x:v>
      </x:c>
      <x:c r="Q340" s="7" t="n">
        <x:f>1000*I340-U340</x:f>
        <x:v>1031536.9880676244</x:v>
      </x:c>
      <x:c r="R340" s="7" t="n">
        <x:f>'損益分岐設定'!$B$18+'損益分岐設定'!$B$19+'損益分岐設定'!$B$20+'損益分岐設定'!E37+('損益分岐設定'!F37+2*'損益分岐設定'!G37+AM340)*('損益分岐設定'!$B$15+'損益分岐設定'!$B$16)+'損益分岐設定'!$B$17+'損益分岐設定'!$B$21+E340*'損益分岐設定'!H37*'損益分岐設定'!$B$11</x:f>
        <x:v>82759.18676122127</x:v>
      </x:c>
      <x:c r="S340" s="7" t="n">
        <x:f>'損益分岐設定'!$B$18+'損益分岐設定'!$B$19+'損益分岐設定'!$B$20+'損益分岐設定'!E38+('損益分岐設定'!F38+2*'損益分岐設定'!G38+AN340)*('損益分岐設定'!$B$15+'損益分岐設定'!$B$16)+'損益分岐設定'!$B$17+'損益分岐設定'!$B$21+E340*'損益分岐設定'!H38*'損益分岐設定'!$B$11</x:f>
        <x:v>145018.37352244253</x:v>
      </x:c>
      <x:c r="T340" s="7" t="n">
        <x:f>'損益分岐設定'!$B$18+'損益分岐設定'!$B$19+'損益分岐設定'!$B$20+'損益分岐設定'!E39+('損益分岐設定'!F39+2*'損益分岐設定'!G39+AO340)*('損益分岐設定'!$B$15+'損益分岐設定'!$B$16)+'損益分岐設定'!$B$17+'損益分岐設定'!$B$21+E340*'損益分岐設定'!H39*'損益分岐設定'!$B$11</x:f>
        <x:v>177018.37352244253</x:v>
      </x:c>
      <x:c r="U340" s="7" t="n">
        <x:f>'損益分岐設定'!$B$18+'損益分岐設定'!$B$19+'損益分岐設定'!$B$20+'損益分岐設定'!E40+('損益分岐設定'!F40+2*'損益分岐設定'!G40+AP340)*('損益分岐設定'!$B$15+'損益分岐設定'!$B$16)+'損益分岐設定'!$B$17+'損益分岐設定'!$B$21+E340*'損益分岐設定'!H40*'損益分岐設定'!$B$11</x:f>
        <x:v>245897.96690305317</x:v>
      </x:c>
      <x:c r="V340" s="1" t="n">
        <x:f>IF(I340&lt;=0,1001,IF(MAX('損益分岐設定'!B37,ROUNDUP(R340/I340,0))&lt;='損益分岐設定'!C37,MAX('損益分岐設定'!B37,ROUNDUP(R340/I340,0)),1001))</x:f>
        <x:v>1001</x:v>
      </x:c>
      <x:c r="W340" s="1" t="n">
        <x:f>IF(I340&lt;=0,1001,IF(MAX('損益分岐設定'!B38,ROUNDUP(S340/I340,0))&lt;='損益分岐設定'!C38,MAX('損益分岐設定'!B38,ROUNDUP(S340/I340,0)),1001))</x:f>
        <x:v>1001</x:v>
      </x:c>
      <x:c r="X340" s="1" t="n">
        <x:f>IF(I340&lt;=0,1001,IF(MAX('損益分岐設定'!B39,ROUNDUP(T340/I340,0))&lt;='損益分岐設定'!C39,MAX('損益分岐設定'!B39,ROUNDUP(T340/I340,0)),1001))</x:f>
        <x:v>139</x:v>
      </x:c>
      <x:c r="Y340" s="1" t="n">
        <x:f>IF(I340&lt;=0,1001,IF(MAX('損益分岐設定'!B40,ROUNDUP(U340/I340,0))&lt;='損益分岐設定'!C40,MAX('損益分岐設定'!B40,ROUNDUP(U340/I340,0)),1001))</x:f>
        <x:v>501</x:v>
      </x:c>
      <x:c r="Z340" s="1" t="n">
        <x:f>IF(I340&lt;=0,'損益分岐設定'!C37,IF('損益分岐設定'!C37*I340-R340&lt;0,'損益分岐設定'!C37,IF('損益分岐設定'!B37*I340-R340&gt;=0,0,ROUNDUP(R340/I340,0)-1)))</x:f>
        <x:v>10</x:v>
      </x:c>
      <x:c r="AA340" s="1" t="n">
        <x:f>IF(I340&lt;=0,'損益分岐設定'!C38,IF('損益分岐設定'!C38*I340-S340&lt;0,'損益分岐設定'!C38,IF('損益分岐設定'!B38*I340-S340&gt;=0,0,ROUNDUP(S340/I340,0)-1)))</x:f>
        <x:v>100</x:v>
      </x:c>
      <x:c r="AB340" s="1" t="n">
        <x:f>IF(I340&lt;=0,'損益分岐設定'!C39,IF('損益分岐設定'!C39*I340-T340&lt;0,'損益分岐設定'!C39,IF('損益分岐設定'!B39*I340-T340&gt;=0,0,ROUNDUP(T340/I340,0)-1)))</x:f>
        <x:v>138</x:v>
      </x:c>
      <x:c r="AC340" s="1" t="n">
        <x:f>IF(I340&lt;=0,'損益分岐設定'!C40,IF('損益分岐設定'!C40*I340-U340&lt;0,'損益分岐設定'!C40,IF('損益分岐設定'!B40*I340-U340&gt;=0,0,ROUNDUP(U340/I340,0)-1)))</x:f>
        <x:v>0</x:v>
      </x:c>
      <x:c r="AD340" s="1" t="n">
        <x:v>1</x:v>
      </x:c>
      <x:c r="AE340" s="1" t="n">
        <x:v>0</x:v>
      </x:c>
      <x:c r="AF340" s="1" t="n">
        <x:v>0</x:v>
      </x:c>
      <x:c r="AG340" s="1" t="n">
        <x:f>AD340*'損益分岐設定'!$C$57+AE340*'損益分岐設定'!$C$60+AF340*'損益分岐設定'!$C$63</x:f>
        <x:v>147.89614318847657</x:v>
      </x:c>
      <x:c r="AH340" s="1" t="n">
        <x:f>AD340*'損益分岐設定'!$D$57+AE340*'損益分岐設定'!$D$60+AF340*'損益分岐設定'!$D$63</x:f>
        <x:v>30</x:v>
      </x:c>
      <x:c r="AI340" s="1" t="n">
        <x:f>AD340*'損益分岐設定'!$E$57+AE340*'損益分岐設定'!$E$60+AF340*'損益分岐設定'!$E$63</x:f>
        <x:v>30</x:v>
      </x:c>
      <x:c r="AJ340" s="1" t="n">
        <x:f>(AD340*'損益分岐設定'!$F$57+AE340*'損益分岐設定'!$F$60+AF340*'損益分岐設定'!$F$63*1)*'損益分岐設定'!$B$22</x:f>
        <x:v>120</x:v>
      </x:c>
      <x:c r="AK340" s="1" t="n">
        <x:f>AD340*'損益分岐設定'!$G$57+AE340*'損益分岐設定'!$G$60+AF340*'損益分岐設定'!$G$63</x:f>
        <x:v>200</x:v>
      </x:c>
      <x:c r="AL340" s="1" t="n">
        <x:f>AD340*'損益分岐設定'!$H$57+AE340*'損益分岐設定'!$H$60+AF340*'損益分岐設定'!$H$63</x:f>
        <x:v>566.6666666666666</x:v>
      </x:c>
      <x:c r="AM340" s="1" t="n">
        <x:f>MAX(1,ROUNDUP('損益分岐設定'!C37*AJ340/('損益分岐設定'!$B$23*'損益分岐設定'!$B$24*3600*'損益分岐設定'!$B$25),0))</x:f>
        <x:v>1</x:v>
      </x:c>
      <x:c r="AN340" s="1" t="n">
        <x:f>MAX(2,ROUNDUP('損益分岐設定'!C38*AJ340/('損益分岐設定'!$B$23*'損益分岐設定'!$B$24*3600*'損益分岐設定'!$B$25),0))</x:f>
        <x:v>2</x:v>
      </x:c>
      <x:c r="AO340" s="1" t="n">
        <x:f>MAX(2,ROUNDUP('損益分岐設定'!C39*AJ340/('損益分岐設定'!$B$23*'損益分岐設定'!$B$24*3600*'損益分岐設定'!$B$25),0))</x:f>
        <x:v>2</x:v>
      </x:c>
      <x:c r="AP340" s="1" t="n">
        <x:f>MAX(2,ROUNDUP('損益分岐設定'!C40*AJ340/('損益分岐設定'!$B$23*'損益分岐設定'!$B$24*3600*'損益分岐設定'!$B$25),0))</x:f>
        <x:v>2</x:v>
      </x:c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 ht="23" customHeight="1">
      <x:c r="A341" s="1" t="str">
        <x:v>VM</x:v>
      </x:c>
      <x:c r="B341" s="1" t="str">
        <x:v>Starter</x:v>
      </x:c>
      <x:c r="C341" s="1" t="str">
        <x:v>標準</x:v>
      </x:c>
      <x:c r="D341" s="21" t="n">
        <x:v>0.4</x:v>
      </x:c>
      <x:c r="E341" s="1" t="n">
        <x:v>0</x:v>
      </x:c>
      <x:c r="F341" s="7" t="n">
        <x:f>AD341*'損益分岐設定'!$B$5+AE341*'損益分岐設定'!$B$6+AF341*'損益分岐設定'!$B$7</x:f>
        <x:v>3000</x:v>
      </x:c>
      <x:c r="G341" s="7" t="n">
        <x:f>AG341+0+AK341*'損益分岐設定'!$B$33</x:f>
        <x:v>147.89837836265565</x:v>
      </x:c>
      <x:c r="H341" s="7" t="n">
        <x:f>AL341*E341</x:f>
        <x:v>0</x:v>
      </x:c>
      <x:c r="I341" s="7" t="n">
        <x:f>F341*(1-D341-'損益分岐設定'!$B$10)-G341-H341</x:f>
        <x:v>1544.1016216373441</x:v>
      </x:c>
      <x:c r="J341" s="1" t="n">
        <x:f>IF(MIN(V341:Y341)&gt;1000,"範囲内なし",MIN(V341:Y341))</x:f>
        <x:v>63</x:v>
      </x:c>
      <x:c r="K341" s="1" t="n">
        <x:f>IF(MAX(Z341:AC341)&gt;=1000,"範囲内なし",MAX(1,MAX(Z341:AC341)+1))</x:f>
        <x:v>63</x:v>
      </x:c>
      <x:c r="L341" s="7" t="n">
        <x:f>10*I341-R341</x:f>
        <x:v>-35318.17054484783</x:v>
      </x:c>
      <x:c r="M341" s="7" t="n">
        <x:f>30*I341-S341</x:f>
        <x:v>-50695.32487332222</x:v>
      </x:c>
      <x:c r="N341" s="7" t="n">
        <x:f>50*I341-S341</x:f>
        <x:v>-19813.292440575344</x:v>
      </x:c>
      <x:c r="O341" s="7" t="n">
        <x:f>100*I341-S341</x:f>
        <x:v>57391.78864129186</x:v>
      </x:c>
      <x:c r="P341" s="7" t="n">
        <x:f>300*I341-T341</x:f>
        <x:v>366212.1129687607</x:v>
      </x:c>
      <x:c r="Q341" s="7" t="n">
        <x:f>1000*I341-U341</x:f>
        <x:v>1426203.654734291</x:v>
      </x:c>
      <x:c r="R341" s="7" t="n">
        <x:f>'損益分岐設定'!$B$18+'損益分岐設定'!$B$19+'損益分岐設定'!$B$20+'損益分岐設定'!E37+('損益分岐設定'!F37+2*'損益分岐設定'!G37+AM341)*('損益分岐設定'!$B$15+'損益分岐設定'!$B$16)+'損益分岐設定'!$B$17+'損益分岐設定'!$B$21+E341*'損益分岐設定'!H37*'損益分岐設定'!$B$11</x:f>
        <x:v>50759.18676122127</x:v>
      </x:c>
      <x:c r="S341" s="7" t="n">
        <x:f>'損益分岐設定'!$B$18+'損益分岐設定'!$B$19+'損益分岐設定'!$B$20+'損益分岐設定'!E38+('損益分岐設定'!F38+2*'損益分岐設定'!G38+AN341)*('損益分岐設定'!$B$15+'損益分岐設定'!$B$16)+'損益分岐設定'!$B$17+'損益分岐設定'!$B$21+E341*'損益分岐設定'!H38*'損益分岐設定'!$B$11</x:f>
        <x:v>97018.37352244255</x:v>
      </x:c>
      <x:c r="T341" s="7" t="n">
        <x:f>'損益分岐設定'!$B$18+'損益分岐設定'!$B$19+'損益分岐設定'!$B$20+'損益分岐設定'!E39+('損益分岐設定'!F39+2*'損益分岐設定'!G39+AO341)*('損益分岐設定'!$B$15+'損益分岐設定'!$B$16)+'損益分岐設定'!$B$17+'損益分岐設定'!$B$21+E341*'損益分岐設定'!H39*'損益分岐設定'!$B$11</x:f>
        <x:v>97018.37352244255</x:v>
      </x:c>
      <x:c r="U341" s="7" t="n">
        <x:f>'損益分岐設定'!$B$18+'損益分岐設定'!$B$19+'損益分岐設定'!$B$20+'損益分岐設定'!E40+('損益分岐設定'!F40+2*'損益分岐設定'!G40+AP341)*('損益分岐設定'!$B$15+'損益分岐設定'!$B$16)+'損益分岐設定'!$B$17+'損益分岐設定'!$B$21+E341*'損益分岐設定'!H40*'損益分岐設定'!$B$11</x:f>
        <x:v>117897.96690305318</x:v>
      </x:c>
      <x:c r="V341" s="1" t="n">
        <x:f>IF(I341&lt;=0,1001,IF(MAX('損益分岐設定'!B37,ROUNDUP(R341/I341,0))&lt;='損益分岐設定'!C37,MAX('損益分岐設定'!B37,ROUNDUP(R341/I341,0)),1001))</x:f>
        <x:v>1001</x:v>
      </x:c>
      <x:c r="W341" s="1" t="n">
        <x:f>IF(I341&lt;=0,1001,IF(MAX('損益分岐設定'!B38,ROUNDUP(S341/I341,0))&lt;='損益分岐設定'!C38,MAX('損益分岐設定'!B38,ROUNDUP(S341/I341,0)),1001))</x:f>
        <x:v>63</x:v>
      </x:c>
      <x:c r="X341" s="1" t="n">
        <x:f>IF(I341&lt;=0,1001,IF(MAX('損益分岐設定'!B39,ROUNDUP(T341/I341,0))&lt;='損益分岐設定'!C39,MAX('損益分岐設定'!B39,ROUNDUP(T341/I341,0)),1001))</x:f>
        <x:v>101</x:v>
      </x:c>
      <x:c r="Y341" s="1" t="n">
        <x:f>IF(I341&lt;=0,1001,IF(MAX('損益分岐設定'!B40,ROUNDUP(U341/I341,0))&lt;='損益分岐設定'!C40,MAX('損益分岐設定'!B40,ROUNDUP(U341/I341,0)),1001))</x:f>
        <x:v>501</x:v>
      </x:c>
      <x:c r="Z341" s="1" t="n">
        <x:f>IF(I341&lt;=0,'損益分岐設定'!C37,IF('損益分岐設定'!C37*I341-R341&lt;0,'損益分岐設定'!C37,IF('損益分岐設定'!B37*I341-R341&gt;=0,0,ROUNDUP(R341/I341,0)-1)))</x:f>
        <x:v>10</x:v>
      </x:c>
      <x:c r="AA341" s="1" t="n">
        <x:f>IF(I341&lt;=0,'損益分岐設定'!C38,IF('損益分岐設定'!C38*I341-S341&lt;0,'損益分岐設定'!C38,IF('損益分岐設定'!B38*I341-S341&gt;=0,0,ROUNDUP(S341/I341,0)-1)))</x:f>
        <x:v>62</x:v>
      </x:c>
      <x:c r="AB341" s="1" t="n">
        <x:f>IF(I341&lt;=0,'損益分岐設定'!C39,IF('損益分岐設定'!C39*I341-T341&lt;0,'損益分岐設定'!C39,IF('損益分岐設定'!B39*I341-T341&gt;=0,0,ROUNDUP(T341/I341,0)-1)))</x:f>
        <x:v>0</x:v>
      </x:c>
      <x:c r="AC341" s="1" t="n">
        <x:f>IF(I341&lt;=0,'損益分岐設定'!C40,IF('損益分岐設定'!C40*I341-U341&lt;0,'損益分岐設定'!C40,IF('損益分岐設定'!B40*I341-U341&gt;=0,0,ROUNDUP(U341/I341,0)-1)))</x:f>
        <x:v>0</x:v>
      </x:c>
      <x:c r="AD341" s="1" t="n">
        <x:v>1</x:v>
      </x:c>
      <x:c r="AE341" s="1" t="n">
        <x:v>0</x:v>
      </x:c>
      <x:c r="AF341" s="1" t="n">
        <x:v>0</x:v>
      </x:c>
      <x:c r="AG341" s="1" t="n">
        <x:f>AD341*'損益分岐設定'!$C$57+AE341*'損益分岐設定'!$C$60+AF341*'損益分岐設定'!$C$63</x:f>
        <x:v>147.89614318847657</x:v>
      </x:c>
      <x:c r="AH341" s="1" t="n">
        <x:f>AD341*'損益分岐設定'!$D$57+AE341*'損益分岐設定'!$D$60+AF341*'損益分岐設定'!$D$63</x:f>
        <x:v>30</x:v>
      </x:c>
      <x:c r="AI341" s="1" t="n">
        <x:f>AD341*'損益分岐設定'!$E$57+AE341*'損益分岐設定'!$E$60+AF341*'損益分岐設定'!$E$63</x:f>
        <x:v>30</x:v>
      </x:c>
      <x:c r="AJ341" s="1" t="n">
        <x:f>(AD341*'損益分岐設定'!$F$57+AE341*'損益分岐設定'!$F$60+AF341*'損益分岐設定'!$F$63*1)*'損益分岐設定'!$B$22</x:f>
        <x:v>120</x:v>
      </x:c>
      <x:c r="AK341" s="1" t="n">
        <x:f>AD341*'損益分岐設定'!$G$57+AE341*'損益分岐設定'!$G$60+AF341*'損益分岐設定'!$G$63</x:f>
        <x:v>200</x:v>
      </x:c>
      <x:c r="AL341" s="1" t="n">
        <x:f>AD341*'損益分岐設定'!$H$57+AE341*'損益分岐設定'!$H$60+AF341*'損益分岐設定'!$H$63</x:f>
        <x:v>566.6666666666666</x:v>
      </x:c>
      <x:c r="AM341" s="1" t="n">
        <x:f>MAX(1,ROUNDUP('損益分岐設定'!C37*AJ341/('損益分岐設定'!$B$23*'損益分岐設定'!$B$24*3600*'損益分岐設定'!$B$25),0))</x:f>
        <x:v>1</x:v>
      </x:c>
      <x:c r="AN341" s="1" t="n">
        <x:f>MAX(2,ROUNDUP('損益分岐設定'!C38*AJ341/('損益分岐設定'!$B$23*'損益分岐設定'!$B$24*3600*'損益分岐設定'!$B$25),0))</x:f>
        <x:v>2</x:v>
      </x:c>
      <x:c r="AO341" s="1" t="n">
        <x:f>MAX(2,ROUNDUP('損益分岐設定'!C39*AJ341/('損益分岐設定'!$B$23*'損益分岐設定'!$B$24*3600*'損益分岐設定'!$B$25),0))</x:f>
        <x:v>2</x:v>
      </x:c>
      <x:c r="AP341" s="1" t="n">
        <x:f>MAX(2,ROUNDUP('損益分岐設定'!C40*AJ341/('損益分岐設定'!$B$23*'損益分岐設定'!$B$24*3600*'損益分岐設定'!$B$25),0))</x:f>
        <x:v>2</x:v>
      </x:c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 ht="23" customHeight="1">
      <x:c r="A342" s="1" t="str">
        <x:v>VM</x:v>
      </x:c>
      <x:c r="B342" s="1" t="str">
        <x:v>Starter</x:v>
      </x:c>
      <x:c r="C342" s="1" t="str">
        <x:v>標準</x:v>
      </x:c>
      <x:c r="D342" s="21" t="n">
        <x:v>0.4</x:v>
      </x:c>
      <x:c r="E342" s="1" t="n">
        <x:v>1</x:v>
      </x:c>
      <x:c r="F342" s="7" t="n">
        <x:f>AD342*'損益分岐設定'!$B$5+AE342*'損益分岐設定'!$B$6+AF342*'損益分岐設定'!$B$7</x:f>
        <x:v>3000</x:v>
      </x:c>
      <x:c r="G342" s="7" t="n">
        <x:f>AG342+0+AK342*'損益分岐設定'!$B$33</x:f>
        <x:v>147.89837836265565</x:v>
      </x:c>
      <x:c r="H342" s="7" t="n">
        <x:f>AL342*E342</x:f>
        <x:v>566.6666666666666</x:v>
      </x:c>
      <x:c r="I342" s="7" t="n">
        <x:f>F342*(1-D342-'損益分岐設定'!$B$10)-G342-H342</x:f>
        <x:v>977.4349549706775</x:v>
      </x:c>
      <x:c r="J342" s="1" t="n">
        <x:f>IF(MIN(V342:Y342)&gt;1000,"範囲内なし",MIN(V342:Y342))</x:f>
        <x:v>182</x:v>
      </x:c>
      <x:c r="K342" s="1" t="n">
        <x:f>IF(MAX(Z342:AC342)&gt;=1000,"範囲内なし",MAX(1,MAX(Z342:AC342)+1))</x:f>
        <x:v>182</x:v>
      </x:c>
      <x:c r="L342" s="7" t="n">
        <x:f>10*I342-R342</x:f>
        <x:v>-72984.83721151449</x:v>
      </x:c>
      <x:c r="M342" s="7" t="n">
        <x:f>30*I342-S342</x:f>
        <x:v>-115695.32487332221</x:v>
      </x:c>
      <x:c r="N342" s="7" t="n">
        <x:f>50*I342-S342</x:f>
        <x:v>-96146.62577390866</x:v>
      </x:c>
      <x:c r="O342" s="7" t="n">
        <x:f>100*I342-S342</x:f>
        <x:v>-47274.87802537478</x:v>
      </x:c>
      <x:c r="P342" s="7" t="n">
        <x:f>300*I342-T342</x:f>
        <x:v>116212.11296876072</x:v>
      </x:c>
      <x:c r="Q342" s="7" t="n">
        <x:f>1000*I342-U342</x:f>
        <x:v>731536.9880676244</x:v>
      </x:c>
      <x:c r="R342" s="7" t="n">
        <x:f>'損益分岐設定'!$B$18+'損益分岐設定'!$B$19+'損益分岐設定'!$B$20+'損益分岐設定'!E37+('損益分岐設定'!F37+2*'損益分岐設定'!G37+AM342)*('損益分岐設定'!$B$15+'損益分岐設定'!$B$16)+'損益分岐設定'!$B$17+'損益分岐設定'!$B$21+E342*'損益分岐設定'!H37*'損益分岐設定'!$B$11</x:f>
        <x:v>82759.18676122127</x:v>
      </x:c>
      <x:c r="S342" s="7" t="n">
        <x:f>'損益分岐設定'!$B$18+'損益分岐設定'!$B$19+'損益分岐設定'!$B$20+'損益分岐設定'!E38+('損益分岐設定'!F38+2*'損益分岐設定'!G38+AN342)*('損益分岐設定'!$B$15+'損益分岐設定'!$B$16)+'損益分岐設定'!$B$17+'損益分岐設定'!$B$21+E342*'損益分岐設定'!H38*'損益分岐設定'!$B$11</x:f>
        <x:v>145018.37352244253</x:v>
      </x:c>
      <x:c r="T342" s="7" t="n">
        <x:f>'損益分岐設定'!$B$18+'損益分岐設定'!$B$19+'損益分岐設定'!$B$20+'損益分岐設定'!E39+('損益分岐設定'!F39+2*'損益分岐設定'!G39+AO342)*('損益分岐設定'!$B$15+'損益分岐設定'!$B$16)+'損益分岐設定'!$B$17+'損益分岐設定'!$B$21+E342*'損益分岐設定'!H39*'損益分岐設定'!$B$11</x:f>
        <x:v>177018.37352244253</x:v>
      </x:c>
      <x:c r="U342" s="7" t="n">
        <x:f>'損益分岐設定'!$B$18+'損益分岐設定'!$B$19+'損益分岐設定'!$B$20+'損益分岐設定'!E40+('損益分岐設定'!F40+2*'損益分岐設定'!G40+AP342)*('損益分岐設定'!$B$15+'損益分岐設定'!$B$16)+'損益分岐設定'!$B$17+'損益分岐設定'!$B$21+E342*'損益分岐設定'!H40*'損益分岐設定'!$B$11</x:f>
        <x:v>245897.96690305317</x:v>
      </x:c>
      <x:c r="V342" s="1" t="n">
        <x:f>IF(I342&lt;=0,1001,IF(MAX('損益分岐設定'!B37,ROUNDUP(R342/I342,0))&lt;='損益分岐設定'!C37,MAX('損益分岐設定'!B37,ROUNDUP(R342/I342,0)),1001))</x:f>
        <x:v>1001</x:v>
      </x:c>
      <x:c r="W342" s="1" t="n">
        <x:f>IF(I342&lt;=0,1001,IF(MAX('損益分岐設定'!B38,ROUNDUP(S342/I342,0))&lt;='損益分岐設定'!C38,MAX('損益分岐設定'!B38,ROUNDUP(S342/I342,0)),1001))</x:f>
        <x:v>1001</x:v>
      </x:c>
      <x:c r="X342" s="1" t="n">
        <x:f>IF(I342&lt;=0,1001,IF(MAX('損益分岐設定'!B39,ROUNDUP(T342/I342,0))&lt;='損益分岐設定'!C39,MAX('損益分岐設定'!B39,ROUNDUP(T342/I342,0)),1001))</x:f>
        <x:v>182</x:v>
      </x:c>
      <x:c r="Y342" s="1" t="n">
        <x:f>IF(I342&lt;=0,1001,IF(MAX('損益分岐設定'!B40,ROUNDUP(U342/I342,0))&lt;='損益分岐設定'!C40,MAX('損益分岐設定'!B40,ROUNDUP(U342/I342,0)),1001))</x:f>
        <x:v>501</x:v>
      </x:c>
      <x:c r="Z342" s="1" t="n">
        <x:f>IF(I342&lt;=0,'損益分岐設定'!C37,IF('損益分岐設定'!C37*I342-R342&lt;0,'損益分岐設定'!C37,IF('損益分岐設定'!B37*I342-R342&gt;=0,0,ROUNDUP(R342/I342,0)-1)))</x:f>
        <x:v>10</x:v>
      </x:c>
      <x:c r="AA342" s="1" t="n">
        <x:f>IF(I342&lt;=0,'損益分岐設定'!C38,IF('損益分岐設定'!C38*I342-S342&lt;0,'損益分岐設定'!C38,IF('損益分岐設定'!B38*I342-S342&gt;=0,0,ROUNDUP(S342/I342,0)-1)))</x:f>
        <x:v>100</x:v>
      </x:c>
      <x:c r="AB342" s="1" t="n">
        <x:f>IF(I342&lt;=0,'損益分岐設定'!C39,IF('損益分岐設定'!C39*I342-T342&lt;0,'損益分岐設定'!C39,IF('損益分岐設定'!B39*I342-T342&gt;=0,0,ROUNDUP(T342/I342,0)-1)))</x:f>
        <x:v>181</x:v>
      </x:c>
      <x:c r="AC342" s="1" t="n">
        <x:f>IF(I342&lt;=0,'損益分岐設定'!C40,IF('損益分岐設定'!C40*I342-U342&lt;0,'損益分岐設定'!C40,IF('損益分岐設定'!B40*I342-U342&gt;=0,0,ROUNDUP(U342/I342,0)-1)))</x:f>
        <x:v>0</x:v>
      </x:c>
      <x:c r="AD342" s="1" t="n">
        <x:v>1</x:v>
      </x:c>
      <x:c r="AE342" s="1" t="n">
        <x:v>0</x:v>
      </x:c>
      <x:c r="AF342" s="1" t="n">
        <x:v>0</x:v>
      </x:c>
      <x:c r="AG342" s="1" t="n">
        <x:f>AD342*'損益分岐設定'!$C$57+AE342*'損益分岐設定'!$C$60+AF342*'損益分岐設定'!$C$63</x:f>
        <x:v>147.89614318847657</x:v>
      </x:c>
      <x:c r="AH342" s="1" t="n">
        <x:f>AD342*'損益分岐設定'!$D$57+AE342*'損益分岐設定'!$D$60+AF342*'損益分岐設定'!$D$63</x:f>
        <x:v>30</x:v>
      </x:c>
      <x:c r="AI342" s="1" t="n">
        <x:f>AD342*'損益分岐設定'!$E$57+AE342*'損益分岐設定'!$E$60+AF342*'損益分岐設定'!$E$63</x:f>
        <x:v>30</x:v>
      </x:c>
      <x:c r="AJ342" s="1" t="n">
        <x:f>(AD342*'損益分岐設定'!$F$57+AE342*'損益分岐設定'!$F$60+AF342*'損益分岐設定'!$F$63*1)*'損益分岐設定'!$B$22</x:f>
        <x:v>120</x:v>
      </x:c>
      <x:c r="AK342" s="1" t="n">
        <x:f>AD342*'損益分岐設定'!$G$57+AE342*'損益分岐設定'!$G$60+AF342*'損益分岐設定'!$G$63</x:f>
        <x:v>200</x:v>
      </x:c>
      <x:c r="AL342" s="1" t="n">
        <x:f>AD342*'損益分岐設定'!$H$57+AE342*'損益分岐設定'!$H$60+AF342*'損益分岐設定'!$H$63</x:f>
        <x:v>566.6666666666666</x:v>
      </x:c>
      <x:c r="AM342" s="1" t="n">
        <x:f>MAX(1,ROUNDUP('損益分岐設定'!C37*AJ342/('損益分岐設定'!$B$23*'損益分岐設定'!$B$24*3600*'損益分岐設定'!$B$25),0))</x:f>
        <x:v>1</x:v>
      </x:c>
      <x:c r="AN342" s="1" t="n">
        <x:f>MAX(2,ROUNDUP('損益分岐設定'!C38*AJ342/('損益分岐設定'!$B$23*'損益分岐設定'!$B$24*3600*'損益分岐設定'!$B$25),0))</x:f>
        <x:v>2</x:v>
      </x:c>
      <x:c r="AO342" s="1" t="n">
        <x:f>MAX(2,ROUNDUP('損益分岐設定'!C39*AJ342/('損益分岐設定'!$B$23*'損益分岐設定'!$B$24*3600*'損益分岐設定'!$B$25),0))</x:f>
        <x:v>2</x:v>
      </x:c>
      <x:c r="AP342" s="1" t="n">
        <x:f>MAX(2,ROUNDUP('損益分岐設定'!C40*AJ342/('損益分岐設定'!$B$23*'損益分岐設定'!$B$24*3600*'損益分岐設定'!$B$25),0))</x:f>
        <x:v>2</x:v>
      </x:c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 ht="23" customHeight="1">
      <x:c r="A343" s="1" t="str">
        <x:v>VM</x:v>
      </x:c>
      <x:c r="B343" s="1" t="str">
        <x:v>Starter</x:v>
      </x:c>
      <x:c r="C343" s="1" t="str">
        <x:v>標準</x:v>
      </x:c>
      <x:c r="D343" s="21" t="n">
        <x:v>0.5</x:v>
      </x:c>
      <x:c r="E343" s="1" t="n">
        <x:v>0</x:v>
      </x:c>
      <x:c r="F343" s="7" t="n">
        <x:f>AD343*'損益分岐設定'!$B$5+AE343*'損益分岐設定'!$B$6+AF343*'損益分岐設定'!$B$7</x:f>
        <x:v>3000</x:v>
      </x:c>
      <x:c r="G343" s="7" t="n">
        <x:f>AG343+0+AK343*'損益分岐設定'!$B$33</x:f>
        <x:v>147.89837836265565</x:v>
      </x:c>
      <x:c r="H343" s="7" t="n">
        <x:f>AL343*E343</x:f>
        <x:v>0</x:v>
      </x:c>
      <x:c r="I343" s="7" t="n">
        <x:f>F343*(1-D343-'損益分岐設定'!$B$10)-G343-H343</x:f>
        <x:v>1244.1016216373444</x:v>
      </x:c>
      <x:c r="J343" s="1" t="n">
        <x:f>IF(MIN(V343:Y343)&gt;1000,"範囲内なし",MIN(V343:Y343))</x:f>
        <x:v>78</x:v>
      </x:c>
      <x:c r="K343" s="1" t="n">
        <x:f>IF(MAX(Z343:AC343)&gt;=1000,"範囲内なし",MAX(1,MAX(Z343:AC343)+1))</x:f>
        <x:v>78</x:v>
      </x:c>
      <x:c r="L343" s="7" t="n">
        <x:f>10*I343-R343</x:f>
        <x:v>-38318.17054484783</x:v>
      </x:c>
      <x:c r="M343" s="7" t="n">
        <x:f>30*I343-S343</x:f>
        <x:v>-59695.32487332221</x:v>
      </x:c>
      <x:c r="N343" s="7" t="n">
        <x:f>50*I343-S343</x:f>
        <x:v>-34813.29244057533</x:v>
      </x:c>
      <x:c r="O343" s="7" t="n">
        <x:f>100*I343-S343</x:f>
        <x:v>27391.78864129189</x:v>
      </x:c>
      <x:c r="P343" s="7" t="n">
        <x:f>300*I343-T343</x:f>
        <x:v>276212.1129687608</x:v>
      </x:c>
      <x:c r="Q343" s="7" t="n">
        <x:f>1000*I343-U343</x:f>
        <x:v>1126203.6547342911</x:v>
      </x:c>
      <x:c r="R343" s="7" t="n">
        <x:f>'損益分岐設定'!$B$18+'損益分岐設定'!$B$19+'損益分岐設定'!$B$20+'損益分岐設定'!E37+('損益分岐設定'!F37+2*'損益分岐設定'!G37+AM343)*('損益分岐設定'!$B$15+'損益分岐設定'!$B$16)+'損益分岐設定'!$B$17+'損益分岐設定'!$B$21+E343*'損益分岐設定'!H37*'損益分岐設定'!$B$11</x:f>
        <x:v>50759.18676122127</x:v>
      </x:c>
      <x:c r="S343" s="7" t="n">
        <x:f>'損益分岐設定'!$B$18+'損益分岐設定'!$B$19+'損益分岐設定'!$B$20+'損益分岐設定'!E38+('損益分岐設定'!F38+2*'損益分岐設定'!G38+AN343)*('損益分岐設定'!$B$15+'損益分岐設定'!$B$16)+'損益分岐設定'!$B$17+'損益分岐設定'!$B$21+E343*'損益分岐設定'!H38*'損益分岐設定'!$B$11</x:f>
        <x:v>97018.37352244255</x:v>
      </x:c>
      <x:c r="T343" s="7" t="n">
        <x:f>'損益分岐設定'!$B$18+'損益分岐設定'!$B$19+'損益分岐設定'!$B$20+'損益分岐設定'!E39+('損益分岐設定'!F39+2*'損益分岐設定'!G39+AO343)*('損益分岐設定'!$B$15+'損益分岐設定'!$B$16)+'損益分岐設定'!$B$17+'損益分岐設定'!$B$21+E343*'損益分岐設定'!H39*'損益分岐設定'!$B$11</x:f>
        <x:v>97018.37352244255</x:v>
      </x:c>
      <x:c r="U343" s="7" t="n">
        <x:f>'損益分岐設定'!$B$18+'損益分岐設定'!$B$19+'損益分岐設定'!$B$20+'損益分岐設定'!E40+('損益分岐設定'!F40+2*'損益分岐設定'!G40+AP343)*('損益分岐設定'!$B$15+'損益分岐設定'!$B$16)+'損益分岐設定'!$B$17+'損益分岐設定'!$B$21+E343*'損益分岐設定'!H40*'損益分岐設定'!$B$11</x:f>
        <x:v>117897.96690305318</x:v>
      </x:c>
      <x:c r="V343" s="1" t="n">
        <x:f>IF(I343&lt;=0,1001,IF(MAX('損益分岐設定'!B37,ROUNDUP(R343/I343,0))&lt;='損益分岐設定'!C37,MAX('損益分岐設定'!B37,ROUNDUP(R343/I343,0)),1001))</x:f>
        <x:v>1001</x:v>
      </x:c>
      <x:c r="W343" s="1" t="n">
        <x:f>IF(I343&lt;=0,1001,IF(MAX('損益分岐設定'!B38,ROUNDUP(S343/I343,0))&lt;='損益分岐設定'!C38,MAX('損益分岐設定'!B38,ROUNDUP(S343/I343,0)),1001))</x:f>
        <x:v>78</x:v>
      </x:c>
      <x:c r="X343" s="1" t="n">
        <x:f>IF(I343&lt;=0,1001,IF(MAX('損益分岐設定'!B39,ROUNDUP(T343/I343,0))&lt;='損益分岐設定'!C39,MAX('損益分岐設定'!B39,ROUNDUP(T343/I343,0)),1001))</x:f>
        <x:v>101</x:v>
      </x:c>
      <x:c r="Y343" s="1" t="n">
        <x:f>IF(I343&lt;=0,1001,IF(MAX('損益分岐設定'!B40,ROUNDUP(U343/I343,0))&lt;='損益分岐設定'!C40,MAX('損益分岐設定'!B40,ROUNDUP(U343/I343,0)),1001))</x:f>
        <x:v>501</x:v>
      </x:c>
      <x:c r="Z343" s="1" t="n">
        <x:f>IF(I343&lt;=0,'損益分岐設定'!C37,IF('損益分岐設定'!C37*I343-R343&lt;0,'損益分岐設定'!C37,IF('損益分岐設定'!B37*I343-R343&gt;=0,0,ROUNDUP(R343/I343,0)-1)))</x:f>
        <x:v>10</x:v>
      </x:c>
      <x:c r="AA343" s="1" t="n">
        <x:f>IF(I343&lt;=0,'損益分岐設定'!C38,IF('損益分岐設定'!C38*I343-S343&lt;0,'損益分岐設定'!C38,IF('損益分岐設定'!B38*I343-S343&gt;=0,0,ROUNDUP(S343/I343,0)-1)))</x:f>
        <x:v>77</x:v>
      </x:c>
      <x:c r="AB343" s="1" t="n">
        <x:f>IF(I343&lt;=0,'損益分岐設定'!C39,IF('損益分岐設定'!C39*I343-T343&lt;0,'損益分岐設定'!C39,IF('損益分岐設定'!B39*I343-T343&gt;=0,0,ROUNDUP(T343/I343,0)-1)))</x:f>
        <x:v>0</x:v>
      </x:c>
      <x:c r="AC343" s="1" t="n">
        <x:f>IF(I343&lt;=0,'損益分岐設定'!C40,IF('損益分岐設定'!C40*I343-U343&lt;0,'損益分岐設定'!C40,IF('損益分岐設定'!B40*I343-U343&gt;=0,0,ROUNDUP(U343/I343,0)-1)))</x:f>
        <x:v>0</x:v>
      </x:c>
      <x:c r="AD343" s="1" t="n">
        <x:v>1</x:v>
      </x:c>
      <x:c r="AE343" s="1" t="n">
        <x:v>0</x:v>
      </x:c>
      <x:c r="AF343" s="1" t="n">
        <x:v>0</x:v>
      </x:c>
      <x:c r="AG343" s="1" t="n">
        <x:f>AD343*'損益分岐設定'!$C$57+AE343*'損益分岐設定'!$C$60+AF343*'損益分岐設定'!$C$63</x:f>
        <x:v>147.89614318847657</x:v>
      </x:c>
      <x:c r="AH343" s="1" t="n">
        <x:f>AD343*'損益分岐設定'!$D$57+AE343*'損益分岐設定'!$D$60+AF343*'損益分岐設定'!$D$63</x:f>
        <x:v>30</x:v>
      </x:c>
      <x:c r="AI343" s="1" t="n">
        <x:f>AD343*'損益分岐設定'!$E$57+AE343*'損益分岐設定'!$E$60+AF343*'損益分岐設定'!$E$63</x:f>
        <x:v>30</x:v>
      </x:c>
      <x:c r="AJ343" s="1" t="n">
        <x:f>(AD343*'損益分岐設定'!$F$57+AE343*'損益分岐設定'!$F$60+AF343*'損益分岐設定'!$F$63*1)*'損益分岐設定'!$B$22</x:f>
        <x:v>120</x:v>
      </x:c>
      <x:c r="AK343" s="1" t="n">
        <x:f>AD343*'損益分岐設定'!$G$57+AE343*'損益分岐設定'!$G$60+AF343*'損益分岐設定'!$G$63</x:f>
        <x:v>200</x:v>
      </x:c>
      <x:c r="AL343" s="1" t="n">
        <x:f>AD343*'損益分岐設定'!$H$57+AE343*'損益分岐設定'!$H$60+AF343*'損益分岐設定'!$H$63</x:f>
        <x:v>566.6666666666666</x:v>
      </x:c>
      <x:c r="AM343" s="1" t="n">
        <x:f>MAX(1,ROUNDUP('損益分岐設定'!C37*AJ343/('損益分岐設定'!$B$23*'損益分岐設定'!$B$24*3600*'損益分岐設定'!$B$25),0))</x:f>
        <x:v>1</x:v>
      </x:c>
      <x:c r="AN343" s="1" t="n">
        <x:f>MAX(2,ROUNDUP('損益分岐設定'!C38*AJ343/('損益分岐設定'!$B$23*'損益分岐設定'!$B$24*3600*'損益分岐設定'!$B$25),0))</x:f>
        <x:v>2</x:v>
      </x:c>
      <x:c r="AO343" s="1" t="n">
        <x:f>MAX(2,ROUNDUP('損益分岐設定'!C39*AJ343/('損益分岐設定'!$B$23*'損益分岐設定'!$B$24*3600*'損益分岐設定'!$B$25),0))</x:f>
        <x:v>2</x:v>
      </x:c>
      <x:c r="AP343" s="1" t="n">
        <x:f>MAX(2,ROUNDUP('損益分岐設定'!C40*AJ343/('損益分岐設定'!$B$23*'損益分岐設定'!$B$24*3600*'損益分岐設定'!$B$25),0))</x:f>
        <x:v>2</x:v>
      </x:c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 ht="23" customHeight="1">
      <x:c r="A344" s="1" t="str">
        <x:v>VM</x:v>
      </x:c>
      <x:c r="B344" s="1" t="str">
        <x:v>Starter</x:v>
      </x:c>
      <x:c r="C344" s="1" t="str">
        <x:v>標準</x:v>
      </x:c>
      <x:c r="D344" s="21" t="n">
        <x:v>0.5</x:v>
      </x:c>
      <x:c r="E344" s="1" t="n">
        <x:v>1</x:v>
      </x:c>
      <x:c r="F344" s="7" t="n">
        <x:f>AD344*'損益分岐設定'!$B$5+AE344*'損益分岐設定'!$B$6+AF344*'損益分岐設定'!$B$7</x:f>
        <x:v>3000</x:v>
      </x:c>
      <x:c r="G344" s="7" t="n">
        <x:f>AG344+0+AK344*'損益分岐設定'!$B$33</x:f>
        <x:v>147.89837836265565</x:v>
      </x:c>
      <x:c r="H344" s="7" t="n">
        <x:f>AL344*E344</x:f>
        <x:v>566.6666666666666</x:v>
      </x:c>
      <x:c r="I344" s="7" t="n">
        <x:f>F344*(1-D344-'損益分岐設定'!$B$10)-G344-H344</x:f>
        <x:v>677.4349549706777</x:v>
      </x:c>
      <x:c r="J344" s="1" t="n">
        <x:f>IF(MIN(V344:Y344)&gt;1000,"範囲内なし",MIN(V344:Y344))</x:f>
        <x:v>262</x:v>
      </x:c>
      <x:c r="K344" s="1" t="n">
        <x:f>IF(MAX(Z344:AC344)&gt;=1000,"範囲内なし",MAX(1,MAX(Z344:AC344)+1))</x:f>
        <x:v>262</x:v>
      </x:c>
      <x:c r="L344" s="7" t="n">
        <x:f>10*I344-R344</x:f>
        <x:v>-75984.83721151449</x:v>
      </x:c>
      <x:c r="M344" s="7" t="n">
        <x:f>30*I344-S344</x:f>
        <x:v>-124695.3248733222</x:v>
      </x:c>
      <x:c r="N344" s="7" t="n">
        <x:f>50*I344-S344</x:f>
        <x:v>-111146.62577390864</x:v>
      </x:c>
      <x:c r="O344" s="7" t="n">
        <x:f>100*I344-S344</x:f>
        <x:v>-77274.87802537475</x:v>
      </x:c>
      <x:c r="P344" s="7" t="n">
        <x:f>300*I344-T344</x:f>
        <x:v>26212.112968760775</x:v>
      </x:c>
      <x:c r="Q344" s="7" t="n">
        <x:f>1000*I344-U344</x:f>
        <x:v>431536.98806762457</x:v>
      </x:c>
      <x:c r="R344" s="7" t="n">
        <x:f>'損益分岐設定'!$B$18+'損益分岐設定'!$B$19+'損益分岐設定'!$B$20+'損益分岐設定'!E37+('損益分岐設定'!F37+2*'損益分岐設定'!G37+AM344)*('損益分岐設定'!$B$15+'損益分岐設定'!$B$16)+'損益分岐設定'!$B$17+'損益分岐設定'!$B$21+E344*'損益分岐設定'!H37*'損益分岐設定'!$B$11</x:f>
        <x:v>82759.18676122127</x:v>
      </x:c>
      <x:c r="S344" s="7" t="n">
        <x:f>'損益分岐設定'!$B$18+'損益分岐設定'!$B$19+'損益分岐設定'!$B$20+'損益分岐設定'!E38+('損益分岐設定'!F38+2*'損益分岐設定'!G38+AN344)*('損益分岐設定'!$B$15+'損益分岐設定'!$B$16)+'損益分岐設定'!$B$17+'損益分岐設定'!$B$21+E344*'損益分岐設定'!H38*'損益分岐設定'!$B$11</x:f>
        <x:v>145018.37352244253</x:v>
      </x:c>
      <x:c r="T344" s="7" t="n">
        <x:f>'損益分岐設定'!$B$18+'損益分岐設定'!$B$19+'損益分岐設定'!$B$20+'損益分岐設定'!E39+('損益分岐設定'!F39+2*'損益分岐設定'!G39+AO344)*('損益分岐設定'!$B$15+'損益分岐設定'!$B$16)+'損益分岐設定'!$B$17+'損益分岐設定'!$B$21+E344*'損益分岐設定'!H39*'損益分岐設定'!$B$11</x:f>
        <x:v>177018.37352244253</x:v>
      </x:c>
      <x:c r="U344" s="7" t="n">
        <x:f>'損益分岐設定'!$B$18+'損益分岐設定'!$B$19+'損益分岐設定'!$B$20+'損益分岐設定'!E40+('損益分岐設定'!F40+2*'損益分岐設定'!G40+AP344)*('損益分岐設定'!$B$15+'損益分岐設定'!$B$16)+'損益分岐設定'!$B$17+'損益分岐設定'!$B$21+E344*'損益分岐設定'!H40*'損益分岐設定'!$B$11</x:f>
        <x:v>245897.96690305317</x:v>
      </x:c>
      <x:c r="V344" s="1" t="n">
        <x:f>IF(I344&lt;=0,1001,IF(MAX('損益分岐設定'!B37,ROUNDUP(R344/I344,0))&lt;='損益分岐設定'!C37,MAX('損益分岐設定'!B37,ROUNDUP(R344/I344,0)),1001))</x:f>
        <x:v>1001</x:v>
      </x:c>
      <x:c r="W344" s="1" t="n">
        <x:f>IF(I344&lt;=0,1001,IF(MAX('損益分岐設定'!B38,ROUNDUP(S344/I344,0))&lt;='損益分岐設定'!C38,MAX('損益分岐設定'!B38,ROUNDUP(S344/I344,0)),1001))</x:f>
        <x:v>1001</x:v>
      </x:c>
      <x:c r="X344" s="1" t="n">
        <x:f>IF(I344&lt;=0,1001,IF(MAX('損益分岐設定'!B39,ROUNDUP(T344/I344,0))&lt;='損益分岐設定'!C39,MAX('損益分岐設定'!B39,ROUNDUP(T344/I344,0)),1001))</x:f>
        <x:v>262</x:v>
      </x:c>
      <x:c r="Y344" s="1" t="n">
        <x:f>IF(I344&lt;=0,1001,IF(MAX('損益分岐設定'!B40,ROUNDUP(U344/I344,0))&lt;='損益分岐設定'!C40,MAX('損益分岐設定'!B40,ROUNDUP(U344/I344,0)),1001))</x:f>
        <x:v>501</x:v>
      </x:c>
      <x:c r="Z344" s="1" t="n">
        <x:f>IF(I344&lt;=0,'損益分岐設定'!C37,IF('損益分岐設定'!C37*I344-R344&lt;0,'損益分岐設定'!C37,IF('損益分岐設定'!B37*I344-R344&gt;=0,0,ROUNDUP(R344/I344,0)-1)))</x:f>
        <x:v>10</x:v>
      </x:c>
      <x:c r="AA344" s="1" t="n">
        <x:f>IF(I344&lt;=0,'損益分岐設定'!C38,IF('損益分岐設定'!C38*I344-S344&lt;0,'損益分岐設定'!C38,IF('損益分岐設定'!B38*I344-S344&gt;=0,0,ROUNDUP(S344/I344,0)-1)))</x:f>
        <x:v>100</x:v>
      </x:c>
      <x:c r="AB344" s="1" t="n">
        <x:f>IF(I344&lt;=0,'損益分岐設定'!C39,IF('損益分岐設定'!C39*I344-T344&lt;0,'損益分岐設定'!C39,IF('損益分岐設定'!B39*I344-T344&gt;=0,0,ROUNDUP(T344/I344,0)-1)))</x:f>
        <x:v>261</x:v>
      </x:c>
      <x:c r="AC344" s="1" t="n">
        <x:f>IF(I344&lt;=0,'損益分岐設定'!C40,IF('損益分岐設定'!C40*I344-U344&lt;0,'損益分岐設定'!C40,IF('損益分岐設定'!B40*I344-U344&gt;=0,0,ROUNDUP(U344/I344,0)-1)))</x:f>
        <x:v>0</x:v>
      </x:c>
      <x:c r="AD344" s="1" t="n">
        <x:v>1</x:v>
      </x:c>
      <x:c r="AE344" s="1" t="n">
        <x:v>0</x:v>
      </x:c>
      <x:c r="AF344" s="1" t="n">
        <x:v>0</x:v>
      </x:c>
      <x:c r="AG344" s="1" t="n">
        <x:f>AD344*'損益分岐設定'!$C$57+AE344*'損益分岐設定'!$C$60+AF344*'損益分岐設定'!$C$63</x:f>
        <x:v>147.89614318847657</x:v>
      </x:c>
      <x:c r="AH344" s="1" t="n">
        <x:f>AD344*'損益分岐設定'!$D$57+AE344*'損益分岐設定'!$D$60+AF344*'損益分岐設定'!$D$63</x:f>
        <x:v>30</x:v>
      </x:c>
      <x:c r="AI344" s="1" t="n">
        <x:f>AD344*'損益分岐設定'!$E$57+AE344*'損益分岐設定'!$E$60+AF344*'損益分岐設定'!$E$63</x:f>
        <x:v>30</x:v>
      </x:c>
      <x:c r="AJ344" s="1" t="n">
        <x:f>(AD344*'損益分岐設定'!$F$57+AE344*'損益分岐設定'!$F$60+AF344*'損益分岐設定'!$F$63*1)*'損益分岐設定'!$B$22</x:f>
        <x:v>120</x:v>
      </x:c>
      <x:c r="AK344" s="1" t="n">
        <x:f>AD344*'損益分岐設定'!$G$57+AE344*'損益分岐設定'!$G$60+AF344*'損益分岐設定'!$G$63</x:f>
        <x:v>200</x:v>
      </x:c>
      <x:c r="AL344" s="1" t="n">
        <x:f>AD344*'損益分岐設定'!$H$57+AE344*'損益分岐設定'!$H$60+AF344*'損益分岐設定'!$H$63</x:f>
        <x:v>566.6666666666666</x:v>
      </x:c>
      <x:c r="AM344" s="1" t="n">
        <x:f>MAX(1,ROUNDUP('損益分岐設定'!C37*AJ344/('損益分岐設定'!$B$23*'損益分岐設定'!$B$24*3600*'損益分岐設定'!$B$25),0))</x:f>
        <x:v>1</x:v>
      </x:c>
      <x:c r="AN344" s="1" t="n">
        <x:f>MAX(2,ROUNDUP('損益分岐設定'!C38*AJ344/('損益分岐設定'!$B$23*'損益分岐設定'!$B$24*3600*'損益分岐設定'!$B$25),0))</x:f>
        <x:v>2</x:v>
      </x:c>
      <x:c r="AO344" s="1" t="n">
        <x:f>MAX(2,ROUNDUP('損益分岐設定'!C39*AJ344/('損益分岐設定'!$B$23*'損益分岐設定'!$B$24*3600*'損益分岐設定'!$B$25),0))</x:f>
        <x:v>2</x:v>
      </x:c>
      <x:c r="AP344" s="1" t="n">
        <x:f>MAX(2,ROUNDUP('損益分岐設定'!C40*AJ344/('損益分岐設定'!$B$23*'損益分岐設定'!$B$24*3600*'損益分岐設定'!$B$25),0))</x:f>
        <x:v>2</x:v>
      </x:c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 ht="23" customHeight="1">
      <x:c r="A345" s="1" t="str">
        <x:v>VM</x:v>
      </x:c>
      <x:c r="B345" s="1" t="str">
        <x:v>Starter</x:v>
      </x:c>
      <x:c r="C345" s="1" t="str">
        <x:v>高位</x:v>
      </x:c>
      <x:c r="D345" s="21" t="n">
        <x:v>0</x:v>
      </x:c>
      <x:c r="E345" s="1" t="n">
        <x:v>0</x:v>
      </x:c>
      <x:c r="F345" s="7" t="n">
        <x:f>AD345*'損益分岐設定'!$B$5+AE345*'損益分岐設定'!$B$6+AF345*'損益分岐設定'!$B$7</x:f>
        <x:v>3000</x:v>
      </x:c>
      <x:c r="G345" s="7" t="n">
        <x:f>AG345+0+AK345*'損益分岐設定'!$B$33</x:f>
        <x:v>2516.189858798981</x:v>
      </x:c>
      <x:c r="H345" s="7" t="n">
        <x:f>AL345*E345</x:f>
        <x:v>0</x:v>
      </x:c>
      <x:c r="I345" s="7" t="n">
        <x:f>F345*(1-D345-'損益分岐設定'!$B$10)-G345-H345</x:f>
        <x:v>375.8101412010192</x:v>
      </x:c>
      <x:c r="J345" s="1" t="n">
        <x:f>IF(MIN(V345:Y345)&gt;1000,"範囲内なし",MIN(V345:Y345))</x:f>
        <x:v>259</x:v>
      </x:c>
      <x:c r="K345" s="1" t="n">
        <x:f>IF(MAX(Z345:AC345)&gt;=1000,"範囲内なし",MAX(1,MAX(Z345:AC345)+1))</x:f>
        <x:v>259</x:v>
      </x:c>
      <x:c r="L345" s="7" t="n">
        <x:f>10*I345-R345</x:f>
        <x:v>-47001.085349211084</x:v>
      </x:c>
      <x:c r="M345" s="7" t="n">
        <x:f>30*I345-S345</x:f>
        <x:v>-85744.06928641198</x:v>
      </x:c>
      <x:c r="N345" s="7" t="n">
        <x:f>50*I345-S345</x:f>
        <x:v>-78227.8664623916</x:v>
      </x:c>
      <x:c r="O345" s="7" t="n">
        <x:f>100*I345-S345</x:f>
        <x:v>-59437.35940234063</x:v>
      </x:c>
      <x:c r="P345" s="7" t="n">
        <x:f>300*I345-T345</x:f>
        <x:v>15724.66883786321</x:v>
      </x:c>
      <x:c r="Q345" s="7" t="n">
        <x:f>1000*I345-U345</x:f>
        <x:v>237032.58091735534</x:v>
      </x:c>
      <x:c r="R345" s="7" t="n">
        <x:f>'損益分岐設定'!$B$18+'損益分岐設定'!$B$19+'損益分岐設定'!$B$20+'損益分岐設定'!E37+('損益分岐設定'!F37+2*'損益分岐設定'!G37+AM345)*('損益分岐設定'!$B$15+'損益分岐設定'!$B$16)+'損益分岐設定'!$B$17+'損益分岐設定'!$B$21+E345*'損益分岐設定'!H37*'損益分岐設定'!$B$11</x:f>
        <x:v>50759.18676122127</x:v>
      </x:c>
      <x:c r="S345" s="7" t="n">
        <x:f>'損益分岐設定'!$B$18+'損益分岐設定'!$B$19+'損益分岐設定'!$B$20+'損益分岐設定'!E38+('損益分岐設定'!F38+2*'損益分岐設定'!G38+AN345)*('損益分岐設定'!$B$15+'損益分岐設定'!$B$16)+'損益分岐設定'!$B$17+'損益分岐設定'!$B$21+E345*'損益分岐設定'!H38*'損益分岐設定'!$B$11</x:f>
        <x:v>97018.37352244255</x:v>
      </x:c>
      <x:c r="T345" s="7" t="n">
        <x:f>'損益分岐設定'!$B$18+'損益分岐設定'!$B$19+'損益分岐設定'!$B$20+'損益分岐設定'!E39+('損益分岐設定'!F39+2*'損益分岐設定'!G39+AO345)*('損益分岐設定'!$B$15+'損益分岐設定'!$B$16)+'損益分岐設定'!$B$17+'損益分岐設定'!$B$21+E345*'損益分岐設定'!H39*'損益分岐設定'!$B$11</x:f>
        <x:v>97018.37352244255</x:v>
      </x:c>
      <x:c r="U345" s="7" t="n">
        <x:f>'損益分岐設定'!$B$18+'損益分岐設定'!$B$19+'損益分岐設定'!$B$20+'損益分岐設定'!E40+('損益分岐設定'!F40+2*'損益分岐設定'!G40+AP345)*('損益分岐設定'!$B$15+'損益分岐設定'!$B$16)+'損益分岐設定'!$B$17+'損益分岐設定'!$B$21+E345*'損益分岐設定'!H40*'損益分岐設定'!$B$11</x:f>
        <x:v>138777.56028366383</x:v>
      </x:c>
      <x:c r="V345" s="1" t="n">
        <x:f>IF(I345&lt;=0,1001,IF(MAX('損益分岐設定'!B37,ROUNDUP(R345/I345,0))&lt;='損益分岐設定'!C37,MAX('損益分岐設定'!B37,ROUNDUP(R345/I345,0)),1001))</x:f>
        <x:v>1001</x:v>
      </x:c>
      <x:c r="W345" s="1" t="n">
        <x:f>IF(I345&lt;=0,1001,IF(MAX('損益分岐設定'!B38,ROUNDUP(S345/I345,0))&lt;='損益分岐設定'!C38,MAX('損益分岐設定'!B38,ROUNDUP(S345/I345,0)),1001))</x:f>
        <x:v>1001</x:v>
      </x:c>
      <x:c r="X345" s="1" t="n">
        <x:f>IF(I345&lt;=0,1001,IF(MAX('損益分岐設定'!B39,ROUNDUP(T345/I345,0))&lt;='損益分岐設定'!C39,MAX('損益分岐設定'!B39,ROUNDUP(T345/I345,0)),1001))</x:f>
        <x:v>259</x:v>
      </x:c>
      <x:c r="Y345" s="1" t="n">
        <x:f>IF(I345&lt;=0,1001,IF(MAX('損益分岐設定'!B40,ROUNDUP(U345/I345,0))&lt;='損益分岐設定'!C40,MAX('損益分岐設定'!B40,ROUNDUP(U345/I345,0)),1001))</x:f>
        <x:v>501</x:v>
      </x:c>
      <x:c r="Z345" s="1" t="n">
        <x:f>IF(I345&lt;=0,'損益分岐設定'!C37,IF('損益分岐設定'!C37*I345-R345&lt;0,'損益分岐設定'!C37,IF('損益分岐設定'!B37*I345-R345&gt;=0,0,ROUNDUP(R345/I345,0)-1)))</x:f>
        <x:v>10</x:v>
      </x:c>
      <x:c r="AA345" s="1" t="n">
        <x:f>IF(I345&lt;=0,'損益分岐設定'!C38,IF('損益分岐設定'!C38*I345-S345&lt;0,'損益分岐設定'!C38,IF('損益分岐設定'!B38*I345-S345&gt;=0,0,ROUNDUP(S345/I345,0)-1)))</x:f>
        <x:v>100</x:v>
      </x:c>
      <x:c r="AB345" s="1" t="n">
        <x:f>IF(I345&lt;=0,'損益分岐設定'!C39,IF('損益分岐設定'!C39*I345-T345&lt;0,'損益分岐設定'!C39,IF('損益分岐設定'!B39*I345-T345&gt;=0,0,ROUNDUP(T345/I345,0)-1)))</x:f>
        <x:v>258</x:v>
      </x:c>
      <x:c r="AC345" s="1" t="n">
        <x:f>IF(I345&lt;=0,'損益分岐設定'!C40,IF('損益分岐設定'!C40*I345-U345&lt;0,'損益分岐設定'!C40,IF('損益分岐設定'!B40*I345-U345&gt;=0,0,ROUNDUP(U345/I345,0)-1)))</x:f>
        <x:v>0</x:v>
      </x:c>
      <x:c r="AD345" s="1" t="n">
        <x:v>1</x:v>
      </x:c>
      <x:c r="AE345" s="1" t="n">
        <x:v>0</x:v>
      </x:c>
      <x:c r="AF345" s="1" t="n">
        <x:v>0</x:v>
      </x:c>
      <x:c r="AG345" s="1" t="n">
        <x:f>AD345*'損益分岐設定'!$C$58+AE345*'損益分岐設定'!$C$61+AF345*'損益分岐設定'!$C$64</x:f>
        <x:v>2516.1764477539064</x:v>
      </x:c>
      <x:c r="AH345" s="1" t="n">
        <x:f>AD345*'損益分岐設定'!$D$58+AE345*'損益分岐設定'!$D$61+AF345*'損益分岐設定'!$D$64</x:f>
        <x:v>120</x:v>
      </x:c>
      <x:c r="AI345" s="1" t="n">
        <x:f>AD345*'損益分岐設定'!$E$58+AE345*'損益分岐設定'!$E$61+AF345*'損益分岐設定'!$E$64</x:f>
        <x:v>160</x:v>
      </x:c>
      <x:c r="AJ345" s="1" t="n">
        <x:f>(AD345*'損益分岐設定'!$F$58+AE345*'損益分岐設定'!$F$61+AF345*'損益分岐設定'!$F$64*1)*'損益分岐設定'!$B$22</x:f>
        <x:v>1800</x:v>
      </x:c>
      <x:c r="AK345" s="1" t="n">
        <x:f>AD345*'損益分岐設定'!$G$58+AE345*'損益分岐設定'!$G$61+AF345*'損益分岐設定'!$G$64</x:f>
        <x:v>1200</x:v>
      </x:c>
      <x:c r="AL345" s="1" t="n">
        <x:f>AD345*'損益分岐設定'!$H$58+AE345*'損益分岐設定'!$H$61+AF345*'損益分岐設定'!$H$64</x:f>
        <x:v>1366.6666666666667</x:v>
      </x:c>
      <x:c r="AM345" s="1" t="n">
        <x:f>MAX(1,ROUNDUP('損益分岐設定'!C37*AJ345/('損益分岐設定'!$B$23*'損益分岐設定'!$B$24*3600*'損益分岐設定'!$B$25),0))</x:f>
        <x:v>1</x:v>
      </x:c>
      <x:c r="AN345" s="1" t="n">
        <x:f>MAX(2,ROUNDUP('損益分岐設定'!C38*AJ345/('損益分岐設定'!$B$23*'損益分岐設定'!$B$24*3600*'損益分岐設定'!$B$25),0))</x:f>
        <x:v>2</x:v>
      </x:c>
      <x:c r="AO345" s="1" t="n">
        <x:f>MAX(2,ROUNDUP('損益分岐設定'!C39*AJ345/('損益分岐設定'!$B$23*'損益分岐設定'!$B$24*3600*'損益分岐設定'!$B$25),0))</x:f>
        <x:v>2</x:v>
      </x:c>
      <x:c r="AP345" s="1" t="n">
        <x:f>MAX(2,ROUNDUP('損益分岐設定'!C40*AJ345/('損益分岐設定'!$B$23*'損益分岐設定'!$B$24*3600*'損益分岐設定'!$B$25),0))</x:f>
        <x:v>4</x:v>
      </x:c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 ht="23" customHeight="1">
      <x:c r="A346" s="1" t="str">
        <x:v>VM</x:v>
      </x:c>
      <x:c r="B346" s="1" t="str">
        <x:v>Starter</x:v>
      </x:c>
      <x:c r="C346" s="1" t="str">
        <x:v>高位</x:v>
      </x:c>
      <x:c r="D346" s="21" t="n">
        <x:v>0</x:v>
      </x:c>
      <x:c r="E346" s="1" t="n">
        <x:v>1</x:v>
      </x:c>
      <x:c r="F346" s="7" t="n">
        <x:f>AD346*'損益分岐設定'!$B$5+AE346*'損益分岐設定'!$B$6+AF346*'損益分岐設定'!$B$7</x:f>
        <x:v>3000</x:v>
      </x:c>
      <x:c r="G346" s="7" t="n">
        <x:f>AG346+0+AK346*'損益分岐設定'!$B$33</x:f>
        <x:v>2516.189858798981</x:v>
      </x:c>
      <x:c r="H346" s="7" t="n">
        <x:f>AL346*E346</x:f>
        <x:v>1366.6666666666667</x:v>
      </x:c>
      <x:c r="I346" s="7" t="n">
        <x:f>F346*(1-D346-'損益分岐設定'!$B$10)-G346-H346</x:f>
        <x:v>-990.8565254656476</x:v>
      </x:c>
      <x:c r="J346" s="1" t="str">
        <x:f>IF(MIN(V346:Y346)&gt;1000,"範囲内なし",MIN(V346:Y346))</x:f>
        <x:v>範囲内なし</x:v>
      </x:c>
      <x:c r="K346" s="1" t="str">
        <x:f>IF(MAX(Z346:AC346)&gt;=1000,"範囲内なし",MAX(1,MAX(Z346:AC346)+1))</x:f>
        <x:v>範囲内なし</x:v>
      </x:c>
      <x:c r="L346" s="7" t="n">
        <x:f>10*I346-R346</x:f>
        <x:v>-92667.75201587775</x:v>
      </x:c>
      <x:c r="M346" s="7" t="n">
        <x:f>30*I346-S346</x:f>
        <x:v>-174744.06928641195</x:v>
      </x:c>
      <x:c r="N346" s="7" t="n">
        <x:f>50*I346-S346</x:f>
        <x:v>-194561.1997957249</x:v>
      </x:c>
      <x:c r="O346" s="7" t="n">
        <x:f>100*I346-S346</x:f>
        <x:v>-244104.0260690073</x:v>
      </x:c>
      <x:c r="P346" s="7" t="n">
        <x:f>300*I346-T346</x:f>
        <x:v>-474275.3311621368</x:v>
      </x:c>
      <x:c r="Q346" s="7" t="n">
        <x:f>1000*I346-U346</x:f>
        <x:v>-1257634.0857493114</x:v>
      </x:c>
      <x:c r="R346" s="7" t="n">
        <x:f>'損益分岐設定'!$B$18+'損益分岐設定'!$B$19+'損益分岐設定'!$B$20+'損益分岐設定'!E37+('損益分岐設定'!F37+2*'損益分岐設定'!G37+AM346)*('損益分岐設定'!$B$15+'損益分岐設定'!$B$16)+'損益分岐設定'!$B$17+'損益分岐設定'!$B$21+E346*'損益分岐設定'!H37*'損益分岐設定'!$B$11</x:f>
        <x:v>82759.18676122127</x:v>
      </x:c>
      <x:c r="S346" s="7" t="n">
        <x:f>'損益分岐設定'!$B$18+'損益分岐設定'!$B$19+'損益分岐設定'!$B$20+'損益分岐設定'!E38+('損益分岐設定'!F38+2*'損益分岐設定'!G38+AN346)*('損益分岐設定'!$B$15+'損益分岐設定'!$B$16)+'損益分岐設定'!$B$17+'損益分岐設定'!$B$21+E346*'損益分岐設定'!H38*'損益分岐設定'!$B$11</x:f>
        <x:v>145018.37352244253</x:v>
      </x:c>
      <x:c r="T346" s="7" t="n">
        <x:f>'損益分岐設定'!$B$18+'損益分岐設定'!$B$19+'損益分岐設定'!$B$20+'損益分岐設定'!E39+('損益分岐設定'!F39+2*'損益分岐設定'!G39+AO346)*('損益分岐設定'!$B$15+'損益分岐設定'!$B$16)+'損益分岐設定'!$B$17+'損益分岐設定'!$B$21+E346*'損益分岐設定'!H39*'損益分岐設定'!$B$11</x:f>
        <x:v>177018.37352244253</x:v>
      </x:c>
      <x:c r="U346" s="7" t="n">
        <x:f>'損益分岐設定'!$B$18+'損益分岐設定'!$B$19+'損益分岐設定'!$B$20+'損益分岐設定'!E40+('損益分岐設定'!F40+2*'損益分岐設定'!G40+AP346)*('損益分岐設定'!$B$15+'損益分岐設定'!$B$16)+'損益分岐設定'!$B$17+'損益分岐設定'!$B$21+E346*'損益分岐設定'!H40*'損益分岐設定'!$B$11</x:f>
        <x:v>266777.5602836638</x:v>
      </x:c>
      <x:c r="V346" s="1" t="n">
        <x:f>IF(I346&lt;=0,1001,IF(MAX('損益分岐設定'!B37,ROUNDUP(R346/I346,0))&lt;='損益分岐設定'!C37,MAX('損益分岐設定'!B37,ROUNDUP(R346/I346,0)),1001))</x:f>
        <x:v>1001</x:v>
      </x:c>
      <x:c r="W346" s="1" t="n">
        <x:f>IF(I346&lt;=0,1001,IF(MAX('損益分岐設定'!B38,ROUNDUP(S346/I346,0))&lt;='損益分岐設定'!C38,MAX('損益分岐設定'!B38,ROUNDUP(S346/I346,0)),1001))</x:f>
        <x:v>1001</x:v>
      </x:c>
      <x:c r="X346" s="1" t="n">
        <x:f>IF(I346&lt;=0,1001,IF(MAX('損益分岐設定'!B39,ROUNDUP(T346/I346,0))&lt;='損益分岐設定'!C39,MAX('損益分岐設定'!B39,ROUNDUP(T346/I346,0)),1001))</x:f>
        <x:v>1001</x:v>
      </x:c>
      <x:c r="Y346" s="1" t="n">
        <x:f>IF(I346&lt;=0,1001,IF(MAX('損益分岐設定'!B40,ROUNDUP(U346/I346,0))&lt;='損益分岐設定'!C40,MAX('損益分岐設定'!B40,ROUNDUP(U346/I346,0)),1001))</x:f>
        <x:v>1001</x:v>
      </x:c>
      <x:c r="Z346" s="1" t="n">
        <x:f>IF(I346&lt;=0,'損益分岐設定'!C37,IF('損益分岐設定'!C37*I346-R346&lt;0,'損益分岐設定'!C37,IF('損益分岐設定'!B37*I346-R346&gt;=0,0,ROUNDUP(R346/I346,0)-1)))</x:f>
        <x:v>10</x:v>
      </x:c>
      <x:c r="AA346" s="1" t="n">
        <x:f>IF(I346&lt;=0,'損益分岐設定'!C38,IF('損益分岐設定'!C38*I346-S346&lt;0,'損益分岐設定'!C38,IF('損益分岐設定'!B38*I346-S346&gt;=0,0,ROUNDUP(S346/I346,0)-1)))</x:f>
        <x:v>100</x:v>
      </x:c>
      <x:c r="AB346" s="1" t="n">
        <x:f>IF(I346&lt;=0,'損益分岐設定'!C39,IF('損益分岐設定'!C39*I346-T346&lt;0,'損益分岐設定'!C39,IF('損益分岐設定'!B39*I346-T346&gt;=0,0,ROUNDUP(T346/I346,0)-1)))</x:f>
        <x:v>500</x:v>
      </x:c>
      <x:c r="AC346" s="1" t="n">
        <x:f>IF(I346&lt;=0,'損益分岐設定'!C40,IF('損益分岐設定'!C40*I346-U346&lt;0,'損益分岐設定'!C40,IF('損益分岐設定'!B40*I346-U346&gt;=0,0,ROUNDUP(U346/I346,0)-1)))</x:f>
        <x:v>1000</x:v>
      </x:c>
      <x:c r="AD346" s="1" t="n">
        <x:v>1</x:v>
      </x:c>
      <x:c r="AE346" s="1" t="n">
        <x:v>0</x:v>
      </x:c>
      <x:c r="AF346" s="1" t="n">
        <x:v>0</x:v>
      </x:c>
      <x:c r="AG346" s="1" t="n">
        <x:f>AD346*'損益分岐設定'!$C$58+AE346*'損益分岐設定'!$C$61+AF346*'損益分岐設定'!$C$64</x:f>
        <x:v>2516.1764477539064</x:v>
      </x:c>
      <x:c r="AH346" s="1" t="n">
        <x:f>AD346*'損益分岐設定'!$D$58+AE346*'損益分岐設定'!$D$61+AF346*'損益分岐設定'!$D$64</x:f>
        <x:v>120</x:v>
      </x:c>
      <x:c r="AI346" s="1" t="n">
        <x:f>AD346*'損益分岐設定'!$E$58+AE346*'損益分岐設定'!$E$61+AF346*'損益分岐設定'!$E$64</x:f>
        <x:v>160</x:v>
      </x:c>
      <x:c r="AJ346" s="1" t="n">
        <x:f>(AD346*'損益分岐設定'!$F$58+AE346*'損益分岐設定'!$F$61+AF346*'損益分岐設定'!$F$64*1)*'損益分岐設定'!$B$22</x:f>
        <x:v>1800</x:v>
      </x:c>
      <x:c r="AK346" s="1" t="n">
        <x:f>AD346*'損益分岐設定'!$G$58+AE346*'損益分岐設定'!$G$61+AF346*'損益分岐設定'!$G$64</x:f>
        <x:v>1200</x:v>
      </x:c>
      <x:c r="AL346" s="1" t="n">
        <x:f>AD346*'損益分岐設定'!$H$58+AE346*'損益分岐設定'!$H$61+AF346*'損益分岐設定'!$H$64</x:f>
        <x:v>1366.6666666666667</x:v>
      </x:c>
      <x:c r="AM346" s="1" t="n">
        <x:f>MAX(1,ROUNDUP('損益分岐設定'!C37*AJ346/('損益分岐設定'!$B$23*'損益分岐設定'!$B$24*3600*'損益分岐設定'!$B$25),0))</x:f>
        <x:v>1</x:v>
      </x:c>
      <x:c r="AN346" s="1" t="n">
        <x:f>MAX(2,ROUNDUP('損益分岐設定'!C38*AJ346/('損益分岐設定'!$B$23*'損益分岐設定'!$B$24*3600*'損益分岐設定'!$B$25),0))</x:f>
        <x:v>2</x:v>
      </x:c>
      <x:c r="AO346" s="1" t="n">
        <x:f>MAX(2,ROUNDUP('損益分岐設定'!C39*AJ346/('損益分岐設定'!$B$23*'損益分岐設定'!$B$24*3600*'損益分岐設定'!$B$25),0))</x:f>
        <x:v>2</x:v>
      </x:c>
      <x:c r="AP346" s="1" t="n">
        <x:f>MAX(2,ROUNDUP('損益分岐設定'!C40*AJ346/('損益分岐設定'!$B$23*'損益分岐設定'!$B$24*3600*'損益分岐設定'!$B$25),0))</x:f>
        <x:v>4</x:v>
      </x:c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 ht="23" customHeight="1">
      <x:c r="A347" s="1" t="str">
        <x:v>VM</x:v>
      </x:c>
      <x:c r="B347" s="1" t="str">
        <x:v>Starter</x:v>
      </x:c>
      <x:c r="C347" s="1" t="str">
        <x:v>高位</x:v>
      </x:c>
      <x:c r="D347" s="21" t="n">
        <x:v>0.2</x:v>
      </x:c>
      <x:c r="E347" s="1" t="n">
        <x:v>0</x:v>
      </x:c>
      <x:c r="F347" s="7" t="n">
        <x:f>AD347*'損益分岐設定'!$B$5+AE347*'損益分岐設定'!$B$6+AF347*'損益分岐設定'!$B$7</x:f>
        <x:v>3000</x:v>
      </x:c>
      <x:c r="G347" s="7" t="n">
        <x:f>AG347+0+AK347*'損益分岐設定'!$B$33</x:f>
        <x:v>2516.189858798981</x:v>
      </x:c>
      <x:c r="H347" s="7" t="n">
        <x:f>AL347*E347</x:f>
        <x:v>0</x:v>
      </x:c>
      <x:c r="I347" s="7" t="n">
        <x:f>F347*(1-D347-'損益分岐設定'!$B$10)-G347-H347</x:f>
        <x:v>-224.18985879898082</x:v>
      </x:c>
      <x:c r="J347" s="1" t="str">
        <x:f>IF(MIN(V347:Y347)&gt;1000,"範囲内なし",MIN(V347:Y347))</x:f>
        <x:v>範囲内なし</x:v>
      </x:c>
      <x:c r="K347" s="1" t="str">
        <x:f>IF(MAX(Z347:AC347)&gt;=1000,"範囲内なし",MAX(1,MAX(Z347:AC347)+1))</x:f>
        <x:v>範囲内なし</x:v>
      </x:c>
      <x:c r="L347" s="7" t="n">
        <x:f>10*I347-R347</x:f>
        <x:v>-53001.085349211084</x:v>
      </x:c>
      <x:c r="M347" s="7" t="n">
        <x:f>30*I347-S347</x:f>
        <x:v>-103744.06928641198</x:v>
      </x:c>
      <x:c r="N347" s="7" t="n">
        <x:f>50*I347-S347</x:f>
        <x:v>-108227.86646239158</x:v>
      </x:c>
      <x:c r="O347" s="7" t="n">
        <x:f>100*I347-S347</x:f>
        <x:v>-119437.35940234063</x:v>
      </x:c>
      <x:c r="P347" s="7" t="n">
        <x:f>300*I347-T347</x:f>
        <x:v>-164275.3311621368</x:v>
      </x:c>
      <x:c r="Q347" s="7" t="n">
        <x:f>1000*I347-U347</x:f>
        <x:v>-362967.4190826446</x:v>
      </x:c>
      <x:c r="R347" s="7" t="n">
        <x:f>'損益分岐設定'!$B$18+'損益分岐設定'!$B$19+'損益分岐設定'!$B$20+'損益分岐設定'!E37+('損益分岐設定'!F37+2*'損益分岐設定'!G37+AM347)*('損益分岐設定'!$B$15+'損益分岐設定'!$B$16)+'損益分岐設定'!$B$17+'損益分岐設定'!$B$21+E347*'損益分岐設定'!H37*'損益分岐設定'!$B$11</x:f>
        <x:v>50759.18676122127</x:v>
      </x:c>
      <x:c r="S347" s="7" t="n">
        <x:f>'損益分岐設定'!$B$18+'損益分岐設定'!$B$19+'損益分岐設定'!$B$20+'損益分岐設定'!E38+('損益分岐設定'!F38+2*'損益分岐設定'!G38+AN347)*('損益分岐設定'!$B$15+'損益分岐設定'!$B$16)+'損益分岐設定'!$B$17+'損益分岐設定'!$B$21+E347*'損益分岐設定'!H38*'損益分岐設定'!$B$11</x:f>
        <x:v>97018.37352244255</x:v>
      </x:c>
      <x:c r="T347" s="7" t="n">
        <x:f>'損益分岐設定'!$B$18+'損益分岐設定'!$B$19+'損益分岐設定'!$B$20+'損益分岐設定'!E39+('損益分岐設定'!F39+2*'損益分岐設定'!G39+AO347)*('損益分岐設定'!$B$15+'損益分岐設定'!$B$16)+'損益分岐設定'!$B$17+'損益分岐設定'!$B$21+E347*'損益分岐設定'!H39*'損益分岐設定'!$B$11</x:f>
        <x:v>97018.37352244255</x:v>
      </x:c>
      <x:c r="U347" s="7" t="n">
        <x:f>'損益分岐設定'!$B$18+'損益分岐設定'!$B$19+'損益分岐設定'!$B$20+'損益分岐設定'!E40+('損益分岐設定'!F40+2*'損益分岐設定'!G40+AP347)*('損益分岐設定'!$B$15+'損益分岐設定'!$B$16)+'損益分岐設定'!$B$17+'損益分岐設定'!$B$21+E347*'損益分岐設定'!H40*'損益分岐設定'!$B$11</x:f>
        <x:v>138777.56028366383</x:v>
      </x:c>
      <x:c r="V347" s="1" t="n">
        <x:f>IF(I347&lt;=0,1001,IF(MAX('損益分岐設定'!B37,ROUNDUP(R347/I347,0))&lt;='損益分岐設定'!C37,MAX('損益分岐設定'!B37,ROUNDUP(R347/I347,0)),1001))</x:f>
        <x:v>1001</x:v>
      </x:c>
      <x:c r="W347" s="1" t="n">
        <x:f>IF(I347&lt;=0,1001,IF(MAX('損益分岐設定'!B38,ROUNDUP(S347/I347,0))&lt;='損益分岐設定'!C38,MAX('損益分岐設定'!B38,ROUNDUP(S347/I347,0)),1001))</x:f>
        <x:v>1001</x:v>
      </x:c>
      <x:c r="X347" s="1" t="n">
        <x:f>IF(I347&lt;=0,1001,IF(MAX('損益分岐設定'!B39,ROUNDUP(T347/I347,0))&lt;='損益分岐設定'!C39,MAX('損益分岐設定'!B39,ROUNDUP(T347/I347,0)),1001))</x:f>
        <x:v>1001</x:v>
      </x:c>
      <x:c r="Y347" s="1" t="n">
        <x:f>IF(I347&lt;=0,1001,IF(MAX('損益分岐設定'!B40,ROUNDUP(U347/I347,0))&lt;='損益分岐設定'!C40,MAX('損益分岐設定'!B40,ROUNDUP(U347/I347,0)),1001))</x:f>
        <x:v>1001</x:v>
      </x:c>
      <x:c r="Z347" s="1" t="n">
        <x:f>IF(I347&lt;=0,'損益分岐設定'!C37,IF('損益分岐設定'!C37*I347-R347&lt;0,'損益分岐設定'!C37,IF('損益分岐設定'!B37*I347-R347&gt;=0,0,ROUNDUP(R347/I347,0)-1)))</x:f>
        <x:v>10</x:v>
      </x:c>
      <x:c r="AA347" s="1" t="n">
        <x:f>IF(I347&lt;=0,'損益分岐設定'!C38,IF('損益分岐設定'!C38*I347-S347&lt;0,'損益分岐設定'!C38,IF('損益分岐設定'!B38*I347-S347&gt;=0,0,ROUNDUP(S347/I347,0)-1)))</x:f>
        <x:v>100</x:v>
      </x:c>
      <x:c r="AB347" s="1" t="n">
        <x:f>IF(I347&lt;=0,'損益分岐設定'!C39,IF('損益分岐設定'!C39*I347-T347&lt;0,'損益分岐設定'!C39,IF('損益分岐設定'!B39*I347-T347&gt;=0,0,ROUNDUP(T347/I347,0)-1)))</x:f>
        <x:v>500</x:v>
      </x:c>
      <x:c r="AC347" s="1" t="n">
        <x:f>IF(I347&lt;=0,'損益分岐設定'!C40,IF('損益分岐設定'!C40*I347-U347&lt;0,'損益分岐設定'!C40,IF('損益分岐設定'!B40*I347-U347&gt;=0,0,ROUNDUP(U347/I347,0)-1)))</x:f>
        <x:v>1000</x:v>
      </x:c>
      <x:c r="AD347" s="1" t="n">
        <x:v>1</x:v>
      </x:c>
      <x:c r="AE347" s="1" t="n">
        <x:v>0</x:v>
      </x:c>
      <x:c r="AF347" s="1" t="n">
        <x:v>0</x:v>
      </x:c>
      <x:c r="AG347" s="1" t="n">
        <x:f>AD347*'損益分岐設定'!$C$58+AE347*'損益分岐設定'!$C$61+AF347*'損益分岐設定'!$C$64</x:f>
        <x:v>2516.1764477539064</x:v>
      </x:c>
      <x:c r="AH347" s="1" t="n">
        <x:f>AD347*'損益分岐設定'!$D$58+AE347*'損益分岐設定'!$D$61+AF347*'損益分岐設定'!$D$64</x:f>
        <x:v>120</x:v>
      </x:c>
      <x:c r="AI347" s="1" t="n">
        <x:f>AD347*'損益分岐設定'!$E$58+AE347*'損益分岐設定'!$E$61+AF347*'損益分岐設定'!$E$64</x:f>
        <x:v>160</x:v>
      </x:c>
      <x:c r="AJ347" s="1" t="n">
        <x:f>(AD347*'損益分岐設定'!$F$58+AE347*'損益分岐設定'!$F$61+AF347*'損益分岐設定'!$F$64*1)*'損益分岐設定'!$B$22</x:f>
        <x:v>1800</x:v>
      </x:c>
      <x:c r="AK347" s="1" t="n">
        <x:f>AD347*'損益分岐設定'!$G$58+AE347*'損益分岐設定'!$G$61+AF347*'損益分岐設定'!$G$64</x:f>
        <x:v>1200</x:v>
      </x:c>
      <x:c r="AL347" s="1" t="n">
        <x:f>AD347*'損益分岐設定'!$H$58+AE347*'損益分岐設定'!$H$61+AF347*'損益分岐設定'!$H$64</x:f>
        <x:v>1366.6666666666667</x:v>
      </x:c>
      <x:c r="AM347" s="1" t="n">
        <x:f>MAX(1,ROUNDUP('損益分岐設定'!C37*AJ347/('損益分岐設定'!$B$23*'損益分岐設定'!$B$24*3600*'損益分岐設定'!$B$25),0))</x:f>
        <x:v>1</x:v>
      </x:c>
      <x:c r="AN347" s="1" t="n">
        <x:f>MAX(2,ROUNDUP('損益分岐設定'!C38*AJ347/('損益分岐設定'!$B$23*'損益分岐設定'!$B$24*3600*'損益分岐設定'!$B$25),0))</x:f>
        <x:v>2</x:v>
      </x:c>
      <x:c r="AO347" s="1" t="n">
        <x:f>MAX(2,ROUNDUP('損益分岐設定'!C39*AJ347/('損益分岐設定'!$B$23*'損益分岐設定'!$B$24*3600*'損益分岐設定'!$B$25),0))</x:f>
        <x:v>2</x:v>
      </x:c>
      <x:c r="AP347" s="1" t="n">
        <x:f>MAX(2,ROUNDUP('損益分岐設定'!C40*AJ347/('損益分岐設定'!$B$23*'損益分岐設定'!$B$24*3600*'損益分岐設定'!$B$25),0))</x:f>
        <x:v>4</x:v>
      </x:c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 ht="23" customHeight="1">
      <x:c r="A348" s="1" t="str">
        <x:v>VM</x:v>
      </x:c>
      <x:c r="B348" s="1" t="str">
        <x:v>Starter</x:v>
      </x:c>
      <x:c r="C348" s="1" t="str">
        <x:v>高位</x:v>
      </x:c>
      <x:c r="D348" s="21" t="n">
        <x:v>0.2</x:v>
      </x:c>
      <x:c r="E348" s="1" t="n">
        <x:v>1</x:v>
      </x:c>
      <x:c r="F348" s="7" t="n">
        <x:f>AD348*'損益分岐設定'!$B$5+AE348*'損益分岐設定'!$B$6+AF348*'損益分岐設定'!$B$7</x:f>
        <x:v>3000</x:v>
      </x:c>
      <x:c r="G348" s="7" t="n">
        <x:f>AG348+0+AK348*'損益分岐設定'!$B$33</x:f>
        <x:v>2516.189858798981</x:v>
      </x:c>
      <x:c r="H348" s="7" t="n">
        <x:f>AL348*E348</x:f>
        <x:v>1366.6666666666667</x:v>
      </x:c>
      <x:c r="I348" s="7" t="n">
        <x:f>F348*(1-D348-'損益分岐設定'!$B$10)-G348-H348</x:f>
        <x:v>-1590.8565254656476</x:v>
      </x:c>
      <x:c r="J348" s="1" t="str">
        <x:f>IF(MIN(V348:Y348)&gt;1000,"範囲内なし",MIN(V348:Y348))</x:f>
        <x:v>範囲内なし</x:v>
      </x:c>
      <x:c r="K348" s="1" t="str">
        <x:f>IF(MAX(Z348:AC348)&gt;=1000,"範囲内なし",MAX(1,MAX(Z348:AC348)+1))</x:f>
        <x:v>範囲内なし</x:v>
      </x:c>
      <x:c r="L348" s="7" t="n">
        <x:f>10*I348-R348</x:f>
        <x:v>-98667.75201587775</x:v>
      </x:c>
      <x:c r="M348" s="7" t="n">
        <x:f>30*I348-S348</x:f>
        <x:v>-192744.06928641198</x:v>
      </x:c>
      <x:c r="N348" s="7" t="n">
        <x:f>50*I348-S348</x:f>
        <x:v>-224561.1997957249</x:v>
      </x:c>
      <x:c r="O348" s="7" t="n">
        <x:f>100*I348-S348</x:f>
        <x:v>-304104.0260690073</x:v>
      </x:c>
      <x:c r="P348" s="7" t="n">
        <x:f>300*I348-T348</x:f>
        <x:v>-654275.3311621367</x:v>
      </x:c>
      <x:c r="Q348" s="7" t="n">
        <x:f>1000*I348-U348</x:f>
        <x:v>-1857634.0857493114</x:v>
      </x:c>
      <x:c r="R348" s="7" t="n">
        <x:f>'損益分岐設定'!$B$18+'損益分岐設定'!$B$19+'損益分岐設定'!$B$20+'損益分岐設定'!E37+('損益分岐設定'!F37+2*'損益分岐設定'!G37+AM348)*('損益分岐設定'!$B$15+'損益分岐設定'!$B$16)+'損益分岐設定'!$B$17+'損益分岐設定'!$B$21+E348*'損益分岐設定'!H37*'損益分岐設定'!$B$11</x:f>
        <x:v>82759.18676122127</x:v>
      </x:c>
      <x:c r="S348" s="7" t="n">
        <x:f>'損益分岐設定'!$B$18+'損益分岐設定'!$B$19+'損益分岐設定'!$B$20+'損益分岐設定'!E38+('損益分岐設定'!F38+2*'損益分岐設定'!G38+AN348)*('損益分岐設定'!$B$15+'損益分岐設定'!$B$16)+'損益分岐設定'!$B$17+'損益分岐設定'!$B$21+E348*'損益分岐設定'!H38*'損益分岐設定'!$B$11</x:f>
        <x:v>145018.37352244253</x:v>
      </x:c>
      <x:c r="T348" s="7" t="n">
        <x:f>'損益分岐設定'!$B$18+'損益分岐設定'!$B$19+'損益分岐設定'!$B$20+'損益分岐設定'!E39+('損益分岐設定'!F39+2*'損益分岐設定'!G39+AO348)*('損益分岐設定'!$B$15+'損益分岐設定'!$B$16)+'損益分岐設定'!$B$17+'損益分岐設定'!$B$21+E348*'損益分岐設定'!H39*'損益分岐設定'!$B$11</x:f>
        <x:v>177018.37352244253</x:v>
      </x:c>
      <x:c r="U348" s="7" t="n">
        <x:f>'損益分岐設定'!$B$18+'損益分岐設定'!$B$19+'損益分岐設定'!$B$20+'損益分岐設定'!E40+('損益分岐設定'!F40+2*'損益分岐設定'!G40+AP348)*('損益分岐設定'!$B$15+'損益分岐設定'!$B$16)+'損益分岐設定'!$B$17+'損益分岐設定'!$B$21+E348*'損益分岐設定'!H40*'損益分岐設定'!$B$11</x:f>
        <x:v>266777.5602836638</x:v>
      </x:c>
      <x:c r="V348" s="1" t="n">
        <x:f>IF(I348&lt;=0,1001,IF(MAX('損益分岐設定'!B37,ROUNDUP(R348/I348,0))&lt;='損益分岐設定'!C37,MAX('損益分岐設定'!B37,ROUNDUP(R348/I348,0)),1001))</x:f>
        <x:v>1001</x:v>
      </x:c>
      <x:c r="W348" s="1" t="n">
        <x:f>IF(I348&lt;=0,1001,IF(MAX('損益分岐設定'!B38,ROUNDUP(S348/I348,0))&lt;='損益分岐設定'!C38,MAX('損益分岐設定'!B38,ROUNDUP(S348/I348,0)),1001))</x:f>
        <x:v>1001</x:v>
      </x:c>
      <x:c r="X348" s="1" t="n">
        <x:f>IF(I348&lt;=0,1001,IF(MAX('損益分岐設定'!B39,ROUNDUP(T348/I348,0))&lt;='損益分岐設定'!C39,MAX('損益分岐設定'!B39,ROUNDUP(T348/I348,0)),1001))</x:f>
        <x:v>1001</x:v>
      </x:c>
      <x:c r="Y348" s="1" t="n">
        <x:f>IF(I348&lt;=0,1001,IF(MAX('損益分岐設定'!B40,ROUNDUP(U348/I348,0))&lt;='損益分岐設定'!C40,MAX('損益分岐設定'!B40,ROUNDUP(U348/I348,0)),1001))</x:f>
        <x:v>1001</x:v>
      </x:c>
      <x:c r="Z348" s="1" t="n">
        <x:f>IF(I348&lt;=0,'損益分岐設定'!C37,IF('損益分岐設定'!C37*I348-R348&lt;0,'損益分岐設定'!C37,IF('損益分岐設定'!B37*I348-R348&gt;=0,0,ROUNDUP(R348/I348,0)-1)))</x:f>
        <x:v>10</x:v>
      </x:c>
      <x:c r="AA348" s="1" t="n">
        <x:f>IF(I348&lt;=0,'損益分岐設定'!C38,IF('損益分岐設定'!C38*I348-S348&lt;0,'損益分岐設定'!C38,IF('損益分岐設定'!B38*I348-S348&gt;=0,0,ROUNDUP(S348/I348,0)-1)))</x:f>
        <x:v>100</x:v>
      </x:c>
      <x:c r="AB348" s="1" t="n">
        <x:f>IF(I348&lt;=0,'損益分岐設定'!C39,IF('損益分岐設定'!C39*I348-T348&lt;0,'損益分岐設定'!C39,IF('損益分岐設定'!B39*I348-T348&gt;=0,0,ROUNDUP(T348/I348,0)-1)))</x:f>
        <x:v>500</x:v>
      </x:c>
      <x:c r="AC348" s="1" t="n">
        <x:f>IF(I348&lt;=0,'損益分岐設定'!C40,IF('損益分岐設定'!C40*I348-U348&lt;0,'損益分岐設定'!C40,IF('損益分岐設定'!B40*I348-U348&gt;=0,0,ROUNDUP(U348/I348,0)-1)))</x:f>
        <x:v>1000</x:v>
      </x:c>
      <x:c r="AD348" s="1" t="n">
        <x:v>1</x:v>
      </x:c>
      <x:c r="AE348" s="1" t="n">
        <x:v>0</x:v>
      </x:c>
      <x:c r="AF348" s="1" t="n">
        <x:v>0</x:v>
      </x:c>
      <x:c r="AG348" s="1" t="n">
        <x:f>AD348*'損益分岐設定'!$C$58+AE348*'損益分岐設定'!$C$61+AF348*'損益分岐設定'!$C$64</x:f>
        <x:v>2516.1764477539064</x:v>
      </x:c>
      <x:c r="AH348" s="1" t="n">
        <x:f>AD348*'損益分岐設定'!$D$58+AE348*'損益分岐設定'!$D$61+AF348*'損益分岐設定'!$D$64</x:f>
        <x:v>120</x:v>
      </x:c>
      <x:c r="AI348" s="1" t="n">
        <x:f>AD348*'損益分岐設定'!$E$58+AE348*'損益分岐設定'!$E$61+AF348*'損益分岐設定'!$E$64</x:f>
        <x:v>160</x:v>
      </x:c>
      <x:c r="AJ348" s="1" t="n">
        <x:f>(AD348*'損益分岐設定'!$F$58+AE348*'損益分岐設定'!$F$61+AF348*'損益分岐設定'!$F$64*1)*'損益分岐設定'!$B$22</x:f>
        <x:v>1800</x:v>
      </x:c>
      <x:c r="AK348" s="1" t="n">
        <x:f>AD348*'損益分岐設定'!$G$58+AE348*'損益分岐設定'!$G$61+AF348*'損益分岐設定'!$G$64</x:f>
        <x:v>1200</x:v>
      </x:c>
      <x:c r="AL348" s="1" t="n">
        <x:f>AD348*'損益分岐設定'!$H$58+AE348*'損益分岐設定'!$H$61+AF348*'損益分岐設定'!$H$64</x:f>
        <x:v>1366.6666666666667</x:v>
      </x:c>
      <x:c r="AM348" s="1" t="n">
        <x:f>MAX(1,ROUNDUP('損益分岐設定'!C37*AJ348/('損益分岐設定'!$B$23*'損益分岐設定'!$B$24*3600*'損益分岐設定'!$B$25),0))</x:f>
        <x:v>1</x:v>
      </x:c>
      <x:c r="AN348" s="1" t="n">
        <x:f>MAX(2,ROUNDUP('損益分岐設定'!C38*AJ348/('損益分岐設定'!$B$23*'損益分岐設定'!$B$24*3600*'損益分岐設定'!$B$25),0))</x:f>
        <x:v>2</x:v>
      </x:c>
      <x:c r="AO348" s="1" t="n">
        <x:f>MAX(2,ROUNDUP('損益分岐設定'!C39*AJ348/('損益分岐設定'!$B$23*'損益分岐設定'!$B$24*3600*'損益分岐設定'!$B$25),0))</x:f>
        <x:v>2</x:v>
      </x:c>
      <x:c r="AP348" s="1" t="n">
        <x:f>MAX(2,ROUNDUP('損益分岐設定'!C40*AJ348/('損益分岐設定'!$B$23*'損益分岐設定'!$B$24*3600*'損益分岐設定'!$B$25),0))</x:f>
        <x:v>4</x:v>
      </x:c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 ht="23" customHeight="1">
      <x:c r="A349" s="1" t="str">
        <x:v>VM</x:v>
      </x:c>
      <x:c r="B349" s="1" t="str">
        <x:v>Starter</x:v>
      </x:c>
      <x:c r="C349" s="1" t="str">
        <x:v>高位</x:v>
      </x:c>
      <x:c r="D349" s="21" t="n">
        <x:v>0.3</x:v>
      </x:c>
      <x:c r="E349" s="1" t="n">
        <x:v>0</x:v>
      </x:c>
      <x:c r="F349" s="7" t="n">
        <x:f>AD349*'損益分岐設定'!$B$5+AE349*'損益分岐設定'!$B$6+AF349*'損益分岐設定'!$B$7</x:f>
        <x:v>3000</x:v>
      </x:c>
      <x:c r="G349" s="7" t="n">
        <x:f>AG349+0+AK349*'損益分岐設定'!$B$33</x:f>
        <x:v>2516.189858798981</x:v>
      </x:c>
      <x:c r="H349" s="7" t="n">
        <x:f>AL349*E349</x:f>
        <x:v>0</x:v>
      </x:c>
      <x:c r="I349" s="7" t="n">
        <x:f>F349*(1-D349-'損益分岐設定'!$B$10)-G349-H349</x:f>
        <x:v>-524.189858798981</x:v>
      </x:c>
      <x:c r="J349" s="1" t="str">
        <x:f>IF(MIN(V349:Y349)&gt;1000,"範囲内なし",MIN(V349:Y349))</x:f>
        <x:v>範囲内なし</x:v>
      </x:c>
      <x:c r="K349" s="1" t="str">
        <x:f>IF(MAX(Z349:AC349)&gt;=1000,"範囲内なし",MAX(1,MAX(Z349:AC349)+1))</x:f>
        <x:v>範囲内なし</x:v>
      </x:c>
      <x:c r="L349" s="7" t="n">
        <x:f>10*I349-R349</x:f>
        <x:v>-56001.085349211084</x:v>
      </x:c>
      <x:c r="M349" s="7" t="n">
        <x:f>30*I349-S349</x:f>
        <x:v>-112744.06928641198</x:v>
      </x:c>
      <x:c r="N349" s="7" t="n">
        <x:f>50*I349-S349</x:f>
        <x:v>-123227.8664623916</x:v>
      </x:c>
      <x:c r="O349" s="7" t="n">
        <x:f>100*I349-S349</x:f>
        <x:v>-149437.35940234066</x:v>
      </x:c>
      <x:c r="P349" s="7" t="n">
        <x:f>300*I349-T349</x:f>
        <x:v>-254275.33116213686</x:v>
      </x:c>
      <x:c r="Q349" s="7" t="n">
        <x:f>1000*I349-U349</x:f>
        <x:v>-662967.4190826449</x:v>
      </x:c>
      <x:c r="R349" s="7" t="n">
        <x:f>'損益分岐設定'!$B$18+'損益分岐設定'!$B$19+'損益分岐設定'!$B$20+'損益分岐設定'!E37+('損益分岐設定'!F37+2*'損益分岐設定'!G37+AM349)*('損益分岐設定'!$B$15+'損益分岐設定'!$B$16)+'損益分岐設定'!$B$17+'損益分岐設定'!$B$21+E349*'損益分岐設定'!H37*'損益分岐設定'!$B$11</x:f>
        <x:v>50759.18676122127</x:v>
      </x:c>
      <x:c r="S349" s="7" t="n">
        <x:f>'損益分岐設定'!$B$18+'損益分岐設定'!$B$19+'損益分岐設定'!$B$20+'損益分岐設定'!E38+('損益分岐設定'!F38+2*'損益分岐設定'!G38+AN349)*('損益分岐設定'!$B$15+'損益分岐設定'!$B$16)+'損益分岐設定'!$B$17+'損益分岐設定'!$B$21+E349*'損益分岐設定'!H38*'損益分岐設定'!$B$11</x:f>
        <x:v>97018.37352244255</x:v>
      </x:c>
      <x:c r="T349" s="7" t="n">
        <x:f>'損益分岐設定'!$B$18+'損益分岐設定'!$B$19+'損益分岐設定'!$B$20+'損益分岐設定'!E39+('損益分岐設定'!F39+2*'損益分岐設定'!G39+AO349)*('損益分岐設定'!$B$15+'損益分岐設定'!$B$16)+'損益分岐設定'!$B$17+'損益分岐設定'!$B$21+E349*'損益分岐設定'!H39*'損益分岐設定'!$B$11</x:f>
        <x:v>97018.37352244255</x:v>
      </x:c>
      <x:c r="U349" s="7" t="n">
        <x:f>'損益分岐設定'!$B$18+'損益分岐設定'!$B$19+'損益分岐設定'!$B$20+'損益分岐設定'!E40+('損益分岐設定'!F40+2*'損益分岐設定'!G40+AP349)*('損益分岐設定'!$B$15+'損益分岐設定'!$B$16)+'損益分岐設定'!$B$17+'損益分岐設定'!$B$21+E349*'損益分岐設定'!H40*'損益分岐設定'!$B$11</x:f>
        <x:v>138777.56028366383</x:v>
      </x:c>
      <x:c r="V349" s="1" t="n">
        <x:f>IF(I349&lt;=0,1001,IF(MAX('損益分岐設定'!B37,ROUNDUP(R349/I349,0))&lt;='損益分岐設定'!C37,MAX('損益分岐設定'!B37,ROUNDUP(R349/I349,0)),1001))</x:f>
        <x:v>1001</x:v>
      </x:c>
      <x:c r="W349" s="1" t="n">
        <x:f>IF(I349&lt;=0,1001,IF(MAX('損益分岐設定'!B38,ROUNDUP(S349/I349,0))&lt;='損益分岐設定'!C38,MAX('損益分岐設定'!B38,ROUNDUP(S349/I349,0)),1001))</x:f>
        <x:v>1001</x:v>
      </x:c>
      <x:c r="X349" s="1" t="n">
        <x:f>IF(I349&lt;=0,1001,IF(MAX('損益分岐設定'!B39,ROUNDUP(T349/I349,0))&lt;='損益分岐設定'!C39,MAX('損益分岐設定'!B39,ROUNDUP(T349/I349,0)),1001))</x:f>
        <x:v>1001</x:v>
      </x:c>
      <x:c r="Y349" s="1" t="n">
        <x:f>IF(I349&lt;=0,1001,IF(MAX('損益分岐設定'!B40,ROUNDUP(U349/I349,0))&lt;='損益分岐設定'!C40,MAX('損益分岐設定'!B40,ROUNDUP(U349/I349,0)),1001))</x:f>
        <x:v>1001</x:v>
      </x:c>
      <x:c r="Z349" s="1" t="n">
        <x:f>IF(I349&lt;=0,'損益分岐設定'!C37,IF('損益分岐設定'!C37*I349-R349&lt;0,'損益分岐設定'!C37,IF('損益分岐設定'!B37*I349-R349&gt;=0,0,ROUNDUP(R349/I349,0)-1)))</x:f>
        <x:v>10</x:v>
      </x:c>
      <x:c r="AA349" s="1" t="n">
        <x:f>IF(I349&lt;=0,'損益分岐設定'!C38,IF('損益分岐設定'!C38*I349-S349&lt;0,'損益分岐設定'!C38,IF('損益分岐設定'!B38*I349-S349&gt;=0,0,ROUNDUP(S349/I349,0)-1)))</x:f>
        <x:v>100</x:v>
      </x:c>
      <x:c r="AB349" s="1" t="n">
        <x:f>IF(I349&lt;=0,'損益分岐設定'!C39,IF('損益分岐設定'!C39*I349-T349&lt;0,'損益分岐設定'!C39,IF('損益分岐設定'!B39*I349-T349&gt;=0,0,ROUNDUP(T349/I349,0)-1)))</x:f>
        <x:v>500</x:v>
      </x:c>
      <x:c r="AC349" s="1" t="n">
        <x:f>IF(I349&lt;=0,'損益分岐設定'!C40,IF('損益分岐設定'!C40*I349-U349&lt;0,'損益分岐設定'!C40,IF('損益分岐設定'!B40*I349-U349&gt;=0,0,ROUNDUP(U349/I349,0)-1)))</x:f>
        <x:v>1000</x:v>
      </x:c>
      <x:c r="AD349" s="1" t="n">
        <x:v>1</x:v>
      </x:c>
      <x:c r="AE349" s="1" t="n">
        <x:v>0</x:v>
      </x:c>
      <x:c r="AF349" s="1" t="n">
        <x:v>0</x:v>
      </x:c>
      <x:c r="AG349" s="1" t="n">
        <x:f>AD349*'損益分岐設定'!$C$58+AE349*'損益分岐設定'!$C$61+AF349*'損益分岐設定'!$C$64</x:f>
        <x:v>2516.1764477539064</x:v>
      </x:c>
      <x:c r="AH349" s="1" t="n">
        <x:f>AD349*'損益分岐設定'!$D$58+AE349*'損益分岐設定'!$D$61+AF349*'損益分岐設定'!$D$64</x:f>
        <x:v>120</x:v>
      </x:c>
      <x:c r="AI349" s="1" t="n">
        <x:f>AD349*'損益分岐設定'!$E$58+AE349*'損益分岐設定'!$E$61+AF349*'損益分岐設定'!$E$64</x:f>
        <x:v>160</x:v>
      </x:c>
      <x:c r="AJ349" s="1" t="n">
        <x:f>(AD349*'損益分岐設定'!$F$58+AE349*'損益分岐設定'!$F$61+AF349*'損益分岐設定'!$F$64*1)*'損益分岐設定'!$B$22</x:f>
        <x:v>1800</x:v>
      </x:c>
      <x:c r="AK349" s="1" t="n">
        <x:f>AD349*'損益分岐設定'!$G$58+AE349*'損益分岐設定'!$G$61+AF349*'損益分岐設定'!$G$64</x:f>
        <x:v>1200</x:v>
      </x:c>
      <x:c r="AL349" s="1" t="n">
        <x:f>AD349*'損益分岐設定'!$H$58+AE349*'損益分岐設定'!$H$61+AF349*'損益分岐設定'!$H$64</x:f>
        <x:v>1366.6666666666667</x:v>
      </x:c>
      <x:c r="AM349" s="1" t="n">
        <x:f>MAX(1,ROUNDUP('損益分岐設定'!C37*AJ349/('損益分岐設定'!$B$23*'損益分岐設定'!$B$24*3600*'損益分岐設定'!$B$25),0))</x:f>
        <x:v>1</x:v>
      </x:c>
      <x:c r="AN349" s="1" t="n">
        <x:f>MAX(2,ROUNDUP('損益分岐設定'!C38*AJ349/('損益分岐設定'!$B$23*'損益分岐設定'!$B$24*3600*'損益分岐設定'!$B$25),0))</x:f>
        <x:v>2</x:v>
      </x:c>
      <x:c r="AO349" s="1" t="n">
        <x:f>MAX(2,ROUNDUP('損益分岐設定'!C39*AJ349/('損益分岐設定'!$B$23*'損益分岐設定'!$B$24*3600*'損益分岐設定'!$B$25),0))</x:f>
        <x:v>2</x:v>
      </x:c>
      <x:c r="AP349" s="1" t="n">
        <x:f>MAX(2,ROUNDUP('損益分岐設定'!C40*AJ349/('損益分岐設定'!$B$23*'損益分岐設定'!$B$24*3600*'損益分岐設定'!$B$25),0))</x:f>
        <x:v>4</x:v>
      </x:c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 ht="23" customHeight="1">
      <x:c r="A350" s="1" t="str">
        <x:v>VM</x:v>
      </x:c>
      <x:c r="B350" s="1" t="str">
        <x:v>Starter</x:v>
      </x:c>
      <x:c r="C350" s="1" t="str">
        <x:v>高位</x:v>
      </x:c>
      <x:c r="D350" s="21" t="n">
        <x:v>0.3</x:v>
      </x:c>
      <x:c r="E350" s="1" t="n">
        <x:v>1</x:v>
      </x:c>
      <x:c r="F350" s="7" t="n">
        <x:f>AD350*'損益分岐設定'!$B$5+AE350*'損益分岐設定'!$B$6+AF350*'損益分岐設定'!$B$7</x:f>
        <x:v>3000</x:v>
      </x:c>
      <x:c r="G350" s="7" t="n">
        <x:f>AG350+0+AK350*'損益分岐設定'!$B$33</x:f>
        <x:v>2516.189858798981</x:v>
      </x:c>
      <x:c r="H350" s="7" t="n">
        <x:f>AL350*E350</x:f>
        <x:v>1366.6666666666667</x:v>
      </x:c>
      <x:c r="I350" s="7" t="n">
        <x:f>F350*(1-D350-'損益分岐設定'!$B$10)-G350-H350</x:f>
        <x:v>-1890.8565254656478</x:v>
      </x:c>
      <x:c r="J350" s="1" t="str">
        <x:f>IF(MIN(V350:Y350)&gt;1000,"範囲内なし",MIN(V350:Y350))</x:f>
        <x:v>範囲内なし</x:v>
      </x:c>
      <x:c r="K350" s="1" t="str">
        <x:f>IF(MAX(Z350:AC350)&gt;=1000,"範囲内なし",MAX(1,MAX(Z350:AC350)+1))</x:f>
        <x:v>範囲内なし</x:v>
      </x:c>
      <x:c r="L350" s="7" t="n">
        <x:f>10*I350-R350</x:f>
        <x:v>-101667.75201587775</x:v>
      </x:c>
      <x:c r="M350" s="7" t="n">
        <x:f>30*I350-S350</x:f>
        <x:v>-201744.06928641198</x:v>
      </x:c>
      <x:c r="N350" s="7" t="n">
        <x:f>50*I350-S350</x:f>
        <x:v>-239561.19979572494</x:v>
      </x:c>
      <x:c r="O350" s="7" t="n">
        <x:f>100*I350-S350</x:f>
        <x:v>-334104.02606900735</x:v>
      </x:c>
      <x:c r="P350" s="7" t="n">
        <x:f>300*I350-T350</x:f>
        <x:v>-744275.3311621369</x:v>
      </x:c>
      <x:c r="Q350" s="7" t="n">
        <x:f>1000*I350-U350</x:f>
        <x:v>-2157634.0857493114</x:v>
      </x:c>
      <x:c r="R350" s="7" t="n">
        <x:f>'損益分岐設定'!$B$18+'損益分岐設定'!$B$19+'損益分岐設定'!$B$20+'損益分岐設定'!E37+('損益分岐設定'!F37+2*'損益分岐設定'!G37+AM350)*('損益分岐設定'!$B$15+'損益分岐設定'!$B$16)+'損益分岐設定'!$B$17+'損益分岐設定'!$B$21+E350*'損益分岐設定'!H37*'損益分岐設定'!$B$11</x:f>
        <x:v>82759.18676122127</x:v>
      </x:c>
      <x:c r="S350" s="7" t="n">
        <x:f>'損益分岐設定'!$B$18+'損益分岐設定'!$B$19+'損益分岐設定'!$B$20+'損益分岐設定'!E38+('損益分岐設定'!F38+2*'損益分岐設定'!G38+AN350)*('損益分岐設定'!$B$15+'損益分岐設定'!$B$16)+'損益分岐設定'!$B$17+'損益分岐設定'!$B$21+E350*'損益分岐設定'!H38*'損益分岐設定'!$B$11</x:f>
        <x:v>145018.37352244253</x:v>
      </x:c>
      <x:c r="T350" s="7" t="n">
        <x:f>'損益分岐設定'!$B$18+'損益分岐設定'!$B$19+'損益分岐設定'!$B$20+'損益分岐設定'!E39+('損益分岐設定'!F39+2*'損益分岐設定'!G39+AO350)*('損益分岐設定'!$B$15+'損益分岐設定'!$B$16)+'損益分岐設定'!$B$17+'損益分岐設定'!$B$21+E350*'損益分岐設定'!H39*'損益分岐設定'!$B$11</x:f>
        <x:v>177018.37352244253</x:v>
      </x:c>
      <x:c r="U350" s="7" t="n">
        <x:f>'損益分岐設定'!$B$18+'損益分岐設定'!$B$19+'損益分岐設定'!$B$20+'損益分岐設定'!E40+('損益分岐設定'!F40+2*'損益分岐設定'!G40+AP350)*('損益分岐設定'!$B$15+'損益分岐設定'!$B$16)+'損益分岐設定'!$B$17+'損益分岐設定'!$B$21+E350*'損益分岐設定'!H40*'損益分岐設定'!$B$11</x:f>
        <x:v>266777.5602836638</x:v>
      </x:c>
      <x:c r="V350" s="1" t="n">
        <x:f>IF(I350&lt;=0,1001,IF(MAX('損益分岐設定'!B37,ROUNDUP(R350/I350,0))&lt;='損益分岐設定'!C37,MAX('損益分岐設定'!B37,ROUNDUP(R350/I350,0)),1001))</x:f>
        <x:v>1001</x:v>
      </x:c>
      <x:c r="W350" s="1" t="n">
        <x:f>IF(I350&lt;=0,1001,IF(MAX('損益分岐設定'!B38,ROUNDUP(S350/I350,0))&lt;='損益分岐設定'!C38,MAX('損益分岐設定'!B38,ROUNDUP(S350/I350,0)),1001))</x:f>
        <x:v>1001</x:v>
      </x:c>
      <x:c r="X350" s="1" t="n">
        <x:f>IF(I350&lt;=0,1001,IF(MAX('損益分岐設定'!B39,ROUNDUP(T350/I350,0))&lt;='損益分岐設定'!C39,MAX('損益分岐設定'!B39,ROUNDUP(T350/I350,0)),1001))</x:f>
        <x:v>1001</x:v>
      </x:c>
      <x:c r="Y350" s="1" t="n">
        <x:f>IF(I350&lt;=0,1001,IF(MAX('損益分岐設定'!B40,ROUNDUP(U350/I350,0))&lt;='損益分岐設定'!C40,MAX('損益分岐設定'!B40,ROUNDUP(U350/I350,0)),1001))</x:f>
        <x:v>1001</x:v>
      </x:c>
      <x:c r="Z350" s="1" t="n">
        <x:f>IF(I350&lt;=0,'損益分岐設定'!C37,IF('損益分岐設定'!C37*I350-R350&lt;0,'損益分岐設定'!C37,IF('損益分岐設定'!B37*I350-R350&gt;=0,0,ROUNDUP(R350/I350,0)-1)))</x:f>
        <x:v>10</x:v>
      </x:c>
      <x:c r="AA350" s="1" t="n">
        <x:f>IF(I350&lt;=0,'損益分岐設定'!C38,IF('損益分岐設定'!C38*I350-S350&lt;0,'損益分岐設定'!C38,IF('損益分岐設定'!B38*I350-S350&gt;=0,0,ROUNDUP(S350/I350,0)-1)))</x:f>
        <x:v>100</x:v>
      </x:c>
      <x:c r="AB350" s="1" t="n">
        <x:f>IF(I350&lt;=0,'損益分岐設定'!C39,IF('損益分岐設定'!C39*I350-T350&lt;0,'損益分岐設定'!C39,IF('損益分岐設定'!B39*I350-T350&gt;=0,0,ROUNDUP(T350/I350,0)-1)))</x:f>
        <x:v>500</x:v>
      </x:c>
      <x:c r="AC350" s="1" t="n">
        <x:f>IF(I350&lt;=0,'損益分岐設定'!C40,IF('損益分岐設定'!C40*I350-U350&lt;0,'損益分岐設定'!C40,IF('損益分岐設定'!B40*I350-U350&gt;=0,0,ROUNDUP(U350/I350,0)-1)))</x:f>
        <x:v>1000</x:v>
      </x:c>
      <x:c r="AD350" s="1" t="n">
        <x:v>1</x:v>
      </x:c>
      <x:c r="AE350" s="1" t="n">
        <x:v>0</x:v>
      </x:c>
      <x:c r="AF350" s="1" t="n">
        <x:v>0</x:v>
      </x:c>
      <x:c r="AG350" s="1" t="n">
        <x:f>AD350*'損益分岐設定'!$C$58+AE350*'損益分岐設定'!$C$61+AF350*'損益分岐設定'!$C$64</x:f>
        <x:v>2516.1764477539064</x:v>
      </x:c>
      <x:c r="AH350" s="1" t="n">
        <x:f>AD350*'損益分岐設定'!$D$58+AE350*'損益分岐設定'!$D$61+AF350*'損益分岐設定'!$D$64</x:f>
        <x:v>120</x:v>
      </x:c>
      <x:c r="AI350" s="1" t="n">
        <x:f>AD350*'損益分岐設定'!$E$58+AE350*'損益分岐設定'!$E$61+AF350*'損益分岐設定'!$E$64</x:f>
        <x:v>160</x:v>
      </x:c>
      <x:c r="AJ350" s="1" t="n">
        <x:f>(AD350*'損益分岐設定'!$F$58+AE350*'損益分岐設定'!$F$61+AF350*'損益分岐設定'!$F$64*1)*'損益分岐設定'!$B$22</x:f>
        <x:v>1800</x:v>
      </x:c>
      <x:c r="AK350" s="1" t="n">
        <x:f>AD350*'損益分岐設定'!$G$58+AE350*'損益分岐設定'!$G$61+AF350*'損益分岐設定'!$G$64</x:f>
        <x:v>1200</x:v>
      </x:c>
      <x:c r="AL350" s="1" t="n">
        <x:f>AD350*'損益分岐設定'!$H$58+AE350*'損益分岐設定'!$H$61+AF350*'損益分岐設定'!$H$64</x:f>
        <x:v>1366.6666666666667</x:v>
      </x:c>
      <x:c r="AM350" s="1" t="n">
        <x:f>MAX(1,ROUNDUP('損益分岐設定'!C37*AJ350/('損益分岐設定'!$B$23*'損益分岐設定'!$B$24*3600*'損益分岐設定'!$B$25),0))</x:f>
        <x:v>1</x:v>
      </x:c>
      <x:c r="AN350" s="1" t="n">
        <x:f>MAX(2,ROUNDUP('損益分岐設定'!C38*AJ350/('損益分岐設定'!$B$23*'損益分岐設定'!$B$24*3600*'損益分岐設定'!$B$25),0))</x:f>
        <x:v>2</x:v>
      </x:c>
      <x:c r="AO350" s="1" t="n">
        <x:f>MAX(2,ROUNDUP('損益分岐設定'!C39*AJ350/('損益分岐設定'!$B$23*'損益分岐設定'!$B$24*3600*'損益分岐設定'!$B$25),0))</x:f>
        <x:v>2</x:v>
      </x:c>
      <x:c r="AP350" s="1" t="n">
        <x:f>MAX(2,ROUNDUP('損益分岐設定'!C40*AJ350/('損益分岐設定'!$B$23*'損益分岐設定'!$B$24*3600*'損益分岐設定'!$B$25),0))</x:f>
        <x:v>4</x:v>
      </x:c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 ht="23" customHeight="1">
      <x:c r="A351" s="1" t="str">
        <x:v>VM</x:v>
      </x:c>
      <x:c r="B351" s="1" t="str">
        <x:v>Starter</x:v>
      </x:c>
      <x:c r="C351" s="1" t="str">
        <x:v>高位</x:v>
      </x:c>
      <x:c r="D351" s="21" t="n">
        <x:v>0.4</x:v>
      </x:c>
      <x:c r="E351" s="1" t="n">
        <x:v>0</x:v>
      </x:c>
      <x:c r="F351" s="7" t="n">
        <x:f>AD351*'損益分岐設定'!$B$5+AE351*'損益分岐設定'!$B$6+AF351*'損益分岐設定'!$B$7</x:f>
        <x:v>3000</x:v>
      </x:c>
      <x:c r="G351" s="7" t="n">
        <x:f>AG351+0+AK351*'損益分岐設定'!$B$33</x:f>
        <x:v>2516.189858798981</x:v>
      </x:c>
      <x:c r="H351" s="7" t="n">
        <x:f>AL351*E351</x:f>
        <x:v>0</x:v>
      </x:c>
      <x:c r="I351" s="7" t="n">
        <x:f>F351*(1-D351-'損益分岐設定'!$B$10)-G351-H351</x:f>
        <x:v>-824.189858798981</x:v>
      </x:c>
      <x:c r="J351" s="1" t="str">
        <x:f>IF(MIN(V351:Y351)&gt;1000,"範囲内なし",MIN(V351:Y351))</x:f>
        <x:v>範囲内なし</x:v>
      </x:c>
      <x:c r="K351" s="1" t="str">
        <x:f>IF(MAX(Z351:AC351)&gt;=1000,"範囲内なし",MAX(1,MAX(Z351:AC351)+1))</x:f>
        <x:v>範囲内なし</x:v>
      </x:c>
      <x:c r="L351" s="7" t="n">
        <x:f>10*I351-R351</x:f>
        <x:v>-59001.085349211084</x:v>
      </x:c>
      <x:c r="M351" s="7" t="n">
        <x:f>30*I351-S351</x:f>
        <x:v>-121744.06928641198</x:v>
      </x:c>
      <x:c r="N351" s="7" t="n">
        <x:f>50*I351-S351</x:f>
        <x:v>-138227.8664623916</x:v>
      </x:c>
      <x:c r="O351" s="7" t="n">
        <x:f>100*I351-S351</x:f>
        <x:v>-179437.35940234066</x:v>
      </x:c>
      <x:c r="P351" s="7" t="n">
        <x:f>300*I351-T351</x:f>
        <x:v>-344275.33116213686</x:v>
      </x:c>
      <x:c r="Q351" s="7" t="n">
        <x:f>1000*I351-U351</x:f>
        <x:v>-962967.4190826449</x:v>
      </x:c>
      <x:c r="R351" s="7" t="n">
        <x:f>'損益分岐設定'!$B$18+'損益分岐設定'!$B$19+'損益分岐設定'!$B$20+'損益分岐設定'!E37+('損益分岐設定'!F37+2*'損益分岐設定'!G37+AM351)*('損益分岐設定'!$B$15+'損益分岐設定'!$B$16)+'損益分岐設定'!$B$17+'損益分岐設定'!$B$21+E351*'損益分岐設定'!H37*'損益分岐設定'!$B$11</x:f>
        <x:v>50759.18676122127</x:v>
      </x:c>
      <x:c r="S351" s="7" t="n">
        <x:f>'損益分岐設定'!$B$18+'損益分岐設定'!$B$19+'損益分岐設定'!$B$20+'損益分岐設定'!E38+('損益分岐設定'!F38+2*'損益分岐設定'!G38+AN351)*('損益分岐設定'!$B$15+'損益分岐設定'!$B$16)+'損益分岐設定'!$B$17+'損益分岐設定'!$B$21+E351*'損益分岐設定'!H38*'損益分岐設定'!$B$11</x:f>
        <x:v>97018.37352244255</x:v>
      </x:c>
      <x:c r="T351" s="7" t="n">
        <x:f>'損益分岐設定'!$B$18+'損益分岐設定'!$B$19+'損益分岐設定'!$B$20+'損益分岐設定'!E39+('損益分岐設定'!F39+2*'損益分岐設定'!G39+AO351)*('損益分岐設定'!$B$15+'損益分岐設定'!$B$16)+'損益分岐設定'!$B$17+'損益分岐設定'!$B$21+E351*'損益分岐設定'!H39*'損益分岐設定'!$B$11</x:f>
        <x:v>97018.37352244255</x:v>
      </x:c>
      <x:c r="U351" s="7" t="n">
        <x:f>'損益分岐設定'!$B$18+'損益分岐設定'!$B$19+'損益分岐設定'!$B$20+'損益分岐設定'!E40+('損益分岐設定'!F40+2*'損益分岐設定'!G40+AP351)*('損益分岐設定'!$B$15+'損益分岐設定'!$B$16)+'損益分岐設定'!$B$17+'損益分岐設定'!$B$21+E351*'損益分岐設定'!H40*'損益分岐設定'!$B$11</x:f>
        <x:v>138777.56028366383</x:v>
      </x:c>
      <x:c r="V351" s="1" t="n">
        <x:f>IF(I351&lt;=0,1001,IF(MAX('損益分岐設定'!B37,ROUNDUP(R351/I351,0))&lt;='損益分岐設定'!C37,MAX('損益分岐設定'!B37,ROUNDUP(R351/I351,0)),1001))</x:f>
        <x:v>1001</x:v>
      </x:c>
      <x:c r="W351" s="1" t="n">
        <x:f>IF(I351&lt;=0,1001,IF(MAX('損益分岐設定'!B38,ROUNDUP(S351/I351,0))&lt;='損益分岐設定'!C38,MAX('損益分岐設定'!B38,ROUNDUP(S351/I351,0)),1001))</x:f>
        <x:v>1001</x:v>
      </x:c>
      <x:c r="X351" s="1" t="n">
        <x:f>IF(I351&lt;=0,1001,IF(MAX('損益分岐設定'!B39,ROUNDUP(T351/I351,0))&lt;='損益分岐設定'!C39,MAX('損益分岐設定'!B39,ROUNDUP(T351/I351,0)),1001))</x:f>
        <x:v>1001</x:v>
      </x:c>
      <x:c r="Y351" s="1" t="n">
        <x:f>IF(I351&lt;=0,1001,IF(MAX('損益分岐設定'!B40,ROUNDUP(U351/I351,0))&lt;='損益分岐設定'!C40,MAX('損益分岐設定'!B40,ROUNDUP(U351/I351,0)),1001))</x:f>
        <x:v>1001</x:v>
      </x:c>
      <x:c r="Z351" s="1" t="n">
        <x:f>IF(I351&lt;=0,'損益分岐設定'!C37,IF('損益分岐設定'!C37*I351-R351&lt;0,'損益分岐設定'!C37,IF('損益分岐設定'!B37*I351-R351&gt;=0,0,ROUNDUP(R351/I351,0)-1)))</x:f>
        <x:v>10</x:v>
      </x:c>
      <x:c r="AA351" s="1" t="n">
        <x:f>IF(I351&lt;=0,'損益分岐設定'!C38,IF('損益分岐設定'!C38*I351-S351&lt;0,'損益分岐設定'!C38,IF('損益分岐設定'!B38*I351-S351&gt;=0,0,ROUNDUP(S351/I351,0)-1)))</x:f>
        <x:v>100</x:v>
      </x:c>
      <x:c r="AB351" s="1" t="n">
        <x:f>IF(I351&lt;=0,'損益分岐設定'!C39,IF('損益分岐設定'!C39*I351-T351&lt;0,'損益分岐設定'!C39,IF('損益分岐設定'!B39*I351-T351&gt;=0,0,ROUNDUP(T351/I351,0)-1)))</x:f>
        <x:v>500</x:v>
      </x:c>
      <x:c r="AC351" s="1" t="n">
        <x:f>IF(I351&lt;=0,'損益分岐設定'!C40,IF('損益分岐設定'!C40*I351-U351&lt;0,'損益分岐設定'!C40,IF('損益分岐設定'!B40*I351-U351&gt;=0,0,ROUNDUP(U351/I351,0)-1)))</x:f>
        <x:v>1000</x:v>
      </x:c>
      <x:c r="AD351" s="1" t="n">
        <x:v>1</x:v>
      </x:c>
      <x:c r="AE351" s="1" t="n">
        <x:v>0</x:v>
      </x:c>
      <x:c r="AF351" s="1" t="n">
        <x:v>0</x:v>
      </x:c>
      <x:c r="AG351" s="1" t="n">
        <x:f>AD351*'損益分岐設定'!$C$58+AE351*'損益分岐設定'!$C$61+AF351*'損益分岐設定'!$C$64</x:f>
        <x:v>2516.1764477539064</x:v>
      </x:c>
      <x:c r="AH351" s="1" t="n">
        <x:f>AD351*'損益分岐設定'!$D$58+AE351*'損益分岐設定'!$D$61+AF351*'損益分岐設定'!$D$64</x:f>
        <x:v>120</x:v>
      </x:c>
      <x:c r="AI351" s="1" t="n">
        <x:f>AD351*'損益分岐設定'!$E$58+AE351*'損益分岐設定'!$E$61+AF351*'損益分岐設定'!$E$64</x:f>
        <x:v>160</x:v>
      </x:c>
      <x:c r="AJ351" s="1" t="n">
        <x:f>(AD351*'損益分岐設定'!$F$58+AE351*'損益分岐設定'!$F$61+AF351*'損益分岐設定'!$F$64*1)*'損益分岐設定'!$B$22</x:f>
        <x:v>1800</x:v>
      </x:c>
      <x:c r="AK351" s="1" t="n">
        <x:f>AD351*'損益分岐設定'!$G$58+AE351*'損益分岐設定'!$G$61+AF351*'損益分岐設定'!$G$64</x:f>
        <x:v>1200</x:v>
      </x:c>
      <x:c r="AL351" s="1" t="n">
        <x:f>AD351*'損益分岐設定'!$H$58+AE351*'損益分岐設定'!$H$61+AF351*'損益分岐設定'!$H$64</x:f>
        <x:v>1366.6666666666667</x:v>
      </x:c>
      <x:c r="AM351" s="1" t="n">
        <x:f>MAX(1,ROUNDUP('損益分岐設定'!C37*AJ351/('損益分岐設定'!$B$23*'損益分岐設定'!$B$24*3600*'損益分岐設定'!$B$25),0))</x:f>
        <x:v>1</x:v>
      </x:c>
      <x:c r="AN351" s="1" t="n">
        <x:f>MAX(2,ROUNDUP('損益分岐設定'!C38*AJ351/('損益分岐設定'!$B$23*'損益分岐設定'!$B$24*3600*'損益分岐設定'!$B$25),0))</x:f>
        <x:v>2</x:v>
      </x:c>
      <x:c r="AO351" s="1" t="n">
        <x:f>MAX(2,ROUNDUP('損益分岐設定'!C39*AJ351/('損益分岐設定'!$B$23*'損益分岐設定'!$B$24*3600*'損益分岐設定'!$B$25),0))</x:f>
        <x:v>2</x:v>
      </x:c>
      <x:c r="AP351" s="1" t="n">
        <x:f>MAX(2,ROUNDUP('損益分岐設定'!C40*AJ351/('損益分岐設定'!$B$23*'損益分岐設定'!$B$24*3600*'損益分岐設定'!$B$25),0))</x:f>
        <x:v>4</x:v>
      </x:c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 ht="23" customHeight="1">
      <x:c r="A352" s="1" t="str">
        <x:v>VM</x:v>
      </x:c>
      <x:c r="B352" s="1" t="str">
        <x:v>Starter</x:v>
      </x:c>
      <x:c r="C352" s="1" t="str">
        <x:v>高位</x:v>
      </x:c>
      <x:c r="D352" s="21" t="n">
        <x:v>0.4</x:v>
      </x:c>
      <x:c r="E352" s="1" t="n">
        <x:v>1</x:v>
      </x:c>
      <x:c r="F352" s="7" t="n">
        <x:f>AD352*'損益分岐設定'!$B$5+AE352*'損益分岐設定'!$B$6+AF352*'損益分岐設定'!$B$7</x:f>
        <x:v>3000</x:v>
      </x:c>
      <x:c r="G352" s="7" t="n">
        <x:f>AG352+0+AK352*'損益分岐設定'!$B$33</x:f>
        <x:v>2516.189858798981</x:v>
      </x:c>
      <x:c r="H352" s="7" t="n">
        <x:f>AL352*E352</x:f>
        <x:v>1366.6666666666667</x:v>
      </x:c>
      <x:c r="I352" s="7" t="n">
        <x:f>F352*(1-D352-'損益分岐設定'!$B$10)-G352-H352</x:f>
        <x:v>-2190.856525465648</x:v>
      </x:c>
      <x:c r="J352" s="1" t="str">
        <x:f>IF(MIN(V352:Y352)&gt;1000,"範囲内なし",MIN(V352:Y352))</x:f>
        <x:v>範囲内なし</x:v>
      </x:c>
      <x:c r="K352" s="1" t="str">
        <x:f>IF(MAX(Z352:AC352)&gt;=1000,"範囲内なし",MAX(1,MAX(Z352:AC352)+1))</x:f>
        <x:v>範囲内なし</x:v>
      </x:c>
      <x:c r="L352" s="7" t="n">
        <x:f>10*I352-R352</x:f>
        <x:v>-104667.75201587775</x:v>
      </x:c>
      <x:c r="M352" s="7" t="n">
        <x:f>30*I352-S352</x:f>
        <x:v>-210744.06928641198</x:v>
      </x:c>
      <x:c r="N352" s="7" t="n">
        <x:f>50*I352-S352</x:f>
        <x:v>-254561.19979572494</x:v>
      </x:c>
      <x:c r="O352" s="7" t="n">
        <x:f>100*I352-S352</x:f>
        <x:v>-364104.02606900735</x:v>
      </x:c>
      <x:c r="P352" s="7" t="n">
        <x:f>300*I352-T352</x:f>
        <x:v>-834275.3311621369</x:v>
      </x:c>
      <x:c r="Q352" s="7" t="n">
        <x:f>1000*I352-U352</x:f>
        <x:v>-2457634.0857493114</x:v>
      </x:c>
      <x:c r="R352" s="7" t="n">
        <x:f>'損益分岐設定'!$B$18+'損益分岐設定'!$B$19+'損益分岐設定'!$B$20+'損益分岐設定'!E37+('損益分岐設定'!F37+2*'損益分岐設定'!G37+AM352)*('損益分岐設定'!$B$15+'損益分岐設定'!$B$16)+'損益分岐設定'!$B$17+'損益分岐設定'!$B$21+E352*'損益分岐設定'!H37*'損益分岐設定'!$B$11</x:f>
        <x:v>82759.18676122127</x:v>
      </x:c>
      <x:c r="S352" s="7" t="n">
        <x:f>'損益分岐設定'!$B$18+'損益分岐設定'!$B$19+'損益分岐設定'!$B$20+'損益分岐設定'!E38+('損益分岐設定'!F38+2*'損益分岐設定'!G38+AN352)*('損益分岐設定'!$B$15+'損益分岐設定'!$B$16)+'損益分岐設定'!$B$17+'損益分岐設定'!$B$21+E352*'損益分岐設定'!H38*'損益分岐設定'!$B$11</x:f>
        <x:v>145018.37352244253</x:v>
      </x:c>
      <x:c r="T352" s="7" t="n">
        <x:f>'損益分岐設定'!$B$18+'損益分岐設定'!$B$19+'損益分岐設定'!$B$20+'損益分岐設定'!E39+('損益分岐設定'!F39+2*'損益分岐設定'!G39+AO352)*('損益分岐設定'!$B$15+'損益分岐設定'!$B$16)+'損益分岐設定'!$B$17+'損益分岐設定'!$B$21+E352*'損益分岐設定'!H39*'損益分岐設定'!$B$11</x:f>
        <x:v>177018.37352244253</x:v>
      </x:c>
      <x:c r="U352" s="7" t="n">
        <x:f>'損益分岐設定'!$B$18+'損益分岐設定'!$B$19+'損益分岐設定'!$B$20+'損益分岐設定'!E40+('損益分岐設定'!F40+2*'損益分岐設定'!G40+AP352)*('損益分岐設定'!$B$15+'損益分岐設定'!$B$16)+'損益分岐設定'!$B$17+'損益分岐設定'!$B$21+E352*'損益分岐設定'!H40*'損益分岐設定'!$B$11</x:f>
        <x:v>266777.5602836638</x:v>
      </x:c>
      <x:c r="V352" s="1" t="n">
        <x:f>IF(I352&lt;=0,1001,IF(MAX('損益分岐設定'!B37,ROUNDUP(R352/I352,0))&lt;='損益分岐設定'!C37,MAX('損益分岐設定'!B37,ROUNDUP(R352/I352,0)),1001))</x:f>
        <x:v>1001</x:v>
      </x:c>
      <x:c r="W352" s="1" t="n">
        <x:f>IF(I352&lt;=0,1001,IF(MAX('損益分岐設定'!B38,ROUNDUP(S352/I352,0))&lt;='損益分岐設定'!C38,MAX('損益分岐設定'!B38,ROUNDUP(S352/I352,0)),1001))</x:f>
        <x:v>1001</x:v>
      </x:c>
      <x:c r="X352" s="1" t="n">
        <x:f>IF(I352&lt;=0,1001,IF(MAX('損益分岐設定'!B39,ROUNDUP(T352/I352,0))&lt;='損益分岐設定'!C39,MAX('損益分岐設定'!B39,ROUNDUP(T352/I352,0)),1001))</x:f>
        <x:v>1001</x:v>
      </x:c>
      <x:c r="Y352" s="1" t="n">
        <x:f>IF(I352&lt;=0,1001,IF(MAX('損益分岐設定'!B40,ROUNDUP(U352/I352,0))&lt;='損益分岐設定'!C40,MAX('損益分岐設定'!B40,ROUNDUP(U352/I352,0)),1001))</x:f>
        <x:v>1001</x:v>
      </x:c>
      <x:c r="Z352" s="1" t="n">
        <x:f>IF(I352&lt;=0,'損益分岐設定'!C37,IF('損益分岐設定'!C37*I352-R352&lt;0,'損益分岐設定'!C37,IF('損益分岐設定'!B37*I352-R352&gt;=0,0,ROUNDUP(R352/I352,0)-1)))</x:f>
        <x:v>10</x:v>
      </x:c>
      <x:c r="AA352" s="1" t="n">
        <x:f>IF(I352&lt;=0,'損益分岐設定'!C38,IF('損益分岐設定'!C38*I352-S352&lt;0,'損益分岐設定'!C38,IF('損益分岐設定'!B38*I352-S352&gt;=0,0,ROUNDUP(S352/I352,0)-1)))</x:f>
        <x:v>100</x:v>
      </x:c>
      <x:c r="AB352" s="1" t="n">
        <x:f>IF(I352&lt;=0,'損益分岐設定'!C39,IF('損益分岐設定'!C39*I352-T352&lt;0,'損益分岐設定'!C39,IF('損益分岐設定'!B39*I352-T352&gt;=0,0,ROUNDUP(T352/I352,0)-1)))</x:f>
        <x:v>500</x:v>
      </x:c>
      <x:c r="AC352" s="1" t="n">
        <x:f>IF(I352&lt;=0,'損益分岐設定'!C40,IF('損益分岐設定'!C40*I352-U352&lt;0,'損益分岐設定'!C40,IF('損益分岐設定'!B40*I352-U352&gt;=0,0,ROUNDUP(U352/I352,0)-1)))</x:f>
        <x:v>1000</x:v>
      </x:c>
      <x:c r="AD352" s="1" t="n">
        <x:v>1</x:v>
      </x:c>
      <x:c r="AE352" s="1" t="n">
        <x:v>0</x:v>
      </x:c>
      <x:c r="AF352" s="1" t="n">
        <x:v>0</x:v>
      </x:c>
      <x:c r="AG352" s="1" t="n">
        <x:f>AD352*'損益分岐設定'!$C$58+AE352*'損益分岐設定'!$C$61+AF352*'損益分岐設定'!$C$64</x:f>
        <x:v>2516.1764477539064</x:v>
      </x:c>
      <x:c r="AH352" s="1" t="n">
        <x:f>AD352*'損益分岐設定'!$D$58+AE352*'損益分岐設定'!$D$61+AF352*'損益分岐設定'!$D$64</x:f>
        <x:v>120</x:v>
      </x:c>
      <x:c r="AI352" s="1" t="n">
        <x:f>AD352*'損益分岐設定'!$E$58+AE352*'損益分岐設定'!$E$61+AF352*'損益分岐設定'!$E$64</x:f>
        <x:v>160</x:v>
      </x:c>
      <x:c r="AJ352" s="1" t="n">
        <x:f>(AD352*'損益分岐設定'!$F$58+AE352*'損益分岐設定'!$F$61+AF352*'損益分岐設定'!$F$64*1)*'損益分岐設定'!$B$22</x:f>
        <x:v>1800</x:v>
      </x:c>
      <x:c r="AK352" s="1" t="n">
        <x:f>AD352*'損益分岐設定'!$G$58+AE352*'損益分岐設定'!$G$61+AF352*'損益分岐設定'!$G$64</x:f>
        <x:v>1200</x:v>
      </x:c>
      <x:c r="AL352" s="1" t="n">
        <x:f>AD352*'損益分岐設定'!$H$58+AE352*'損益分岐設定'!$H$61+AF352*'損益分岐設定'!$H$64</x:f>
        <x:v>1366.6666666666667</x:v>
      </x:c>
      <x:c r="AM352" s="1" t="n">
        <x:f>MAX(1,ROUNDUP('損益分岐設定'!C37*AJ352/('損益分岐設定'!$B$23*'損益分岐設定'!$B$24*3600*'損益分岐設定'!$B$25),0))</x:f>
        <x:v>1</x:v>
      </x:c>
      <x:c r="AN352" s="1" t="n">
        <x:f>MAX(2,ROUNDUP('損益分岐設定'!C38*AJ352/('損益分岐設定'!$B$23*'損益分岐設定'!$B$24*3600*'損益分岐設定'!$B$25),0))</x:f>
        <x:v>2</x:v>
      </x:c>
      <x:c r="AO352" s="1" t="n">
        <x:f>MAX(2,ROUNDUP('損益分岐設定'!C39*AJ352/('損益分岐設定'!$B$23*'損益分岐設定'!$B$24*3600*'損益分岐設定'!$B$25),0))</x:f>
        <x:v>2</x:v>
      </x:c>
      <x:c r="AP352" s="1" t="n">
        <x:f>MAX(2,ROUNDUP('損益分岐設定'!C40*AJ352/('損益分岐設定'!$B$23*'損益分岐設定'!$B$24*3600*'損益分岐設定'!$B$25),0))</x:f>
        <x:v>4</x:v>
      </x:c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 ht="23" customHeight="1">
      <x:c r="A353" s="1" t="str">
        <x:v>VM</x:v>
      </x:c>
      <x:c r="B353" s="1" t="str">
        <x:v>Starter</x:v>
      </x:c>
      <x:c r="C353" s="1" t="str">
        <x:v>高位</x:v>
      </x:c>
      <x:c r="D353" s="21" t="n">
        <x:v>0.5</x:v>
      </x:c>
      <x:c r="E353" s="1" t="n">
        <x:v>0</x:v>
      </x:c>
      <x:c r="F353" s="7" t="n">
        <x:f>AD353*'損益分岐設定'!$B$5+AE353*'損益分岐設定'!$B$6+AF353*'損益分岐設定'!$B$7</x:f>
        <x:v>3000</x:v>
      </x:c>
      <x:c r="G353" s="7" t="n">
        <x:f>AG353+0+AK353*'損益分岐設定'!$B$33</x:f>
        <x:v>2516.189858798981</x:v>
      </x:c>
      <x:c r="H353" s="7" t="n">
        <x:f>AL353*E353</x:f>
        <x:v>0</x:v>
      </x:c>
      <x:c r="I353" s="7" t="n">
        <x:f>F353*(1-D353-'損益分岐設定'!$B$10)-G353-H353</x:f>
        <x:v>-1124.1898587989808</x:v>
      </x:c>
      <x:c r="J353" s="1" t="str">
        <x:f>IF(MIN(V353:Y353)&gt;1000,"範囲内なし",MIN(V353:Y353))</x:f>
        <x:v>範囲内なし</x:v>
      </x:c>
      <x:c r="K353" s="1" t="str">
        <x:f>IF(MAX(Z353:AC353)&gt;=1000,"範囲内なし",MAX(1,MAX(Z353:AC353)+1))</x:f>
        <x:v>範囲内なし</x:v>
      </x:c>
      <x:c r="L353" s="7" t="n">
        <x:f>10*I353-R353</x:f>
        <x:v>-62001.085349211084</x:v>
      </x:c>
      <x:c r="M353" s="7" t="n">
        <x:f>30*I353-S353</x:f>
        <x:v>-130744.06928641198</x:v>
      </x:c>
      <x:c r="N353" s="7" t="n">
        <x:f>50*I353-S353</x:f>
        <x:v>-153227.8664623916</x:v>
      </x:c>
      <x:c r="O353" s="7" t="n">
        <x:f>100*I353-S353</x:f>
        <x:v>-209437.35940234063</x:v>
      </x:c>
      <x:c r="P353" s="7" t="n">
        <x:f>300*I353-T353</x:f>
        <x:v>-434275.3311621368</x:v>
      </x:c>
      <x:c r="Q353" s="7" t="n">
        <x:f>1000*I353-U353</x:f>
        <x:v>-1262967.4190826446</x:v>
      </x:c>
      <x:c r="R353" s="7" t="n">
        <x:f>'損益分岐設定'!$B$18+'損益分岐設定'!$B$19+'損益分岐設定'!$B$20+'損益分岐設定'!E37+('損益分岐設定'!F37+2*'損益分岐設定'!G37+AM353)*('損益分岐設定'!$B$15+'損益分岐設定'!$B$16)+'損益分岐設定'!$B$17+'損益分岐設定'!$B$21+E353*'損益分岐設定'!H37*'損益分岐設定'!$B$11</x:f>
        <x:v>50759.18676122127</x:v>
      </x:c>
      <x:c r="S353" s="7" t="n">
        <x:f>'損益分岐設定'!$B$18+'損益分岐設定'!$B$19+'損益分岐設定'!$B$20+'損益分岐設定'!E38+('損益分岐設定'!F38+2*'損益分岐設定'!G38+AN353)*('損益分岐設定'!$B$15+'損益分岐設定'!$B$16)+'損益分岐設定'!$B$17+'損益分岐設定'!$B$21+E353*'損益分岐設定'!H38*'損益分岐設定'!$B$11</x:f>
        <x:v>97018.37352244255</x:v>
      </x:c>
      <x:c r="T353" s="7" t="n">
        <x:f>'損益分岐設定'!$B$18+'損益分岐設定'!$B$19+'損益分岐設定'!$B$20+'損益分岐設定'!E39+('損益分岐設定'!F39+2*'損益分岐設定'!G39+AO353)*('損益分岐設定'!$B$15+'損益分岐設定'!$B$16)+'損益分岐設定'!$B$17+'損益分岐設定'!$B$21+E353*'損益分岐設定'!H39*'損益分岐設定'!$B$11</x:f>
        <x:v>97018.37352244255</x:v>
      </x:c>
      <x:c r="U353" s="7" t="n">
        <x:f>'損益分岐設定'!$B$18+'損益分岐設定'!$B$19+'損益分岐設定'!$B$20+'損益分岐設定'!E40+('損益分岐設定'!F40+2*'損益分岐設定'!G40+AP353)*('損益分岐設定'!$B$15+'損益分岐設定'!$B$16)+'損益分岐設定'!$B$17+'損益分岐設定'!$B$21+E353*'損益分岐設定'!H40*'損益分岐設定'!$B$11</x:f>
        <x:v>138777.56028366383</x:v>
      </x:c>
      <x:c r="V353" s="1" t="n">
        <x:f>IF(I353&lt;=0,1001,IF(MAX('損益分岐設定'!B37,ROUNDUP(R353/I353,0))&lt;='損益分岐設定'!C37,MAX('損益分岐設定'!B37,ROUNDUP(R353/I353,0)),1001))</x:f>
        <x:v>1001</x:v>
      </x:c>
      <x:c r="W353" s="1" t="n">
        <x:f>IF(I353&lt;=0,1001,IF(MAX('損益分岐設定'!B38,ROUNDUP(S353/I353,0))&lt;='損益分岐設定'!C38,MAX('損益分岐設定'!B38,ROUNDUP(S353/I353,0)),1001))</x:f>
        <x:v>1001</x:v>
      </x:c>
      <x:c r="X353" s="1" t="n">
        <x:f>IF(I353&lt;=0,1001,IF(MAX('損益分岐設定'!B39,ROUNDUP(T353/I353,0))&lt;='損益分岐設定'!C39,MAX('損益分岐設定'!B39,ROUNDUP(T353/I353,0)),1001))</x:f>
        <x:v>1001</x:v>
      </x:c>
      <x:c r="Y353" s="1" t="n">
        <x:f>IF(I353&lt;=0,1001,IF(MAX('損益分岐設定'!B40,ROUNDUP(U353/I353,0))&lt;='損益分岐設定'!C40,MAX('損益分岐設定'!B40,ROUNDUP(U353/I353,0)),1001))</x:f>
        <x:v>1001</x:v>
      </x:c>
      <x:c r="Z353" s="1" t="n">
        <x:f>IF(I353&lt;=0,'損益分岐設定'!C37,IF('損益分岐設定'!C37*I353-R353&lt;0,'損益分岐設定'!C37,IF('損益分岐設定'!B37*I353-R353&gt;=0,0,ROUNDUP(R353/I353,0)-1)))</x:f>
        <x:v>10</x:v>
      </x:c>
      <x:c r="AA353" s="1" t="n">
        <x:f>IF(I353&lt;=0,'損益分岐設定'!C38,IF('損益分岐設定'!C38*I353-S353&lt;0,'損益分岐設定'!C38,IF('損益分岐設定'!B38*I353-S353&gt;=0,0,ROUNDUP(S353/I353,0)-1)))</x:f>
        <x:v>100</x:v>
      </x:c>
      <x:c r="AB353" s="1" t="n">
        <x:f>IF(I353&lt;=0,'損益分岐設定'!C39,IF('損益分岐設定'!C39*I353-T353&lt;0,'損益分岐設定'!C39,IF('損益分岐設定'!B39*I353-T353&gt;=0,0,ROUNDUP(T353/I353,0)-1)))</x:f>
        <x:v>500</x:v>
      </x:c>
      <x:c r="AC353" s="1" t="n">
        <x:f>IF(I353&lt;=0,'損益分岐設定'!C40,IF('損益分岐設定'!C40*I353-U353&lt;0,'損益分岐設定'!C40,IF('損益分岐設定'!B40*I353-U353&gt;=0,0,ROUNDUP(U353/I353,0)-1)))</x:f>
        <x:v>1000</x:v>
      </x:c>
      <x:c r="AD353" s="1" t="n">
        <x:v>1</x:v>
      </x:c>
      <x:c r="AE353" s="1" t="n">
        <x:v>0</x:v>
      </x:c>
      <x:c r="AF353" s="1" t="n">
        <x:v>0</x:v>
      </x:c>
      <x:c r="AG353" s="1" t="n">
        <x:f>AD353*'損益分岐設定'!$C$58+AE353*'損益分岐設定'!$C$61+AF353*'損益分岐設定'!$C$64</x:f>
        <x:v>2516.1764477539064</x:v>
      </x:c>
      <x:c r="AH353" s="1" t="n">
        <x:f>AD353*'損益分岐設定'!$D$58+AE353*'損益分岐設定'!$D$61+AF353*'損益分岐設定'!$D$64</x:f>
        <x:v>120</x:v>
      </x:c>
      <x:c r="AI353" s="1" t="n">
        <x:f>AD353*'損益分岐設定'!$E$58+AE353*'損益分岐設定'!$E$61+AF353*'損益分岐設定'!$E$64</x:f>
        <x:v>160</x:v>
      </x:c>
      <x:c r="AJ353" s="1" t="n">
        <x:f>(AD353*'損益分岐設定'!$F$58+AE353*'損益分岐設定'!$F$61+AF353*'損益分岐設定'!$F$64*1)*'損益分岐設定'!$B$22</x:f>
        <x:v>1800</x:v>
      </x:c>
      <x:c r="AK353" s="1" t="n">
        <x:f>AD353*'損益分岐設定'!$G$58+AE353*'損益分岐設定'!$G$61+AF353*'損益分岐設定'!$G$64</x:f>
        <x:v>1200</x:v>
      </x:c>
      <x:c r="AL353" s="1" t="n">
        <x:f>AD353*'損益分岐設定'!$H$58+AE353*'損益分岐設定'!$H$61+AF353*'損益分岐設定'!$H$64</x:f>
        <x:v>1366.6666666666667</x:v>
      </x:c>
      <x:c r="AM353" s="1" t="n">
        <x:f>MAX(1,ROUNDUP('損益分岐設定'!C37*AJ353/('損益分岐設定'!$B$23*'損益分岐設定'!$B$24*3600*'損益分岐設定'!$B$25),0))</x:f>
        <x:v>1</x:v>
      </x:c>
      <x:c r="AN353" s="1" t="n">
        <x:f>MAX(2,ROUNDUP('損益分岐設定'!C38*AJ353/('損益分岐設定'!$B$23*'損益分岐設定'!$B$24*3600*'損益分岐設定'!$B$25),0))</x:f>
        <x:v>2</x:v>
      </x:c>
      <x:c r="AO353" s="1" t="n">
        <x:f>MAX(2,ROUNDUP('損益分岐設定'!C39*AJ353/('損益分岐設定'!$B$23*'損益分岐設定'!$B$24*3600*'損益分岐設定'!$B$25),0))</x:f>
        <x:v>2</x:v>
      </x:c>
      <x:c r="AP353" s="1" t="n">
        <x:f>MAX(2,ROUNDUP('損益分岐設定'!C40*AJ353/('損益分岐設定'!$B$23*'損益分岐設定'!$B$24*3600*'損益分岐設定'!$B$25),0))</x:f>
        <x:v>4</x:v>
      </x:c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 ht="23" customHeight="1">
      <x:c r="A354" s="1" t="str">
        <x:v>VM</x:v>
      </x:c>
      <x:c r="B354" s="1" t="str">
        <x:v>Starter</x:v>
      </x:c>
      <x:c r="C354" s="1" t="str">
        <x:v>高位</x:v>
      </x:c>
      <x:c r="D354" s="21" t="n">
        <x:v>0.5</x:v>
      </x:c>
      <x:c r="E354" s="1" t="n">
        <x:v>1</x:v>
      </x:c>
      <x:c r="F354" s="7" t="n">
        <x:f>AD354*'損益分岐設定'!$B$5+AE354*'損益分岐設定'!$B$6+AF354*'損益分岐設定'!$B$7</x:f>
        <x:v>3000</x:v>
      </x:c>
      <x:c r="G354" s="7" t="n">
        <x:f>AG354+0+AK354*'損益分岐設定'!$B$33</x:f>
        <x:v>2516.189858798981</x:v>
      </x:c>
      <x:c r="H354" s="7" t="n">
        <x:f>AL354*E354</x:f>
        <x:v>1366.6666666666667</x:v>
      </x:c>
      <x:c r="I354" s="7" t="n">
        <x:f>F354*(1-D354-'損益分岐設定'!$B$10)-G354-H354</x:f>
        <x:v>-2490.856525465648</x:v>
      </x:c>
      <x:c r="J354" s="1" t="str">
        <x:f>IF(MIN(V354:Y354)&gt;1000,"範囲内なし",MIN(V354:Y354))</x:f>
        <x:v>範囲内なし</x:v>
      </x:c>
      <x:c r="K354" s="1" t="str">
        <x:f>IF(MAX(Z354:AC354)&gt;=1000,"範囲内なし",MAX(1,MAX(Z354:AC354)+1))</x:f>
        <x:v>範囲内なし</x:v>
      </x:c>
      <x:c r="L354" s="7" t="n">
        <x:f>10*I354-R354</x:f>
        <x:v>-107667.75201587775</x:v>
      </x:c>
      <x:c r="M354" s="7" t="n">
        <x:f>30*I354-S354</x:f>
        <x:v>-219744.06928641198</x:v>
      </x:c>
      <x:c r="N354" s="7" t="n">
        <x:f>50*I354-S354</x:f>
        <x:v>-269561.19979572494</x:v>
      </x:c>
      <x:c r="O354" s="7" t="n">
        <x:f>100*I354-S354</x:f>
        <x:v>-394104.02606900735</x:v>
      </x:c>
      <x:c r="P354" s="7" t="n">
        <x:f>300*I354-T354</x:f>
        <x:v>-924275.3311621369</x:v>
      </x:c>
      <x:c r="Q354" s="7" t="n">
        <x:f>1000*I354-U354</x:f>
        <x:v>-2757634.0857493114</x:v>
      </x:c>
      <x:c r="R354" s="7" t="n">
        <x:f>'損益分岐設定'!$B$18+'損益分岐設定'!$B$19+'損益分岐設定'!$B$20+'損益分岐設定'!E37+('損益分岐設定'!F37+2*'損益分岐設定'!G37+AM354)*('損益分岐設定'!$B$15+'損益分岐設定'!$B$16)+'損益分岐設定'!$B$17+'損益分岐設定'!$B$21+E354*'損益分岐設定'!H37*'損益分岐設定'!$B$11</x:f>
        <x:v>82759.18676122127</x:v>
      </x:c>
      <x:c r="S354" s="7" t="n">
        <x:f>'損益分岐設定'!$B$18+'損益分岐設定'!$B$19+'損益分岐設定'!$B$20+'損益分岐設定'!E38+('損益分岐設定'!F38+2*'損益分岐設定'!G38+AN354)*('損益分岐設定'!$B$15+'損益分岐設定'!$B$16)+'損益分岐設定'!$B$17+'損益分岐設定'!$B$21+E354*'損益分岐設定'!H38*'損益分岐設定'!$B$11</x:f>
        <x:v>145018.37352244253</x:v>
      </x:c>
      <x:c r="T354" s="7" t="n">
        <x:f>'損益分岐設定'!$B$18+'損益分岐設定'!$B$19+'損益分岐設定'!$B$20+'損益分岐設定'!E39+('損益分岐設定'!F39+2*'損益分岐設定'!G39+AO354)*('損益分岐設定'!$B$15+'損益分岐設定'!$B$16)+'損益分岐設定'!$B$17+'損益分岐設定'!$B$21+E354*'損益分岐設定'!H39*'損益分岐設定'!$B$11</x:f>
        <x:v>177018.37352244253</x:v>
      </x:c>
      <x:c r="U354" s="7" t="n">
        <x:f>'損益分岐設定'!$B$18+'損益分岐設定'!$B$19+'損益分岐設定'!$B$20+'損益分岐設定'!E40+('損益分岐設定'!F40+2*'損益分岐設定'!G40+AP354)*('損益分岐設定'!$B$15+'損益分岐設定'!$B$16)+'損益分岐設定'!$B$17+'損益分岐設定'!$B$21+E354*'損益分岐設定'!H40*'損益分岐設定'!$B$11</x:f>
        <x:v>266777.5602836638</x:v>
      </x:c>
      <x:c r="V354" s="1" t="n">
        <x:f>IF(I354&lt;=0,1001,IF(MAX('損益分岐設定'!B37,ROUNDUP(R354/I354,0))&lt;='損益分岐設定'!C37,MAX('損益分岐設定'!B37,ROUNDUP(R354/I354,0)),1001))</x:f>
        <x:v>1001</x:v>
      </x:c>
      <x:c r="W354" s="1" t="n">
        <x:f>IF(I354&lt;=0,1001,IF(MAX('損益分岐設定'!B38,ROUNDUP(S354/I354,0))&lt;='損益分岐設定'!C38,MAX('損益分岐設定'!B38,ROUNDUP(S354/I354,0)),1001))</x:f>
        <x:v>1001</x:v>
      </x:c>
      <x:c r="X354" s="1" t="n">
        <x:f>IF(I354&lt;=0,1001,IF(MAX('損益分岐設定'!B39,ROUNDUP(T354/I354,0))&lt;='損益分岐設定'!C39,MAX('損益分岐設定'!B39,ROUNDUP(T354/I354,0)),1001))</x:f>
        <x:v>1001</x:v>
      </x:c>
      <x:c r="Y354" s="1" t="n">
        <x:f>IF(I354&lt;=0,1001,IF(MAX('損益分岐設定'!B40,ROUNDUP(U354/I354,0))&lt;='損益分岐設定'!C40,MAX('損益分岐設定'!B40,ROUNDUP(U354/I354,0)),1001))</x:f>
        <x:v>1001</x:v>
      </x:c>
      <x:c r="Z354" s="1" t="n">
        <x:f>IF(I354&lt;=0,'損益分岐設定'!C37,IF('損益分岐設定'!C37*I354-R354&lt;0,'損益分岐設定'!C37,IF('損益分岐設定'!B37*I354-R354&gt;=0,0,ROUNDUP(R354/I354,0)-1)))</x:f>
        <x:v>10</x:v>
      </x:c>
      <x:c r="AA354" s="1" t="n">
        <x:f>IF(I354&lt;=0,'損益分岐設定'!C38,IF('損益分岐設定'!C38*I354-S354&lt;0,'損益分岐設定'!C38,IF('損益分岐設定'!B38*I354-S354&gt;=0,0,ROUNDUP(S354/I354,0)-1)))</x:f>
        <x:v>100</x:v>
      </x:c>
      <x:c r="AB354" s="1" t="n">
        <x:f>IF(I354&lt;=0,'損益分岐設定'!C39,IF('損益分岐設定'!C39*I354-T354&lt;0,'損益分岐設定'!C39,IF('損益分岐設定'!B39*I354-T354&gt;=0,0,ROUNDUP(T354/I354,0)-1)))</x:f>
        <x:v>500</x:v>
      </x:c>
      <x:c r="AC354" s="1" t="n">
        <x:f>IF(I354&lt;=0,'損益分岐設定'!C40,IF('損益分岐設定'!C40*I354-U354&lt;0,'損益分岐設定'!C40,IF('損益分岐設定'!B40*I354-U354&gt;=0,0,ROUNDUP(U354/I354,0)-1)))</x:f>
        <x:v>1000</x:v>
      </x:c>
      <x:c r="AD354" s="1" t="n">
        <x:v>1</x:v>
      </x:c>
      <x:c r="AE354" s="1" t="n">
        <x:v>0</x:v>
      </x:c>
      <x:c r="AF354" s="1" t="n">
        <x:v>0</x:v>
      </x:c>
      <x:c r="AG354" s="1" t="n">
        <x:f>AD354*'損益分岐設定'!$C$58+AE354*'損益分岐設定'!$C$61+AF354*'損益分岐設定'!$C$64</x:f>
        <x:v>2516.1764477539064</x:v>
      </x:c>
      <x:c r="AH354" s="1" t="n">
        <x:f>AD354*'損益分岐設定'!$D$58+AE354*'損益分岐設定'!$D$61+AF354*'損益分岐設定'!$D$64</x:f>
        <x:v>120</x:v>
      </x:c>
      <x:c r="AI354" s="1" t="n">
        <x:f>AD354*'損益分岐設定'!$E$58+AE354*'損益分岐設定'!$E$61+AF354*'損益分岐設定'!$E$64</x:f>
        <x:v>160</x:v>
      </x:c>
      <x:c r="AJ354" s="1" t="n">
        <x:f>(AD354*'損益分岐設定'!$F$58+AE354*'損益分岐設定'!$F$61+AF354*'損益分岐設定'!$F$64*1)*'損益分岐設定'!$B$22</x:f>
        <x:v>1800</x:v>
      </x:c>
      <x:c r="AK354" s="1" t="n">
        <x:f>AD354*'損益分岐設定'!$G$58+AE354*'損益分岐設定'!$G$61+AF354*'損益分岐設定'!$G$64</x:f>
        <x:v>1200</x:v>
      </x:c>
      <x:c r="AL354" s="1" t="n">
        <x:f>AD354*'損益分岐設定'!$H$58+AE354*'損益分岐設定'!$H$61+AF354*'損益分岐設定'!$H$64</x:f>
        <x:v>1366.6666666666667</x:v>
      </x:c>
      <x:c r="AM354" s="1" t="n">
        <x:f>MAX(1,ROUNDUP('損益分岐設定'!C37*AJ354/('損益分岐設定'!$B$23*'損益分岐設定'!$B$24*3600*'損益分岐設定'!$B$25),0))</x:f>
        <x:v>1</x:v>
      </x:c>
      <x:c r="AN354" s="1" t="n">
        <x:f>MAX(2,ROUNDUP('損益分岐設定'!C38*AJ354/('損益分岐設定'!$B$23*'損益分岐設定'!$B$24*3600*'損益分岐設定'!$B$25),0))</x:f>
        <x:v>2</x:v>
      </x:c>
      <x:c r="AO354" s="1" t="n">
        <x:f>MAX(2,ROUNDUP('損益分岐設定'!C39*AJ354/('損益分岐設定'!$B$23*'損益分岐設定'!$B$24*3600*'損益分岐設定'!$B$25),0))</x:f>
        <x:v>2</x:v>
      </x:c>
      <x:c r="AP354" s="1" t="n">
        <x:f>MAX(2,ROUNDUP('損益分岐設定'!C40*AJ354/('損益分岐設定'!$B$23*'損益分岐設定'!$B$24*3600*'損益分岐設定'!$B$25),0))</x:f>
        <x:v>4</x:v>
      </x:c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 ht="23" customHeight="1">
      <x:c r="A355" s="1" t="str">
        <x:v>VM</x:v>
      </x:c>
      <x:c r="B355" s="1" t="str">
        <x:v>Starter</x:v>
      </x:c>
      <x:c r="C355" s="1" t="str">
        <x:v>標準+高位混在</x:v>
      </x:c>
      <x:c r="D355" s="21" t="n">
        <x:v>0</x:v>
      </x:c>
      <x:c r="E355" s="1" t="n">
        <x:v>0</x:v>
      </x:c>
      <x:c r="F355" s="7" t="n">
        <x:f>AD355*'損益分岐設定'!$B$5+AE355*'損益分岐設定'!$B$6+AF355*'損益分岐設定'!$B$7</x:f>
        <x:v>3000</x:v>
      </x:c>
      <x:c r="G355" s="7" t="n">
        <x:f>AG355+0+AK355*'損益分岐設定'!$B$33</x:f>
        <x:v>621.5566744499207</x:v>
      </x:c>
      <x:c r="H355" s="7" t="n">
        <x:f>AL355*E355</x:f>
        <x:v>0</x:v>
      </x:c>
      <x:c r="I355" s="7" t="n">
        <x:f>F355*(1-D355-'損益分岐設定'!$B$10)-G355-H355</x:f>
        <x:v>2270.4433255500794</x:v>
      </x:c>
      <x:c r="J355" s="1" t="n">
        <x:f>IF(MIN(V355:Y355)&gt;1000,"範囲内なし",MIN(V355:Y355))</x:f>
        <x:v>43</x:v>
      </x:c>
      <x:c r="K355" s="1" t="n">
        <x:f>IF(MAX(Z355:AC355)&gt;=1000,"範囲内なし",MAX(1,MAX(Z355:AC355)+1))</x:f>
        <x:v>43</x:v>
      </x:c>
      <x:c r="L355" s="7" t="n">
        <x:f>10*I355-R355</x:f>
        <x:v>-28054.75350572048</x:v>
      </x:c>
      <x:c r="M355" s="7" t="n">
        <x:f>30*I355-S355</x:f>
        <x:v>-28905.07375594016</x:v>
      </x:c>
      <x:c r="N355" s="7" t="n">
        <x:f>50*I355-S355</x:f>
        <x:v>16503.792755061426</x:v>
      </x:c>
      <x:c r="O355" s="7" t="n">
        <x:f>100*I355-S355</x:f>
        <x:v>130025.9590325654</x:v>
      </x:c>
      <x:c r="P355" s="7" t="n">
        <x:f>300*I355-T355</x:f>
        <x:v>584114.6241425812</x:v>
      </x:c>
      <x:c r="Q355" s="7" t="n">
        <x:f>1000*I355-U355</x:f>
        <x:v>2152545.358647026</x:v>
      </x:c>
      <x:c r="R355" s="7" t="n">
        <x:f>'損益分岐設定'!$B$18+'損益分岐設定'!$B$19+'損益分岐設定'!$B$20+'損益分岐設定'!E37+('損益分岐設定'!F37+2*'損益分岐設定'!G37+AM355)*('損益分岐設定'!$B$15+'損益分岐設定'!$B$16)+'損益分岐設定'!$B$17+'損益分岐設定'!$B$21+E355*'損益分岐設定'!H37*'損益分岐設定'!$B$11</x:f>
        <x:v>50759.18676122127</x:v>
      </x:c>
      <x:c r="S355" s="7" t="n">
        <x:f>'損益分岐設定'!$B$18+'損益分岐設定'!$B$19+'損益分岐設定'!$B$20+'損益分岐設定'!E38+('損益分岐設定'!F38+2*'損益分岐設定'!G38+AN355)*('損益分岐設定'!$B$15+'損益分岐設定'!$B$16)+'損益分岐設定'!$B$17+'損益分岐設定'!$B$21+E355*'損益分岐設定'!H38*'損益分岐設定'!$B$11</x:f>
        <x:v>97018.37352244255</x:v>
      </x:c>
      <x:c r="T355" s="7" t="n">
        <x:f>'損益分岐設定'!$B$18+'損益分岐設定'!$B$19+'損益分岐設定'!$B$20+'損益分岐設定'!E39+('損益分岐設定'!F39+2*'損益分岐設定'!G39+AO355)*('損益分岐設定'!$B$15+'損益分岐設定'!$B$16)+'損益分岐設定'!$B$17+'損益分岐設定'!$B$21+E355*'損益分岐設定'!H39*'損益分岐設定'!$B$11</x:f>
        <x:v>97018.37352244255</x:v>
      </x:c>
      <x:c r="U355" s="7" t="n">
        <x:f>'損益分岐設定'!$B$18+'損益分岐設定'!$B$19+'損益分岐設定'!$B$20+'損益分岐設定'!E40+('損益分岐設定'!F40+2*'損益分岐設定'!G40+AP355)*('損益分岐設定'!$B$15+'損益分岐設定'!$B$16)+'損益分岐設定'!$B$17+'損益分岐設定'!$B$21+E355*'損益分岐設定'!H40*'損益分岐設定'!$B$11</x:f>
        <x:v>117897.96690305318</x:v>
      </x:c>
      <x:c r="V355" s="1" t="n">
        <x:f>IF(I355&lt;=0,1001,IF(MAX('損益分岐設定'!B37,ROUNDUP(R355/I355,0))&lt;='損益分岐設定'!C37,MAX('損益分岐設定'!B37,ROUNDUP(R355/I355,0)),1001))</x:f>
        <x:v>1001</x:v>
      </x:c>
      <x:c r="W355" s="1" t="n">
        <x:f>IF(I355&lt;=0,1001,IF(MAX('損益分岐設定'!B38,ROUNDUP(S355/I355,0))&lt;='損益分岐設定'!C38,MAX('損益分岐設定'!B38,ROUNDUP(S355/I355,0)),1001))</x:f>
        <x:v>43</x:v>
      </x:c>
      <x:c r="X355" s="1" t="n">
        <x:f>IF(I355&lt;=0,1001,IF(MAX('損益分岐設定'!B39,ROUNDUP(T355/I355,0))&lt;='損益分岐設定'!C39,MAX('損益分岐設定'!B39,ROUNDUP(T355/I355,0)),1001))</x:f>
        <x:v>101</x:v>
      </x:c>
      <x:c r="Y355" s="1" t="n">
        <x:f>IF(I355&lt;=0,1001,IF(MAX('損益分岐設定'!B40,ROUNDUP(U355/I355,0))&lt;='損益分岐設定'!C40,MAX('損益分岐設定'!B40,ROUNDUP(U355/I355,0)),1001))</x:f>
        <x:v>501</x:v>
      </x:c>
      <x:c r="Z355" s="1" t="n">
        <x:f>IF(I355&lt;=0,'損益分岐設定'!C37,IF('損益分岐設定'!C37*I355-R355&lt;0,'損益分岐設定'!C37,IF('損益分岐設定'!B37*I355-R355&gt;=0,0,ROUNDUP(R355/I355,0)-1)))</x:f>
        <x:v>10</x:v>
      </x:c>
      <x:c r="AA355" s="1" t="n">
        <x:f>IF(I355&lt;=0,'損益分岐設定'!C38,IF('損益分岐設定'!C38*I355-S355&lt;0,'損益分岐設定'!C38,IF('損益分岐設定'!B38*I355-S355&gt;=0,0,ROUNDUP(S355/I355,0)-1)))</x:f>
        <x:v>42</x:v>
      </x:c>
      <x:c r="AB355" s="1" t="n">
        <x:f>IF(I355&lt;=0,'損益分岐設定'!C39,IF('損益分岐設定'!C39*I355-T355&lt;0,'損益分岐設定'!C39,IF('損益分岐設定'!B39*I355-T355&gt;=0,0,ROUNDUP(T355/I355,0)-1)))</x:f>
        <x:v>0</x:v>
      </x:c>
      <x:c r="AC355" s="1" t="n">
        <x:f>IF(I355&lt;=0,'損益分岐設定'!C40,IF('損益分岐設定'!C40*I355-U355&lt;0,'損益分岐設定'!C40,IF('損益分岐設定'!B40*I355-U355&gt;=0,0,ROUNDUP(U355/I355,0)-1)))</x:f>
        <x:v>0</x:v>
      </x:c>
      <x:c r="AD355" s="1" t="n">
        <x:v>1</x:v>
      </x:c>
      <x:c r="AE355" s="1" t="n">
        <x:v>0</x:v>
      </x:c>
      <x:c r="AF355" s="1" t="n">
        <x:v>0</x:v>
      </x:c>
      <x:c r="AG355" s="1" t="n">
        <x:f>AD355*('損益分岐設定'!$C$57*(1-'損益分岐設定'!$B$51)+'損益分岐設定'!$C$58*'損益分岐設定'!$B$51)+AE355*('損益分岐設定'!$C$60*(1-'損益分岐設定'!$B$51)+'損益分岐設定'!$C$61*'損益分岐設定'!$B$51)+AF355*('損益分岐設定'!$C$63*(1-'損益分岐設定'!$B$51)+'損益分岐設定'!$C$64*'損益分岐設定'!$B$51)</x:f>
        <x:v>621.5522041015626</x:v>
      </x:c>
      <x:c r="AH355" s="1" t="n">
        <x:f>AD355*('損益分岐設定'!$D$57*(1-'損益分岐設定'!$B$51)+'損益分岐設定'!$D$58*'損益分岐設定'!$B$51)+AE355*('損益分岐設定'!$D$60*(1-'損益分岐設定'!$B$51)+'損益分岐設定'!$D$61*'損益分岐設定'!$B$51)+AF355*('損益分岐設定'!$D$63*(1-'損益分岐設定'!$B$51)+'損益分岐設定'!$D$64*'損益分岐設定'!$B$51)</x:f>
        <x:v>48</x:v>
      </x:c>
      <x:c r="AI355" s="1" t="n">
        <x:f>AD355*('損益分岐設定'!$E$57*(1-'損益分岐設定'!$B$51)+'損益分岐設定'!$E$58*'損益分岐設定'!$B$51)+AE355*('損益分岐設定'!$E$60*(1-'損益分岐設定'!$B$51)+'損益分岐設定'!$E$61*'損益分岐設定'!$B$51)+AF355*('損益分岐設定'!$E$63*(1-'損益分岐設定'!$B$51)+'損益分岐設定'!$E$64*'損益分岐設定'!$B$51)</x:f>
        <x:v>56</x:v>
      </x:c>
      <x:c r="AJ355" s="1" t="n">
        <x:f>(AD355*('損益分岐設定'!$F$57*(1-'損益分岐設定'!$B$51)+'損益分岐設定'!$F$58*'損益分岐設定'!$B$51)+AE355*('損益分岐設定'!$F$60*(1-'損益分岐設定'!$B$51)+'損益分岐設定'!$F$61*'損益分岐設定'!$B$51)+AF355*('損益分岐設定'!$F$63*(1-'損益分岐設定'!$B$51)+'損益分岐設定'!$F$64*'損益分岐設定'!$B$51)*1)*'損益分岐設定'!$B$22</x:f>
        <x:v>456</x:v>
      </x:c>
      <x:c r="AK355" s="1" t="n">
        <x:f>AD355*('損益分岐設定'!$G$57*(1-'損益分岐設定'!$B$51)+'損益分岐設定'!$G$58*'損益分岐設定'!$B$51)+AE355*('損益分岐設定'!$G$60*(1-'損益分岐設定'!$B$51)+'損益分岐設定'!$G$61*'損益分岐設定'!$B$51)+AF355*('損益分岐設定'!$G$63*(1-'損益分岐設定'!$B$51)+'損益分岐設定'!$G$64*'損益分岐設定'!$B$51)</x:f>
        <x:v>400</x:v>
      </x:c>
      <x:c r="AL355" s="1" t="n">
        <x:f>AD355*('損益分岐設定'!$H$57*(1-'損益分岐設定'!$B$51)+'損益分岐設定'!$H$58*'損益分岐設定'!$B$51)+AE355*('損益分岐設定'!$H$60*(1-'損益分岐設定'!$B$51)+'損益分岐設定'!$H$61*'損益分岐設定'!$B$51)+AF355*('損益分岐設定'!$H$63*(1-'損益分岐設定'!$B$51)+'損益分岐設定'!$H$64*'損益分岐設定'!$B$51)</x:f>
        <x:v>726.6666666666667</x:v>
      </x:c>
      <x:c r="AM355" s="1" t="n">
        <x:f>MAX(1,ROUNDUP('損益分岐設定'!C37*AJ355/('損益分岐設定'!$B$23*'損益分岐設定'!$B$24*3600*'損益分岐設定'!$B$25),0))</x:f>
        <x:v>1</x:v>
      </x:c>
      <x:c r="AN355" s="1" t="n">
        <x:f>MAX(2,ROUNDUP('損益分岐設定'!C38*AJ355/('損益分岐設定'!$B$23*'損益分岐設定'!$B$24*3600*'損益分岐設定'!$B$25),0))</x:f>
        <x:v>2</x:v>
      </x:c>
      <x:c r="AO355" s="1" t="n">
        <x:f>MAX(2,ROUNDUP('損益分岐設定'!C39*AJ355/('損益分岐設定'!$B$23*'損益分岐設定'!$B$24*3600*'損益分岐設定'!$B$25),0))</x:f>
        <x:v>2</x:v>
      </x:c>
      <x:c r="AP355" s="1" t="n">
        <x:f>MAX(2,ROUNDUP('損益分岐設定'!C40*AJ355/('損益分岐設定'!$B$23*'損益分岐設定'!$B$24*3600*'損益分岐設定'!$B$25),0))</x:f>
        <x:v>2</x:v>
      </x:c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 ht="23" customHeight="1">
      <x:c r="A356" s="1" t="str">
        <x:v>VM</x:v>
      </x:c>
      <x:c r="B356" s="1" t="str">
        <x:v>Starter</x:v>
      </x:c>
      <x:c r="C356" s="1" t="str">
        <x:v>標準+高位混在</x:v>
      </x:c>
      <x:c r="D356" s="21" t="n">
        <x:v>0</x:v>
      </x:c>
      <x:c r="E356" s="1" t="n">
        <x:v>1</x:v>
      </x:c>
      <x:c r="F356" s="7" t="n">
        <x:f>AD356*'損益分岐設定'!$B$5+AE356*'損益分岐設定'!$B$6+AF356*'損益分岐設定'!$B$7</x:f>
        <x:v>3000</x:v>
      </x:c>
      <x:c r="G356" s="7" t="n">
        <x:f>AG356+0+AK356*'損益分岐設定'!$B$33</x:f>
        <x:v>621.5566744499207</x:v>
      </x:c>
      <x:c r="H356" s="7" t="n">
        <x:f>AL356*E356</x:f>
        <x:v>726.6666666666667</x:v>
      </x:c>
      <x:c r="I356" s="7" t="n">
        <x:f>F356*(1-D356-'損益分岐設定'!$B$10)-G356-H356</x:f>
        <x:v>1543.7766588834127</x:v>
      </x:c>
      <x:c r="J356" s="1" t="n">
        <x:f>IF(MIN(V356:Y356)&gt;1000,"範囲内なし",MIN(V356:Y356))</x:f>
        <x:v>94</x:v>
      </x:c>
      <x:c r="K356" s="1" t="n">
        <x:f>IF(MAX(Z356:AC356)&gt;=1000,"範囲内なし",MAX(1,MAX(Z356:AC356)+1))</x:f>
        <x:v>115</x:v>
      </x:c>
      <x:c r="L356" s="7" t="n">
        <x:f>10*I356-R356</x:f>
        <x:v>-67321.42017238714</x:v>
      </x:c>
      <x:c r="M356" s="7" t="n">
        <x:f>30*I356-S356</x:f>
        <x:v>-98705.07375594016</x:v>
      </x:c>
      <x:c r="N356" s="7" t="n">
        <x:f>50*I356-S356</x:f>
        <x:v>-67829.5405782719</x:v>
      </x:c>
      <x:c r="O356" s="7" t="n">
        <x:f>100*I356-S356</x:f>
        <x:v>9359.292365898727</x:v>
      </x:c>
      <x:c r="P356" s="7" t="n">
        <x:f>300*I356-T356</x:f>
        <x:v>286114.62414258125</x:v>
      </x:c>
      <x:c r="Q356" s="7" t="n">
        <x:f>1000*I356-U356</x:f>
        <x:v>1297878.6919803594</x:v>
      </x:c>
      <x:c r="R356" s="7" t="n">
        <x:f>'損益分岐設定'!$B$18+'損益分岐設定'!$B$19+'損益分岐設定'!$B$20+'損益分岐設定'!E37+('損益分岐設定'!F37+2*'損益分岐設定'!G37+AM356)*('損益分岐設定'!$B$15+'損益分岐設定'!$B$16)+'損益分岐設定'!$B$17+'損益分岐設定'!$B$21+E356*'損益分岐設定'!H37*'損益分岐設定'!$B$11</x:f>
        <x:v>82759.18676122127</x:v>
      </x:c>
      <x:c r="S356" s="7" t="n">
        <x:f>'損益分岐設定'!$B$18+'損益分岐設定'!$B$19+'損益分岐設定'!$B$20+'損益分岐設定'!E38+('損益分岐設定'!F38+2*'損益分岐設定'!G38+AN356)*('損益分岐設定'!$B$15+'損益分岐設定'!$B$16)+'損益分岐設定'!$B$17+'損益分岐設定'!$B$21+E356*'損益分岐設定'!H38*'損益分岐設定'!$B$11</x:f>
        <x:v>145018.37352244253</x:v>
      </x:c>
      <x:c r="T356" s="7" t="n">
        <x:f>'損益分岐設定'!$B$18+'損益分岐設定'!$B$19+'損益分岐設定'!$B$20+'損益分岐設定'!E39+('損益分岐設定'!F39+2*'損益分岐設定'!G39+AO356)*('損益分岐設定'!$B$15+'損益分岐設定'!$B$16)+'損益分岐設定'!$B$17+'損益分岐設定'!$B$21+E356*'損益分岐設定'!H39*'損益分岐設定'!$B$11</x:f>
        <x:v>177018.37352244253</x:v>
      </x:c>
      <x:c r="U356" s="7" t="n">
        <x:f>'損益分岐設定'!$B$18+'損益分岐設定'!$B$19+'損益分岐設定'!$B$20+'損益分岐設定'!E40+('損益分岐設定'!F40+2*'損益分岐設定'!G40+AP356)*('損益分岐設定'!$B$15+'損益分岐設定'!$B$16)+'損益分岐設定'!$B$17+'損益分岐設定'!$B$21+E356*'損益分岐設定'!H40*'損益分岐設定'!$B$11</x:f>
        <x:v>245897.96690305317</x:v>
      </x:c>
      <x:c r="V356" s="1" t="n">
        <x:f>IF(I356&lt;=0,1001,IF(MAX('損益分岐設定'!B37,ROUNDUP(R356/I356,0))&lt;='損益分岐設定'!C37,MAX('損益分岐設定'!B37,ROUNDUP(R356/I356,0)),1001))</x:f>
        <x:v>1001</x:v>
      </x:c>
      <x:c r="W356" s="1" t="n">
        <x:f>IF(I356&lt;=0,1001,IF(MAX('損益分岐設定'!B38,ROUNDUP(S356/I356,0))&lt;='損益分岐設定'!C38,MAX('損益分岐設定'!B38,ROUNDUP(S356/I356,0)),1001))</x:f>
        <x:v>94</x:v>
      </x:c>
      <x:c r="X356" s="1" t="n">
        <x:f>IF(I356&lt;=0,1001,IF(MAX('損益分岐設定'!B39,ROUNDUP(T356/I356,0))&lt;='損益分岐設定'!C39,MAX('損益分岐設定'!B39,ROUNDUP(T356/I356,0)),1001))</x:f>
        <x:v>115</x:v>
      </x:c>
      <x:c r="Y356" s="1" t="n">
        <x:f>IF(I356&lt;=0,1001,IF(MAX('損益分岐設定'!B40,ROUNDUP(U356/I356,0))&lt;='損益分岐設定'!C40,MAX('損益分岐設定'!B40,ROUNDUP(U356/I356,0)),1001))</x:f>
        <x:v>501</x:v>
      </x:c>
      <x:c r="Z356" s="1" t="n">
        <x:f>IF(I356&lt;=0,'損益分岐設定'!C37,IF('損益分岐設定'!C37*I356-R356&lt;0,'損益分岐設定'!C37,IF('損益分岐設定'!B37*I356-R356&gt;=0,0,ROUNDUP(R356/I356,0)-1)))</x:f>
        <x:v>10</x:v>
      </x:c>
      <x:c r="AA356" s="1" t="n">
        <x:f>IF(I356&lt;=0,'損益分岐設定'!C38,IF('損益分岐設定'!C38*I356-S356&lt;0,'損益分岐設定'!C38,IF('損益分岐設定'!B38*I356-S356&gt;=0,0,ROUNDUP(S356/I356,0)-1)))</x:f>
        <x:v>93</x:v>
      </x:c>
      <x:c r="AB356" s="1" t="n">
        <x:f>IF(I356&lt;=0,'損益分岐設定'!C39,IF('損益分岐設定'!C39*I356-T356&lt;0,'損益分岐設定'!C39,IF('損益分岐設定'!B39*I356-T356&gt;=0,0,ROUNDUP(T356/I356,0)-1)))</x:f>
        <x:v>114</x:v>
      </x:c>
      <x:c r="AC356" s="1" t="n">
        <x:f>IF(I356&lt;=0,'損益分岐設定'!C40,IF('損益分岐設定'!C40*I356-U356&lt;0,'損益分岐設定'!C40,IF('損益分岐設定'!B40*I356-U356&gt;=0,0,ROUNDUP(U356/I356,0)-1)))</x:f>
        <x:v>0</x:v>
      </x:c>
      <x:c r="AD356" s="1" t="n">
        <x:v>1</x:v>
      </x:c>
      <x:c r="AE356" s="1" t="n">
        <x:v>0</x:v>
      </x:c>
      <x:c r="AF356" s="1" t="n">
        <x:v>0</x:v>
      </x:c>
      <x:c r="AG356" s="1" t="n">
        <x:f>AD356*('損益分岐設定'!$C$57*(1-'損益分岐設定'!$B$51)+'損益分岐設定'!$C$58*'損益分岐設定'!$B$51)+AE356*('損益分岐設定'!$C$60*(1-'損益分岐設定'!$B$51)+'損益分岐設定'!$C$61*'損益分岐設定'!$B$51)+AF356*('損益分岐設定'!$C$63*(1-'損益分岐設定'!$B$51)+'損益分岐設定'!$C$64*'損益分岐設定'!$B$51)</x:f>
        <x:v>621.5522041015626</x:v>
      </x:c>
      <x:c r="AH356" s="1" t="n">
        <x:f>AD356*('損益分岐設定'!$D$57*(1-'損益分岐設定'!$B$51)+'損益分岐設定'!$D$58*'損益分岐設定'!$B$51)+AE356*('損益分岐設定'!$D$60*(1-'損益分岐設定'!$B$51)+'損益分岐設定'!$D$61*'損益分岐設定'!$B$51)+AF356*('損益分岐設定'!$D$63*(1-'損益分岐設定'!$B$51)+'損益分岐設定'!$D$64*'損益分岐設定'!$B$51)</x:f>
        <x:v>48</x:v>
      </x:c>
      <x:c r="AI356" s="1" t="n">
        <x:f>AD356*('損益分岐設定'!$E$57*(1-'損益分岐設定'!$B$51)+'損益分岐設定'!$E$58*'損益分岐設定'!$B$51)+AE356*('損益分岐設定'!$E$60*(1-'損益分岐設定'!$B$51)+'損益分岐設定'!$E$61*'損益分岐設定'!$B$51)+AF356*('損益分岐設定'!$E$63*(1-'損益分岐設定'!$B$51)+'損益分岐設定'!$E$64*'損益分岐設定'!$B$51)</x:f>
        <x:v>56</x:v>
      </x:c>
      <x:c r="AJ356" s="1" t="n">
        <x:f>(AD356*('損益分岐設定'!$F$57*(1-'損益分岐設定'!$B$51)+'損益分岐設定'!$F$58*'損益分岐設定'!$B$51)+AE356*('損益分岐設定'!$F$60*(1-'損益分岐設定'!$B$51)+'損益分岐設定'!$F$61*'損益分岐設定'!$B$51)+AF356*('損益分岐設定'!$F$63*(1-'損益分岐設定'!$B$51)+'損益分岐設定'!$F$64*'損益分岐設定'!$B$51)*1)*'損益分岐設定'!$B$22</x:f>
        <x:v>456</x:v>
      </x:c>
      <x:c r="AK356" s="1" t="n">
        <x:f>AD356*('損益分岐設定'!$G$57*(1-'損益分岐設定'!$B$51)+'損益分岐設定'!$G$58*'損益分岐設定'!$B$51)+AE356*('損益分岐設定'!$G$60*(1-'損益分岐設定'!$B$51)+'損益分岐設定'!$G$61*'損益分岐設定'!$B$51)+AF356*('損益分岐設定'!$G$63*(1-'損益分岐設定'!$B$51)+'損益分岐設定'!$G$64*'損益分岐設定'!$B$51)</x:f>
        <x:v>400</x:v>
      </x:c>
      <x:c r="AL356" s="1" t="n">
        <x:f>AD356*('損益分岐設定'!$H$57*(1-'損益分岐設定'!$B$51)+'損益分岐設定'!$H$58*'損益分岐設定'!$B$51)+AE356*('損益分岐設定'!$H$60*(1-'損益分岐設定'!$B$51)+'損益分岐設定'!$H$61*'損益分岐設定'!$B$51)+AF356*('損益分岐設定'!$H$63*(1-'損益分岐設定'!$B$51)+'損益分岐設定'!$H$64*'損益分岐設定'!$B$51)</x:f>
        <x:v>726.6666666666667</x:v>
      </x:c>
      <x:c r="AM356" s="1" t="n">
        <x:f>MAX(1,ROUNDUP('損益分岐設定'!C37*AJ356/('損益分岐設定'!$B$23*'損益分岐設定'!$B$24*3600*'損益分岐設定'!$B$25),0))</x:f>
        <x:v>1</x:v>
      </x:c>
      <x:c r="AN356" s="1" t="n">
        <x:f>MAX(2,ROUNDUP('損益分岐設定'!C38*AJ356/('損益分岐設定'!$B$23*'損益分岐設定'!$B$24*3600*'損益分岐設定'!$B$25),0))</x:f>
        <x:v>2</x:v>
      </x:c>
      <x:c r="AO356" s="1" t="n">
        <x:f>MAX(2,ROUNDUP('損益分岐設定'!C39*AJ356/('損益分岐設定'!$B$23*'損益分岐設定'!$B$24*3600*'損益分岐設定'!$B$25),0))</x:f>
        <x:v>2</x:v>
      </x:c>
      <x:c r="AP356" s="1" t="n">
        <x:f>MAX(2,ROUNDUP('損益分岐設定'!C40*AJ356/('損益分岐設定'!$B$23*'損益分岐設定'!$B$24*3600*'損益分岐設定'!$B$25),0))</x:f>
        <x:v>2</x:v>
      </x:c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 ht="23" customHeight="1">
      <x:c r="A357" s="1" t="str">
        <x:v>VM</x:v>
      </x:c>
      <x:c r="B357" s="1" t="str">
        <x:v>Starter</x:v>
      </x:c>
      <x:c r="C357" s="1" t="str">
        <x:v>標準+高位混在</x:v>
      </x:c>
      <x:c r="D357" s="21" t="n">
        <x:v>0.2</x:v>
      </x:c>
      <x:c r="E357" s="1" t="n">
        <x:v>0</x:v>
      </x:c>
      <x:c r="F357" s="7" t="n">
        <x:f>AD357*'損益分岐設定'!$B$5+AE357*'損益分岐設定'!$B$6+AF357*'損益分岐設定'!$B$7</x:f>
        <x:v>3000</x:v>
      </x:c>
      <x:c r="G357" s="7" t="n">
        <x:f>AG357+0+AK357*'損益分岐設定'!$B$33</x:f>
        <x:v>621.5566744499207</x:v>
      </x:c>
      <x:c r="H357" s="7" t="n">
        <x:f>AL357*E357</x:f>
        <x:v>0</x:v>
      </x:c>
      <x:c r="I357" s="7" t="n">
        <x:f>F357*(1-D357-'損益分岐設定'!$B$10)-G357-H357</x:f>
        <x:v>1670.4433255500794</x:v>
      </x:c>
      <x:c r="J357" s="1" t="n">
        <x:f>IF(MIN(V357:Y357)&gt;1000,"範囲内なし",MIN(V357:Y357))</x:f>
        <x:v>59</x:v>
      </x:c>
      <x:c r="K357" s="1" t="n">
        <x:f>IF(MAX(Z357:AC357)&gt;=1000,"範囲内なし",MAX(1,MAX(Z357:AC357)+1))</x:f>
        <x:v>59</x:v>
      </x:c>
      <x:c r="L357" s="7" t="n">
        <x:f>10*I357-R357</x:f>
        <x:v>-34054.75350572048</x:v>
      </x:c>
      <x:c r="M357" s="7" t="n">
        <x:f>30*I357-S357</x:f>
        <x:v>-46905.07375594017</x:v>
      </x:c>
      <x:c r="N357" s="7" t="n">
        <x:f>50*I357-S357</x:f>
        <x:v>-13496.207244938574</x:v>
      </x:c>
      <x:c r="O357" s="7" t="n">
        <x:f>100*I357-S357</x:f>
        <x:v>70025.9590325654</x:v>
      </x:c>
      <x:c r="P357" s="7" t="n">
        <x:f>300*I357-T357</x:f>
        <x:v>404114.6241425813</x:v>
      </x:c>
      <x:c r="Q357" s="7" t="n">
        <x:f>1000*I357-U357</x:f>
        <x:v>1552545.3586470261</x:v>
      </x:c>
      <x:c r="R357" s="7" t="n">
        <x:f>'損益分岐設定'!$B$18+'損益分岐設定'!$B$19+'損益分岐設定'!$B$20+'損益分岐設定'!E37+('損益分岐設定'!F37+2*'損益分岐設定'!G37+AM357)*('損益分岐設定'!$B$15+'損益分岐設定'!$B$16)+'損益分岐設定'!$B$17+'損益分岐設定'!$B$21+E357*'損益分岐設定'!H37*'損益分岐設定'!$B$11</x:f>
        <x:v>50759.18676122127</x:v>
      </x:c>
      <x:c r="S357" s="7" t="n">
        <x:f>'損益分岐設定'!$B$18+'損益分岐設定'!$B$19+'損益分岐設定'!$B$20+'損益分岐設定'!E38+('損益分岐設定'!F38+2*'損益分岐設定'!G38+AN357)*('損益分岐設定'!$B$15+'損益分岐設定'!$B$16)+'損益分岐設定'!$B$17+'損益分岐設定'!$B$21+E357*'損益分岐設定'!H38*'損益分岐設定'!$B$11</x:f>
        <x:v>97018.37352244255</x:v>
      </x:c>
      <x:c r="T357" s="7" t="n">
        <x:f>'損益分岐設定'!$B$18+'損益分岐設定'!$B$19+'損益分岐設定'!$B$20+'損益分岐設定'!E39+('損益分岐設定'!F39+2*'損益分岐設定'!G39+AO357)*('損益分岐設定'!$B$15+'損益分岐設定'!$B$16)+'損益分岐設定'!$B$17+'損益分岐設定'!$B$21+E357*'損益分岐設定'!H39*'損益分岐設定'!$B$11</x:f>
        <x:v>97018.37352244255</x:v>
      </x:c>
      <x:c r="U357" s="7" t="n">
        <x:f>'損益分岐設定'!$B$18+'損益分岐設定'!$B$19+'損益分岐設定'!$B$20+'損益分岐設定'!E40+('損益分岐設定'!F40+2*'損益分岐設定'!G40+AP357)*('損益分岐設定'!$B$15+'損益分岐設定'!$B$16)+'損益分岐設定'!$B$17+'損益分岐設定'!$B$21+E357*'損益分岐設定'!H40*'損益分岐設定'!$B$11</x:f>
        <x:v>117897.96690305318</x:v>
      </x:c>
      <x:c r="V357" s="1" t="n">
        <x:f>IF(I357&lt;=0,1001,IF(MAX('損益分岐設定'!B37,ROUNDUP(R357/I357,0))&lt;='損益分岐設定'!C37,MAX('損益分岐設定'!B37,ROUNDUP(R357/I357,0)),1001))</x:f>
        <x:v>1001</x:v>
      </x:c>
      <x:c r="W357" s="1" t="n">
        <x:f>IF(I357&lt;=0,1001,IF(MAX('損益分岐設定'!B38,ROUNDUP(S357/I357,0))&lt;='損益分岐設定'!C38,MAX('損益分岐設定'!B38,ROUNDUP(S357/I357,0)),1001))</x:f>
        <x:v>59</x:v>
      </x:c>
      <x:c r="X357" s="1" t="n">
        <x:f>IF(I357&lt;=0,1001,IF(MAX('損益分岐設定'!B39,ROUNDUP(T357/I357,0))&lt;='損益分岐設定'!C39,MAX('損益分岐設定'!B39,ROUNDUP(T357/I357,0)),1001))</x:f>
        <x:v>101</x:v>
      </x:c>
      <x:c r="Y357" s="1" t="n">
        <x:f>IF(I357&lt;=0,1001,IF(MAX('損益分岐設定'!B40,ROUNDUP(U357/I357,0))&lt;='損益分岐設定'!C40,MAX('損益分岐設定'!B40,ROUNDUP(U357/I357,0)),1001))</x:f>
        <x:v>501</x:v>
      </x:c>
      <x:c r="Z357" s="1" t="n">
        <x:f>IF(I357&lt;=0,'損益分岐設定'!C37,IF('損益分岐設定'!C37*I357-R357&lt;0,'損益分岐設定'!C37,IF('損益分岐設定'!B37*I357-R357&gt;=0,0,ROUNDUP(R357/I357,0)-1)))</x:f>
        <x:v>10</x:v>
      </x:c>
      <x:c r="AA357" s="1" t="n">
        <x:f>IF(I357&lt;=0,'損益分岐設定'!C38,IF('損益分岐設定'!C38*I357-S357&lt;0,'損益分岐設定'!C38,IF('損益分岐設定'!B38*I357-S357&gt;=0,0,ROUNDUP(S357/I357,0)-1)))</x:f>
        <x:v>58</x:v>
      </x:c>
      <x:c r="AB357" s="1" t="n">
        <x:f>IF(I357&lt;=0,'損益分岐設定'!C39,IF('損益分岐設定'!C39*I357-T357&lt;0,'損益分岐設定'!C39,IF('損益分岐設定'!B39*I357-T357&gt;=0,0,ROUNDUP(T357/I357,0)-1)))</x:f>
        <x:v>0</x:v>
      </x:c>
      <x:c r="AC357" s="1" t="n">
        <x:f>IF(I357&lt;=0,'損益分岐設定'!C40,IF('損益分岐設定'!C40*I357-U357&lt;0,'損益分岐設定'!C40,IF('損益分岐設定'!B40*I357-U357&gt;=0,0,ROUNDUP(U357/I357,0)-1)))</x:f>
        <x:v>0</x:v>
      </x:c>
      <x:c r="AD357" s="1" t="n">
        <x:v>1</x:v>
      </x:c>
      <x:c r="AE357" s="1" t="n">
        <x:v>0</x:v>
      </x:c>
      <x:c r="AF357" s="1" t="n">
        <x:v>0</x:v>
      </x:c>
      <x:c r="AG357" s="1" t="n">
        <x:f>AD357*('損益分岐設定'!$C$57*(1-'損益分岐設定'!$B$51)+'損益分岐設定'!$C$58*'損益分岐設定'!$B$51)+AE357*('損益分岐設定'!$C$60*(1-'損益分岐設定'!$B$51)+'損益分岐設定'!$C$61*'損益分岐設定'!$B$51)+AF357*('損益分岐設定'!$C$63*(1-'損益分岐設定'!$B$51)+'損益分岐設定'!$C$64*'損益分岐設定'!$B$51)</x:f>
        <x:v>621.5522041015626</x:v>
      </x:c>
      <x:c r="AH357" s="1" t="n">
        <x:f>AD357*('損益分岐設定'!$D$57*(1-'損益分岐設定'!$B$51)+'損益分岐設定'!$D$58*'損益分岐設定'!$B$51)+AE357*('損益分岐設定'!$D$60*(1-'損益分岐設定'!$B$51)+'損益分岐設定'!$D$61*'損益分岐設定'!$B$51)+AF357*('損益分岐設定'!$D$63*(1-'損益分岐設定'!$B$51)+'損益分岐設定'!$D$64*'損益分岐設定'!$B$51)</x:f>
        <x:v>48</x:v>
      </x:c>
      <x:c r="AI357" s="1" t="n">
        <x:f>AD357*('損益分岐設定'!$E$57*(1-'損益分岐設定'!$B$51)+'損益分岐設定'!$E$58*'損益分岐設定'!$B$51)+AE357*('損益分岐設定'!$E$60*(1-'損益分岐設定'!$B$51)+'損益分岐設定'!$E$61*'損益分岐設定'!$B$51)+AF357*('損益分岐設定'!$E$63*(1-'損益分岐設定'!$B$51)+'損益分岐設定'!$E$64*'損益分岐設定'!$B$51)</x:f>
        <x:v>56</x:v>
      </x:c>
      <x:c r="AJ357" s="1" t="n">
        <x:f>(AD357*('損益分岐設定'!$F$57*(1-'損益分岐設定'!$B$51)+'損益分岐設定'!$F$58*'損益分岐設定'!$B$51)+AE357*('損益分岐設定'!$F$60*(1-'損益分岐設定'!$B$51)+'損益分岐設定'!$F$61*'損益分岐設定'!$B$51)+AF357*('損益分岐設定'!$F$63*(1-'損益分岐設定'!$B$51)+'損益分岐設定'!$F$64*'損益分岐設定'!$B$51)*1)*'損益分岐設定'!$B$22</x:f>
        <x:v>456</x:v>
      </x:c>
      <x:c r="AK357" s="1" t="n">
        <x:f>AD357*('損益分岐設定'!$G$57*(1-'損益分岐設定'!$B$51)+'損益分岐設定'!$G$58*'損益分岐設定'!$B$51)+AE357*('損益分岐設定'!$G$60*(1-'損益分岐設定'!$B$51)+'損益分岐設定'!$G$61*'損益分岐設定'!$B$51)+AF357*('損益分岐設定'!$G$63*(1-'損益分岐設定'!$B$51)+'損益分岐設定'!$G$64*'損益分岐設定'!$B$51)</x:f>
        <x:v>400</x:v>
      </x:c>
      <x:c r="AL357" s="1" t="n">
        <x:f>AD357*('損益分岐設定'!$H$57*(1-'損益分岐設定'!$B$51)+'損益分岐設定'!$H$58*'損益分岐設定'!$B$51)+AE357*('損益分岐設定'!$H$60*(1-'損益分岐設定'!$B$51)+'損益分岐設定'!$H$61*'損益分岐設定'!$B$51)+AF357*('損益分岐設定'!$H$63*(1-'損益分岐設定'!$B$51)+'損益分岐設定'!$H$64*'損益分岐設定'!$B$51)</x:f>
        <x:v>726.6666666666667</x:v>
      </x:c>
      <x:c r="AM357" s="1" t="n">
        <x:f>MAX(1,ROUNDUP('損益分岐設定'!C37*AJ357/('損益分岐設定'!$B$23*'損益分岐設定'!$B$24*3600*'損益分岐設定'!$B$25),0))</x:f>
        <x:v>1</x:v>
      </x:c>
      <x:c r="AN357" s="1" t="n">
        <x:f>MAX(2,ROUNDUP('損益分岐設定'!C38*AJ357/('損益分岐設定'!$B$23*'損益分岐設定'!$B$24*3600*'損益分岐設定'!$B$25),0))</x:f>
        <x:v>2</x:v>
      </x:c>
      <x:c r="AO357" s="1" t="n">
        <x:f>MAX(2,ROUNDUP('損益分岐設定'!C39*AJ357/('損益分岐設定'!$B$23*'損益分岐設定'!$B$24*3600*'損益分岐設定'!$B$25),0))</x:f>
        <x:v>2</x:v>
      </x:c>
      <x:c r="AP357" s="1" t="n">
        <x:f>MAX(2,ROUNDUP('損益分岐設定'!C40*AJ357/('損益分岐設定'!$B$23*'損益分岐設定'!$B$24*3600*'損益分岐設定'!$B$25),0))</x:f>
        <x:v>2</x:v>
      </x:c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 ht="23" customHeight="1">
      <x:c r="A358" s="1" t="str">
        <x:v>VM</x:v>
      </x:c>
      <x:c r="B358" s="1" t="str">
        <x:v>Starter</x:v>
      </x:c>
      <x:c r="C358" s="1" t="str">
        <x:v>標準+高位混在</x:v>
      </x:c>
      <x:c r="D358" s="21" t="n">
        <x:v>0.2</x:v>
      </x:c>
      <x:c r="E358" s="1" t="n">
        <x:v>1</x:v>
      </x:c>
      <x:c r="F358" s="7" t="n">
        <x:f>AD358*'損益分岐設定'!$B$5+AE358*'損益分岐設定'!$B$6+AF358*'損益分岐設定'!$B$7</x:f>
        <x:v>3000</x:v>
      </x:c>
      <x:c r="G358" s="7" t="n">
        <x:f>AG358+0+AK358*'損益分岐設定'!$B$33</x:f>
        <x:v>621.5566744499207</x:v>
      </x:c>
      <x:c r="H358" s="7" t="n">
        <x:f>AL358*E358</x:f>
        <x:v>726.6666666666667</x:v>
      </x:c>
      <x:c r="I358" s="7" t="n">
        <x:f>F358*(1-D358-'損益分岐設定'!$B$10)-G358-H358</x:f>
        <x:v>943.7766588834127</x:v>
      </x:c>
      <x:c r="J358" s="1" t="n">
        <x:f>IF(MIN(V358:Y358)&gt;1000,"範囲内なし",MIN(V358:Y358))</x:f>
        <x:v>188</x:v>
      </x:c>
      <x:c r="K358" s="1" t="n">
        <x:f>IF(MAX(Z358:AC358)&gt;=1000,"範囲内なし",MAX(1,MAX(Z358:AC358)+1))</x:f>
        <x:v>188</x:v>
      </x:c>
      <x:c r="L358" s="7" t="n">
        <x:f>10*I358-R358</x:f>
        <x:v>-73321.42017238714</x:v>
      </x:c>
      <x:c r="M358" s="7" t="n">
        <x:f>30*I358-S358</x:f>
        <x:v>-116705.07375594016</x:v>
      </x:c>
      <x:c r="N358" s="7" t="n">
        <x:f>50*I358-S358</x:f>
        <x:v>-97829.5405782719</x:v>
      </x:c>
      <x:c r="O358" s="7" t="n">
        <x:f>100*I358-S358</x:f>
        <x:v>-50640.70763410127</x:v>
      </x:c>
      <x:c r="P358" s="7" t="n">
        <x:f>300*I358-T358</x:f>
        <x:v>106114.62414258125</x:v>
      </x:c>
      <x:c r="Q358" s="7" t="n">
        <x:f>1000*I358-U358</x:f>
        <x:v>697878.6919803596</x:v>
      </x:c>
      <x:c r="R358" s="7" t="n">
        <x:f>'損益分岐設定'!$B$18+'損益分岐設定'!$B$19+'損益分岐設定'!$B$20+'損益分岐設定'!E37+('損益分岐設定'!F37+2*'損益分岐設定'!G37+AM358)*('損益分岐設定'!$B$15+'損益分岐設定'!$B$16)+'損益分岐設定'!$B$17+'損益分岐設定'!$B$21+E358*'損益分岐設定'!H37*'損益分岐設定'!$B$11</x:f>
        <x:v>82759.18676122127</x:v>
      </x:c>
      <x:c r="S358" s="7" t="n">
        <x:f>'損益分岐設定'!$B$18+'損益分岐設定'!$B$19+'損益分岐設定'!$B$20+'損益分岐設定'!E38+('損益分岐設定'!F38+2*'損益分岐設定'!G38+AN358)*('損益分岐設定'!$B$15+'損益分岐設定'!$B$16)+'損益分岐設定'!$B$17+'損益分岐設定'!$B$21+E358*'損益分岐設定'!H38*'損益分岐設定'!$B$11</x:f>
        <x:v>145018.37352244253</x:v>
      </x:c>
      <x:c r="T358" s="7" t="n">
        <x:f>'損益分岐設定'!$B$18+'損益分岐設定'!$B$19+'損益分岐設定'!$B$20+'損益分岐設定'!E39+('損益分岐設定'!F39+2*'損益分岐設定'!G39+AO358)*('損益分岐設定'!$B$15+'損益分岐設定'!$B$16)+'損益分岐設定'!$B$17+'損益分岐設定'!$B$21+E358*'損益分岐設定'!H39*'損益分岐設定'!$B$11</x:f>
        <x:v>177018.37352244253</x:v>
      </x:c>
      <x:c r="U358" s="7" t="n">
        <x:f>'損益分岐設定'!$B$18+'損益分岐設定'!$B$19+'損益分岐設定'!$B$20+'損益分岐設定'!E40+('損益分岐設定'!F40+2*'損益分岐設定'!G40+AP358)*('損益分岐設定'!$B$15+'損益分岐設定'!$B$16)+'損益分岐設定'!$B$17+'損益分岐設定'!$B$21+E358*'損益分岐設定'!H40*'損益分岐設定'!$B$11</x:f>
        <x:v>245897.96690305317</x:v>
      </x:c>
      <x:c r="V358" s="1" t="n">
        <x:f>IF(I358&lt;=0,1001,IF(MAX('損益分岐設定'!B37,ROUNDUP(R358/I358,0))&lt;='損益分岐設定'!C37,MAX('損益分岐設定'!B37,ROUNDUP(R358/I358,0)),1001))</x:f>
        <x:v>1001</x:v>
      </x:c>
      <x:c r="W358" s="1" t="n">
        <x:f>IF(I358&lt;=0,1001,IF(MAX('損益分岐設定'!B38,ROUNDUP(S358/I358,0))&lt;='損益分岐設定'!C38,MAX('損益分岐設定'!B38,ROUNDUP(S358/I358,0)),1001))</x:f>
        <x:v>1001</x:v>
      </x:c>
      <x:c r="X358" s="1" t="n">
        <x:f>IF(I358&lt;=0,1001,IF(MAX('損益分岐設定'!B39,ROUNDUP(T358/I358,0))&lt;='損益分岐設定'!C39,MAX('損益分岐設定'!B39,ROUNDUP(T358/I358,0)),1001))</x:f>
        <x:v>188</x:v>
      </x:c>
      <x:c r="Y358" s="1" t="n">
        <x:f>IF(I358&lt;=0,1001,IF(MAX('損益分岐設定'!B40,ROUNDUP(U358/I358,0))&lt;='損益分岐設定'!C40,MAX('損益分岐設定'!B40,ROUNDUP(U358/I358,0)),1001))</x:f>
        <x:v>501</x:v>
      </x:c>
      <x:c r="Z358" s="1" t="n">
        <x:f>IF(I358&lt;=0,'損益分岐設定'!C37,IF('損益分岐設定'!C37*I358-R358&lt;0,'損益分岐設定'!C37,IF('損益分岐設定'!B37*I358-R358&gt;=0,0,ROUNDUP(R358/I358,0)-1)))</x:f>
        <x:v>10</x:v>
      </x:c>
      <x:c r="AA358" s="1" t="n">
        <x:f>IF(I358&lt;=0,'損益分岐設定'!C38,IF('損益分岐設定'!C38*I358-S358&lt;0,'損益分岐設定'!C38,IF('損益分岐設定'!B38*I358-S358&gt;=0,0,ROUNDUP(S358/I358,0)-1)))</x:f>
        <x:v>100</x:v>
      </x:c>
      <x:c r="AB358" s="1" t="n">
        <x:f>IF(I358&lt;=0,'損益分岐設定'!C39,IF('損益分岐設定'!C39*I358-T358&lt;0,'損益分岐設定'!C39,IF('損益分岐設定'!B39*I358-T358&gt;=0,0,ROUNDUP(T358/I358,0)-1)))</x:f>
        <x:v>187</x:v>
      </x:c>
      <x:c r="AC358" s="1" t="n">
        <x:f>IF(I358&lt;=0,'損益分岐設定'!C40,IF('損益分岐設定'!C40*I358-U358&lt;0,'損益分岐設定'!C40,IF('損益分岐設定'!B40*I358-U358&gt;=0,0,ROUNDUP(U358/I358,0)-1)))</x:f>
        <x:v>0</x:v>
      </x:c>
      <x:c r="AD358" s="1" t="n">
        <x:v>1</x:v>
      </x:c>
      <x:c r="AE358" s="1" t="n">
        <x:v>0</x:v>
      </x:c>
      <x:c r="AF358" s="1" t="n">
        <x:v>0</x:v>
      </x:c>
      <x:c r="AG358" s="1" t="n">
        <x:f>AD358*('損益分岐設定'!$C$57*(1-'損益分岐設定'!$B$51)+'損益分岐設定'!$C$58*'損益分岐設定'!$B$51)+AE358*('損益分岐設定'!$C$60*(1-'損益分岐設定'!$B$51)+'損益分岐設定'!$C$61*'損益分岐設定'!$B$51)+AF358*('損益分岐設定'!$C$63*(1-'損益分岐設定'!$B$51)+'損益分岐設定'!$C$64*'損益分岐設定'!$B$51)</x:f>
        <x:v>621.5522041015626</x:v>
      </x:c>
      <x:c r="AH358" s="1" t="n">
        <x:f>AD358*('損益分岐設定'!$D$57*(1-'損益分岐設定'!$B$51)+'損益分岐設定'!$D$58*'損益分岐設定'!$B$51)+AE358*('損益分岐設定'!$D$60*(1-'損益分岐設定'!$B$51)+'損益分岐設定'!$D$61*'損益分岐設定'!$B$51)+AF358*('損益分岐設定'!$D$63*(1-'損益分岐設定'!$B$51)+'損益分岐設定'!$D$64*'損益分岐設定'!$B$51)</x:f>
        <x:v>48</x:v>
      </x:c>
      <x:c r="AI358" s="1" t="n">
        <x:f>AD358*('損益分岐設定'!$E$57*(1-'損益分岐設定'!$B$51)+'損益分岐設定'!$E$58*'損益分岐設定'!$B$51)+AE358*('損益分岐設定'!$E$60*(1-'損益分岐設定'!$B$51)+'損益分岐設定'!$E$61*'損益分岐設定'!$B$51)+AF358*('損益分岐設定'!$E$63*(1-'損益分岐設定'!$B$51)+'損益分岐設定'!$E$64*'損益分岐設定'!$B$51)</x:f>
        <x:v>56</x:v>
      </x:c>
      <x:c r="AJ358" s="1" t="n">
        <x:f>(AD358*('損益分岐設定'!$F$57*(1-'損益分岐設定'!$B$51)+'損益分岐設定'!$F$58*'損益分岐設定'!$B$51)+AE358*('損益分岐設定'!$F$60*(1-'損益分岐設定'!$B$51)+'損益分岐設定'!$F$61*'損益分岐設定'!$B$51)+AF358*('損益分岐設定'!$F$63*(1-'損益分岐設定'!$B$51)+'損益分岐設定'!$F$64*'損益分岐設定'!$B$51)*1)*'損益分岐設定'!$B$22</x:f>
        <x:v>456</x:v>
      </x:c>
      <x:c r="AK358" s="1" t="n">
        <x:f>AD358*('損益分岐設定'!$G$57*(1-'損益分岐設定'!$B$51)+'損益分岐設定'!$G$58*'損益分岐設定'!$B$51)+AE358*('損益分岐設定'!$G$60*(1-'損益分岐設定'!$B$51)+'損益分岐設定'!$G$61*'損益分岐設定'!$B$51)+AF358*('損益分岐設定'!$G$63*(1-'損益分岐設定'!$B$51)+'損益分岐設定'!$G$64*'損益分岐設定'!$B$51)</x:f>
        <x:v>400</x:v>
      </x:c>
      <x:c r="AL358" s="1" t="n">
        <x:f>AD358*('損益分岐設定'!$H$57*(1-'損益分岐設定'!$B$51)+'損益分岐設定'!$H$58*'損益分岐設定'!$B$51)+AE358*('損益分岐設定'!$H$60*(1-'損益分岐設定'!$B$51)+'損益分岐設定'!$H$61*'損益分岐設定'!$B$51)+AF358*('損益分岐設定'!$H$63*(1-'損益分岐設定'!$B$51)+'損益分岐設定'!$H$64*'損益分岐設定'!$B$51)</x:f>
        <x:v>726.6666666666667</x:v>
      </x:c>
      <x:c r="AM358" s="1" t="n">
        <x:f>MAX(1,ROUNDUP('損益分岐設定'!C37*AJ358/('損益分岐設定'!$B$23*'損益分岐設定'!$B$24*3600*'損益分岐設定'!$B$25),0))</x:f>
        <x:v>1</x:v>
      </x:c>
      <x:c r="AN358" s="1" t="n">
        <x:f>MAX(2,ROUNDUP('損益分岐設定'!C38*AJ358/('損益分岐設定'!$B$23*'損益分岐設定'!$B$24*3600*'損益分岐設定'!$B$25),0))</x:f>
        <x:v>2</x:v>
      </x:c>
      <x:c r="AO358" s="1" t="n">
        <x:f>MAX(2,ROUNDUP('損益分岐設定'!C39*AJ358/('損益分岐設定'!$B$23*'損益分岐設定'!$B$24*3600*'損益分岐設定'!$B$25),0))</x:f>
        <x:v>2</x:v>
      </x:c>
      <x:c r="AP358" s="1" t="n">
        <x:f>MAX(2,ROUNDUP('損益分岐設定'!C40*AJ358/('損益分岐設定'!$B$23*'損益分岐設定'!$B$24*3600*'損益分岐設定'!$B$25),0))</x:f>
        <x:v>2</x:v>
      </x:c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 ht="23" customHeight="1">
      <x:c r="A359" s="1" t="str">
        <x:v>VM</x:v>
      </x:c>
      <x:c r="B359" s="1" t="str">
        <x:v>Starter</x:v>
      </x:c>
      <x:c r="C359" s="1" t="str">
        <x:v>標準+高位混在</x:v>
      </x:c>
      <x:c r="D359" s="21" t="n">
        <x:v>0.3</x:v>
      </x:c>
      <x:c r="E359" s="1" t="n">
        <x:v>0</x:v>
      </x:c>
      <x:c r="F359" s="7" t="n">
        <x:f>AD359*'損益分岐設定'!$B$5+AE359*'損益分岐設定'!$B$6+AF359*'損益分岐設定'!$B$7</x:f>
        <x:v>3000</x:v>
      </x:c>
      <x:c r="G359" s="7" t="n">
        <x:f>AG359+0+AK359*'損益分岐設定'!$B$33</x:f>
        <x:v>621.5566744499207</x:v>
      </x:c>
      <x:c r="H359" s="7" t="n">
        <x:f>AL359*E359</x:f>
        <x:v>0</x:v>
      </x:c>
      <x:c r="I359" s="7" t="n">
        <x:f>F359*(1-D359-'損益分岐設定'!$B$10)-G359-H359</x:f>
        <x:v>1370.443325550079</x:v>
      </x:c>
      <x:c r="J359" s="1" t="n">
        <x:f>IF(MIN(V359:Y359)&gt;1000,"範囲内なし",MIN(V359:Y359))</x:f>
        <x:v>71</x:v>
      </x:c>
      <x:c r="K359" s="1" t="n">
        <x:f>IF(MAX(Z359:AC359)&gt;=1000,"範囲内なし",MAX(1,MAX(Z359:AC359)+1))</x:f>
        <x:v>71</x:v>
      </x:c>
      <x:c r="L359" s="7" t="n">
        <x:f>10*I359-R359</x:f>
        <x:v>-37054.75350572048</x:v>
      </x:c>
      <x:c r="M359" s="7" t="n">
        <x:f>30*I359-S359</x:f>
        <x:v>-55905.073755940175</x:v>
      </x:c>
      <x:c r="N359" s="7" t="n">
        <x:f>50*I359-S359</x:f>
        <x:v>-28496.207244938603</x:v>
      </x:c>
      <x:c r="O359" s="7" t="n">
        <x:f>100*I359-S359</x:f>
        <x:v>40025.95903256534</x:v>
      </x:c>
      <x:c r="P359" s="7" t="n">
        <x:f>300*I359-T359</x:f>
        <x:v>314114.62414258113</x:v>
      </x:c>
      <x:c r="Q359" s="7" t="n">
        <x:f>1000*I359-U359</x:f>
        <x:v>1252545.3586470257</x:v>
      </x:c>
      <x:c r="R359" s="7" t="n">
        <x:f>'損益分岐設定'!$B$18+'損益分岐設定'!$B$19+'損益分岐設定'!$B$20+'損益分岐設定'!E37+('損益分岐設定'!F37+2*'損益分岐設定'!G37+AM359)*('損益分岐設定'!$B$15+'損益分岐設定'!$B$16)+'損益分岐設定'!$B$17+'損益分岐設定'!$B$21+E359*'損益分岐設定'!H37*'損益分岐設定'!$B$11</x:f>
        <x:v>50759.18676122127</x:v>
      </x:c>
      <x:c r="S359" s="7" t="n">
        <x:f>'損益分岐設定'!$B$18+'損益分岐設定'!$B$19+'損益分岐設定'!$B$20+'損益分岐設定'!E38+('損益分岐設定'!F38+2*'損益分岐設定'!G38+AN359)*('損益分岐設定'!$B$15+'損益分岐設定'!$B$16)+'損益分岐設定'!$B$17+'損益分岐設定'!$B$21+E359*'損益分岐設定'!H38*'損益分岐設定'!$B$11</x:f>
        <x:v>97018.37352244255</x:v>
      </x:c>
      <x:c r="T359" s="7" t="n">
        <x:f>'損益分岐設定'!$B$18+'損益分岐設定'!$B$19+'損益分岐設定'!$B$20+'損益分岐設定'!E39+('損益分岐設定'!F39+2*'損益分岐設定'!G39+AO359)*('損益分岐設定'!$B$15+'損益分岐設定'!$B$16)+'損益分岐設定'!$B$17+'損益分岐設定'!$B$21+E359*'損益分岐設定'!H39*'損益分岐設定'!$B$11</x:f>
        <x:v>97018.37352244255</x:v>
      </x:c>
      <x:c r="U359" s="7" t="n">
        <x:f>'損益分岐設定'!$B$18+'損益分岐設定'!$B$19+'損益分岐設定'!$B$20+'損益分岐設定'!E40+('損益分岐設定'!F40+2*'損益分岐設定'!G40+AP359)*('損益分岐設定'!$B$15+'損益分岐設定'!$B$16)+'損益分岐設定'!$B$17+'損益分岐設定'!$B$21+E359*'損益分岐設定'!H40*'損益分岐設定'!$B$11</x:f>
        <x:v>117897.96690305318</x:v>
      </x:c>
      <x:c r="V359" s="1" t="n">
        <x:f>IF(I359&lt;=0,1001,IF(MAX('損益分岐設定'!B37,ROUNDUP(R359/I359,0))&lt;='損益分岐設定'!C37,MAX('損益分岐設定'!B37,ROUNDUP(R359/I359,0)),1001))</x:f>
        <x:v>1001</x:v>
      </x:c>
      <x:c r="W359" s="1" t="n">
        <x:f>IF(I359&lt;=0,1001,IF(MAX('損益分岐設定'!B38,ROUNDUP(S359/I359,0))&lt;='損益分岐設定'!C38,MAX('損益分岐設定'!B38,ROUNDUP(S359/I359,0)),1001))</x:f>
        <x:v>71</x:v>
      </x:c>
      <x:c r="X359" s="1" t="n">
        <x:f>IF(I359&lt;=0,1001,IF(MAX('損益分岐設定'!B39,ROUNDUP(T359/I359,0))&lt;='損益分岐設定'!C39,MAX('損益分岐設定'!B39,ROUNDUP(T359/I359,0)),1001))</x:f>
        <x:v>101</x:v>
      </x:c>
      <x:c r="Y359" s="1" t="n">
        <x:f>IF(I359&lt;=0,1001,IF(MAX('損益分岐設定'!B40,ROUNDUP(U359/I359,0))&lt;='損益分岐設定'!C40,MAX('損益分岐設定'!B40,ROUNDUP(U359/I359,0)),1001))</x:f>
        <x:v>501</x:v>
      </x:c>
      <x:c r="Z359" s="1" t="n">
        <x:f>IF(I359&lt;=0,'損益分岐設定'!C37,IF('損益分岐設定'!C37*I359-R359&lt;0,'損益分岐設定'!C37,IF('損益分岐設定'!B37*I359-R359&gt;=0,0,ROUNDUP(R359/I359,0)-1)))</x:f>
        <x:v>10</x:v>
      </x:c>
      <x:c r="AA359" s="1" t="n">
        <x:f>IF(I359&lt;=0,'損益分岐設定'!C38,IF('損益分岐設定'!C38*I359-S359&lt;0,'損益分岐設定'!C38,IF('損益分岐設定'!B38*I359-S359&gt;=0,0,ROUNDUP(S359/I359,0)-1)))</x:f>
        <x:v>70</x:v>
      </x:c>
      <x:c r="AB359" s="1" t="n">
        <x:f>IF(I359&lt;=0,'損益分岐設定'!C39,IF('損益分岐設定'!C39*I359-T359&lt;0,'損益分岐設定'!C39,IF('損益分岐設定'!B39*I359-T359&gt;=0,0,ROUNDUP(T359/I359,0)-1)))</x:f>
        <x:v>0</x:v>
      </x:c>
      <x:c r="AC359" s="1" t="n">
        <x:f>IF(I359&lt;=0,'損益分岐設定'!C40,IF('損益分岐設定'!C40*I359-U359&lt;0,'損益分岐設定'!C40,IF('損益分岐設定'!B40*I359-U359&gt;=0,0,ROUNDUP(U359/I359,0)-1)))</x:f>
        <x:v>0</x:v>
      </x:c>
      <x:c r="AD359" s="1" t="n">
        <x:v>1</x:v>
      </x:c>
      <x:c r="AE359" s="1" t="n">
        <x:v>0</x:v>
      </x:c>
      <x:c r="AF359" s="1" t="n">
        <x:v>0</x:v>
      </x:c>
      <x:c r="AG359" s="1" t="n">
        <x:f>AD359*('損益分岐設定'!$C$57*(1-'損益分岐設定'!$B$51)+'損益分岐設定'!$C$58*'損益分岐設定'!$B$51)+AE359*('損益分岐設定'!$C$60*(1-'損益分岐設定'!$B$51)+'損益分岐設定'!$C$61*'損益分岐設定'!$B$51)+AF359*('損益分岐設定'!$C$63*(1-'損益分岐設定'!$B$51)+'損益分岐設定'!$C$64*'損益分岐設定'!$B$51)</x:f>
        <x:v>621.5522041015626</x:v>
      </x:c>
      <x:c r="AH359" s="1" t="n">
        <x:f>AD359*('損益分岐設定'!$D$57*(1-'損益分岐設定'!$B$51)+'損益分岐設定'!$D$58*'損益分岐設定'!$B$51)+AE359*('損益分岐設定'!$D$60*(1-'損益分岐設定'!$B$51)+'損益分岐設定'!$D$61*'損益分岐設定'!$B$51)+AF359*('損益分岐設定'!$D$63*(1-'損益分岐設定'!$B$51)+'損益分岐設定'!$D$64*'損益分岐設定'!$B$51)</x:f>
        <x:v>48</x:v>
      </x:c>
      <x:c r="AI359" s="1" t="n">
        <x:f>AD359*('損益分岐設定'!$E$57*(1-'損益分岐設定'!$B$51)+'損益分岐設定'!$E$58*'損益分岐設定'!$B$51)+AE359*('損益分岐設定'!$E$60*(1-'損益分岐設定'!$B$51)+'損益分岐設定'!$E$61*'損益分岐設定'!$B$51)+AF359*('損益分岐設定'!$E$63*(1-'損益分岐設定'!$B$51)+'損益分岐設定'!$E$64*'損益分岐設定'!$B$51)</x:f>
        <x:v>56</x:v>
      </x:c>
      <x:c r="AJ359" s="1" t="n">
        <x:f>(AD359*('損益分岐設定'!$F$57*(1-'損益分岐設定'!$B$51)+'損益分岐設定'!$F$58*'損益分岐設定'!$B$51)+AE359*('損益分岐設定'!$F$60*(1-'損益分岐設定'!$B$51)+'損益分岐設定'!$F$61*'損益分岐設定'!$B$51)+AF359*('損益分岐設定'!$F$63*(1-'損益分岐設定'!$B$51)+'損益分岐設定'!$F$64*'損益分岐設定'!$B$51)*1)*'損益分岐設定'!$B$22</x:f>
        <x:v>456</x:v>
      </x:c>
      <x:c r="AK359" s="1" t="n">
        <x:f>AD359*('損益分岐設定'!$G$57*(1-'損益分岐設定'!$B$51)+'損益分岐設定'!$G$58*'損益分岐設定'!$B$51)+AE359*('損益分岐設定'!$G$60*(1-'損益分岐設定'!$B$51)+'損益分岐設定'!$G$61*'損益分岐設定'!$B$51)+AF359*('損益分岐設定'!$G$63*(1-'損益分岐設定'!$B$51)+'損益分岐設定'!$G$64*'損益分岐設定'!$B$51)</x:f>
        <x:v>400</x:v>
      </x:c>
      <x:c r="AL359" s="1" t="n">
        <x:f>AD359*('損益分岐設定'!$H$57*(1-'損益分岐設定'!$B$51)+'損益分岐設定'!$H$58*'損益分岐設定'!$B$51)+AE359*('損益分岐設定'!$H$60*(1-'損益分岐設定'!$B$51)+'損益分岐設定'!$H$61*'損益分岐設定'!$B$51)+AF359*('損益分岐設定'!$H$63*(1-'損益分岐設定'!$B$51)+'損益分岐設定'!$H$64*'損益分岐設定'!$B$51)</x:f>
        <x:v>726.6666666666667</x:v>
      </x:c>
      <x:c r="AM359" s="1" t="n">
        <x:f>MAX(1,ROUNDUP('損益分岐設定'!C37*AJ359/('損益分岐設定'!$B$23*'損益分岐設定'!$B$24*3600*'損益分岐設定'!$B$25),0))</x:f>
        <x:v>1</x:v>
      </x:c>
      <x:c r="AN359" s="1" t="n">
        <x:f>MAX(2,ROUNDUP('損益分岐設定'!C38*AJ359/('損益分岐設定'!$B$23*'損益分岐設定'!$B$24*3600*'損益分岐設定'!$B$25),0))</x:f>
        <x:v>2</x:v>
      </x:c>
      <x:c r="AO359" s="1" t="n">
        <x:f>MAX(2,ROUNDUP('損益分岐設定'!C39*AJ359/('損益分岐設定'!$B$23*'損益分岐設定'!$B$24*3600*'損益分岐設定'!$B$25),0))</x:f>
        <x:v>2</x:v>
      </x:c>
      <x:c r="AP359" s="1" t="n">
        <x:f>MAX(2,ROUNDUP('損益分岐設定'!C40*AJ359/('損益分岐設定'!$B$23*'損益分岐設定'!$B$24*3600*'損益分岐設定'!$B$25),0))</x:f>
        <x:v>2</x:v>
      </x:c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 ht="23" customHeight="1">
      <x:c r="A360" s="1" t="str">
        <x:v>VM</x:v>
      </x:c>
      <x:c r="B360" s="1" t="str">
        <x:v>Starter</x:v>
      </x:c>
      <x:c r="C360" s="1" t="str">
        <x:v>標準+高位混在</x:v>
      </x:c>
      <x:c r="D360" s="21" t="n">
        <x:v>0.3</x:v>
      </x:c>
      <x:c r="E360" s="1" t="n">
        <x:v>1</x:v>
      </x:c>
      <x:c r="F360" s="7" t="n">
        <x:f>AD360*'損益分岐設定'!$B$5+AE360*'損益分岐設定'!$B$6+AF360*'損益分岐設定'!$B$7</x:f>
        <x:v>3000</x:v>
      </x:c>
      <x:c r="G360" s="7" t="n">
        <x:f>AG360+0+AK360*'損益分岐設定'!$B$33</x:f>
        <x:v>621.5566744499207</x:v>
      </x:c>
      <x:c r="H360" s="7" t="n">
        <x:f>AL360*E360</x:f>
        <x:v>726.6666666666667</x:v>
      </x:c>
      <x:c r="I360" s="7" t="n">
        <x:f>F360*(1-D360-'損益分岐設定'!$B$10)-G360-H360</x:f>
        <x:v>643.7766588834122</x:v>
      </x:c>
      <x:c r="J360" s="1" t="n">
        <x:f>IF(MIN(V360:Y360)&gt;1000,"範囲内なし",MIN(V360:Y360))</x:f>
        <x:v>275</x:v>
      </x:c>
      <x:c r="K360" s="1" t="n">
        <x:f>IF(MAX(Z360:AC360)&gt;=1000,"範囲内なし",MAX(1,MAX(Z360:AC360)+1))</x:f>
        <x:v>275</x:v>
      </x:c>
      <x:c r="L360" s="7" t="n">
        <x:f>10*I360-R360</x:f>
        <x:v>-76321.42017238715</x:v>
      </x:c>
      <x:c r="M360" s="7" t="n">
        <x:f>30*I360-S360</x:f>
        <x:v>-125705.07375594016</x:v>
      </x:c>
      <x:c r="N360" s="7" t="n">
        <x:f>50*I360-S360</x:f>
        <x:v>-112829.54057827192</x:v>
      </x:c>
      <x:c r="O360" s="7" t="n">
        <x:f>100*I360-S360</x:f>
        <x:v>-80640.7076341013</x:v>
      </x:c>
      <x:c r="P360" s="7" t="n">
        <x:f>300*I360-T360</x:f>
        <x:v>16114.624142581131</x:v>
      </x:c>
      <x:c r="Q360" s="7" t="n">
        <x:f>1000*I360-U360</x:f>
        <x:v>397878.6919803591</x:v>
      </x:c>
      <x:c r="R360" s="7" t="n">
        <x:f>'損益分岐設定'!$B$18+'損益分岐設定'!$B$19+'損益分岐設定'!$B$20+'損益分岐設定'!E37+('損益分岐設定'!F37+2*'損益分岐設定'!G37+AM360)*('損益分岐設定'!$B$15+'損益分岐設定'!$B$16)+'損益分岐設定'!$B$17+'損益分岐設定'!$B$21+E360*'損益分岐設定'!H37*'損益分岐設定'!$B$11</x:f>
        <x:v>82759.18676122127</x:v>
      </x:c>
      <x:c r="S360" s="7" t="n">
        <x:f>'損益分岐設定'!$B$18+'損益分岐設定'!$B$19+'損益分岐設定'!$B$20+'損益分岐設定'!E38+('損益分岐設定'!F38+2*'損益分岐設定'!G38+AN360)*('損益分岐設定'!$B$15+'損益分岐設定'!$B$16)+'損益分岐設定'!$B$17+'損益分岐設定'!$B$21+E360*'損益分岐設定'!H38*'損益分岐設定'!$B$11</x:f>
        <x:v>145018.37352244253</x:v>
      </x:c>
      <x:c r="T360" s="7" t="n">
        <x:f>'損益分岐設定'!$B$18+'損益分岐設定'!$B$19+'損益分岐設定'!$B$20+'損益分岐設定'!E39+('損益分岐設定'!F39+2*'損益分岐設定'!G39+AO360)*('損益分岐設定'!$B$15+'損益分岐設定'!$B$16)+'損益分岐設定'!$B$17+'損益分岐設定'!$B$21+E360*'損益分岐設定'!H39*'損益分岐設定'!$B$11</x:f>
        <x:v>177018.37352244253</x:v>
      </x:c>
      <x:c r="U360" s="7" t="n">
        <x:f>'損益分岐設定'!$B$18+'損益分岐設定'!$B$19+'損益分岐設定'!$B$20+'損益分岐設定'!E40+('損益分岐設定'!F40+2*'損益分岐設定'!G40+AP360)*('損益分岐設定'!$B$15+'損益分岐設定'!$B$16)+'損益分岐設定'!$B$17+'損益分岐設定'!$B$21+E360*'損益分岐設定'!H40*'損益分岐設定'!$B$11</x:f>
        <x:v>245897.96690305317</x:v>
      </x:c>
      <x:c r="V360" s="1" t="n">
        <x:f>IF(I360&lt;=0,1001,IF(MAX('損益分岐設定'!B37,ROUNDUP(R360/I360,0))&lt;='損益分岐設定'!C37,MAX('損益分岐設定'!B37,ROUNDUP(R360/I360,0)),1001))</x:f>
        <x:v>1001</x:v>
      </x:c>
      <x:c r="W360" s="1" t="n">
        <x:f>IF(I360&lt;=0,1001,IF(MAX('損益分岐設定'!B38,ROUNDUP(S360/I360,0))&lt;='損益分岐設定'!C38,MAX('損益分岐設定'!B38,ROUNDUP(S360/I360,0)),1001))</x:f>
        <x:v>1001</x:v>
      </x:c>
      <x:c r="X360" s="1" t="n">
        <x:f>IF(I360&lt;=0,1001,IF(MAX('損益分岐設定'!B39,ROUNDUP(T360/I360,0))&lt;='損益分岐設定'!C39,MAX('損益分岐設定'!B39,ROUNDUP(T360/I360,0)),1001))</x:f>
        <x:v>275</x:v>
      </x:c>
      <x:c r="Y360" s="1" t="n">
        <x:f>IF(I360&lt;=0,1001,IF(MAX('損益分岐設定'!B40,ROUNDUP(U360/I360,0))&lt;='損益分岐設定'!C40,MAX('損益分岐設定'!B40,ROUNDUP(U360/I360,0)),1001))</x:f>
        <x:v>501</x:v>
      </x:c>
      <x:c r="Z360" s="1" t="n">
        <x:f>IF(I360&lt;=0,'損益分岐設定'!C37,IF('損益分岐設定'!C37*I360-R360&lt;0,'損益分岐設定'!C37,IF('損益分岐設定'!B37*I360-R360&gt;=0,0,ROUNDUP(R360/I360,0)-1)))</x:f>
        <x:v>10</x:v>
      </x:c>
      <x:c r="AA360" s="1" t="n">
        <x:f>IF(I360&lt;=0,'損益分岐設定'!C38,IF('損益分岐設定'!C38*I360-S360&lt;0,'損益分岐設定'!C38,IF('損益分岐設定'!B38*I360-S360&gt;=0,0,ROUNDUP(S360/I360,0)-1)))</x:f>
        <x:v>100</x:v>
      </x:c>
      <x:c r="AB360" s="1" t="n">
        <x:f>IF(I360&lt;=0,'損益分岐設定'!C39,IF('損益分岐設定'!C39*I360-T360&lt;0,'損益分岐設定'!C39,IF('損益分岐設定'!B39*I360-T360&gt;=0,0,ROUNDUP(T360/I360,0)-1)))</x:f>
        <x:v>274</x:v>
      </x:c>
      <x:c r="AC360" s="1" t="n">
        <x:f>IF(I360&lt;=0,'損益分岐設定'!C40,IF('損益分岐設定'!C40*I360-U360&lt;0,'損益分岐設定'!C40,IF('損益分岐設定'!B40*I360-U360&gt;=0,0,ROUNDUP(U360/I360,0)-1)))</x:f>
        <x:v>0</x:v>
      </x:c>
      <x:c r="AD360" s="1" t="n">
        <x:v>1</x:v>
      </x:c>
      <x:c r="AE360" s="1" t="n">
        <x:v>0</x:v>
      </x:c>
      <x:c r="AF360" s="1" t="n">
        <x:v>0</x:v>
      </x:c>
      <x:c r="AG360" s="1" t="n">
        <x:f>AD360*('損益分岐設定'!$C$57*(1-'損益分岐設定'!$B$51)+'損益分岐設定'!$C$58*'損益分岐設定'!$B$51)+AE360*('損益分岐設定'!$C$60*(1-'損益分岐設定'!$B$51)+'損益分岐設定'!$C$61*'損益分岐設定'!$B$51)+AF360*('損益分岐設定'!$C$63*(1-'損益分岐設定'!$B$51)+'損益分岐設定'!$C$64*'損益分岐設定'!$B$51)</x:f>
        <x:v>621.5522041015626</x:v>
      </x:c>
      <x:c r="AH360" s="1" t="n">
        <x:f>AD360*('損益分岐設定'!$D$57*(1-'損益分岐設定'!$B$51)+'損益分岐設定'!$D$58*'損益分岐設定'!$B$51)+AE360*('損益分岐設定'!$D$60*(1-'損益分岐設定'!$B$51)+'損益分岐設定'!$D$61*'損益分岐設定'!$B$51)+AF360*('損益分岐設定'!$D$63*(1-'損益分岐設定'!$B$51)+'損益分岐設定'!$D$64*'損益分岐設定'!$B$51)</x:f>
        <x:v>48</x:v>
      </x:c>
      <x:c r="AI360" s="1" t="n">
        <x:f>AD360*('損益分岐設定'!$E$57*(1-'損益分岐設定'!$B$51)+'損益分岐設定'!$E$58*'損益分岐設定'!$B$51)+AE360*('損益分岐設定'!$E$60*(1-'損益分岐設定'!$B$51)+'損益分岐設定'!$E$61*'損益分岐設定'!$B$51)+AF360*('損益分岐設定'!$E$63*(1-'損益分岐設定'!$B$51)+'損益分岐設定'!$E$64*'損益分岐設定'!$B$51)</x:f>
        <x:v>56</x:v>
      </x:c>
      <x:c r="AJ360" s="1" t="n">
        <x:f>(AD360*('損益分岐設定'!$F$57*(1-'損益分岐設定'!$B$51)+'損益分岐設定'!$F$58*'損益分岐設定'!$B$51)+AE360*('損益分岐設定'!$F$60*(1-'損益分岐設定'!$B$51)+'損益分岐設定'!$F$61*'損益分岐設定'!$B$51)+AF360*('損益分岐設定'!$F$63*(1-'損益分岐設定'!$B$51)+'損益分岐設定'!$F$64*'損益分岐設定'!$B$51)*1)*'損益分岐設定'!$B$22</x:f>
        <x:v>456</x:v>
      </x:c>
      <x:c r="AK360" s="1" t="n">
        <x:f>AD360*('損益分岐設定'!$G$57*(1-'損益分岐設定'!$B$51)+'損益分岐設定'!$G$58*'損益分岐設定'!$B$51)+AE360*('損益分岐設定'!$G$60*(1-'損益分岐設定'!$B$51)+'損益分岐設定'!$G$61*'損益分岐設定'!$B$51)+AF360*('損益分岐設定'!$G$63*(1-'損益分岐設定'!$B$51)+'損益分岐設定'!$G$64*'損益分岐設定'!$B$51)</x:f>
        <x:v>400</x:v>
      </x:c>
      <x:c r="AL360" s="1" t="n">
        <x:f>AD360*('損益分岐設定'!$H$57*(1-'損益分岐設定'!$B$51)+'損益分岐設定'!$H$58*'損益分岐設定'!$B$51)+AE360*('損益分岐設定'!$H$60*(1-'損益分岐設定'!$B$51)+'損益分岐設定'!$H$61*'損益分岐設定'!$B$51)+AF360*('損益分岐設定'!$H$63*(1-'損益分岐設定'!$B$51)+'損益分岐設定'!$H$64*'損益分岐設定'!$B$51)</x:f>
        <x:v>726.6666666666667</x:v>
      </x:c>
      <x:c r="AM360" s="1" t="n">
        <x:f>MAX(1,ROUNDUP('損益分岐設定'!C37*AJ360/('損益分岐設定'!$B$23*'損益分岐設定'!$B$24*3600*'損益分岐設定'!$B$25),0))</x:f>
        <x:v>1</x:v>
      </x:c>
      <x:c r="AN360" s="1" t="n">
        <x:f>MAX(2,ROUNDUP('損益分岐設定'!C38*AJ360/('損益分岐設定'!$B$23*'損益分岐設定'!$B$24*3600*'損益分岐設定'!$B$25),0))</x:f>
        <x:v>2</x:v>
      </x:c>
      <x:c r="AO360" s="1" t="n">
        <x:f>MAX(2,ROUNDUP('損益分岐設定'!C39*AJ360/('損益分岐設定'!$B$23*'損益分岐設定'!$B$24*3600*'損益分岐設定'!$B$25),0))</x:f>
        <x:v>2</x:v>
      </x:c>
      <x:c r="AP360" s="1" t="n">
        <x:f>MAX(2,ROUNDUP('損益分岐設定'!C40*AJ360/('損益分岐設定'!$B$23*'損益分岐設定'!$B$24*3600*'損益分岐設定'!$B$25),0))</x:f>
        <x:v>2</x:v>
      </x:c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 ht="23" customHeight="1">
      <x:c r="A361" s="1" t="str">
        <x:v>VM</x:v>
      </x:c>
      <x:c r="B361" s="1" t="str">
        <x:v>Starter</x:v>
      </x:c>
      <x:c r="C361" s="1" t="str">
        <x:v>標準+高位混在</x:v>
      </x:c>
      <x:c r="D361" s="21" t="n">
        <x:v>0.4</x:v>
      </x:c>
      <x:c r="E361" s="1" t="n">
        <x:v>0</x:v>
      </x:c>
      <x:c r="F361" s="7" t="n">
        <x:f>AD361*'損益分岐設定'!$B$5+AE361*'損益分岐設定'!$B$6+AF361*'損益分岐設定'!$B$7</x:f>
        <x:v>3000</x:v>
      </x:c>
      <x:c r="G361" s="7" t="n">
        <x:f>AG361+0+AK361*'損益分岐設定'!$B$33</x:f>
        <x:v>621.5566744499207</x:v>
      </x:c>
      <x:c r="H361" s="7" t="n">
        <x:f>AL361*E361</x:f>
        <x:v>0</x:v>
      </x:c>
      <x:c r="I361" s="7" t="n">
        <x:f>F361*(1-D361-'損益分岐設定'!$B$10)-G361-H361</x:f>
        <x:v>1070.443325550079</x:v>
      </x:c>
      <x:c r="J361" s="1" t="n">
        <x:f>IF(MIN(V361:Y361)&gt;1000,"範囲内なし",MIN(V361:Y361))</x:f>
        <x:v>91</x:v>
      </x:c>
      <x:c r="K361" s="1" t="n">
        <x:f>IF(MAX(Z361:AC361)&gt;=1000,"範囲内なし",MAX(1,MAX(Z361:AC361)+1))</x:f>
        <x:v>91</x:v>
      </x:c>
      <x:c r="L361" s="7" t="n">
        <x:f>10*I361-R361</x:f>
        <x:v>-40054.75350572048</x:v>
      </x:c>
      <x:c r="M361" s="7" t="n">
        <x:f>30*I361-S361</x:f>
        <x:v>-64905.073755940175</x:v>
      </x:c>
      <x:c r="N361" s="7" t="n">
        <x:f>50*I361-S361</x:f>
        <x:v>-43496.2072449386</x:v>
      </x:c>
      <x:c r="O361" s="7" t="n">
        <x:f>100*I361-S361</x:f>
        <x:v>10025.95903256534</x:v>
      </x:c>
      <x:c r="P361" s="7" t="n">
        <x:f>300*I361-T361</x:f>
        <x:v>224114.62414258113</x:v>
      </x:c>
      <x:c r="Q361" s="7" t="n">
        <x:f>1000*I361-U361</x:f>
        <x:v>952545.3586470257</x:v>
      </x:c>
      <x:c r="R361" s="7" t="n">
        <x:f>'損益分岐設定'!$B$18+'損益分岐設定'!$B$19+'損益分岐設定'!$B$20+'損益分岐設定'!E37+('損益分岐設定'!F37+2*'損益分岐設定'!G37+AM361)*('損益分岐設定'!$B$15+'損益分岐設定'!$B$16)+'損益分岐設定'!$B$17+'損益分岐設定'!$B$21+E361*'損益分岐設定'!H37*'損益分岐設定'!$B$11</x:f>
        <x:v>50759.18676122127</x:v>
      </x:c>
      <x:c r="S361" s="7" t="n">
        <x:f>'損益分岐設定'!$B$18+'損益分岐設定'!$B$19+'損益分岐設定'!$B$20+'損益分岐設定'!E38+('損益分岐設定'!F38+2*'損益分岐設定'!G38+AN361)*('損益分岐設定'!$B$15+'損益分岐設定'!$B$16)+'損益分岐設定'!$B$17+'損益分岐設定'!$B$21+E361*'損益分岐設定'!H38*'損益分岐設定'!$B$11</x:f>
        <x:v>97018.37352244255</x:v>
      </x:c>
      <x:c r="T361" s="7" t="n">
        <x:f>'損益分岐設定'!$B$18+'損益分岐設定'!$B$19+'損益分岐設定'!$B$20+'損益分岐設定'!E39+('損益分岐設定'!F39+2*'損益分岐設定'!G39+AO361)*('損益分岐設定'!$B$15+'損益分岐設定'!$B$16)+'損益分岐設定'!$B$17+'損益分岐設定'!$B$21+E361*'損益分岐設定'!H39*'損益分岐設定'!$B$11</x:f>
        <x:v>97018.37352244255</x:v>
      </x:c>
      <x:c r="U361" s="7" t="n">
        <x:f>'損益分岐設定'!$B$18+'損益分岐設定'!$B$19+'損益分岐設定'!$B$20+'損益分岐設定'!E40+('損益分岐設定'!F40+2*'損益分岐設定'!G40+AP361)*('損益分岐設定'!$B$15+'損益分岐設定'!$B$16)+'損益分岐設定'!$B$17+'損益分岐設定'!$B$21+E361*'損益分岐設定'!H40*'損益分岐設定'!$B$11</x:f>
        <x:v>117897.96690305318</x:v>
      </x:c>
      <x:c r="V361" s="1" t="n">
        <x:f>IF(I361&lt;=0,1001,IF(MAX('損益分岐設定'!B37,ROUNDUP(R361/I361,0))&lt;='損益分岐設定'!C37,MAX('損益分岐設定'!B37,ROUNDUP(R361/I361,0)),1001))</x:f>
        <x:v>1001</x:v>
      </x:c>
      <x:c r="W361" s="1" t="n">
        <x:f>IF(I361&lt;=0,1001,IF(MAX('損益分岐設定'!B38,ROUNDUP(S361/I361,0))&lt;='損益分岐設定'!C38,MAX('損益分岐設定'!B38,ROUNDUP(S361/I361,0)),1001))</x:f>
        <x:v>91</x:v>
      </x:c>
      <x:c r="X361" s="1" t="n">
        <x:f>IF(I361&lt;=0,1001,IF(MAX('損益分岐設定'!B39,ROUNDUP(T361/I361,0))&lt;='損益分岐設定'!C39,MAX('損益分岐設定'!B39,ROUNDUP(T361/I361,0)),1001))</x:f>
        <x:v>101</x:v>
      </x:c>
      <x:c r="Y361" s="1" t="n">
        <x:f>IF(I361&lt;=0,1001,IF(MAX('損益分岐設定'!B40,ROUNDUP(U361/I361,0))&lt;='損益分岐設定'!C40,MAX('損益分岐設定'!B40,ROUNDUP(U361/I361,0)),1001))</x:f>
        <x:v>501</x:v>
      </x:c>
      <x:c r="Z361" s="1" t="n">
        <x:f>IF(I361&lt;=0,'損益分岐設定'!C37,IF('損益分岐設定'!C37*I361-R361&lt;0,'損益分岐設定'!C37,IF('損益分岐設定'!B37*I361-R361&gt;=0,0,ROUNDUP(R361/I361,0)-1)))</x:f>
        <x:v>10</x:v>
      </x:c>
      <x:c r="AA361" s="1" t="n">
        <x:f>IF(I361&lt;=0,'損益分岐設定'!C38,IF('損益分岐設定'!C38*I361-S361&lt;0,'損益分岐設定'!C38,IF('損益分岐設定'!B38*I361-S361&gt;=0,0,ROUNDUP(S361/I361,0)-1)))</x:f>
        <x:v>90</x:v>
      </x:c>
      <x:c r="AB361" s="1" t="n">
        <x:f>IF(I361&lt;=0,'損益分岐設定'!C39,IF('損益分岐設定'!C39*I361-T361&lt;0,'損益分岐設定'!C39,IF('損益分岐設定'!B39*I361-T361&gt;=0,0,ROUNDUP(T361/I361,0)-1)))</x:f>
        <x:v>0</x:v>
      </x:c>
      <x:c r="AC361" s="1" t="n">
        <x:f>IF(I361&lt;=0,'損益分岐設定'!C40,IF('損益分岐設定'!C40*I361-U361&lt;0,'損益分岐設定'!C40,IF('損益分岐設定'!B40*I361-U361&gt;=0,0,ROUNDUP(U361/I361,0)-1)))</x:f>
        <x:v>0</x:v>
      </x:c>
      <x:c r="AD361" s="1" t="n">
        <x:v>1</x:v>
      </x:c>
      <x:c r="AE361" s="1" t="n">
        <x:v>0</x:v>
      </x:c>
      <x:c r="AF361" s="1" t="n">
        <x:v>0</x:v>
      </x:c>
      <x:c r="AG361" s="1" t="n">
        <x:f>AD361*('損益分岐設定'!$C$57*(1-'損益分岐設定'!$B$51)+'損益分岐設定'!$C$58*'損益分岐設定'!$B$51)+AE361*('損益分岐設定'!$C$60*(1-'損益分岐設定'!$B$51)+'損益分岐設定'!$C$61*'損益分岐設定'!$B$51)+AF361*('損益分岐設定'!$C$63*(1-'損益分岐設定'!$B$51)+'損益分岐設定'!$C$64*'損益分岐設定'!$B$51)</x:f>
        <x:v>621.5522041015626</x:v>
      </x:c>
      <x:c r="AH361" s="1" t="n">
        <x:f>AD361*('損益分岐設定'!$D$57*(1-'損益分岐設定'!$B$51)+'損益分岐設定'!$D$58*'損益分岐設定'!$B$51)+AE361*('損益分岐設定'!$D$60*(1-'損益分岐設定'!$B$51)+'損益分岐設定'!$D$61*'損益分岐設定'!$B$51)+AF361*('損益分岐設定'!$D$63*(1-'損益分岐設定'!$B$51)+'損益分岐設定'!$D$64*'損益分岐設定'!$B$51)</x:f>
        <x:v>48</x:v>
      </x:c>
      <x:c r="AI361" s="1" t="n">
        <x:f>AD361*('損益分岐設定'!$E$57*(1-'損益分岐設定'!$B$51)+'損益分岐設定'!$E$58*'損益分岐設定'!$B$51)+AE361*('損益分岐設定'!$E$60*(1-'損益分岐設定'!$B$51)+'損益分岐設定'!$E$61*'損益分岐設定'!$B$51)+AF361*('損益分岐設定'!$E$63*(1-'損益分岐設定'!$B$51)+'損益分岐設定'!$E$64*'損益分岐設定'!$B$51)</x:f>
        <x:v>56</x:v>
      </x:c>
      <x:c r="AJ361" s="1" t="n">
        <x:f>(AD361*('損益分岐設定'!$F$57*(1-'損益分岐設定'!$B$51)+'損益分岐設定'!$F$58*'損益分岐設定'!$B$51)+AE361*('損益分岐設定'!$F$60*(1-'損益分岐設定'!$B$51)+'損益分岐設定'!$F$61*'損益分岐設定'!$B$51)+AF361*('損益分岐設定'!$F$63*(1-'損益分岐設定'!$B$51)+'損益分岐設定'!$F$64*'損益分岐設定'!$B$51)*1)*'損益分岐設定'!$B$22</x:f>
        <x:v>456</x:v>
      </x:c>
      <x:c r="AK361" s="1" t="n">
        <x:f>AD361*('損益分岐設定'!$G$57*(1-'損益分岐設定'!$B$51)+'損益分岐設定'!$G$58*'損益分岐設定'!$B$51)+AE361*('損益分岐設定'!$G$60*(1-'損益分岐設定'!$B$51)+'損益分岐設定'!$G$61*'損益分岐設定'!$B$51)+AF361*('損益分岐設定'!$G$63*(1-'損益分岐設定'!$B$51)+'損益分岐設定'!$G$64*'損益分岐設定'!$B$51)</x:f>
        <x:v>400</x:v>
      </x:c>
      <x:c r="AL361" s="1" t="n">
        <x:f>AD361*('損益分岐設定'!$H$57*(1-'損益分岐設定'!$B$51)+'損益分岐設定'!$H$58*'損益分岐設定'!$B$51)+AE361*('損益分岐設定'!$H$60*(1-'損益分岐設定'!$B$51)+'損益分岐設定'!$H$61*'損益分岐設定'!$B$51)+AF361*('損益分岐設定'!$H$63*(1-'損益分岐設定'!$B$51)+'損益分岐設定'!$H$64*'損益分岐設定'!$B$51)</x:f>
        <x:v>726.6666666666667</x:v>
      </x:c>
      <x:c r="AM361" s="1" t="n">
        <x:f>MAX(1,ROUNDUP('損益分岐設定'!C37*AJ361/('損益分岐設定'!$B$23*'損益分岐設定'!$B$24*3600*'損益分岐設定'!$B$25),0))</x:f>
        <x:v>1</x:v>
      </x:c>
      <x:c r="AN361" s="1" t="n">
        <x:f>MAX(2,ROUNDUP('損益分岐設定'!C38*AJ361/('損益分岐設定'!$B$23*'損益分岐設定'!$B$24*3600*'損益分岐設定'!$B$25),0))</x:f>
        <x:v>2</x:v>
      </x:c>
      <x:c r="AO361" s="1" t="n">
        <x:f>MAX(2,ROUNDUP('損益分岐設定'!C39*AJ361/('損益分岐設定'!$B$23*'損益分岐設定'!$B$24*3600*'損益分岐設定'!$B$25),0))</x:f>
        <x:v>2</x:v>
      </x:c>
      <x:c r="AP361" s="1" t="n">
        <x:f>MAX(2,ROUNDUP('損益分岐設定'!C40*AJ361/('損益分岐設定'!$B$23*'損益分岐設定'!$B$24*3600*'損益分岐設定'!$B$25),0))</x:f>
        <x:v>2</x:v>
      </x:c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 ht="23" customHeight="1">
      <x:c r="A362" s="1" t="str">
        <x:v>VM</x:v>
      </x:c>
      <x:c r="B362" s="1" t="str">
        <x:v>Starter</x:v>
      </x:c>
      <x:c r="C362" s="1" t="str">
        <x:v>標準+高位混在</x:v>
      </x:c>
      <x:c r="D362" s="21" t="n">
        <x:v>0.4</x:v>
      </x:c>
      <x:c r="E362" s="1" t="n">
        <x:v>1</x:v>
      </x:c>
      <x:c r="F362" s="7" t="n">
        <x:f>AD362*'損益分岐設定'!$B$5+AE362*'損益分岐設定'!$B$6+AF362*'損益分岐設定'!$B$7</x:f>
        <x:v>3000</x:v>
      </x:c>
      <x:c r="G362" s="7" t="n">
        <x:f>AG362+0+AK362*'損益分岐設定'!$B$33</x:f>
        <x:v>621.5566744499207</x:v>
      </x:c>
      <x:c r="H362" s="7" t="n">
        <x:f>AL362*E362</x:f>
        <x:v>726.6666666666667</x:v>
      </x:c>
      <x:c r="I362" s="7" t="n">
        <x:f>F362*(1-D362-'損益分岐設定'!$B$10)-G362-H362</x:f>
        <x:v>343.7766588834122</x:v>
      </x:c>
      <x:c r="J362" s="1" t="n">
        <x:f>IF(MIN(V362:Y362)&gt;1000,"範囲内なし",MIN(V362:Y362))</x:f>
        <x:v>716</x:v>
      </x:c>
      <x:c r="K362" s="1" t="n">
        <x:f>IF(MAX(Z362:AC362)&gt;=1000,"範囲内なし",MAX(1,MAX(Z362:AC362)+1))</x:f>
        <x:v>716</x:v>
      </x:c>
      <x:c r="L362" s="7" t="n">
        <x:f>10*I362-R362</x:f>
        <x:v>-79321.42017238714</x:v>
      </x:c>
      <x:c r="M362" s="7" t="n">
        <x:f>30*I362-S362</x:f>
        <x:v>-134705.07375594016</x:v>
      </x:c>
      <x:c r="N362" s="7" t="n">
        <x:f>50*I362-S362</x:f>
        <x:v>-127829.54057827192</x:v>
      </x:c>
      <x:c r="O362" s="7" t="n">
        <x:f>100*I362-S362</x:f>
        <x:v>-110640.7076341013</x:v>
      </x:c>
      <x:c r="P362" s="7" t="n">
        <x:f>300*I362-T362</x:f>
        <x:v>-73885.37585741887</x:v>
      </x:c>
      <x:c r="Q362" s="7" t="n">
        <x:f>1000*I362-U362</x:f>
        <x:v>97878.69198035903</x:v>
      </x:c>
      <x:c r="R362" s="7" t="n">
        <x:f>'損益分岐設定'!$B$18+'損益分岐設定'!$B$19+'損益分岐設定'!$B$20+'損益分岐設定'!E37+('損益分岐設定'!F37+2*'損益分岐設定'!G37+AM362)*('損益分岐設定'!$B$15+'損益分岐設定'!$B$16)+'損益分岐設定'!$B$17+'損益分岐設定'!$B$21+E362*'損益分岐設定'!H37*'損益分岐設定'!$B$11</x:f>
        <x:v>82759.18676122127</x:v>
      </x:c>
      <x:c r="S362" s="7" t="n">
        <x:f>'損益分岐設定'!$B$18+'損益分岐設定'!$B$19+'損益分岐設定'!$B$20+'損益分岐設定'!E38+('損益分岐設定'!F38+2*'損益分岐設定'!G38+AN362)*('損益分岐設定'!$B$15+'損益分岐設定'!$B$16)+'損益分岐設定'!$B$17+'損益分岐設定'!$B$21+E362*'損益分岐設定'!H38*'損益分岐設定'!$B$11</x:f>
        <x:v>145018.37352244253</x:v>
      </x:c>
      <x:c r="T362" s="7" t="n">
        <x:f>'損益分岐設定'!$B$18+'損益分岐設定'!$B$19+'損益分岐設定'!$B$20+'損益分岐設定'!E39+('損益分岐設定'!F39+2*'損益分岐設定'!G39+AO362)*('損益分岐設定'!$B$15+'損益分岐設定'!$B$16)+'損益分岐設定'!$B$17+'損益分岐設定'!$B$21+E362*'損益分岐設定'!H39*'損益分岐設定'!$B$11</x:f>
        <x:v>177018.37352244253</x:v>
      </x:c>
      <x:c r="U362" s="7" t="n">
        <x:f>'損益分岐設定'!$B$18+'損益分岐設定'!$B$19+'損益分岐設定'!$B$20+'損益分岐設定'!E40+('損益分岐設定'!F40+2*'損益分岐設定'!G40+AP362)*('損益分岐設定'!$B$15+'損益分岐設定'!$B$16)+'損益分岐設定'!$B$17+'損益分岐設定'!$B$21+E362*'損益分岐設定'!H40*'損益分岐設定'!$B$11</x:f>
        <x:v>245897.96690305317</x:v>
      </x:c>
      <x:c r="V362" s="1" t="n">
        <x:f>IF(I362&lt;=0,1001,IF(MAX('損益分岐設定'!B37,ROUNDUP(R362/I362,0))&lt;='損益分岐設定'!C37,MAX('損益分岐設定'!B37,ROUNDUP(R362/I362,0)),1001))</x:f>
        <x:v>1001</x:v>
      </x:c>
      <x:c r="W362" s="1" t="n">
        <x:f>IF(I362&lt;=0,1001,IF(MAX('損益分岐設定'!B38,ROUNDUP(S362/I362,0))&lt;='損益分岐設定'!C38,MAX('損益分岐設定'!B38,ROUNDUP(S362/I362,0)),1001))</x:f>
        <x:v>1001</x:v>
      </x:c>
      <x:c r="X362" s="1" t="n">
        <x:f>IF(I362&lt;=0,1001,IF(MAX('損益分岐設定'!B39,ROUNDUP(T362/I362,0))&lt;='損益分岐設定'!C39,MAX('損益分岐設定'!B39,ROUNDUP(T362/I362,0)),1001))</x:f>
        <x:v>1001</x:v>
      </x:c>
      <x:c r="Y362" s="1" t="n">
        <x:f>IF(I362&lt;=0,1001,IF(MAX('損益分岐設定'!B40,ROUNDUP(U362/I362,0))&lt;='損益分岐設定'!C40,MAX('損益分岐設定'!B40,ROUNDUP(U362/I362,0)),1001))</x:f>
        <x:v>716</x:v>
      </x:c>
      <x:c r="Z362" s="1" t="n">
        <x:f>IF(I362&lt;=0,'損益分岐設定'!C37,IF('損益分岐設定'!C37*I362-R362&lt;0,'損益分岐設定'!C37,IF('損益分岐設定'!B37*I362-R362&gt;=0,0,ROUNDUP(R362/I362,0)-1)))</x:f>
        <x:v>10</x:v>
      </x:c>
      <x:c r="AA362" s="1" t="n">
        <x:f>IF(I362&lt;=0,'損益分岐設定'!C38,IF('損益分岐設定'!C38*I362-S362&lt;0,'損益分岐設定'!C38,IF('損益分岐設定'!B38*I362-S362&gt;=0,0,ROUNDUP(S362/I362,0)-1)))</x:f>
        <x:v>100</x:v>
      </x:c>
      <x:c r="AB362" s="1" t="n">
        <x:f>IF(I362&lt;=0,'損益分岐設定'!C39,IF('損益分岐設定'!C39*I362-T362&lt;0,'損益分岐設定'!C39,IF('損益分岐設定'!B39*I362-T362&gt;=0,0,ROUNDUP(T362/I362,0)-1)))</x:f>
        <x:v>500</x:v>
      </x:c>
      <x:c r="AC362" s="1" t="n">
        <x:f>IF(I362&lt;=0,'損益分岐設定'!C40,IF('損益分岐設定'!C40*I362-U362&lt;0,'損益分岐設定'!C40,IF('損益分岐設定'!B40*I362-U362&gt;=0,0,ROUNDUP(U362/I362,0)-1)))</x:f>
        <x:v>715</x:v>
      </x:c>
      <x:c r="AD362" s="1" t="n">
        <x:v>1</x:v>
      </x:c>
      <x:c r="AE362" s="1" t="n">
        <x:v>0</x:v>
      </x:c>
      <x:c r="AF362" s="1" t="n">
        <x:v>0</x:v>
      </x:c>
      <x:c r="AG362" s="1" t="n">
        <x:f>AD362*('損益分岐設定'!$C$57*(1-'損益分岐設定'!$B$51)+'損益分岐設定'!$C$58*'損益分岐設定'!$B$51)+AE362*('損益分岐設定'!$C$60*(1-'損益分岐設定'!$B$51)+'損益分岐設定'!$C$61*'損益分岐設定'!$B$51)+AF362*('損益分岐設定'!$C$63*(1-'損益分岐設定'!$B$51)+'損益分岐設定'!$C$64*'損益分岐設定'!$B$51)</x:f>
        <x:v>621.5522041015626</x:v>
      </x:c>
      <x:c r="AH362" s="1" t="n">
        <x:f>AD362*('損益分岐設定'!$D$57*(1-'損益分岐設定'!$B$51)+'損益分岐設定'!$D$58*'損益分岐設定'!$B$51)+AE362*('損益分岐設定'!$D$60*(1-'損益分岐設定'!$B$51)+'損益分岐設定'!$D$61*'損益分岐設定'!$B$51)+AF362*('損益分岐設定'!$D$63*(1-'損益分岐設定'!$B$51)+'損益分岐設定'!$D$64*'損益分岐設定'!$B$51)</x:f>
        <x:v>48</x:v>
      </x:c>
      <x:c r="AI362" s="1" t="n">
        <x:f>AD362*('損益分岐設定'!$E$57*(1-'損益分岐設定'!$B$51)+'損益分岐設定'!$E$58*'損益分岐設定'!$B$51)+AE362*('損益分岐設定'!$E$60*(1-'損益分岐設定'!$B$51)+'損益分岐設定'!$E$61*'損益分岐設定'!$B$51)+AF362*('損益分岐設定'!$E$63*(1-'損益分岐設定'!$B$51)+'損益分岐設定'!$E$64*'損益分岐設定'!$B$51)</x:f>
        <x:v>56</x:v>
      </x:c>
      <x:c r="AJ362" s="1" t="n">
        <x:f>(AD362*('損益分岐設定'!$F$57*(1-'損益分岐設定'!$B$51)+'損益分岐設定'!$F$58*'損益分岐設定'!$B$51)+AE362*('損益分岐設定'!$F$60*(1-'損益分岐設定'!$B$51)+'損益分岐設定'!$F$61*'損益分岐設定'!$B$51)+AF362*('損益分岐設定'!$F$63*(1-'損益分岐設定'!$B$51)+'損益分岐設定'!$F$64*'損益分岐設定'!$B$51)*1)*'損益分岐設定'!$B$22</x:f>
        <x:v>456</x:v>
      </x:c>
      <x:c r="AK362" s="1" t="n">
        <x:f>AD362*('損益分岐設定'!$G$57*(1-'損益分岐設定'!$B$51)+'損益分岐設定'!$G$58*'損益分岐設定'!$B$51)+AE362*('損益分岐設定'!$G$60*(1-'損益分岐設定'!$B$51)+'損益分岐設定'!$G$61*'損益分岐設定'!$B$51)+AF362*('損益分岐設定'!$G$63*(1-'損益分岐設定'!$B$51)+'損益分岐設定'!$G$64*'損益分岐設定'!$B$51)</x:f>
        <x:v>400</x:v>
      </x:c>
      <x:c r="AL362" s="1" t="n">
        <x:f>AD362*('損益分岐設定'!$H$57*(1-'損益分岐設定'!$B$51)+'損益分岐設定'!$H$58*'損益分岐設定'!$B$51)+AE362*('損益分岐設定'!$H$60*(1-'損益分岐設定'!$B$51)+'損益分岐設定'!$H$61*'損益分岐設定'!$B$51)+AF362*('損益分岐設定'!$H$63*(1-'損益分岐設定'!$B$51)+'損益分岐設定'!$H$64*'損益分岐設定'!$B$51)</x:f>
        <x:v>726.6666666666667</x:v>
      </x:c>
      <x:c r="AM362" s="1" t="n">
        <x:f>MAX(1,ROUNDUP('損益分岐設定'!C37*AJ362/('損益分岐設定'!$B$23*'損益分岐設定'!$B$24*3600*'損益分岐設定'!$B$25),0))</x:f>
        <x:v>1</x:v>
      </x:c>
      <x:c r="AN362" s="1" t="n">
        <x:f>MAX(2,ROUNDUP('損益分岐設定'!C38*AJ362/('損益分岐設定'!$B$23*'損益分岐設定'!$B$24*3600*'損益分岐設定'!$B$25),0))</x:f>
        <x:v>2</x:v>
      </x:c>
      <x:c r="AO362" s="1" t="n">
        <x:f>MAX(2,ROUNDUP('損益分岐設定'!C39*AJ362/('損益分岐設定'!$B$23*'損益分岐設定'!$B$24*3600*'損益分岐設定'!$B$25),0))</x:f>
        <x:v>2</x:v>
      </x:c>
      <x:c r="AP362" s="1" t="n">
        <x:f>MAX(2,ROUNDUP('損益分岐設定'!C40*AJ362/('損益分岐設定'!$B$23*'損益分岐設定'!$B$24*3600*'損益分岐設定'!$B$25),0))</x:f>
        <x:v>2</x:v>
      </x:c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 ht="23" customHeight="1">
      <x:c r="A363" s="1" t="str">
        <x:v>VM</x:v>
      </x:c>
      <x:c r="B363" s="1" t="str">
        <x:v>Starter</x:v>
      </x:c>
      <x:c r="C363" s="1" t="str">
        <x:v>標準+高位混在</x:v>
      </x:c>
      <x:c r="D363" s="21" t="n">
        <x:v>0.5</x:v>
      </x:c>
      <x:c r="E363" s="1" t="n">
        <x:v>0</x:v>
      </x:c>
      <x:c r="F363" s="7" t="n">
        <x:f>AD363*'損益分岐設定'!$B$5+AE363*'損益分岐設定'!$B$6+AF363*'損益分岐設定'!$B$7</x:f>
        <x:v>3000</x:v>
      </x:c>
      <x:c r="G363" s="7" t="n">
        <x:f>AG363+0+AK363*'損益分岐設定'!$B$33</x:f>
        <x:v>621.5566744499207</x:v>
      </x:c>
      <x:c r="H363" s="7" t="n">
        <x:f>AL363*E363</x:f>
        <x:v>0</x:v>
      </x:c>
      <x:c r="I363" s="7" t="n">
        <x:f>F363*(1-D363-'損益分岐設定'!$B$10)-G363-H363</x:f>
        <x:v>770.4433255500793</x:v>
      </x:c>
      <x:c r="J363" s="1" t="n">
        <x:f>IF(MIN(V363:Y363)&gt;1000,"範囲内なし",MIN(V363:Y363))</x:f>
        <x:v>126</x:v>
      </x:c>
      <x:c r="K363" s="1" t="n">
        <x:f>IF(MAX(Z363:AC363)&gt;=1000,"範囲内なし",MAX(1,MAX(Z363:AC363)+1))</x:f>
        <x:v>126</x:v>
      </x:c>
      <x:c r="L363" s="7" t="n">
        <x:f>10*I363-R363</x:f>
        <x:v>-43054.75350572048</x:v>
      </x:c>
      <x:c r="M363" s="7" t="n">
        <x:f>30*I363-S363</x:f>
        <x:v>-73905.07375594016</x:v>
      </x:c>
      <x:c r="N363" s="7" t="n">
        <x:f>50*I363-S363</x:f>
        <x:v>-58496.20724493858</x:v>
      </x:c>
      <x:c r="O363" s="7" t="n">
        <x:f>100*I363-S363</x:f>
        <x:v>-19974.040967434616</x:v>
      </x:c>
      <x:c r="P363" s="7" t="n">
        <x:f>300*I363-T363</x:f>
        <x:v>134114.62414258125</x:v>
      </x:c>
      <x:c r="Q363" s="7" t="n">
        <x:f>1000*I363-U363</x:f>
        <x:v>652545.3586470261</x:v>
      </x:c>
      <x:c r="R363" s="7" t="n">
        <x:f>'損益分岐設定'!$B$18+'損益分岐設定'!$B$19+'損益分岐設定'!$B$20+'損益分岐設定'!E37+('損益分岐設定'!F37+2*'損益分岐設定'!G37+AM363)*('損益分岐設定'!$B$15+'損益分岐設定'!$B$16)+'損益分岐設定'!$B$17+'損益分岐設定'!$B$21+E363*'損益分岐設定'!H37*'損益分岐設定'!$B$11</x:f>
        <x:v>50759.18676122127</x:v>
      </x:c>
      <x:c r="S363" s="7" t="n">
        <x:f>'損益分岐設定'!$B$18+'損益分岐設定'!$B$19+'損益分岐設定'!$B$20+'損益分岐設定'!E38+('損益分岐設定'!F38+2*'損益分岐設定'!G38+AN363)*('損益分岐設定'!$B$15+'損益分岐設定'!$B$16)+'損益分岐設定'!$B$17+'損益分岐設定'!$B$21+E363*'損益分岐設定'!H38*'損益分岐設定'!$B$11</x:f>
        <x:v>97018.37352244255</x:v>
      </x:c>
      <x:c r="T363" s="7" t="n">
        <x:f>'損益分岐設定'!$B$18+'損益分岐設定'!$B$19+'損益分岐設定'!$B$20+'損益分岐設定'!E39+('損益分岐設定'!F39+2*'損益分岐設定'!G39+AO363)*('損益分岐設定'!$B$15+'損益分岐設定'!$B$16)+'損益分岐設定'!$B$17+'損益分岐設定'!$B$21+E363*'損益分岐設定'!H39*'損益分岐設定'!$B$11</x:f>
        <x:v>97018.37352244255</x:v>
      </x:c>
      <x:c r="U363" s="7" t="n">
        <x:f>'損益分岐設定'!$B$18+'損益分岐設定'!$B$19+'損益分岐設定'!$B$20+'損益分岐設定'!E40+('損益分岐設定'!F40+2*'損益分岐設定'!G40+AP363)*('損益分岐設定'!$B$15+'損益分岐設定'!$B$16)+'損益分岐設定'!$B$17+'損益分岐設定'!$B$21+E363*'損益分岐設定'!H40*'損益分岐設定'!$B$11</x:f>
        <x:v>117897.96690305318</x:v>
      </x:c>
      <x:c r="V363" s="1" t="n">
        <x:f>IF(I363&lt;=0,1001,IF(MAX('損益分岐設定'!B37,ROUNDUP(R363/I363,0))&lt;='損益分岐設定'!C37,MAX('損益分岐設定'!B37,ROUNDUP(R363/I363,0)),1001))</x:f>
        <x:v>1001</x:v>
      </x:c>
      <x:c r="W363" s="1" t="n">
        <x:f>IF(I363&lt;=0,1001,IF(MAX('損益分岐設定'!B38,ROUNDUP(S363/I363,0))&lt;='損益分岐設定'!C38,MAX('損益分岐設定'!B38,ROUNDUP(S363/I363,0)),1001))</x:f>
        <x:v>1001</x:v>
      </x:c>
      <x:c r="X363" s="1" t="n">
        <x:f>IF(I363&lt;=0,1001,IF(MAX('損益分岐設定'!B39,ROUNDUP(T363/I363,0))&lt;='損益分岐設定'!C39,MAX('損益分岐設定'!B39,ROUNDUP(T363/I363,0)),1001))</x:f>
        <x:v>126</x:v>
      </x:c>
      <x:c r="Y363" s="1" t="n">
        <x:f>IF(I363&lt;=0,1001,IF(MAX('損益分岐設定'!B40,ROUNDUP(U363/I363,0))&lt;='損益分岐設定'!C40,MAX('損益分岐設定'!B40,ROUNDUP(U363/I363,0)),1001))</x:f>
        <x:v>501</x:v>
      </x:c>
      <x:c r="Z363" s="1" t="n">
        <x:f>IF(I363&lt;=0,'損益分岐設定'!C37,IF('損益分岐設定'!C37*I363-R363&lt;0,'損益分岐設定'!C37,IF('損益分岐設定'!B37*I363-R363&gt;=0,0,ROUNDUP(R363/I363,0)-1)))</x:f>
        <x:v>10</x:v>
      </x:c>
      <x:c r="AA363" s="1" t="n">
        <x:f>IF(I363&lt;=0,'損益分岐設定'!C38,IF('損益分岐設定'!C38*I363-S363&lt;0,'損益分岐設定'!C38,IF('損益分岐設定'!B38*I363-S363&gt;=0,0,ROUNDUP(S363/I363,0)-1)))</x:f>
        <x:v>100</x:v>
      </x:c>
      <x:c r="AB363" s="1" t="n">
        <x:f>IF(I363&lt;=0,'損益分岐設定'!C39,IF('損益分岐設定'!C39*I363-T363&lt;0,'損益分岐設定'!C39,IF('損益分岐設定'!B39*I363-T363&gt;=0,0,ROUNDUP(T363/I363,0)-1)))</x:f>
        <x:v>125</x:v>
      </x:c>
      <x:c r="AC363" s="1" t="n">
        <x:f>IF(I363&lt;=0,'損益分岐設定'!C40,IF('損益分岐設定'!C40*I363-U363&lt;0,'損益分岐設定'!C40,IF('損益分岐設定'!B40*I363-U363&gt;=0,0,ROUNDUP(U363/I363,0)-1)))</x:f>
        <x:v>0</x:v>
      </x:c>
      <x:c r="AD363" s="1" t="n">
        <x:v>1</x:v>
      </x:c>
      <x:c r="AE363" s="1" t="n">
        <x:v>0</x:v>
      </x:c>
      <x:c r="AF363" s="1" t="n">
        <x:v>0</x:v>
      </x:c>
      <x:c r="AG363" s="1" t="n">
        <x:f>AD363*('損益分岐設定'!$C$57*(1-'損益分岐設定'!$B$51)+'損益分岐設定'!$C$58*'損益分岐設定'!$B$51)+AE363*('損益分岐設定'!$C$60*(1-'損益分岐設定'!$B$51)+'損益分岐設定'!$C$61*'損益分岐設定'!$B$51)+AF363*('損益分岐設定'!$C$63*(1-'損益分岐設定'!$B$51)+'損益分岐設定'!$C$64*'損益分岐設定'!$B$51)</x:f>
        <x:v>621.5522041015626</x:v>
      </x:c>
      <x:c r="AH363" s="1" t="n">
        <x:f>AD363*('損益分岐設定'!$D$57*(1-'損益分岐設定'!$B$51)+'損益分岐設定'!$D$58*'損益分岐設定'!$B$51)+AE363*('損益分岐設定'!$D$60*(1-'損益分岐設定'!$B$51)+'損益分岐設定'!$D$61*'損益分岐設定'!$B$51)+AF363*('損益分岐設定'!$D$63*(1-'損益分岐設定'!$B$51)+'損益分岐設定'!$D$64*'損益分岐設定'!$B$51)</x:f>
        <x:v>48</x:v>
      </x:c>
      <x:c r="AI363" s="1" t="n">
        <x:f>AD363*('損益分岐設定'!$E$57*(1-'損益分岐設定'!$B$51)+'損益分岐設定'!$E$58*'損益分岐設定'!$B$51)+AE363*('損益分岐設定'!$E$60*(1-'損益分岐設定'!$B$51)+'損益分岐設定'!$E$61*'損益分岐設定'!$B$51)+AF363*('損益分岐設定'!$E$63*(1-'損益分岐設定'!$B$51)+'損益分岐設定'!$E$64*'損益分岐設定'!$B$51)</x:f>
        <x:v>56</x:v>
      </x:c>
      <x:c r="AJ363" s="1" t="n">
        <x:f>(AD363*('損益分岐設定'!$F$57*(1-'損益分岐設定'!$B$51)+'損益分岐設定'!$F$58*'損益分岐設定'!$B$51)+AE363*('損益分岐設定'!$F$60*(1-'損益分岐設定'!$B$51)+'損益分岐設定'!$F$61*'損益分岐設定'!$B$51)+AF363*('損益分岐設定'!$F$63*(1-'損益分岐設定'!$B$51)+'損益分岐設定'!$F$64*'損益分岐設定'!$B$51)*1)*'損益分岐設定'!$B$22</x:f>
        <x:v>456</x:v>
      </x:c>
      <x:c r="AK363" s="1" t="n">
        <x:f>AD363*('損益分岐設定'!$G$57*(1-'損益分岐設定'!$B$51)+'損益分岐設定'!$G$58*'損益分岐設定'!$B$51)+AE363*('損益分岐設定'!$G$60*(1-'損益分岐設定'!$B$51)+'損益分岐設定'!$G$61*'損益分岐設定'!$B$51)+AF363*('損益分岐設定'!$G$63*(1-'損益分岐設定'!$B$51)+'損益分岐設定'!$G$64*'損益分岐設定'!$B$51)</x:f>
        <x:v>400</x:v>
      </x:c>
      <x:c r="AL363" s="1" t="n">
        <x:f>AD363*('損益分岐設定'!$H$57*(1-'損益分岐設定'!$B$51)+'損益分岐設定'!$H$58*'損益分岐設定'!$B$51)+AE363*('損益分岐設定'!$H$60*(1-'損益分岐設定'!$B$51)+'損益分岐設定'!$H$61*'損益分岐設定'!$B$51)+AF363*('損益分岐設定'!$H$63*(1-'損益分岐設定'!$B$51)+'損益分岐設定'!$H$64*'損益分岐設定'!$B$51)</x:f>
        <x:v>726.6666666666667</x:v>
      </x:c>
      <x:c r="AM363" s="1" t="n">
        <x:f>MAX(1,ROUNDUP('損益分岐設定'!C37*AJ363/('損益分岐設定'!$B$23*'損益分岐設定'!$B$24*3600*'損益分岐設定'!$B$25),0))</x:f>
        <x:v>1</x:v>
      </x:c>
      <x:c r="AN363" s="1" t="n">
        <x:f>MAX(2,ROUNDUP('損益分岐設定'!C38*AJ363/('損益分岐設定'!$B$23*'損益分岐設定'!$B$24*3600*'損益分岐設定'!$B$25),0))</x:f>
        <x:v>2</x:v>
      </x:c>
      <x:c r="AO363" s="1" t="n">
        <x:f>MAX(2,ROUNDUP('損益分岐設定'!C39*AJ363/('損益分岐設定'!$B$23*'損益分岐設定'!$B$24*3600*'損益分岐設定'!$B$25),0))</x:f>
        <x:v>2</x:v>
      </x:c>
      <x:c r="AP363" s="1" t="n">
        <x:f>MAX(2,ROUNDUP('損益分岐設定'!C40*AJ363/('損益分岐設定'!$B$23*'損益分岐設定'!$B$24*3600*'損益分岐設定'!$B$25),0))</x:f>
        <x:v>2</x:v>
      </x:c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 ht="23" customHeight="1">
      <x:c r="A364" s="1" t="str">
        <x:v>VM</x:v>
      </x:c>
      <x:c r="B364" s="1" t="str">
        <x:v>Starter</x:v>
      </x:c>
      <x:c r="C364" s="1" t="str">
        <x:v>標準+高位混在</x:v>
      </x:c>
      <x:c r="D364" s="21" t="n">
        <x:v>0.5</x:v>
      </x:c>
      <x:c r="E364" s="1" t="n">
        <x:v>1</x:v>
      </x:c>
      <x:c r="F364" s="7" t="n">
        <x:f>AD364*'損益分岐設定'!$B$5+AE364*'損益分岐設定'!$B$6+AF364*'損益分岐設定'!$B$7</x:f>
        <x:v>3000</x:v>
      </x:c>
      <x:c r="G364" s="7" t="n">
        <x:f>AG364+0+AK364*'損益分岐設定'!$B$33</x:f>
        <x:v>621.5566744499207</x:v>
      </x:c>
      <x:c r="H364" s="7" t="n">
        <x:f>AL364*E364</x:f>
        <x:v>726.6666666666667</x:v>
      </x:c>
      <x:c r="I364" s="7" t="n">
        <x:f>F364*(1-D364-'損益分岐設定'!$B$10)-G364-H364</x:f>
        <x:v>43.77665888341255</x:v>
      </x:c>
      <x:c r="J364" s="1" t="str">
        <x:f>IF(MIN(V364:Y364)&gt;1000,"範囲内なし",MIN(V364:Y364))</x:f>
        <x:v>範囲内なし</x:v>
      </x:c>
      <x:c r="K364" s="1" t="str">
        <x:f>IF(MAX(Z364:AC364)&gt;=1000,"範囲内なし",MAX(1,MAX(Z364:AC364)+1))</x:f>
        <x:v>範囲内なし</x:v>
      </x:c>
      <x:c r="L364" s="7" t="n">
        <x:f>10*I364-R364</x:f>
        <x:v>-82321.42017238714</x:v>
      </x:c>
      <x:c r="M364" s="7" t="n">
        <x:f>30*I364-S364</x:f>
        <x:v>-143705.07375594016</x:v>
      </x:c>
      <x:c r="N364" s="7" t="n">
        <x:f>50*I364-S364</x:f>
        <x:v>-142829.5405782719</x:v>
      </x:c>
      <x:c r="O364" s="7" t="n">
        <x:f>100*I364-S364</x:f>
        <x:v>-140640.70763410127</x:v>
      </x:c>
      <x:c r="P364" s="7" t="n">
        <x:f>300*I364-T364</x:f>
        <x:v>-163885.37585741875</x:v>
      </x:c>
      <x:c r="Q364" s="7" t="n">
        <x:f>1000*I364-U364</x:f>
        <x:v>-202121.30801964062</x:v>
      </x:c>
      <x:c r="R364" s="7" t="n">
        <x:f>'損益分岐設定'!$B$18+'損益分岐設定'!$B$19+'損益分岐設定'!$B$20+'損益分岐設定'!E37+('損益分岐設定'!F37+2*'損益分岐設定'!G37+AM364)*('損益分岐設定'!$B$15+'損益分岐設定'!$B$16)+'損益分岐設定'!$B$17+'損益分岐設定'!$B$21+E364*'損益分岐設定'!H37*'損益分岐設定'!$B$11</x:f>
        <x:v>82759.18676122127</x:v>
      </x:c>
      <x:c r="S364" s="7" t="n">
        <x:f>'損益分岐設定'!$B$18+'損益分岐設定'!$B$19+'損益分岐設定'!$B$20+'損益分岐設定'!E38+('損益分岐設定'!F38+2*'損益分岐設定'!G38+AN364)*('損益分岐設定'!$B$15+'損益分岐設定'!$B$16)+'損益分岐設定'!$B$17+'損益分岐設定'!$B$21+E364*'損益分岐設定'!H38*'損益分岐設定'!$B$11</x:f>
        <x:v>145018.37352244253</x:v>
      </x:c>
      <x:c r="T364" s="7" t="n">
        <x:f>'損益分岐設定'!$B$18+'損益分岐設定'!$B$19+'損益分岐設定'!$B$20+'損益分岐設定'!E39+('損益分岐設定'!F39+2*'損益分岐設定'!G39+AO364)*('損益分岐設定'!$B$15+'損益分岐設定'!$B$16)+'損益分岐設定'!$B$17+'損益分岐設定'!$B$21+E364*'損益分岐設定'!H39*'損益分岐設定'!$B$11</x:f>
        <x:v>177018.37352244253</x:v>
      </x:c>
      <x:c r="U364" s="7" t="n">
        <x:f>'損益分岐設定'!$B$18+'損益分岐設定'!$B$19+'損益分岐設定'!$B$20+'損益分岐設定'!E40+('損益分岐設定'!F40+2*'損益分岐設定'!G40+AP364)*('損益分岐設定'!$B$15+'損益分岐設定'!$B$16)+'損益分岐設定'!$B$17+'損益分岐設定'!$B$21+E364*'損益分岐設定'!H40*'損益分岐設定'!$B$11</x:f>
        <x:v>245897.96690305317</x:v>
      </x:c>
      <x:c r="V364" s="1" t="n">
        <x:f>IF(I364&lt;=0,1001,IF(MAX('損益分岐設定'!B37,ROUNDUP(R364/I364,0))&lt;='損益分岐設定'!C37,MAX('損益分岐設定'!B37,ROUNDUP(R364/I364,0)),1001))</x:f>
        <x:v>1001</x:v>
      </x:c>
      <x:c r="W364" s="1" t="n">
        <x:f>IF(I364&lt;=0,1001,IF(MAX('損益分岐設定'!B38,ROUNDUP(S364/I364,0))&lt;='損益分岐設定'!C38,MAX('損益分岐設定'!B38,ROUNDUP(S364/I364,0)),1001))</x:f>
        <x:v>1001</x:v>
      </x:c>
      <x:c r="X364" s="1" t="n">
        <x:f>IF(I364&lt;=0,1001,IF(MAX('損益分岐設定'!B39,ROUNDUP(T364/I364,0))&lt;='損益分岐設定'!C39,MAX('損益分岐設定'!B39,ROUNDUP(T364/I364,0)),1001))</x:f>
        <x:v>1001</x:v>
      </x:c>
      <x:c r="Y364" s="1" t="n">
        <x:f>IF(I364&lt;=0,1001,IF(MAX('損益分岐設定'!B40,ROUNDUP(U364/I364,0))&lt;='損益分岐設定'!C40,MAX('損益分岐設定'!B40,ROUNDUP(U364/I364,0)),1001))</x:f>
        <x:v>1001</x:v>
      </x:c>
      <x:c r="Z364" s="1" t="n">
        <x:f>IF(I364&lt;=0,'損益分岐設定'!C37,IF('損益分岐設定'!C37*I364-R364&lt;0,'損益分岐設定'!C37,IF('損益分岐設定'!B37*I364-R364&gt;=0,0,ROUNDUP(R364/I364,0)-1)))</x:f>
        <x:v>10</x:v>
      </x:c>
      <x:c r="AA364" s="1" t="n">
        <x:f>IF(I364&lt;=0,'損益分岐設定'!C38,IF('損益分岐設定'!C38*I364-S364&lt;0,'損益分岐設定'!C38,IF('損益分岐設定'!B38*I364-S364&gt;=0,0,ROUNDUP(S364/I364,0)-1)))</x:f>
        <x:v>100</x:v>
      </x:c>
      <x:c r="AB364" s="1" t="n">
        <x:f>IF(I364&lt;=0,'損益分岐設定'!C39,IF('損益分岐設定'!C39*I364-T364&lt;0,'損益分岐設定'!C39,IF('損益分岐設定'!B39*I364-T364&gt;=0,0,ROUNDUP(T364/I364,0)-1)))</x:f>
        <x:v>500</x:v>
      </x:c>
      <x:c r="AC364" s="1" t="n">
        <x:f>IF(I364&lt;=0,'損益分岐設定'!C40,IF('損益分岐設定'!C40*I364-U364&lt;0,'損益分岐設定'!C40,IF('損益分岐設定'!B40*I364-U364&gt;=0,0,ROUNDUP(U364/I364,0)-1)))</x:f>
        <x:v>1000</x:v>
      </x:c>
      <x:c r="AD364" s="1" t="n">
        <x:v>1</x:v>
      </x:c>
      <x:c r="AE364" s="1" t="n">
        <x:v>0</x:v>
      </x:c>
      <x:c r="AF364" s="1" t="n">
        <x:v>0</x:v>
      </x:c>
      <x:c r="AG364" s="1" t="n">
        <x:f>AD364*('損益分岐設定'!$C$57*(1-'損益分岐設定'!$B$51)+'損益分岐設定'!$C$58*'損益分岐設定'!$B$51)+AE364*('損益分岐設定'!$C$60*(1-'損益分岐設定'!$B$51)+'損益分岐設定'!$C$61*'損益分岐設定'!$B$51)+AF364*('損益分岐設定'!$C$63*(1-'損益分岐設定'!$B$51)+'損益分岐設定'!$C$64*'損益分岐設定'!$B$51)</x:f>
        <x:v>621.5522041015626</x:v>
      </x:c>
      <x:c r="AH364" s="1" t="n">
        <x:f>AD364*('損益分岐設定'!$D$57*(1-'損益分岐設定'!$B$51)+'損益分岐設定'!$D$58*'損益分岐設定'!$B$51)+AE364*('損益分岐設定'!$D$60*(1-'損益分岐設定'!$B$51)+'損益分岐設定'!$D$61*'損益分岐設定'!$B$51)+AF364*('損益分岐設定'!$D$63*(1-'損益分岐設定'!$B$51)+'損益分岐設定'!$D$64*'損益分岐設定'!$B$51)</x:f>
        <x:v>48</x:v>
      </x:c>
      <x:c r="AI364" s="1" t="n">
        <x:f>AD364*('損益分岐設定'!$E$57*(1-'損益分岐設定'!$B$51)+'損益分岐設定'!$E$58*'損益分岐設定'!$B$51)+AE364*('損益分岐設定'!$E$60*(1-'損益分岐設定'!$B$51)+'損益分岐設定'!$E$61*'損益分岐設定'!$B$51)+AF364*('損益分岐設定'!$E$63*(1-'損益分岐設定'!$B$51)+'損益分岐設定'!$E$64*'損益分岐設定'!$B$51)</x:f>
        <x:v>56</x:v>
      </x:c>
      <x:c r="AJ364" s="1" t="n">
        <x:f>(AD364*('損益分岐設定'!$F$57*(1-'損益分岐設定'!$B$51)+'損益分岐設定'!$F$58*'損益分岐設定'!$B$51)+AE364*('損益分岐設定'!$F$60*(1-'損益分岐設定'!$B$51)+'損益分岐設定'!$F$61*'損益分岐設定'!$B$51)+AF364*('損益分岐設定'!$F$63*(1-'損益分岐設定'!$B$51)+'損益分岐設定'!$F$64*'損益分岐設定'!$B$51)*1)*'損益分岐設定'!$B$22</x:f>
        <x:v>456</x:v>
      </x:c>
      <x:c r="AK364" s="1" t="n">
        <x:f>AD364*('損益分岐設定'!$G$57*(1-'損益分岐設定'!$B$51)+'損益分岐設定'!$G$58*'損益分岐設定'!$B$51)+AE364*('損益分岐設定'!$G$60*(1-'損益分岐設定'!$B$51)+'損益分岐設定'!$G$61*'損益分岐設定'!$B$51)+AF364*('損益分岐設定'!$G$63*(1-'損益分岐設定'!$B$51)+'損益分岐設定'!$G$64*'損益分岐設定'!$B$51)</x:f>
        <x:v>400</x:v>
      </x:c>
      <x:c r="AL364" s="1" t="n">
        <x:f>AD364*('損益分岐設定'!$H$57*(1-'損益分岐設定'!$B$51)+'損益分岐設定'!$H$58*'損益分岐設定'!$B$51)+AE364*('損益分岐設定'!$H$60*(1-'損益分岐設定'!$B$51)+'損益分岐設定'!$H$61*'損益分岐設定'!$B$51)+AF364*('損益分岐設定'!$H$63*(1-'損益分岐設定'!$B$51)+'損益分岐設定'!$H$64*'損益分岐設定'!$B$51)</x:f>
        <x:v>726.6666666666667</x:v>
      </x:c>
      <x:c r="AM364" s="1" t="n">
        <x:f>MAX(1,ROUNDUP('損益分岐設定'!C37*AJ364/('損益分岐設定'!$B$23*'損益分岐設定'!$B$24*3600*'損益分岐設定'!$B$25),0))</x:f>
        <x:v>1</x:v>
      </x:c>
      <x:c r="AN364" s="1" t="n">
        <x:f>MAX(2,ROUNDUP('損益分岐設定'!C38*AJ364/('損益分岐設定'!$B$23*'損益分岐設定'!$B$24*3600*'損益分岐設定'!$B$25),0))</x:f>
        <x:v>2</x:v>
      </x:c>
      <x:c r="AO364" s="1" t="n">
        <x:f>MAX(2,ROUNDUP('損益分岐設定'!C39*AJ364/('損益分岐設定'!$B$23*'損益分岐設定'!$B$24*3600*'損益分岐設定'!$B$25),0))</x:f>
        <x:v>2</x:v>
      </x:c>
      <x:c r="AP364" s="1" t="n">
        <x:f>MAX(2,ROUNDUP('損益分岐設定'!C40*AJ364/('損益分岐設定'!$B$23*'損益分岐設定'!$B$24*3600*'損益分岐設定'!$B$25),0))</x:f>
        <x:v>2</x:v>
      </x:c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 ht="23" customHeight="1">
      <x:c r="A365" s="1" t="str">
        <x:v>VM</x:v>
      </x:c>
      <x:c r="B365" s="1" t="str">
        <x:v>Business</x:v>
      </x:c>
      <x:c r="C365" s="1" t="str">
        <x:v>低位</x:v>
      </x:c>
      <x:c r="D365" s="21" t="n">
        <x:v>0</x:v>
      </x:c>
      <x:c r="E365" s="1" t="n">
        <x:v>0</x:v>
      </x:c>
      <x:c r="F365" s="7" t="n">
        <x:f>AD365*'損益分岐設定'!$B$5+AE365*'損益分岐設定'!$B$6+AF365*'損益分岐設定'!$B$7</x:f>
        <x:v>5000</x:v>
      </x:c>
      <x:c r="G365" s="7" t="n">
        <x:f>AG365+0+AK365*'損益分岐設定'!$B$33</x:f>
        <x:v>115.4271670255661</x:v>
      </x:c>
      <x:c r="H365" s="7" t="n">
        <x:f>AL365*E365</x:f>
        <x:v>0</x:v>
      </x:c>
      <x:c r="I365" s="7" t="n">
        <x:f>F365*(1-D365-'損益分岐設定'!$B$10)-G365-H365</x:f>
        <x:v>4704.572832974434</x:v>
      </x:c>
      <x:c r="J365" s="1" t="n">
        <x:f>IF(MIN(V365:Y365)&gt;1000,"範囲内なし",MIN(V365:Y365))</x:f>
        <x:v>21</x:v>
      </x:c>
      <x:c r="K365" s="1" t="n">
        <x:f>IF(MAX(Z365:AC365)&gt;=1000,"範囲内なし",MAX(1,MAX(Z365:AC365)+1))</x:f>
        <x:v>21</x:v>
      </x:c>
      <x:c r="L365" s="7" t="n">
        <x:f>10*I365-R365</x:f>
        <x:v>-3713.458431476931</x:v>
      </x:c>
      <x:c r="M365" s="7" t="n">
        <x:f>30*I365-S365</x:f>
        <x:v>44118.81146679049</x:v>
      </x:c>
      <x:c r="N365" s="7" t="n">
        <x:f>50*I365-S365</x:f>
        <x:v>138210.26812627917</x:v>
      </x:c>
      <x:c r="O365" s="7" t="n">
        <x:f>100*I365-S365</x:f>
        <x:v>373438.9097750009</x:v>
      </x:c>
      <x:c r="P365" s="7" t="n">
        <x:f>300*I365-T365</x:f>
        <x:v>1314353.4763698878</x:v>
      </x:c>
      <x:c r="Q365" s="7" t="n">
        <x:f>1000*I365-U365</x:f>
        <x:v>4586674.866071381</x:v>
      </x:c>
      <x:c r="R365" s="7" t="n">
        <x:f>'損益分岐設定'!$B$18+'損益分岐設定'!$B$19+'損益分岐設定'!$B$20+'損益分岐設定'!E37+('損益分岐設定'!F37+2*'損益分岐設定'!G37+AM365)*('損益分岐設定'!$B$15+'損益分岐設定'!$B$16)+'損益分岐設定'!$B$17+'損益分岐設定'!$B$21+E365*'損益分岐設定'!H37*'損益分岐設定'!$B$11</x:f>
        <x:v>50759.18676122127</x:v>
      </x:c>
      <x:c r="S365" s="7" t="n">
        <x:f>'損益分岐設定'!$B$18+'損益分岐設定'!$B$19+'損益分岐設定'!$B$20+'損益分岐設定'!E38+('損益分岐設定'!F38+2*'損益分岐設定'!G38+AN365)*('損益分岐設定'!$B$15+'損益分岐設定'!$B$16)+'損益分岐設定'!$B$17+'損益分岐設定'!$B$21+E365*'損益分岐設定'!H38*'損益分岐設定'!$B$11</x:f>
        <x:v>97018.37352244255</x:v>
      </x:c>
      <x:c r="T365" s="7" t="n">
        <x:f>'損益分岐設定'!$B$18+'損益分岐設定'!$B$19+'損益分岐設定'!$B$20+'損益分岐設定'!E39+('損益分岐設定'!F39+2*'損益分岐設定'!G39+AO365)*('損益分岐設定'!$B$15+'損益分岐設定'!$B$16)+'損益分岐設定'!$B$17+'損益分岐設定'!$B$21+E365*'損益分岐設定'!H39*'損益分岐設定'!$B$11</x:f>
        <x:v>97018.37352244255</x:v>
      </x:c>
      <x:c r="U365" s="7" t="n">
        <x:f>'損益分岐設定'!$B$18+'損益分岐設定'!$B$19+'損益分岐設定'!$B$20+'損益分岐設定'!E40+('損益分岐設定'!F40+2*'損益分岐設定'!G40+AP365)*('損益分岐設定'!$B$15+'損益分岐設定'!$B$16)+'損益分岐設定'!$B$17+'損益分岐設定'!$B$21+E365*'損益分岐設定'!H40*'損益分岐設定'!$B$11</x:f>
        <x:v>117897.96690305318</x:v>
      </x:c>
      <x:c r="V365" s="1" t="n">
        <x:f>IF(I365&lt;=0,1001,IF(MAX('損益分岐設定'!B37,ROUNDUP(R365/I365,0))&lt;='損益分岐設定'!C37,MAX('損益分岐設定'!B37,ROUNDUP(R365/I365,0)),1001))</x:f>
        <x:v>1001</x:v>
      </x:c>
      <x:c r="W365" s="1" t="n">
        <x:f>IF(I365&lt;=0,1001,IF(MAX('損益分岐設定'!B38,ROUNDUP(S365/I365,0))&lt;='損益分岐設定'!C38,MAX('損益分岐設定'!B38,ROUNDUP(S365/I365,0)),1001))</x:f>
        <x:v>21</x:v>
      </x:c>
      <x:c r="X365" s="1" t="n">
        <x:f>IF(I365&lt;=0,1001,IF(MAX('損益分岐設定'!B39,ROUNDUP(T365/I365,0))&lt;='損益分岐設定'!C39,MAX('損益分岐設定'!B39,ROUNDUP(T365/I365,0)),1001))</x:f>
        <x:v>101</x:v>
      </x:c>
      <x:c r="Y365" s="1" t="n">
        <x:f>IF(I365&lt;=0,1001,IF(MAX('損益分岐設定'!B40,ROUNDUP(U365/I365,0))&lt;='損益分岐設定'!C40,MAX('損益分岐設定'!B40,ROUNDUP(U365/I365,0)),1001))</x:f>
        <x:v>501</x:v>
      </x:c>
      <x:c r="Z365" s="1" t="n">
        <x:f>IF(I365&lt;=0,'損益分岐設定'!C37,IF('損益分岐設定'!C37*I365-R365&lt;0,'損益分岐設定'!C37,IF('損益分岐設定'!B37*I365-R365&gt;=0,0,ROUNDUP(R365/I365,0)-1)))</x:f>
        <x:v>10</x:v>
      </x:c>
      <x:c r="AA365" s="1" t="n">
        <x:f>IF(I365&lt;=0,'損益分岐設定'!C38,IF('損益分岐設定'!C38*I365-S365&lt;0,'損益分岐設定'!C38,IF('損益分岐設定'!B38*I365-S365&gt;=0,0,ROUNDUP(S365/I365,0)-1)))</x:f>
        <x:v>20</x:v>
      </x:c>
      <x:c r="AB365" s="1" t="n">
        <x:f>IF(I365&lt;=0,'損益分岐設定'!C39,IF('損益分岐設定'!C39*I365-T365&lt;0,'損益分岐設定'!C39,IF('損益分岐設定'!B39*I365-T365&gt;=0,0,ROUNDUP(T365/I365,0)-1)))</x:f>
        <x:v>0</x:v>
      </x:c>
      <x:c r="AC365" s="1" t="n">
        <x:f>IF(I365&lt;=0,'損益分岐設定'!C40,IF('損益分岐設定'!C40*I365-U365&lt;0,'損益分岐設定'!C40,IF('損益分岐設定'!B40*I365-U365&gt;=0,0,ROUNDUP(U365/I365,0)-1)))</x:f>
        <x:v>0</x:v>
      </x:c>
      <x:c r="AD365" s="1" t="n">
        <x:v>0</x:v>
      </x:c>
      <x:c r="AE365" s="1" t="n">
        <x:v>1</x:v>
      </x:c>
      <x:c r="AF365" s="1" t="n">
        <x:v>0</x:v>
      </x:c>
      <x:c r="AG365" s="1" t="n">
        <x:f>AD365*'損益分岐設定'!$C$56+AE365*'損益分岐設定'!$C$59+AF365*'損益分岐設定'!$C$62</x:f>
        <x:v>115.42604943847657</x:v>
      </x:c>
      <x:c r="AH365" s="1" t="n">
        <x:f>AD365*'損益分岐設定'!$D$56+AE365*'損益分岐設定'!$D$59+AF365*'損益分岐設定'!$D$62</x:f>
        <x:v>30</x:v>
      </x:c>
      <x:c r="AI365" s="1" t="n">
        <x:f>AD365*'損益分岐設定'!$E$56+AE365*'損益分岐設定'!$E$59+AF365*'損益分岐設定'!$E$62</x:f>
        <x:v>20</x:v>
      </x:c>
      <x:c r="AJ365" s="1" t="n">
        <x:f>(AD365*'損益分岐設定'!$F$56+AE365*'損益分岐設定'!$F$59+AF365*'損益分岐設定'!$F$62*1)*'損益分岐設定'!$B$22</x:f>
        <x:v>30</x:v>
      </x:c>
      <x:c r="AK365" s="1" t="n">
        <x:f>AD365*'損益分岐設定'!$G$56+AE365*'損益分岐設定'!$G$59+AF365*'損益分岐設定'!$G$62</x:f>
        <x:v>100</x:v>
      </x:c>
      <x:c r="AL365" s="1" t="n">
        <x:f>AD365*'損益分岐設定'!$H$56+AE365*'損益分岐設定'!$H$59+AF365*'損益分岐設定'!$H$62</x:f>
        <x:v>333.3333333333333</x:v>
      </x:c>
      <x:c r="AM365" s="1" t="n">
        <x:f>MAX(1,ROUNDUP('損益分岐設定'!C37*AJ365/('損益分岐設定'!$B$23*'損益分岐設定'!$B$24*3600*'損益分岐設定'!$B$25),0))</x:f>
        <x:v>1</x:v>
      </x:c>
      <x:c r="AN365" s="1" t="n">
        <x:f>MAX(2,ROUNDUP('損益分岐設定'!C38*AJ365/('損益分岐設定'!$B$23*'損益分岐設定'!$B$24*3600*'損益分岐設定'!$B$25),0))</x:f>
        <x:v>2</x:v>
      </x:c>
      <x:c r="AO365" s="1" t="n">
        <x:f>MAX(2,ROUNDUP('損益分岐設定'!C39*AJ365/('損益分岐設定'!$B$23*'損益分岐設定'!$B$24*3600*'損益分岐設定'!$B$25),0))</x:f>
        <x:v>2</x:v>
      </x:c>
      <x:c r="AP365" s="1" t="n">
        <x:f>MAX(2,ROUNDUP('損益分岐設定'!C40*AJ365/('損益分岐設定'!$B$23*'損益分岐設定'!$B$24*3600*'損益分岐設定'!$B$25),0))</x:f>
        <x:v>2</x:v>
      </x:c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 ht="23" customHeight="1">
      <x:c r="A366" s="1" t="str">
        <x:v>VM</x:v>
      </x:c>
      <x:c r="B366" s="1" t="str">
        <x:v>Business</x:v>
      </x:c>
      <x:c r="C366" s="1" t="str">
        <x:v>低位</x:v>
      </x:c>
      <x:c r="D366" s="21" t="n">
        <x:v>0</x:v>
      </x:c>
      <x:c r="E366" s="1" t="n">
        <x:v>1</x:v>
      </x:c>
      <x:c r="F366" s="7" t="n">
        <x:f>AD366*'損益分岐設定'!$B$5+AE366*'損益分岐設定'!$B$6+AF366*'損益分岐設定'!$B$7</x:f>
        <x:v>5000</x:v>
      </x:c>
      <x:c r="G366" s="7" t="n">
        <x:f>AG366+0+AK366*'損益分岐設定'!$B$33</x:f>
        <x:v>115.4271670255661</x:v>
      </x:c>
      <x:c r="H366" s="7" t="n">
        <x:f>AL366*E366</x:f>
        <x:v>333.3333333333333</x:v>
      </x:c>
      <x:c r="I366" s="7" t="n">
        <x:f>F366*(1-D366-'損益分岐設定'!$B$10)-G366-H366</x:f>
        <x:v>4371.239499641101</x:v>
      </x:c>
      <x:c r="J366" s="1" t="n">
        <x:f>IF(MIN(V366:Y366)&gt;1000,"範囲内なし",MIN(V366:Y366))</x:f>
        <x:v>34</x:v>
      </x:c>
      <x:c r="K366" s="1" t="n">
        <x:f>IF(MAX(Z366:AC366)&gt;=1000,"範囲内なし",MAX(1,MAX(Z366:AC366)+1))</x:f>
        <x:v>34</x:v>
      </x:c>
      <x:c r="L366" s="7" t="n">
        <x:f>10*I366-R366</x:f>
        <x:v>-39046.79176481025</x:v>
      </x:c>
      <x:c r="M366" s="7" t="n">
        <x:f>30*I366-S366</x:f>
        <x:v>-13881.188533209497</x:v>
      </x:c>
      <x:c r="N366" s="7" t="n">
        <x:f>50*I366-S366</x:f>
        <x:v>73543.60145961252</x:v>
      </x:c>
      <x:c r="O366" s="7" t="n">
        <x:f>100*I366-S366</x:f>
        <x:v>292105.57644166757</x:v>
      </x:c>
      <x:c r="P366" s="7" t="n">
        <x:f>300*I366-T366</x:f>
        <x:v>1134353.4763698878</x:v>
      </x:c>
      <x:c r="Q366" s="7" t="n">
        <x:f>1000*I366-U366</x:f>
        <x:v>4125341.5327380477</x:v>
      </x:c>
      <x:c r="R366" s="7" t="n">
        <x:f>'損益分岐設定'!$B$18+'損益分岐設定'!$B$19+'損益分岐設定'!$B$20+'損益分岐設定'!E37+('損益分岐設定'!F37+2*'損益分岐設定'!G37+AM366)*('損益分岐設定'!$B$15+'損益分岐設定'!$B$16)+'損益分岐設定'!$B$17+'損益分岐設定'!$B$21+E366*'損益分岐設定'!H37*'損益分岐設定'!$B$11</x:f>
        <x:v>82759.18676122127</x:v>
      </x:c>
      <x:c r="S366" s="7" t="n">
        <x:f>'損益分岐設定'!$B$18+'損益分岐設定'!$B$19+'損益分岐設定'!$B$20+'損益分岐設定'!E38+('損益分岐設定'!F38+2*'損益分岐設定'!G38+AN366)*('損益分岐設定'!$B$15+'損益分岐設定'!$B$16)+'損益分岐設定'!$B$17+'損益分岐設定'!$B$21+E366*'損益分岐設定'!H38*'損益分岐設定'!$B$11</x:f>
        <x:v>145018.37352244253</x:v>
      </x:c>
      <x:c r="T366" s="7" t="n">
        <x:f>'損益分岐設定'!$B$18+'損益分岐設定'!$B$19+'損益分岐設定'!$B$20+'損益分岐設定'!E39+('損益分岐設定'!F39+2*'損益分岐設定'!G39+AO366)*('損益分岐設定'!$B$15+'損益分岐設定'!$B$16)+'損益分岐設定'!$B$17+'損益分岐設定'!$B$21+E366*'損益分岐設定'!H39*'損益分岐設定'!$B$11</x:f>
        <x:v>177018.37352244253</x:v>
      </x:c>
      <x:c r="U366" s="7" t="n">
        <x:f>'損益分岐設定'!$B$18+'損益分岐設定'!$B$19+'損益分岐設定'!$B$20+'損益分岐設定'!E40+('損益分岐設定'!F40+2*'損益分岐設定'!G40+AP366)*('損益分岐設定'!$B$15+'損益分岐設定'!$B$16)+'損益分岐設定'!$B$17+'損益分岐設定'!$B$21+E366*'損益分岐設定'!H40*'損益分岐設定'!$B$11</x:f>
        <x:v>245897.96690305317</x:v>
      </x:c>
      <x:c r="V366" s="1" t="n">
        <x:f>IF(I366&lt;=0,1001,IF(MAX('損益分岐設定'!B37,ROUNDUP(R366/I366,0))&lt;='損益分岐設定'!C37,MAX('損益分岐設定'!B37,ROUNDUP(R366/I366,0)),1001))</x:f>
        <x:v>1001</x:v>
      </x:c>
      <x:c r="W366" s="1" t="n">
        <x:f>IF(I366&lt;=0,1001,IF(MAX('損益分岐設定'!B38,ROUNDUP(S366/I366,0))&lt;='損益分岐設定'!C38,MAX('損益分岐設定'!B38,ROUNDUP(S366/I366,0)),1001))</x:f>
        <x:v>34</x:v>
      </x:c>
      <x:c r="X366" s="1" t="n">
        <x:f>IF(I366&lt;=0,1001,IF(MAX('損益分岐設定'!B39,ROUNDUP(T366/I366,0))&lt;='損益分岐設定'!C39,MAX('損益分岐設定'!B39,ROUNDUP(T366/I366,0)),1001))</x:f>
        <x:v>101</x:v>
      </x:c>
      <x:c r="Y366" s="1" t="n">
        <x:f>IF(I366&lt;=0,1001,IF(MAX('損益分岐設定'!B40,ROUNDUP(U366/I366,0))&lt;='損益分岐設定'!C40,MAX('損益分岐設定'!B40,ROUNDUP(U366/I366,0)),1001))</x:f>
        <x:v>501</x:v>
      </x:c>
      <x:c r="Z366" s="1" t="n">
        <x:f>IF(I366&lt;=0,'損益分岐設定'!C37,IF('損益分岐設定'!C37*I366-R366&lt;0,'損益分岐設定'!C37,IF('損益分岐設定'!B37*I366-R366&gt;=0,0,ROUNDUP(R366/I366,0)-1)))</x:f>
        <x:v>10</x:v>
      </x:c>
      <x:c r="AA366" s="1" t="n">
        <x:f>IF(I366&lt;=0,'損益分岐設定'!C38,IF('損益分岐設定'!C38*I366-S366&lt;0,'損益分岐設定'!C38,IF('損益分岐設定'!B38*I366-S366&gt;=0,0,ROUNDUP(S366/I366,0)-1)))</x:f>
        <x:v>33</x:v>
      </x:c>
      <x:c r="AB366" s="1" t="n">
        <x:f>IF(I366&lt;=0,'損益分岐設定'!C39,IF('損益分岐設定'!C39*I366-T366&lt;0,'損益分岐設定'!C39,IF('損益分岐設定'!B39*I366-T366&gt;=0,0,ROUNDUP(T366/I366,0)-1)))</x:f>
        <x:v>0</x:v>
      </x:c>
      <x:c r="AC366" s="1" t="n">
        <x:f>IF(I366&lt;=0,'損益分岐設定'!C40,IF('損益分岐設定'!C40*I366-U366&lt;0,'損益分岐設定'!C40,IF('損益分岐設定'!B40*I366-U366&gt;=0,0,ROUNDUP(U366/I366,0)-1)))</x:f>
        <x:v>0</x:v>
      </x:c>
      <x:c r="AD366" s="1" t="n">
        <x:v>0</x:v>
      </x:c>
      <x:c r="AE366" s="1" t="n">
        <x:v>1</x:v>
      </x:c>
      <x:c r="AF366" s="1" t="n">
        <x:v>0</x:v>
      </x:c>
      <x:c r="AG366" s="1" t="n">
        <x:f>AD366*'損益分岐設定'!$C$56+AE366*'損益分岐設定'!$C$59+AF366*'損益分岐設定'!$C$62</x:f>
        <x:v>115.42604943847657</x:v>
      </x:c>
      <x:c r="AH366" s="1" t="n">
        <x:f>AD366*'損益分岐設定'!$D$56+AE366*'損益分岐設定'!$D$59+AF366*'損益分岐設定'!$D$62</x:f>
        <x:v>30</x:v>
      </x:c>
      <x:c r="AI366" s="1" t="n">
        <x:f>AD366*'損益分岐設定'!$E$56+AE366*'損益分岐設定'!$E$59+AF366*'損益分岐設定'!$E$62</x:f>
        <x:v>20</x:v>
      </x:c>
      <x:c r="AJ366" s="1" t="n">
        <x:f>(AD366*'損益分岐設定'!$F$56+AE366*'損益分岐設定'!$F$59+AF366*'損益分岐設定'!$F$62*1)*'損益分岐設定'!$B$22</x:f>
        <x:v>30</x:v>
      </x:c>
      <x:c r="AK366" s="1" t="n">
        <x:f>AD366*'損益分岐設定'!$G$56+AE366*'損益分岐設定'!$G$59+AF366*'損益分岐設定'!$G$62</x:f>
        <x:v>100</x:v>
      </x:c>
      <x:c r="AL366" s="1" t="n">
        <x:f>AD366*'損益分岐設定'!$H$56+AE366*'損益分岐設定'!$H$59+AF366*'損益分岐設定'!$H$62</x:f>
        <x:v>333.3333333333333</x:v>
      </x:c>
      <x:c r="AM366" s="1" t="n">
        <x:f>MAX(1,ROUNDUP('損益分岐設定'!C37*AJ366/('損益分岐設定'!$B$23*'損益分岐設定'!$B$24*3600*'損益分岐設定'!$B$25),0))</x:f>
        <x:v>1</x:v>
      </x:c>
      <x:c r="AN366" s="1" t="n">
        <x:f>MAX(2,ROUNDUP('損益分岐設定'!C38*AJ366/('損益分岐設定'!$B$23*'損益分岐設定'!$B$24*3600*'損益分岐設定'!$B$25),0))</x:f>
        <x:v>2</x:v>
      </x:c>
      <x:c r="AO366" s="1" t="n">
        <x:f>MAX(2,ROUNDUP('損益分岐設定'!C39*AJ366/('損益分岐設定'!$B$23*'損益分岐設定'!$B$24*3600*'損益分岐設定'!$B$25),0))</x:f>
        <x:v>2</x:v>
      </x:c>
      <x:c r="AP366" s="1" t="n">
        <x:f>MAX(2,ROUNDUP('損益分岐設定'!C40*AJ366/('損益分岐設定'!$B$23*'損益分岐設定'!$B$24*3600*'損益分岐設定'!$B$25),0))</x:f>
        <x:v>2</x:v>
      </x:c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 ht="23" customHeight="1">
      <x:c r="A367" s="1" t="str">
        <x:v>VM</x:v>
      </x:c>
      <x:c r="B367" s="1" t="str">
        <x:v>Business</x:v>
      </x:c>
      <x:c r="C367" s="1" t="str">
        <x:v>低位</x:v>
      </x:c>
      <x:c r="D367" s="21" t="n">
        <x:v>0.2</x:v>
      </x:c>
      <x:c r="E367" s="1" t="n">
        <x:v>0</x:v>
      </x:c>
      <x:c r="F367" s="7" t="n">
        <x:f>AD367*'損益分岐設定'!$B$5+AE367*'損益分岐設定'!$B$6+AF367*'損益分岐設定'!$B$7</x:f>
        <x:v>5000</x:v>
      </x:c>
      <x:c r="G367" s="7" t="n">
        <x:f>AG367+0+AK367*'損益分岐設定'!$B$33</x:f>
        <x:v>115.4271670255661</x:v>
      </x:c>
      <x:c r="H367" s="7" t="n">
        <x:f>AL367*E367</x:f>
        <x:v>0</x:v>
      </x:c>
      <x:c r="I367" s="7" t="n">
        <x:f>F367*(1-D367-'損益分岐設定'!$B$10)-G367-H367</x:f>
        <x:v>3704.572832974434</x:v>
      </x:c>
      <x:c r="J367" s="1" t="n">
        <x:f>IF(MIN(V367:Y367)&gt;1000,"範囲内なし",MIN(V367:Y367))</x:f>
        <x:v>27</x:v>
      </x:c>
      <x:c r="K367" s="1" t="n">
        <x:f>IF(MAX(Z367:AC367)&gt;=1000,"範囲内なし",MAX(1,MAX(Z367:AC367)+1))</x:f>
        <x:v>27</x:v>
      </x:c>
      <x:c r="L367" s="7" t="n">
        <x:f>10*I367-R367</x:f>
        <x:v>-13713.458431476938</x:v>
      </x:c>
      <x:c r="M367" s="7" t="n">
        <x:f>30*I367-S367</x:f>
        <x:v>14118.811466790474</x:v>
      </x:c>
      <x:c r="N367" s="7" t="n">
        <x:f>50*I367-S367</x:f>
        <x:v>88210.26812627913</x:v>
      </x:c>
      <x:c r="O367" s="7" t="n">
        <x:f>100*I367-S367</x:f>
        <x:v>273438.9097750008</x:v>
      </x:c>
      <x:c r="P367" s="7" t="n">
        <x:f>300*I367-T367</x:f>
        <x:v>1014353.4763698876</x:v>
      </x:c>
      <x:c r="Q367" s="7" t="n">
        <x:f>1000*I367-U367</x:f>
        <x:v>3586674.8660713807</x:v>
      </x:c>
      <x:c r="R367" s="7" t="n">
        <x:f>'損益分岐設定'!$B$18+'損益分岐設定'!$B$19+'損益分岐設定'!$B$20+'損益分岐設定'!E37+('損益分岐設定'!F37+2*'損益分岐設定'!G37+AM367)*('損益分岐設定'!$B$15+'損益分岐設定'!$B$16)+'損益分岐設定'!$B$17+'損益分岐設定'!$B$21+E367*'損益分岐設定'!H37*'損益分岐設定'!$B$11</x:f>
        <x:v>50759.18676122127</x:v>
      </x:c>
      <x:c r="S367" s="7" t="n">
        <x:f>'損益分岐設定'!$B$18+'損益分岐設定'!$B$19+'損益分岐設定'!$B$20+'損益分岐設定'!E38+('損益分岐設定'!F38+2*'損益分岐設定'!G38+AN367)*('損益分岐設定'!$B$15+'損益分岐設定'!$B$16)+'損益分岐設定'!$B$17+'損益分岐設定'!$B$21+E367*'損益分岐設定'!H38*'損益分岐設定'!$B$11</x:f>
        <x:v>97018.37352244255</x:v>
      </x:c>
      <x:c r="T367" s="7" t="n">
        <x:f>'損益分岐設定'!$B$18+'損益分岐設定'!$B$19+'損益分岐設定'!$B$20+'損益分岐設定'!E39+('損益分岐設定'!F39+2*'損益分岐設定'!G39+AO367)*('損益分岐設定'!$B$15+'損益分岐設定'!$B$16)+'損益分岐設定'!$B$17+'損益分岐設定'!$B$21+E367*'損益分岐設定'!H39*'損益分岐設定'!$B$11</x:f>
        <x:v>97018.37352244255</x:v>
      </x:c>
      <x:c r="U367" s="7" t="n">
        <x:f>'損益分岐設定'!$B$18+'損益分岐設定'!$B$19+'損益分岐設定'!$B$20+'損益分岐設定'!E40+('損益分岐設定'!F40+2*'損益分岐設定'!G40+AP367)*('損益分岐設定'!$B$15+'損益分岐設定'!$B$16)+'損益分岐設定'!$B$17+'損益分岐設定'!$B$21+E367*'損益分岐設定'!H40*'損益分岐設定'!$B$11</x:f>
        <x:v>117897.96690305318</x:v>
      </x:c>
      <x:c r="V367" s="1" t="n">
        <x:f>IF(I367&lt;=0,1001,IF(MAX('損益分岐設定'!B37,ROUNDUP(R367/I367,0))&lt;='損益分岐設定'!C37,MAX('損益分岐設定'!B37,ROUNDUP(R367/I367,0)),1001))</x:f>
        <x:v>1001</x:v>
      </x:c>
      <x:c r="W367" s="1" t="n">
        <x:f>IF(I367&lt;=0,1001,IF(MAX('損益分岐設定'!B38,ROUNDUP(S367/I367,0))&lt;='損益分岐設定'!C38,MAX('損益分岐設定'!B38,ROUNDUP(S367/I367,0)),1001))</x:f>
        <x:v>27</x:v>
      </x:c>
      <x:c r="X367" s="1" t="n">
        <x:f>IF(I367&lt;=0,1001,IF(MAX('損益分岐設定'!B39,ROUNDUP(T367/I367,0))&lt;='損益分岐設定'!C39,MAX('損益分岐設定'!B39,ROUNDUP(T367/I367,0)),1001))</x:f>
        <x:v>101</x:v>
      </x:c>
      <x:c r="Y367" s="1" t="n">
        <x:f>IF(I367&lt;=0,1001,IF(MAX('損益分岐設定'!B40,ROUNDUP(U367/I367,0))&lt;='損益分岐設定'!C40,MAX('損益分岐設定'!B40,ROUNDUP(U367/I367,0)),1001))</x:f>
        <x:v>501</x:v>
      </x:c>
      <x:c r="Z367" s="1" t="n">
        <x:f>IF(I367&lt;=0,'損益分岐設定'!C37,IF('損益分岐設定'!C37*I367-R367&lt;0,'損益分岐設定'!C37,IF('損益分岐設定'!B37*I367-R367&gt;=0,0,ROUNDUP(R367/I367,0)-1)))</x:f>
        <x:v>10</x:v>
      </x:c>
      <x:c r="AA367" s="1" t="n">
        <x:f>IF(I367&lt;=0,'損益分岐設定'!C38,IF('損益分岐設定'!C38*I367-S367&lt;0,'損益分岐設定'!C38,IF('損益分岐設定'!B38*I367-S367&gt;=0,0,ROUNDUP(S367/I367,0)-1)))</x:f>
        <x:v>26</x:v>
      </x:c>
      <x:c r="AB367" s="1" t="n">
        <x:f>IF(I367&lt;=0,'損益分岐設定'!C39,IF('損益分岐設定'!C39*I367-T367&lt;0,'損益分岐設定'!C39,IF('損益分岐設定'!B39*I367-T367&gt;=0,0,ROUNDUP(T367/I367,0)-1)))</x:f>
        <x:v>0</x:v>
      </x:c>
      <x:c r="AC367" s="1" t="n">
        <x:f>IF(I367&lt;=0,'損益分岐設定'!C40,IF('損益分岐設定'!C40*I367-U367&lt;0,'損益分岐設定'!C40,IF('損益分岐設定'!B40*I367-U367&gt;=0,0,ROUNDUP(U367/I367,0)-1)))</x:f>
        <x:v>0</x:v>
      </x:c>
      <x:c r="AD367" s="1" t="n">
        <x:v>0</x:v>
      </x:c>
      <x:c r="AE367" s="1" t="n">
        <x:v>1</x:v>
      </x:c>
      <x:c r="AF367" s="1" t="n">
        <x:v>0</x:v>
      </x:c>
      <x:c r="AG367" s="1" t="n">
        <x:f>AD367*'損益分岐設定'!$C$56+AE367*'損益分岐設定'!$C$59+AF367*'損益分岐設定'!$C$62</x:f>
        <x:v>115.42604943847657</x:v>
      </x:c>
      <x:c r="AH367" s="1" t="n">
        <x:f>AD367*'損益分岐設定'!$D$56+AE367*'損益分岐設定'!$D$59+AF367*'損益分岐設定'!$D$62</x:f>
        <x:v>30</x:v>
      </x:c>
      <x:c r="AI367" s="1" t="n">
        <x:f>AD367*'損益分岐設定'!$E$56+AE367*'損益分岐設定'!$E$59+AF367*'損益分岐設定'!$E$62</x:f>
        <x:v>20</x:v>
      </x:c>
      <x:c r="AJ367" s="1" t="n">
        <x:f>(AD367*'損益分岐設定'!$F$56+AE367*'損益分岐設定'!$F$59+AF367*'損益分岐設定'!$F$62*1)*'損益分岐設定'!$B$22</x:f>
        <x:v>30</x:v>
      </x:c>
      <x:c r="AK367" s="1" t="n">
        <x:f>AD367*'損益分岐設定'!$G$56+AE367*'損益分岐設定'!$G$59+AF367*'損益分岐設定'!$G$62</x:f>
        <x:v>100</x:v>
      </x:c>
      <x:c r="AL367" s="1" t="n">
        <x:f>AD367*'損益分岐設定'!$H$56+AE367*'損益分岐設定'!$H$59+AF367*'損益分岐設定'!$H$62</x:f>
        <x:v>333.3333333333333</x:v>
      </x:c>
      <x:c r="AM367" s="1" t="n">
        <x:f>MAX(1,ROUNDUP('損益分岐設定'!C37*AJ367/('損益分岐設定'!$B$23*'損益分岐設定'!$B$24*3600*'損益分岐設定'!$B$25),0))</x:f>
        <x:v>1</x:v>
      </x:c>
      <x:c r="AN367" s="1" t="n">
        <x:f>MAX(2,ROUNDUP('損益分岐設定'!C38*AJ367/('損益分岐設定'!$B$23*'損益分岐設定'!$B$24*3600*'損益分岐設定'!$B$25),0))</x:f>
        <x:v>2</x:v>
      </x:c>
      <x:c r="AO367" s="1" t="n">
        <x:f>MAX(2,ROUNDUP('損益分岐設定'!C39*AJ367/('損益分岐設定'!$B$23*'損益分岐設定'!$B$24*3600*'損益分岐設定'!$B$25),0))</x:f>
        <x:v>2</x:v>
      </x:c>
      <x:c r="AP367" s="1" t="n">
        <x:f>MAX(2,ROUNDUP('損益分岐設定'!C40*AJ367/('損益分岐設定'!$B$23*'損益分岐設定'!$B$24*3600*'損益分岐設定'!$B$25),0))</x:f>
        <x:v>2</x:v>
      </x:c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 ht="23" customHeight="1">
      <x:c r="A368" s="1" t="str">
        <x:v>VM</x:v>
      </x:c>
      <x:c r="B368" s="1" t="str">
        <x:v>Business</x:v>
      </x:c>
      <x:c r="C368" s="1" t="str">
        <x:v>低位</x:v>
      </x:c>
      <x:c r="D368" s="21" t="n">
        <x:v>0.2</x:v>
      </x:c>
      <x:c r="E368" s="1" t="n">
        <x:v>1</x:v>
      </x:c>
      <x:c r="F368" s="7" t="n">
        <x:f>AD368*'損益分岐設定'!$B$5+AE368*'損益分岐設定'!$B$6+AF368*'損益分岐設定'!$B$7</x:f>
        <x:v>5000</x:v>
      </x:c>
      <x:c r="G368" s="7" t="n">
        <x:f>AG368+0+AK368*'損益分岐設定'!$B$33</x:f>
        <x:v>115.4271670255661</x:v>
      </x:c>
      <x:c r="H368" s="7" t="n">
        <x:f>AL368*E368</x:f>
        <x:v>333.3333333333333</x:v>
      </x:c>
      <x:c r="I368" s="7" t="n">
        <x:f>F368*(1-D368-'損益分岐設定'!$B$10)-G368-H368</x:f>
        <x:v>3371.2394996411003</x:v>
      </x:c>
      <x:c r="J368" s="1" t="n">
        <x:f>IF(MIN(V368:Y368)&gt;1000,"範囲内なし",MIN(V368:Y368))</x:f>
        <x:v>44</x:v>
      </x:c>
      <x:c r="K368" s="1" t="n">
        <x:f>IF(MAX(Z368:AC368)&gt;=1000,"範囲内なし",MAX(1,MAX(Z368:AC368)+1))</x:f>
        <x:v>44</x:v>
      </x:c>
      <x:c r="L368" s="7" t="n">
        <x:f>10*I368-R368</x:f>
        <x:v>-49046.79176481026</x:v>
      </x:c>
      <x:c r="M368" s="7" t="n">
        <x:f>30*I368-S368</x:f>
        <x:v>-43881.188533209526</x:v>
      </x:c>
      <x:c r="N368" s="7" t="n">
        <x:f>50*I368-S368</x:f>
        <x:v>23543.601459612488</x:v>
      </x:c>
      <x:c r="O368" s="7" t="n">
        <x:f>100*I368-S368</x:f>
        <x:v>192105.5764416675</x:v>
      </x:c>
      <x:c r="P368" s="7" t="n">
        <x:f>300*I368-T368</x:f>
        <x:v>834353.4763698876</x:v>
      </x:c>
      <x:c r="Q368" s="7" t="n">
        <x:f>1000*I368-U368</x:f>
        <x:v>3125341.532738047</x:v>
      </x:c>
      <x:c r="R368" s="7" t="n">
        <x:f>'損益分岐設定'!$B$18+'損益分岐設定'!$B$19+'損益分岐設定'!$B$20+'損益分岐設定'!E37+('損益分岐設定'!F37+2*'損益分岐設定'!G37+AM368)*('損益分岐設定'!$B$15+'損益分岐設定'!$B$16)+'損益分岐設定'!$B$17+'損益分岐設定'!$B$21+E368*'損益分岐設定'!H37*'損益分岐設定'!$B$11</x:f>
        <x:v>82759.18676122127</x:v>
      </x:c>
      <x:c r="S368" s="7" t="n">
        <x:f>'損益分岐設定'!$B$18+'損益分岐設定'!$B$19+'損益分岐設定'!$B$20+'損益分岐設定'!E38+('損益分岐設定'!F38+2*'損益分岐設定'!G38+AN368)*('損益分岐設定'!$B$15+'損益分岐設定'!$B$16)+'損益分岐設定'!$B$17+'損益分岐設定'!$B$21+E368*'損益分岐設定'!H38*'損益分岐設定'!$B$11</x:f>
        <x:v>145018.37352244253</x:v>
      </x:c>
      <x:c r="T368" s="7" t="n">
        <x:f>'損益分岐設定'!$B$18+'損益分岐設定'!$B$19+'損益分岐設定'!$B$20+'損益分岐設定'!E39+('損益分岐設定'!F39+2*'損益分岐設定'!G39+AO368)*('損益分岐設定'!$B$15+'損益分岐設定'!$B$16)+'損益分岐設定'!$B$17+'損益分岐設定'!$B$21+E368*'損益分岐設定'!H39*'損益分岐設定'!$B$11</x:f>
        <x:v>177018.37352244253</x:v>
      </x:c>
      <x:c r="U368" s="7" t="n">
        <x:f>'損益分岐設定'!$B$18+'損益分岐設定'!$B$19+'損益分岐設定'!$B$20+'損益分岐設定'!E40+('損益分岐設定'!F40+2*'損益分岐設定'!G40+AP368)*('損益分岐設定'!$B$15+'損益分岐設定'!$B$16)+'損益分岐設定'!$B$17+'損益分岐設定'!$B$21+E368*'損益分岐設定'!H40*'損益分岐設定'!$B$11</x:f>
        <x:v>245897.96690305317</x:v>
      </x:c>
      <x:c r="V368" s="1" t="n">
        <x:f>IF(I368&lt;=0,1001,IF(MAX('損益分岐設定'!B37,ROUNDUP(R368/I368,0))&lt;='損益分岐設定'!C37,MAX('損益分岐設定'!B37,ROUNDUP(R368/I368,0)),1001))</x:f>
        <x:v>1001</x:v>
      </x:c>
      <x:c r="W368" s="1" t="n">
        <x:f>IF(I368&lt;=0,1001,IF(MAX('損益分岐設定'!B38,ROUNDUP(S368/I368,0))&lt;='損益分岐設定'!C38,MAX('損益分岐設定'!B38,ROUNDUP(S368/I368,0)),1001))</x:f>
        <x:v>44</x:v>
      </x:c>
      <x:c r="X368" s="1" t="n">
        <x:f>IF(I368&lt;=0,1001,IF(MAX('損益分岐設定'!B39,ROUNDUP(T368/I368,0))&lt;='損益分岐設定'!C39,MAX('損益分岐設定'!B39,ROUNDUP(T368/I368,0)),1001))</x:f>
        <x:v>101</x:v>
      </x:c>
      <x:c r="Y368" s="1" t="n">
        <x:f>IF(I368&lt;=0,1001,IF(MAX('損益分岐設定'!B40,ROUNDUP(U368/I368,0))&lt;='損益分岐設定'!C40,MAX('損益分岐設定'!B40,ROUNDUP(U368/I368,0)),1001))</x:f>
        <x:v>501</x:v>
      </x:c>
      <x:c r="Z368" s="1" t="n">
        <x:f>IF(I368&lt;=0,'損益分岐設定'!C37,IF('損益分岐設定'!C37*I368-R368&lt;0,'損益分岐設定'!C37,IF('損益分岐設定'!B37*I368-R368&gt;=0,0,ROUNDUP(R368/I368,0)-1)))</x:f>
        <x:v>10</x:v>
      </x:c>
      <x:c r="AA368" s="1" t="n">
        <x:f>IF(I368&lt;=0,'損益分岐設定'!C38,IF('損益分岐設定'!C38*I368-S368&lt;0,'損益分岐設定'!C38,IF('損益分岐設定'!B38*I368-S368&gt;=0,0,ROUNDUP(S368/I368,0)-1)))</x:f>
        <x:v>43</x:v>
      </x:c>
      <x:c r="AB368" s="1" t="n">
        <x:f>IF(I368&lt;=0,'損益分岐設定'!C39,IF('損益分岐設定'!C39*I368-T368&lt;0,'損益分岐設定'!C39,IF('損益分岐設定'!B39*I368-T368&gt;=0,0,ROUNDUP(T368/I368,0)-1)))</x:f>
        <x:v>0</x:v>
      </x:c>
      <x:c r="AC368" s="1" t="n">
        <x:f>IF(I368&lt;=0,'損益分岐設定'!C40,IF('損益分岐設定'!C40*I368-U368&lt;0,'損益分岐設定'!C40,IF('損益分岐設定'!B40*I368-U368&gt;=0,0,ROUNDUP(U368/I368,0)-1)))</x:f>
        <x:v>0</x:v>
      </x:c>
      <x:c r="AD368" s="1" t="n">
        <x:v>0</x:v>
      </x:c>
      <x:c r="AE368" s="1" t="n">
        <x:v>1</x:v>
      </x:c>
      <x:c r="AF368" s="1" t="n">
        <x:v>0</x:v>
      </x:c>
      <x:c r="AG368" s="1" t="n">
        <x:f>AD368*'損益分岐設定'!$C$56+AE368*'損益分岐設定'!$C$59+AF368*'損益分岐設定'!$C$62</x:f>
        <x:v>115.42604943847657</x:v>
      </x:c>
      <x:c r="AH368" s="1" t="n">
        <x:f>AD368*'損益分岐設定'!$D$56+AE368*'損益分岐設定'!$D$59+AF368*'損益分岐設定'!$D$62</x:f>
        <x:v>30</x:v>
      </x:c>
      <x:c r="AI368" s="1" t="n">
        <x:f>AD368*'損益分岐設定'!$E$56+AE368*'損益分岐設定'!$E$59+AF368*'損益分岐設定'!$E$62</x:f>
        <x:v>20</x:v>
      </x:c>
      <x:c r="AJ368" s="1" t="n">
        <x:f>(AD368*'損益分岐設定'!$F$56+AE368*'損益分岐設定'!$F$59+AF368*'損益分岐設定'!$F$62*1)*'損益分岐設定'!$B$22</x:f>
        <x:v>30</x:v>
      </x:c>
      <x:c r="AK368" s="1" t="n">
        <x:f>AD368*'損益分岐設定'!$G$56+AE368*'損益分岐設定'!$G$59+AF368*'損益分岐設定'!$G$62</x:f>
        <x:v>100</x:v>
      </x:c>
      <x:c r="AL368" s="1" t="n">
        <x:f>AD368*'損益分岐設定'!$H$56+AE368*'損益分岐設定'!$H$59+AF368*'損益分岐設定'!$H$62</x:f>
        <x:v>333.3333333333333</x:v>
      </x:c>
      <x:c r="AM368" s="1" t="n">
        <x:f>MAX(1,ROUNDUP('損益分岐設定'!C37*AJ368/('損益分岐設定'!$B$23*'損益分岐設定'!$B$24*3600*'損益分岐設定'!$B$25),0))</x:f>
        <x:v>1</x:v>
      </x:c>
      <x:c r="AN368" s="1" t="n">
        <x:f>MAX(2,ROUNDUP('損益分岐設定'!C38*AJ368/('損益分岐設定'!$B$23*'損益分岐設定'!$B$24*3600*'損益分岐設定'!$B$25),0))</x:f>
        <x:v>2</x:v>
      </x:c>
      <x:c r="AO368" s="1" t="n">
        <x:f>MAX(2,ROUNDUP('損益分岐設定'!C39*AJ368/('損益分岐設定'!$B$23*'損益分岐設定'!$B$24*3600*'損益分岐設定'!$B$25),0))</x:f>
        <x:v>2</x:v>
      </x:c>
      <x:c r="AP368" s="1" t="n">
        <x:f>MAX(2,ROUNDUP('損益分岐設定'!C40*AJ368/('損益分岐設定'!$B$23*'損益分岐設定'!$B$24*3600*'損益分岐設定'!$B$25),0))</x:f>
        <x:v>2</x:v>
      </x:c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 ht="23" customHeight="1">
      <x:c r="A369" s="1" t="str">
        <x:v>VM</x:v>
      </x:c>
      <x:c r="B369" s="1" t="str">
        <x:v>Business</x:v>
      </x:c>
      <x:c r="C369" s="1" t="str">
        <x:v>低位</x:v>
      </x:c>
      <x:c r="D369" s="21" t="n">
        <x:v>0.3</x:v>
      </x:c>
      <x:c r="E369" s="1" t="n">
        <x:v>0</x:v>
      </x:c>
      <x:c r="F369" s="7" t="n">
        <x:f>AD369*'損益分岐設定'!$B$5+AE369*'損益分岐設定'!$B$6+AF369*'損益分岐設定'!$B$7</x:f>
        <x:v>5000</x:v>
      </x:c>
      <x:c r="G369" s="7" t="n">
        <x:f>AG369+0+AK369*'損益分岐設定'!$B$33</x:f>
        <x:v>115.4271670255661</x:v>
      </x:c>
      <x:c r="H369" s="7" t="n">
        <x:f>AL369*E369</x:f>
        <x:v>0</x:v>
      </x:c>
      <x:c r="I369" s="7" t="n">
        <x:f>F369*(1-D369-'損益分岐設定'!$B$10)-G369-H369</x:f>
        <x:v>3204.5728329744334</x:v>
      </x:c>
      <x:c r="J369" s="1" t="n">
        <x:f>IF(MIN(V369:Y369)&gt;1000,"範囲内なし",MIN(V369:Y369))</x:f>
        <x:v>31</x:v>
      </x:c>
      <x:c r="K369" s="1" t="n">
        <x:f>IF(MAX(Z369:AC369)&gt;=1000,"範囲内なし",MAX(1,MAX(Z369:AC369)+1))</x:f>
        <x:v>31</x:v>
      </x:c>
      <x:c r="L369" s="7" t="n">
        <x:f>10*I369-R369</x:f>
        <x:v>-18713.458431476938</x:v>
      </x:c>
      <x:c r="M369" s="7" t="n">
        <x:f>30*I369-S369</x:f>
        <x:v>-881.1885332095408</x:v>
      </x:c>
      <x:c r="N369" s="7" t="n">
        <x:f>50*I369-S369</x:f>
        <x:v>63210.26812627913</x:v>
      </x:c>
      <x:c r="O369" s="7" t="n">
        <x:f>100*I369-S369</x:f>
        <x:v>223438.90977500082</x:v>
      </x:c>
      <x:c r="P369" s="7" t="n">
        <x:f>300*I369-T369</x:f>
        <x:v>864353.4763698875</x:v>
      </x:c>
      <x:c r="Q369" s="7" t="n">
        <x:f>1000*I369-U369</x:f>
        <x:v>3086674.86607138</x:v>
      </x:c>
      <x:c r="R369" s="7" t="n">
        <x:f>'損益分岐設定'!$B$18+'損益分岐設定'!$B$19+'損益分岐設定'!$B$20+'損益分岐設定'!E37+('損益分岐設定'!F37+2*'損益分岐設定'!G37+AM369)*('損益分岐設定'!$B$15+'損益分岐設定'!$B$16)+'損益分岐設定'!$B$17+'損益分岐設定'!$B$21+E369*'損益分岐設定'!H37*'損益分岐設定'!$B$11</x:f>
        <x:v>50759.18676122127</x:v>
      </x:c>
      <x:c r="S369" s="7" t="n">
        <x:f>'損益分岐設定'!$B$18+'損益分岐設定'!$B$19+'損益分岐設定'!$B$20+'損益分岐設定'!E38+('損益分岐設定'!F38+2*'損益分岐設定'!G38+AN369)*('損益分岐設定'!$B$15+'損益分岐設定'!$B$16)+'損益分岐設定'!$B$17+'損益分岐設定'!$B$21+E369*'損益分岐設定'!H38*'損益分岐設定'!$B$11</x:f>
        <x:v>97018.37352244255</x:v>
      </x:c>
      <x:c r="T369" s="7" t="n">
        <x:f>'損益分岐設定'!$B$18+'損益分岐設定'!$B$19+'損益分岐設定'!$B$20+'損益分岐設定'!E39+('損益分岐設定'!F39+2*'損益分岐設定'!G39+AO369)*('損益分岐設定'!$B$15+'損益分岐設定'!$B$16)+'損益分岐設定'!$B$17+'損益分岐設定'!$B$21+E369*'損益分岐設定'!H39*'損益分岐設定'!$B$11</x:f>
        <x:v>97018.37352244255</x:v>
      </x:c>
      <x:c r="U369" s="7" t="n">
        <x:f>'損益分岐設定'!$B$18+'損益分岐設定'!$B$19+'損益分岐設定'!$B$20+'損益分岐設定'!E40+('損益分岐設定'!F40+2*'損益分岐設定'!G40+AP369)*('損益分岐設定'!$B$15+'損益分岐設定'!$B$16)+'損益分岐設定'!$B$17+'損益分岐設定'!$B$21+E369*'損益分岐設定'!H40*'損益分岐設定'!$B$11</x:f>
        <x:v>117897.96690305318</x:v>
      </x:c>
      <x:c r="V369" s="1" t="n">
        <x:f>IF(I369&lt;=0,1001,IF(MAX('損益分岐設定'!B37,ROUNDUP(R369/I369,0))&lt;='損益分岐設定'!C37,MAX('損益分岐設定'!B37,ROUNDUP(R369/I369,0)),1001))</x:f>
        <x:v>1001</x:v>
      </x:c>
      <x:c r="W369" s="1" t="n">
        <x:f>IF(I369&lt;=0,1001,IF(MAX('損益分岐設定'!B38,ROUNDUP(S369/I369,0))&lt;='損益分岐設定'!C38,MAX('損益分岐設定'!B38,ROUNDUP(S369/I369,0)),1001))</x:f>
        <x:v>31</x:v>
      </x:c>
      <x:c r="X369" s="1" t="n">
        <x:f>IF(I369&lt;=0,1001,IF(MAX('損益分岐設定'!B39,ROUNDUP(T369/I369,0))&lt;='損益分岐設定'!C39,MAX('損益分岐設定'!B39,ROUNDUP(T369/I369,0)),1001))</x:f>
        <x:v>101</x:v>
      </x:c>
      <x:c r="Y369" s="1" t="n">
        <x:f>IF(I369&lt;=0,1001,IF(MAX('損益分岐設定'!B40,ROUNDUP(U369/I369,0))&lt;='損益分岐設定'!C40,MAX('損益分岐設定'!B40,ROUNDUP(U369/I369,0)),1001))</x:f>
        <x:v>501</x:v>
      </x:c>
      <x:c r="Z369" s="1" t="n">
        <x:f>IF(I369&lt;=0,'損益分岐設定'!C37,IF('損益分岐設定'!C37*I369-R369&lt;0,'損益分岐設定'!C37,IF('損益分岐設定'!B37*I369-R369&gt;=0,0,ROUNDUP(R369/I369,0)-1)))</x:f>
        <x:v>10</x:v>
      </x:c>
      <x:c r="AA369" s="1" t="n">
        <x:f>IF(I369&lt;=0,'損益分岐設定'!C38,IF('損益分岐設定'!C38*I369-S369&lt;0,'損益分岐設定'!C38,IF('損益分岐設定'!B38*I369-S369&gt;=0,0,ROUNDUP(S369/I369,0)-1)))</x:f>
        <x:v>30</x:v>
      </x:c>
      <x:c r="AB369" s="1" t="n">
        <x:f>IF(I369&lt;=0,'損益分岐設定'!C39,IF('損益分岐設定'!C39*I369-T369&lt;0,'損益分岐設定'!C39,IF('損益分岐設定'!B39*I369-T369&gt;=0,0,ROUNDUP(T369/I369,0)-1)))</x:f>
        <x:v>0</x:v>
      </x:c>
      <x:c r="AC369" s="1" t="n">
        <x:f>IF(I369&lt;=0,'損益分岐設定'!C40,IF('損益分岐設定'!C40*I369-U369&lt;0,'損益分岐設定'!C40,IF('損益分岐設定'!B40*I369-U369&gt;=0,0,ROUNDUP(U369/I369,0)-1)))</x:f>
        <x:v>0</x:v>
      </x:c>
      <x:c r="AD369" s="1" t="n">
        <x:v>0</x:v>
      </x:c>
      <x:c r="AE369" s="1" t="n">
        <x:v>1</x:v>
      </x:c>
      <x:c r="AF369" s="1" t="n">
        <x:v>0</x:v>
      </x:c>
      <x:c r="AG369" s="1" t="n">
        <x:f>AD369*'損益分岐設定'!$C$56+AE369*'損益分岐設定'!$C$59+AF369*'損益分岐設定'!$C$62</x:f>
        <x:v>115.42604943847657</x:v>
      </x:c>
      <x:c r="AH369" s="1" t="n">
        <x:f>AD369*'損益分岐設定'!$D$56+AE369*'損益分岐設定'!$D$59+AF369*'損益分岐設定'!$D$62</x:f>
        <x:v>30</x:v>
      </x:c>
      <x:c r="AI369" s="1" t="n">
        <x:f>AD369*'損益分岐設定'!$E$56+AE369*'損益分岐設定'!$E$59+AF369*'損益分岐設定'!$E$62</x:f>
        <x:v>20</x:v>
      </x:c>
      <x:c r="AJ369" s="1" t="n">
        <x:f>(AD369*'損益分岐設定'!$F$56+AE369*'損益分岐設定'!$F$59+AF369*'損益分岐設定'!$F$62*1)*'損益分岐設定'!$B$22</x:f>
        <x:v>30</x:v>
      </x:c>
      <x:c r="AK369" s="1" t="n">
        <x:f>AD369*'損益分岐設定'!$G$56+AE369*'損益分岐設定'!$G$59+AF369*'損益分岐設定'!$G$62</x:f>
        <x:v>100</x:v>
      </x:c>
      <x:c r="AL369" s="1" t="n">
        <x:f>AD369*'損益分岐設定'!$H$56+AE369*'損益分岐設定'!$H$59+AF369*'損益分岐設定'!$H$62</x:f>
        <x:v>333.3333333333333</x:v>
      </x:c>
      <x:c r="AM369" s="1" t="n">
        <x:f>MAX(1,ROUNDUP('損益分岐設定'!C37*AJ369/('損益分岐設定'!$B$23*'損益分岐設定'!$B$24*3600*'損益分岐設定'!$B$25),0))</x:f>
        <x:v>1</x:v>
      </x:c>
      <x:c r="AN369" s="1" t="n">
        <x:f>MAX(2,ROUNDUP('損益分岐設定'!C38*AJ369/('損益分岐設定'!$B$23*'損益分岐設定'!$B$24*3600*'損益分岐設定'!$B$25),0))</x:f>
        <x:v>2</x:v>
      </x:c>
      <x:c r="AO369" s="1" t="n">
        <x:f>MAX(2,ROUNDUP('損益分岐設定'!C39*AJ369/('損益分岐設定'!$B$23*'損益分岐設定'!$B$24*3600*'損益分岐設定'!$B$25),0))</x:f>
        <x:v>2</x:v>
      </x:c>
      <x:c r="AP369" s="1" t="n">
        <x:f>MAX(2,ROUNDUP('損益分岐設定'!C40*AJ369/('損益分岐設定'!$B$23*'損益分岐設定'!$B$24*3600*'損益分岐設定'!$B$25),0))</x:f>
        <x:v>2</x:v>
      </x:c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 ht="23" customHeight="1">
      <x:c r="A370" s="1" t="str">
        <x:v>VM</x:v>
      </x:c>
      <x:c r="B370" s="1" t="str">
        <x:v>Business</x:v>
      </x:c>
      <x:c r="C370" s="1" t="str">
        <x:v>低位</x:v>
      </x:c>
      <x:c r="D370" s="21" t="n">
        <x:v>0.3</x:v>
      </x:c>
      <x:c r="E370" s="1" t="n">
        <x:v>1</x:v>
      </x:c>
      <x:c r="F370" s="7" t="n">
        <x:f>AD370*'損益分岐設定'!$B$5+AE370*'損益分岐設定'!$B$6+AF370*'損益分岐設定'!$B$7</x:f>
        <x:v>5000</x:v>
      </x:c>
      <x:c r="G370" s="7" t="n">
        <x:f>AG370+0+AK370*'損益分岐設定'!$B$33</x:f>
        <x:v>115.4271670255661</x:v>
      </x:c>
      <x:c r="H370" s="7" t="n">
        <x:f>AL370*E370</x:f>
        <x:v>333.3333333333333</x:v>
      </x:c>
      <x:c r="I370" s="7" t="n">
        <x:f>F370*(1-D370-'損益分岐設定'!$B$10)-G370-H370</x:f>
        <x:v>2871.2394996411</x:v>
      </x:c>
      <x:c r="J370" s="1" t="n">
        <x:f>IF(MIN(V370:Y370)&gt;1000,"範囲内なし",MIN(V370:Y370))</x:f>
        <x:v>51</x:v>
      </x:c>
      <x:c r="K370" s="1" t="n">
        <x:f>IF(MAX(Z370:AC370)&gt;=1000,"範囲内なし",MAX(1,MAX(Z370:AC370)+1))</x:f>
        <x:v>51</x:v>
      </x:c>
      <x:c r="L370" s="7" t="n">
        <x:f>10*I370-R370</x:f>
        <x:v>-54046.79176481027</x:v>
      </x:c>
      <x:c r="M370" s="7" t="n">
        <x:f>30*I370-S370</x:f>
        <x:v>-58881.18853320954</x:v>
      </x:c>
      <x:c r="N370" s="7" t="n">
        <x:f>50*I370-S370</x:f>
        <x:v>-1456.3985403875413</x:v>
      </x:c>
      <x:c r="O370" s="7" t="n">
        <x:f>100*I370-S370</x:f>
        <x:v>142105.57644166745</x:v>
      </x:c>
      <x:c r="P370" s="7" t="n">
        <x:f>300*I370-T370</x:f>
        <x:v>684353.4763698875</x:v>
      </x:c>
      <x:c r="Q370" s="7" t="n">
        <x:f>1000*I370-U370</x:f>
        <x:v>2625341.5327380467</x:v>
      </x:c>
      <x:c r="R370" s="7" t="n">
        <x:f>'損益分岐設定'!$B$18+'損益分岐設定'!$B$19+'損益分岐設定'!$B$20+'損益分岐設定'!E37+('損益分岐設定'!F37+2*'損益分岐設定'!G37+AM370)*('損益分岐設定'!$B$15+'損益分岐設定'!$B$16)+'損益分岐設定'!$B$17+'損益分岐設定'!$B$21+E370*'損益分岐設定'!H37*'損益分岐設定'!$B$11</x:f>
        <x:v>82759.18676122127</x:v>
      </x:c>
      <x:c r="S370" s="7" t="n">
        <x:f>'損益分岐設定'!$B$18+'損益分岐設定'!$B$19+'損益分岐設定'!$B$20+'損益分岐設定'!E38+('損益分岐設定'!F38+2*'損益分岐設定'!G38+AN370)*('損益分岐設定'!$B$15+'損益分岐設定'!$B$16)+'損益分岐設定'!$B$17+'損益分岐設定'!$B$21+E370*'損益分岐設定'!H38*'損益分岐設定'!$B$11</x:f>
        <x:v>145018.37352244253</x:v>
      </x:c>
      <x:c r="T370" s="7" t="n">
        <x:f>'損益分岐設定'!$B$18+'損益分岐設定'!$B$19+'損益分岐設定'!$B$20+'損益分岐設定'!E39+('損益分岐設定'!F39+2*'損益分岐設定'!G39+AO370)*('損益分岐設定'!$B$15+'損益分岐設定'!$B$16)+'損益分岐設定'!$B$17+'損益分岐設定'!$B$21+E370*'損益分岐設定'!H39*'損益分岐設定'!$B$11</x:f>
        <x:v>177018.37352244253</x:v>
      </x:c>
      <x:c r="U370" s="7" t="n">
        <x:f>'損益分岐設定'!$B$18+'損益分岐設定'!$B$19+'損益分岐設定'!$B$20+'損益分岐設定'!E40+('損益分岐設定'!F40+2*'損益分岐設定'!G40+AP370)*('損益分岐設定'!$B$15+'損益分岐設定'!$B$16)+'損益分岐設定'!$B$17+'損益分岐設定'!$B$21+E370*'損益分岐設定'!H40*'損益分岐設定'!$B$11</x:f>
        <x:v>245897.96690305317</x:v>
      </x:c>
      <x:c r="V370" s="1" t="n">
        <x:f>IF(I370&lt;=0,1001,IF(MAX('損益分岐設定'!B37,ROUNDUP(R370/I370,0))&lt;='損益分岐設定'!C37,MAX('損益分岐設定'!B37,ROUNDUP(R370/I370,0)),1001))</x:f>
        <x:v>1001</x:v>
      </x:c>
      <x:c r="W370" s="1" t="n">
        <x:f>IF(I370&lt;=0,1001,IF(MAX('損益分岐設定'!B38,ROUNDUP(S370/I370,0))&lt;='損益分岐設定'!C38,MAX('損益分岐設定'!B38,ROUNDUP(S370/I370,0)),1001))</x:f>
        <x:v>51</x:v>
      </x:c>
      <x:c r="X370" s="1" t="n">
        <x:f>IF(I370&lt;=0,1001,IF(MAX('損益分岐設定'!B39,ROUNDUP(T370/I370,0))&lt;='損益分岐設定'!C39,MAX('損益分岐設定'!B39,ROUNDUP(T370/I370,0)),1001))</x:f>
        <x:v>101</x:v>
      </x:c>
      <x:c r="Y370" s="1" t="n">
        <x:f>IF(I370&lt;=0,1001,IF(MAX('損益分岐設定'!B40,ROUNDUP(U370/I370,0))&lt;='損益分岐設定'!C40,MAX('損益分岐設定'!B40,ROUNDUP(U370/I370,0)),1001))</x:f>
        <x:v>501</x:v>
      </x:c>
      <x:c r="Z370" s="1" t="n">
        <x:f>IF(I370&lt;=0,'損益分岐設定'!C37,IF('損益分岐設定'!C37*I370-R370&lt;0,'損益分岐設定'!C37,IF('損益分岐設定'!B37*I370-R370&gt;=0,0,ROUNDUP(R370/I370,0)-1)))</x:f>
        <x:v>10</x:v>
      </x:c>
      <x:c r="AA370" s="1" t="n">
        <x:f>IF(I370&lt;=0,'損益分岐設定'!C38,IF('損益分岐設定'!C38*I370-S370&lt;0,'損益分岐設定'!C38,IF('損益分岐設定'!B38*I370-S370&gt;=0,0,ROUNDUP(S370/I370,0)-1)))</x:f>
        <x:v>50</x:v>
      </x:c>
      <x:c r="AB370" s="1" t="n">
        <x:f>IF(I370&lt;=0,'損益分岐設定'!C39,IF('損益分岐設定'!C39*I370-T370&lt;0,'損益分岐設定'!C39,IF('損益分岐設定'!B39*I370-T370&gt;=0,0,ROUNDUP(T370/I370,0)-1)))</x:f>
        <x:v>0</x:v>
      </x:c>
      <x:c r="AC370" s="1" t="n">
        <x:f>IF(I370&lt;=0,'損益分岐設定'!C40,IF('損益分岐設定'!C40*I370-U370&lt;0,'損益分岐設定'!C40,IF('損益分岐設定'!B40*I370-U370&gt;=0,0,ROUNDUP(U370/I370,0)-1)))</x:f>
        <x:v>0</x:v>
      </x:c>
      <x:c r="AD370" s="1" t="n">
        <x:v>0</x:v>
      </x:c>
      <x:c r="AE370" s="1" t="n">
        <x:v>1</x:v>
      </x:c>
      <x:c r="AF370" s="1" t="n">
        <x:v>0</x:v>
      </x:c>
      <x:c r="AG370" s="1" t="n">
        <x:f>AD370*'損益分岐設定'!$C$56+AE370*'損益分岐設定'!$C$59+AF370*'損益分岐設定'!$C$62</x:f>
        <x:v>115.42604943847657</x:v>
      </x:c>
      <x:c r="AH370" s="1" t="n">
        <x:f>AD370*'損益分岐設定'!$D$56+AE370*'損益分岐設定'!$D$59+AF370*'損益分岐設定'!$D$62</x:f>
        <x:v>30</x:v>
      </x:c>
      <x:c r="AI370" s="1" t="n">
        <x:f>AD370*'損益分岐設定'!$E$56+AE370*'損益分岐設定'!$E$59+AF370*'損益分岐設定'!$E$62</x:f>
        <x:v>20</x:v>
      </x:c>
      <x:c r="AJ370" s="1" t="n">
        <x:f>(AD370*'損益分岐設定'!$F$56+AE370*'損益分岐設定'!$F$59+AF370*'損益分岐設定'!$F$62*1)*'損益分岐設定'!$B$22</x:f>
        <x:v>30</x:v>
      </x:c>
      <x:c r="AK370" s="1" t="n">
        <x:f>AD370*'損益分岐設定'!$G$56+AE370*'損益分岐設定'!$G$59+AF370*'損益分岐設定'!$G$62</x:f>
        <x:v>100</x:v>
      </x:c>
      <x:c r="AL370" s="1" t="n">
        <x:f>AD370*'損益分岐設定'!$H$56+AE370*'損益分岐設定'!$H$59+AF370*'損益分岐設定'!$H$62</x:f>
        <x:v>333.3333333333333</x:v>
      </x:c>
      <x:c r="AM370" s="1" t="n">
        <x:f>MAX(1,ROUNDUP('損益分岐設定'!C37*AJ370/('損益分岐設定'!$B$23*'損益分岐設定'!$B$24*3600*'損益分岐設定'!$B$25),0))</x:f>
        <x:v>1</x:v>
      </x:c>
      <x:c r="AN370" s="1" t="n">
        <x:f>MAX(2,ROUNDUP('損益分岐設定'!C38*AJ370/('損益分岐設定'!$B$23*'損益分岐設定'!$B$24*3600*'損益分岐設定'!$B$25),0))</x:f>
        <x:v>2</x:v>
      </x:c>
      <x:c r="AO370" s="1" t="n">
        <x:f>MAX(2,ROUNDUP('損益分岐設定'!C39*AJ370/('損益分岐設定'!$B$23*'損益分岐設定'!$B$24*3600*'損益分岐設定'!$B$25),0))</x:f>
        <x:v>2</x:v>
      </x:c>
      <x:c r="AP370" s="1" t="n">
        <x:f>MAX(2,ROUNDUP('損益分岐設定'!C40*AJ370/('損益分岐設定'!$B$23*'損益分岐設定'!$B$24*3600*'損益分岐設定'!$B$25),0))</x:f>
        <x:v>2</x:v>
      </x:c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 ht="23" customHeight="1">
      <x:c r="A371" s="1" t="str">
        <x:v>VM</x:v>
      </x:c>
      <x:c r="B371" s="1" t="str">
        <x:v>Business</x:v>
      </x:c>
      <x:c r="C371" s="1" t="str">
        <x:v>低位</x:v>
      </x:c>
      <x:c r="D371" s="21" t="n">
        <x:v>0.4</x:v>
      </x:c>
      <x:c r="E371" s="1" t="n">
        <x:v>0</x:v>
      </x:c>
      <x:c r="F371" s="7" t="n">
        <x:f>AD371*'損益分岐設定'!$B$5+AE371*'損益分岐設定'!$B$6+AF371*'損益分岐設定'!$B$7</x:f>
        <x:v>5000</x:v>
      </x:c>
      <x:c r="G371" s="7" t="n">
        <x:f>AG371+0+AK371*'損益分岐設定'!$B$33</x:f>
        <x:v>115.4271670255661</x:v>
      </x:c>
      <x:c r="H371" s="7" t="n">
        <x:f>AL371*E371</x:f>
        <x:v>0</x:v>
      </x:c>
      <x:c r="I371" s="7" t="n">
        <x:f>F371*(1-D371-'損益分岐設定'!$B$10)-G371-H371</x:f>
        <x:v>2704.5728329744334</x:v>
      </x:c>
      <x:c r="J371" s="1" t="n">
        <x:f>IF(MIN(V371:Y371)&gt;1000,"範囲内なし",MIN(V371:Y371))</x:f>
        <x:v>36</x:v>
      </x:c>
      <x:c r="K371" s="1" t="n">
        <x:f>IF(MAX(Z371:AC371)&gt;=1000,"範囲内なし",MAX(1,MAX(Z371:AC371)+1))</x:f>
        <x:v>36</x:v>
      </x:c>
      <x:c r="L371" s="7" t="n">
        <x:f>10*I371-R371</x:f>
        <x:v>-23713.458431476938</x:v>
      </x:c>
      <x:c r="M371" s="7" t="n">
        <x:f>30*I371-S371</x:f>
        <x:v>-15881.18853320954</x:v>
      </x:c>
      <x:c r="N371" s="7" t="n">
        <x:f>50*I371-S371</x:f>
        <x:v>38210.26812627913</x:v>
      </x:c>
      <x:c r="O371" s="7" t="n">
        <x:f>100*I371-S371</x:f>
        <x:v>173438.90977500082</x:v>
      </x:c>
      <x:c r="P371" s="7" t="n">
        <x:f>300*I371-T371</x:f>
        <x:v>714353.4763698875</x:v>
      </x:c>
      <x:c r="Q371" s="7" t="n">
        <x:f>1000*I371-U371</x:f>
        <x:v>2586674.86607138</x:v>
      </x:c>
      <x:c r="R371" s="7" t="n">
        <x:f>'損益分岐設定'!$B$18+'損益分岐設定'!$B$19+'損益分岐設定'!$B$20+'損益分岐設定'!E37+('損益分岐設定'!F37+2*'損益分岐設定'!G37+AM371)*('損益分岐設定'!$B$15+'損益分岐設定'!$B$16)+'損益分岐設定'!$B$17+'損益分岐設定'!$B$21+E371*'損益分岐設定'!H37*'損益分岐設定'!$B$11</x:f>
        <x:v>50759.18676122127</x:v>
      </x:c>
      <x:c r="S371" s="7" t="n">
        <x:f>'損益分岐設定'!$B$18+'損益分岐設定'!$B$19+'損益分岐設定'!$B$20+'損益分岐設定'!E38+('損益分岐設定'!F38+2*'損益分岐設定'!G38+AN371)*('損益分岐設定'!$B$15+'損益分岐設定'!$B$16)+'損益分岐設定'!$B$17+'損益分岐設定'!$B$21+E371*'損益分岐設定'!H38*'損益分岐設定'!$B$11</x:f>
        <x:v>97018.37352244255</x:v>
      </x:c>
      <x:c r="T371" s="7" t="n">
        <x:f>'損益分岐設定'!$B$18+'損益分岐設定'!$B$19+'損益分岐設定'!$B$20+'損益分岐設定'!E39+('損益分岐設定'!F39+2*'損益分岐設定'!G39+AO371)*('損益分岐設定'!$B$15+'損益分岐設定'!$B$16)+'損益分岐設定'!$B$17+'損益分岐設定'!$B$21+E371*'損益分岐設定'!H39*'損益分岐設定'!$B$11</x:f>
        <x:v>97018.37352244255</x:v>
      </x:c>
      <x:c r="U371" s="7" t="n">
        <x:f>'損益分岐設定'!$B$18+'損益分岐設定'!$B$19+'損益分岐設定'!$B$20+'損益分岐設定'!E40+('損益分岐設定'!F40+2*'損益分岐設定'!G40+AP371)*('損益分岐設定'!$B$15+'損益分岐設定'!$B$16)+'損益分岐設定'!$B$17+'損益分岐設定'!$B$21+E371*'損益分岐設定'!H40*'損益分岐設定'!$B$11</x:f>
        <x:v>117897.96690305318</x:v>
      </x:c>
      <x:c r="V371" s="1" t="n">
        <x:f>IF(I371&lt;=0,1001,IF(MAX('損益分岐設定'!B37,ROUNDUP(R371/I371,0))&lt;='損益分岐設定'!C37,MAX('損益分岐設定'!B37,ROUNDUP(R371/I371,0)),1001))</x:f>
        <x:v>1001</x:v>
      </x:c>
      <x:c r="W371" s="1" t="n">
        <x:f>IF(I371&lt;=0,1001,IF(MAX('損益分岐設定'!B38,ROUNDUP(S371/I371,0))&lt;='損益分岐設定'!C38,MAX('損益分岐設定'!B38,ROUNDUP(S371/I371,0)),1001))</x:f>
        <x:v>36</x:v>
      </x:c>
      <x:c r="X371" s="1" t="n">
        <x:f>IF(I371&lt;=0,1001,IF(MAX('損益分岐設定'!B39,ROUNDUP(T371/I371,0))&lt;='損益分岐設定'!C39,MAX('損益分岐設定'!B39,ROUNDUP(T371/I371,0)),1001))</x:f>
        <x:v>101</x:v>
      </x:c>
      <x:c r="Y371" s="1" t="n">
        <x:f>IF(I371&lt;=0,1001,IF(MAX('損益分岐設定'!B40,ROUNDUP(U371/I371,0))&lt;='損益分岐設定'!C40,MAX('損益分岐設定'!B40,ROUNDUP(U371/I371,0)),1001))</x:f>
        <x:v>501</x:v>
      </x:c>
      <x:c r="Z371" s="1" t="n">
        <x:f>IF(I371&lt;=0,'損益分岐設定'!C37,IF('損益分岐設定'!C37*I371-R371&lt;0,'損益分岐設定'!C37,IF('損益分岐設定'!B37*I371-R371&gt;=0,0,ROUNDUP(R371/I371,0)-1)))</x:f>
        <x:v>10</x:v>
      </x:c>
      <x:c r="AA371" s="1" t="n">
        <x:f>IF(I371&lt;=0,'損益分岐設定'!C38,IF('損益分岐設定'!C38*I371-S371&lt;0,'損益分岐設定'!C38,IF('損益分岐設定'!B38*I371-S371&gt;=0,0,ROUNDUP(S371/I371,0)-1)))</x:f>
        <x:v>35</x:v>
      </x:c>
      <x:c r="AB371" s="1" t="n">
        <x:f>IF(I371&lt;=0,'損益分岐設定'!C39,IF('損益分岐設定'!C39*I371-T371&lt;0,'損益分岐設定'!C39,IF('損益分岐設定'!B39*I371-T371&gt;=0,0,ROUNDUP(T371/I371,0)-1)))</x:f>
        <x:v>0</x:v>
      </x:c>
      <x:c r="AC371" s="1" t="n">
        <x:f>IF(I371&lt;=0,'損益分岐設定'!C40,IF('損益分岐設定'!C40*I371-U371&lt;0,'損益分岐設定'!C40,IF('損益分岐設定'!B40*I371-U371&gt;=0,0,ROUNDUP(U371/I371,0)-1)))</x:f>
        <x:v>0</x:v>
      </x:c>
      <x:c r="AD371" s="1" t="n">
        <x:v>0</x:v>
      </x:c>
      <x:c r="AE371" s="1" t="n">
        <x:v>1</x:v>
      </x:c>
      <x:c r="AF371" s="1" t="n">
        <x:v>0</x:v>
      </x:c>
      <x:c r="AG371" s="1" t="n">
        <x:f>AD371*'損益分岐設定'!$C$56+AE371*'損益分岐設定'!$C$59+AF371*'損益分岐設定'!$C$62</x:f>
        <x:v>115.42604943847657</x:v>
      </x:c>
      <x:c r="AH371" s="1" t="n">
        <x:f>AD371*'損益分岐設定'!$D$56+AE371*'損益分岐設定'!$D$59+AF371*'損益分岐設定'!$D$62</x:f>
        <x:v>30</x:v>
      </x:c>
      <x:c r="AI371" s="1" t="n">
        <x:f>AD371*'損益分岐設定'!$E$56+AE371*'損益分岐設定'!$E$59+AF371*'損益分岐設定'!$E$62</x:f>
        <x:v>20</x:v>
      </x:c>
      <x:c r="AJ371" s="1" t="n">
        <x:f>(AD371*'損益分岐設定'!$F$56+AE371*'損益分岐設定'!$F$59+AF371*'損益分岐設定'!$F$62*1)*'損益分岐設定'!$B$22</x:f>
        <x:v>30</x:v>
      </x:c>
      <x:c r="AK371" s="1" t="n">
        <x:f>AD371*'損益分岐設定'!$G$56+AE371*'損益分岐設定'!$G$59+AF371*'損益分岐設定'!$G$62</x:f>
        <x:v>100</x:v>
      </x:c>
      <x:c r="AL371" s="1" t="n">
        <x:f>AD371*'損益分岐設定'!$H$56+AE371*'損益分岐設定'!$H$59+AF371*'損益分岐設定'!$H$62</x:f>
        <x:v>333.3333333333333</x:v>
      </x:c>
      <x:c r="AM371" s="1" t="n">
        <x:f>MAX(1,ROUNDUP('損益分岐設定'!C37*AJ371/('損益分岐設定'!$B$23*'損益分岐設定'!$B$24*3600*'損益分岐設定'!$B$25),0))</x:f>
        <x:v>1</x:v>
      </x:c>
      <x:c r="AN371" s="1" t="n">
        <x:f>MAX(2,ROUNDUP('損益分岐設定'!C38*AJ371/('損益分岐設定'!$B$23*'損益分岐設定'!$B$24*3600*'損益分岐設定'!$B$25),0))</x:f>
        <x:v>2</x:v>
      </x:c>
      <x:c r="AO371" s="1" t="n">
        <x:f>MAX(2,ROUNDUP('損益分岐設定'!C39*AJ371/('損益分岐設定'!$B$23*'損益分岐設定'!$B$24*3600*'損益分岐設定'!$B$25),0))</x:f>
        <x:v>2</x:v>
      </x:c>
      <x:c r="AP371" s="1" t="n">
        <x:f>MAX(2,ROUNDUP('損益分岐設定'!C40*AJ371/('損益分岐設定'!$B$23*'損益分岐設定'!$B$24*3600*'損益分岐設定'!$B$25),0))</x:f>
        <x:v>2</x:v>
      </x:c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 ht="23" customHeight="1">
      <x:c r="A372" s="1" t="str">
        <x:v>VM</x:v>
      </x:c>
      <x:c r="B372" s="1" t="str">
        <x:v>Business</x:v>
      </x:c>
      <x:c r="C372" s="1" t="str">
        <x:v>低位</x:v>
      </x:c>
      <x:c r="D372" s="21" t="n">
        <x:v>0.4</x:v>
      </x:c>
      <x:c r="E372" s="1" t="n">
        <x:v>1</x:v>
      </x:c>
      <x:c r="F372" s="7" t="n">
        <x:f>AD372*'損益分岐設定'!$B$5+AE372*'損益分岐設定'!$B$6+AF372*'損益分岐設定'!$B$7</x:f>
        <x:v>5000</x:v>
      </x:c>
      <x:c r="G372" s="7" t="n">
        <x:f>AG372+0+AK372*'損益分岐設定'!$B$33</x:f>
        <x:v>115.4271670255661</x:v>
      </x:c>
      <x:c r="H372" s="7" t="n">
        <x:f>AL372*E372</x:f>
        <x:v>333.3333333333333</x:v>
      </x:c>
      <x:c r="I372" s="7" t="n">
        <x:f>F372*(1-D372-'損益分岐設定'!$B$10)-G372-H372</x:f>
        <x:v>2371.2394996411</x:v>
      </x:c>
      <x:c r="J372" s="1" t="n">
        <x:f>IF(MIN(V372:Y372)&gt;1000,"範囲内なし",MIN(V372:Y372))</x:f>
        <x:v>62</x:v>
      </x:c>
      <x:c r="K372" s="1" t="n">
        <x:f>IF(MAX(Z372:AC372)&gt;=1000,"範囲内なし",MAX(1,MAX(Z372:AC372)+1))</x:f>
        <x:v>62</x:v>
      </x:c>
      <x:c r="L372" s="7" t="n">
        <x:f>10*I372-R372</x:f>
        <x:v>-59046.79176481027</x:v>
      </x:c>
      <x:c r="M372" s="7" t="n">
        <x:f>30*I372-S372</x:f>
        <x:v>-73881.18853320954</x:v>
      </x:c>
      <x:c r="N372" s="7" t="n">
        <x:f>50*I372-S372</x:f>
        <x:v>-26456.39854038754</x:v>
      </x:c>
      <x:c r="O372" s="7" t="n">
        <x:f>100*I372-S372</x:f>
        <x:v>92105.57644166745</x:v>
      </x:c>
      <x:c r="P372" s="7" t="n">
        <x:f>300*I372-T372</x:f>
        <x:v>534353.4763698875</x:v>
      </x:c>
      <x:c r="Q372" s="7" t="n">
        <x:f>1000*I372-U372</x:f>
        <x:v>2125341.5327380467</x:v>
      </x:c>
      <x:c r="R372" s="7" t="n">
        <x:f>'損益分岐設定'!$B$18+'損益分岐設定'!$B$19+'損益分岐設定'!$B$20+'損益分岐設定'!E37+('損益分岐設定'!F37+2*'損益分岐設定'!G37+AM372)*('損益分岐設定'!$B$15+'損益分岐設定'!$B$16)+'損益分岐設定'!$B$17+'損益分岐設定'!$B$21+E372*'損益分岐設定'!H37*'損益分岐設定'!$B$11</x:f>
        <x:v>82759.18676122127</x:v>
      </x:c>
      <x:c r="S372" s="7" t="n">
        <x:f>'損益分岐設定'!$B$18+'損益分岐設定'!$B$19+'損益分岐設定'!$B$20+'損益分岐設定'!E38+('損益分岐設定'!F38+2*'損益分岐設定'!G38+AN372)*('損益分岐設定'!$B$15+'損益分岐設定'!$B$16)+'損益分岐設定'!$B$17+'損益分岐設定'!$B$21+E372*'損益分岐設定'!H38*'損益分岐設定'!$B$11</x:f>
        <x:v>145018.37352244253</x:v>
      </x:c>
      <x:c r="T372" s="7" t="n">
        <x:f>'損益分岐設定'!$B$18+'損益分岐設定'!$B$19+'損益分岐設定'!$B$20+'損益分岐設定'!E39+('損益分岐設定'!F39+2*'損益分岐設定'!G39+AO372)*('損益分岐設定'!$B$15+'損益分岐設定'!$B$16)+'損益分岐設定'!$B$17+'損益分岐設定'!$B$21+E372*'損益分岐設定'!H39*'損益分岐設定'!$B$11</x:f>
        <x:v>177018.37352244253</x:v>
      </x:c>
      <x:c r="U372" s="7" t="n">
        <x:f>'損益分岐設定'!$B$18+'損益分岐設定'!$B$19+'損益分岐設定'!$B$20+'損益分岐設定'!E40+('損益分岐設定'!F40+2*'損益分岐設定'!G40+AP372)*('損益分岐設定'!$B$15+'損益分岐設定'!$B$16)+'損益分岐設定'!$B$17+'損益分岐設定'!$B$21+E372*'損益分岐設定'!H40*'損益分岐設定'!$B$11</x:f>
        <x:v>245897.96690305317</x:v>
      </x:c>
      <x:c r="V372" s="1" t="n">
        <x:f>IF(I372&lt;=0,1001,IF(MAX('損益分岐設定'!B37,ROUNDUP(R372/I372,0))&lt;='損益分岐設定'!C37,MAX('損益分岐設定'!B37,ROUNDUP(R372/I372,0)),1001))</x:f>
        <x:v>1001</x:v>
      </x:c>
      <x:c r="W372" s="1" t="n">
        <x:f>IF(I372&lt;=0,1001,IF(MAX('損益分岐設定'!B38,ROUNDUP(S372/I372,0))&lt;='損益分岐設定'!C38,MAX('損益分岐設定'!B38,ROUNDUP(S372/I372,0)),1001))</x:f>
        <x:v>62</x:v>
      </x:c>
      <x:c r="X372" s="1" t="n">
        <x:f>IF(I372&lt;=0,1001,IF(MAX('損益分岐設定'!B39,ROUNDUP(T372/I372,0))&lt;='損益分岐設定'!C39,MAX('損益分岐設定'!B39,ROUNDUP(T372/I372,0)),1001))</x:f>
        <x:v>101</x:v>
      </x:c>
      <x:c r="Y372" s="1" t="n">
        <x:f>IF(I372&lt;=0,1001,IF(MAX('損益分岐設定'!B40,ROUNDUP(U372/I372,0))&lt;='損益分岐設定'!C40,MAX('損益分岐設定'!B40,ROUNDUP(U372/I372,0)),1001))</x:f>
        <x:v>501</x:v>
      </x:c>
      <x:c r="Z372" s="1" t="n">
        <x:f>IF(I372&lt;=0,'損益分岐設定'!C37,IF('損益分岐設定'!C37*I372-R372&lt;0,'損益分岐設定'!C37,IF('損益分岐設定'!B37*I372-R372&gt;=0,0,ROUNDUP(R372/I372,0)-1)))</x:f>
        <x:v>10</x:v>
      </x:c>
      <x:c r="AA372" s="1" t="n">
        <x:f>IF(I372&lt;=0,'損益分岐設定'!C38,IF('損益分岐設定'!C38*I372-S372&lt;0,'損益分岐設定'!C38,IF('損益分岐設定'!B38*I372-S372&gt;=0,0,ROUNDUP(S372/I372,0)-1)))</x:f>
        <x:v>61</x:v>
      </x:c>
      <x:c r="AB372" s="1" t="n">
        <x:f>IF(I372&lt;=0,'損益分岐設定'!C39,IF('損益分岐設定'!C39*I372-T372&lt;0,'損益分岐設定'!C39,IF('損益分岐設定'!B39*I372-T372&gt;=0,0,ROUNDUP(T372/I372,0)-1)))</x:f>
        <x:v>0</x:v>
      </x:c>
      <x:c r="AC372" s="1" t="n">
        <x:f>IF(I372&lt;=0,'損益分岐設定'!C40,IF('損益分岐設定'!C40*I372-U372&lt;0,'損益分岐設定'!C40,IF('損益分岐設定'!B40*I372-U372&gt;=0,0,ROUNDUP(U372/I372,0)-1)))</x:f>
        <x:v>0</x:v>
      </x:c>
      <x:c r="AD372" s="1" t="n">
        <x:v>0</x:v>
      </x:c>
      <x:c r="AE372" s="1" t="n">
        <x:v>1</x:v>
      </x:c>
      <x:c r="AF372" s="1" t="n">
        <x:v>0</x:v>
      </x:c>
      <x:c r="AG372" s="1" t="n">
        <x:f>AD372*'損益分岐設定'!$C$56+AE372*'損益分岐設定'!$C$59+AF372*'損益分岐設定'!$C$62</x:f>
        <x:v>115.42604943847657</x:v>
      </x:c>
      <x:c r="AH372" s="1" t="n">
        <x:f>AD372*'損益分岐設定'!$D$56+AE372*'損益分岐設定'!$D$59+AF372*'損益分岐設定'!$D$62</x:f>
        <x:v>30</x:v>
      </x:c>
      <x:c r="AI372" s="1" t="n">
        <x:f>AD372*'損益分岐設定'!$E$56+AE372*'損益分岐設定'!$E$59+AF372*'損益分岐設定'!$E$62</x:f>
        <x:v>20</x:v>
      </x:c>
      <x:c r="AJ372" s="1" t="n">
        <x:f>(AD372*'損益分岐設定'!$F$56+AE372*'損益分岐設定'!$F$59+AF372*'損益分岐設定'!$F$62*1)*'損益分岐設定'!$B$22</x:f>
        <x:v>30</x:v>
      </x:c>
      <x:c r="AK372" s="1" t="n">
        <x:f>AD372*'損益分岐設定'!$G$56+AE372*'損益分岐設定'!$G$59+AF372*'損益分岐設定'!$G$62</x:f>
        <x:v>100</x:v>
      </x:c>
      <x:c r="AL372" s="1" t="n">
        <x:f>AD372*'損益分岐設定'!$H$56+AE372*'損益分岐設定'!$H$59+AF372*'損益分岐設定'!$H$62</x:f>
        <x:v>333.3333333333333</x:v>
      </x:c>
      <x:c r="AM372" s="1" t="n">
        <x:f>MAX(1,ROUNDUP('損益分岐設定'!C37*AJ372/('損益分岐設定'!$B$23*'損益分岐設定'!$B$24*3600*'損益分岐設定'!$B$25),0))</x:f>
        <x:v>1</x:v>
      </x:c>
      <x:c r="AN372" s="1" t="n">
        <x:f>MAX(2,ROUNDUP('損益分岐設定'!C38*AJ372/('損益分岐設定'!$B$23*'損益分岐設定'!$B$24*3600*'損益分岐設定'!$B$25),0))</x:f>
        <x:v>2</x:v>
      </x:c>
      <x:c r="AO372" s="1" t="n">
        <x:f>MAX(2,ROUNDUP('損益分岐設定'!C39*AJ372/('損益分岐設定'!$B$23*'損益分岐設定'!$B$24*3600*'損益分岐設定'!$B$25),0))</x:f>
        <x:v>2</x:v>
      </x:c>
      <x:c r="AP372" s="1" t="n">
        <x:f>MAX(2,ROUNDUP('損益分岐設定'!C40*AJ372/('損益分岐設定'!$B$23*'損益分岐設定'!$B$24*3600*'損益分岐設定'!$B$25),0))</x:f>
        <x:v>2</x:v>
      </x:c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 ht="23" customHeight="1">
      <x:c r="A373" s="1" t="str">
        <x:v>VM</x:v>
      </x:c>
      <x:c r="B373" s="1" t="str">
        <x:v>Business</x:v>
      </x:c>
      <x:c r="C373" s="1" t="str">
        <x:v>低位</x:v>
      </x:c>
      <x:c r="D373" s="21" t="n">
        <x:v>0.5</x:v>
      </x:c>
      <x:c r="E373" s="1" t="n">
        <x:v>0</x:v>
      </x:c>
      <x:c r="F373" s="7" t="n">
        <x:f>AD373*'損益分岐設定'!$B$5+AE373*'損益分岐設定'!$B$6+AF373*'損益分岐設定'!$B$7</x:f>
        <x:v>5000</x:v>
      </x:c>
      <x:c r="G373" s="7" t="n">
        <x:f>AG373+0+AK373*'損益分岐設定'!$B$33</x:f>
        <x:v>115.4271670255661</x:v>
      </x:c>
      <x:c r="H373" s="7" t="n">
        <x:f>AL373*E373</x:f>
        <x:v>0</x:v>
      </x:c>
      <x:c r="I373" s="7" t="n">
        <x:f>F373*(1-D373-'損益分岐設定'!$B$10)-G373-H373</x:f>
        <x:v>2204.572832974434</x:v>
      </x:c>
      <x:c r="J373" s="1" t="n">
        <x:f>IF(MIN(V373:Y373)&gt;1000,"範囲内なし",MIN(V373:Y373))</x:f>
        <x:v>45</x:v>
      </x:c>
      <x:c r="K373" s="1" t="n">
        <x:f>IF(MAX(Z373:AC373)&gt;=1000,"範囲内なし",MAX(1,MAX(Z373:AC373)+1))</x:f>
        <x:v>45</x:v>
      </x:c>
      <x:c r="L373" s="7" t="n">
        <x:f>10*I373-R373</x:f>
        <x:v>-28713.458431476934</x:v>
      </x:c>
      <x:c r="M373" s="7" t="n">
        <x:f>30*I373-S373</x:f>
        <x:v>-30881.188533209526</x:v>
      </x:c>
      <x:c r="N373" s="7" t="n">
        <x:f>50*I373-S373</x:f>
        <x:v>13210.268126279145</x:v>
      </x:c>
      <x:c r="O373" s="7" t="n">
        <x:f>100*I373-S373</x:f>
        <x:v>123438.90977500084</x:v>
      </x:c>
      <x:c r="P373" s="7" t="n">
        <x:f>300*I373-T373</x:f>
        <x:v>564353.4763698876</x:v>
      </x:c>
      <x:c r="Q373" s="7" t="n">
        <x:f>1000*I373-U373</x:f>
        <x:v>2086674.8660713807</x:v>
      </x:c>
      <x:c r="R373" s="7" t="n">
        <x:f>'損益分岐設定'!$B$18+'損益分岐設定'!$B$19+'損益分岐設定'!$B$20+'損益分岐設定'!E37+('損益分岐設定'!F37+2*'損益分岐設定'!G37+AM373)*('損益分岐設定'!$B$15+'損益分岐設定'!$B$16)+'損益分岐設定'!$B$17+'損益分岐設定'!$B$21+E373*'損益分岐設定'!H37*'損益分岐設定'!$B$11</x:f>
        <x:v>50759.18676122127</x:v>
      </x:c>
      <x:c r="S373" s="7" t="n">
        <x:f>'損益分岐設定'!$B$18+'損益分岐設定'!$B$19+'損益分岐設定'!$B$20+'損益分岐設定'!E38+('損益分岐設定'!F38+2*'損益分岐設定'!G38+AN373)*('損益分岐設定'!$B$15+'損益分岐設定'!$B$16)+'損益分岐設定'!$B$17+'損益分岐設定'!$B$21+E373*'損益分岐設定'!H38*'損益分岐設定'!$B$11</x:f>
        <x:v>97018.37352244255</x:v>
      </x:c>
      <x:c r="T373" s="7" t="n">
        <x:f>'損益分岐設定'!$B$18+'損益分岐設定'!$B$19+'損益分岐設定'!$B$20+'損益分岐設定'!E39+('損益分岐設定'!F39+2*'損益分岐設定'!G39+AO373)*('損益分岐設定'!$B$15+'損益分岐設定'!$B$16)+'損益分岐設定'!$B$17+'損益分岐設定'!$B$21+E373*'損益分岐設定'!H39*'損益分岐設定'!$B$11</x:f>
        <x:v>97018.37352244255</x:v>
      </x:c>
      <x:c r="U373" s="7" t="n">
        <x:f>'損益分岐設定'!$B$18+'損益分岐設定'!$B$19+'損益分岐設定'!$B$20+'損益分岐設定'!E40+('損益分岐設定'!F40+2*'損益分岐設定'!G40+AP373)*('損益分岐設定'!$B$15+'損益分岐設定'!$B$16)+'損益分岐設定'!$B$17+'損益分岐設定'!$B$21+E373*'損益分岐設定'!H40*'損益分岐設定'!$B$11</x:f>
        <x:v>117897.96690305318</x:v>
      </x:c>
      <x:c r="V373" s="1" t="n">
        <x:f>IF(I373&lt;=0,1001,IF(MAX('損益分岐設定'!B37,ROUNDUP(R373/I373,0))&lt;='損益分岐設定'!C37,MAX('損益分岐設定'!B37,ROUNDUP(R373/I373,0)),1001))</x:f>
        <x:v>1001</x:v>
      </x:c>
      <x:c r="W373" s="1" t="n">
        <x:f>IF(I373&lt;=0,1001,IF(MAX('損益分岐設定'!B38,ROUNDUP(S373/I373,0))&lt;='損益分岐設定'!C38,MAX('損益分岐設定'!B38,ROUNDUP(S373/I373,0)),1001))</x:f>
        <x:v>45</x:v>
      </x:c>
      <x:c r="X373" s="1" t="n">
        <x:f>IF(I373&lt;=0,1001,IF(MAX('損益分岐設定'!B39,ROUNDUP(T373/I373,0))&lt;='損益分岐設定'!C39,MAX('損益分岐設定'!B39,ROUNDUP(T373/I373,0)),1001))</x:f>
        <x:v>101</x:v>
      </x:c>
      <x:c r="Y373" s="1" t="n">
        <x:f>IF(I373&lt;=0,1001,IF(MAX('損益分岐設定'!B40,ROUNDUP(U373/I373,0))&lt;='損益分岐設定'!C40,MAX('損益分岐設定'!B40,ROUNDUP(U373/I373,0)),1001))</x:f>
        <x:v>501</x:v>
      </x:c>
      <x:c r="Z373" s="1" t="n">
        <x:f>IF(I373&lt;=0,'損益分岐設定'!C37,IF('損益分岐設定'!C37*I373-R373&lt;0,'損益分岐設定'!C37,IF('損益分岐設定'!B37*I373-R373&gt;=0,0,ROUNDUP(R373/I373,0)-1)))</x:f>
        <x:v>10</x:v>
      </x:c>
      <x:c r="AA373" s="1" t="n">
        <x:f>IF(I373&lt;=0,'損益分岐設定'!C38,IF('損益分岐設定'!C38*I373-S373&lt;0,'損益分岐設定'!C38,IF('損益分岐設定'!B38*I373-S373&gt;=0,0,ROUNDUP(S373/I373,0)-1)))</x:f>
        <x:v>44</x:v>
      </x:c>
      <x:c r="AB373" s="1" t="n">
        <x:f>IF(I373&lt;=0,'損益分岐設定'!C39,IF('損益分岐設定'!C39*I373-T373&lt;0,'損益分岐設定'!C39,IF('損益分岐設定'!B39*I373-T373&gt;=0,0,ROUNDUP(T373/I373,0)-1)))</x:f>
        <x:v>0</x:v>
      </x:c>
      <x:c r="AC373" s="1" t="n">
        <x:f>IF(I373&lt;=0,'損益分岐設定'!C40,IF('損益分岐設定'!C40*I373-U373&lt;0,'損益分岐設定'!C40,IF('損益分岐設定'!B40*I373-U373&gt;=0,0,ROUNDUP(U373/I373,0)-1)))</x:f>
        <x:v>0</x:v>
      </x:c>
      <x:c r="AD373" s="1" t="n">
        <x:v>0</x:v>
      </x:c>
      <x:c r="AE373" s="1" t="n">
        <x:v>1</x:v>
      </x:c>
      <x:c r="AF373" s="1" t="n">
        <x:v>0</x:v>
      </x:c>
      <x:c r="AG373" s="1" t="n">
        <x:f>AD373*'損益分岐設定'!$C$56+AE373*'損益分岐設定'!$C$59+AF373*'損益分岐設定'!$C$62</x:f>
        <x:v>115.42604943847657</x:v>
      </x:c>
      <x:c r="AH373" s="1" t="n">
        <x:f>AD373*'損益分岐設定'!$D$56+AE373*'損益分岐設定'!$D$59+AF373*'損益分岐設定'!$D$62</x:f>
        <x:v>30</x:v>
      </x:c>
      <x:c r="AI373" s="1" t="n">
        <x:f>AD373*'損益分岐設定'!$E$56+AE373*'損益分岐設定'!$E$59+AF373*'損益分岐設定'!$E$62</x:f>
        <x:v>20</x:v>
      </x:c>
      <x:c r="AJ373" s="1" t="n">
        <x:f>(AD373*'損益分岐設定'!$F$56+AE373*'損益分岐設定'!$F$59+AF373*'損益分岐設定'!$F$62*1)*'損益分岐設定'!$B$22</x:f>
        <x:v>30</x:v>
      </x:c>
      <x:c r="AK373" s="1" t="n">
        <x:f>AD373*'損益分岐設定'!$G$56+AE373*'損益分岐設定'!$G$59+AF373*'損益分岐設定'!$G$62</x:f>
        <x:v>100</x:v>
      </x:c>
      <x:c r="AL373" s="1" t="n">
        <x:f>AD373*'損益分岐設定'!$H$56+AE373*'損益分岐設定'!$H$59+AF373*'損益分岐設定'!$H$62</x:f>
        <x:v>333.3333333333333</x:v>
      </x:c>
      <x:c r="AM373" s="1" t="n">
        <x:f>MAX(1,ROUNDUP('損益分岐設定'!C37*AJ373/('損益分岐設定'!$B$23*'損益分岐設定'!$B$24*3600*'損益分岐設定'!$B$25),0))</x:f>
        <x:v>1</x:v>
      </x:c>
      <x:c r="AN373" s="1" t="n">
        <x:f>MAX(2,ROUNDUP('損益分岐設定'!C38*AJ373/('損益分岐設定'!$B$23*'損益分岐設定'!$B$24*3600*'損益分岐設定'!$B$25),0))</x:f>
        <x:v>2</x:v>
      </x:c>
      <x:c r="AO373" s="1" t="n">
        <x:f>MAX(2,ROUNDUP('損益分岐設定'!C39*AJ373/('損益分岐設定'!$B$23*'損益分岐設定'!$B$24*3600*'損益分岐設定'!$B$25),0))</x:f>
        <x:v>2</x:v>
      </x:c>
      <x:c r="AP373" s="1" t="n">
        <x:f>MAX(2,ROUNDUP('損益分岐設定'!C40*AJ373/('損益分岐設定'!$B$23*'損益分岐設定'!$B$24*3600*'損益分岐設定'!$B$25),0))</x:f>
        <x:v>2</x:v>
      </x:c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 ht="23" customHeight="1">
      <x:c r="A374" s="1" t="str">
        <x:v>VM</x:v>
      </x:c>
      <x:c r="B374" s="1" t="str">
        <x:v>Business</x:v>
      </x:c>
      <x:c r="C374" s="1" t="str">
        <x:v>低位</x:v>
      </x:c>
      <x:c r="D374" s="21" t="n">
        <x:v>0.5</x:v>
      </x:c>
      <x:c r="E374" s="1" t="n">
        <x:v>1</x:v>
      </x:c>
      <x:c r="F374" s="7" t="n">
        <x:f>AD374*'損益分岐設定'!$B$5+AE374*'損益分岐設定'!$B$6+AF374*'損益分岐設定'!$B$7</x:f>
        <x:v>5000</x:v>
      </x:c>
      <x:c r="G374" s="7" t="n">
        <x:f>AG374+0+AK374*'損益分岐設定'!$B$33</x:f>
        <x:v>115.4271670255661</x:v>
      </x:c>
      <x:c r="H374" s="7" t="n">
        <x:f>AL374*E374</x:f>
        <x:v>333.3333333333333</x:v>
      </x:c>
      <x:c r="I374" s="7" t="n">
        <x:f>F374*(1-D374-'損益分岐設定'!$B$10)-G374-H374</x:f>
        <x:v>1871.2394996411006</x:v>
      </x:c>
      <x:c r="J374" s="1" t="n">
        <x:f>IF(MIN(V374:Y374)&gt;1000,"範囲内なし",MIN(V374:Y374))</x:f>
        <x:v>78</x:v>
      </x:c>
      <x:c r="K374" s="1" t="n">
        <x:f>IF(MAX(Z374:AC374)&gt;=1000,"範囲内なし",MAX(1,MAX(Z374:AC374)+1))</x:f>
        <x:v>78</x:v>
      </x:c>
      <x:c r="L374" s="7" t="n">
        <x:f>10*I374-R374</x:f>
        <x:v>-64046.79176481026</x:v>
      </x:c>
      <x:c r="M374" s="7" t="n">
        <x:f>30*I374-S374</x:f>
        <x:v>-88881.18853320953</x:v>
      </x:c>
      <x:c r="N374" s="7" t="n">
        <x:f>50*I374-S374</x:f>
        <x:v>-51456.3985403875</x:v>
      </x:c>
      <x:c r="O374" s="7" t="n">
        <x:f>100*I374-S374</x:f>
        <x:v>42105.57644166754</x:v>
      </x:c>
      <x:c r="P374" s="7" t="n">
        <x:f>300*I374-T374</x:f>
        <x:v>384353.4763698876</x:v>
      </x:c>
      <x:c r="Q374" s="7" t="n">
        <x:f>1000*I374-U374</x:f>
        <x:v>1625341.5327380474</x:v>
      </x:c>
      <x:c r="R374" s="7" t="n">
        <x:f>'損益分岐設定'!$B$18+'損益分岐設定'!$B$19+'損益分岐設定'!$B$20+'損益分岐設定'!E37+('損益分岐設定'!F37+2*'損益分岐設定'!G37+AM374)*('損益分岐設定'!$B$15+'損益分岐設定'!$B$16)+'損益分岐設定'!$B$17+'損益分岐設定'!$B$21+E374*'損益分岐設定'!H37*'損益分岐設定'!$B$11</x:f>
        <x:v>82759.18676122127</x:v>
      </x:c>
      <x:c r="S374" s="7" t="n">
        <x:f>'損益分岐設定'!$B$18+'損益分岐設定'!$B$19+'損益分岐設定'!$B$20+'損益分岐設定'!E38+('損益分岐設定'!F38+2*'損益分岐設定'!G38+AN374)*('損益分岐設定'!$B$15+'損益分岐設定'!$B$16)+'損益分岐設定'!$B$17+'損益分岐設定'!$B$21+E374*'損益分岐設定'!H38*'損益分岐設定'!$B$11</x:f>
        <x:v>145018.37352244253</x:v>
      </x:c>
      <x:c r="T374" s="7" t="n">
        <x:f>'損益分岐設定'!$B$18+'損益分岐設定'!$B$19+'損益分岐設定'!$B$20+'損益分岐設定'!E39+('損益分岐設定'!F39+2*'損益分岐設定'!G39+AO374)*('損益分岐設定'!$B$15+'損益分岐設定'!$B$16)+'損益分岐設定'!$B$17+'損益分岐設定'!$B$21+E374*'損益分岐設定'!H39*'損益分岐設定'!$B$11</x:f>
        <x:v>177018.37352244253</x:v>
      </x:c>
      <x:c r="U374" s="7" t="n">
        <x:f>'損益分岐設定'!$B$18+'損益分岐設定'!$B$19+'損益分岐設定'!$B$20+'損益分岐設定'!E40+('損益分岐設定'!F40+2*'損益分岐設定'!G40+AP374)*('損益分岐設定'!$B$15+'損益分岐設定'!$B$16)+'損益分岐設定'!$B$17+'損益分岐設定'!$B$21+E374*'損益分岐設定'!H40*'損益分岐設定'!$B$11</x:f>
        <x:v>245897.96690305317</x:v>
      </x:c>
      <x:c r="V374" s="1" t="n">
        <x:f>IF(I374&lt;=0,1001,IF(MAX('損益分岐設定'!B37,ROUNDUP(R374/I374,0))&lt;='損益分岐設定'!C37,MAX('損益分岐設定'!B37,ROUNDUP(R374/I374,0)),1001))</x:f>
        <x:v>1001</x:v>
      </x:c>
      <x:c r="W374" s="1" t="n">
        <x:f>IF(I374&lt;=0,1001,IF(MAX('損益分岐設定'!B38,ROUNDUP(S374/I374,0))&lt;='損益分岐設定'!C38,MAX('損益分岐設定'!B38,ROUNDUP(S374/I374,0)),1001))</x:f>
        <x:v>78</x:v>
      </x:c>
      <x:c r="X374" s="1" t="n">
        <x:f>IF(I374&lt;=0,1001,IF(MAX('損益分岐設定'!B39,ROUNDUP(T374/I374,0))&lt;='損益分岐設定'!C39,MAX('損益分岐設定'!B39,ROUNDUP(T374/I374,0)),1001))</x:f>
        <x:v>101</x:v>
      </x:c>
      <x:c r="Y374" s="1" t="n">
        <x:f>IF(I374&lt;=0,1001,IF(MAX('損益分岐設定'!B40,ROUNDUP(U374/I374,0))&lt;='損益分岐設定'!C40,MAX('損益分岐設定'!B40,ROUNDUP(U374/I374,0)),1001))</x:f>
        <x:v>501</x:v>
      </x:c>
      <x:c r="Z374" s="1" t="n">
        <x:f>IF(I374&lt;=0,'損益分岐設定'!C37,IF('損益分岐設定'!C37*I374-R374&lt;0,'損益分岐設定'!C37,IF('損益分岐設定'!B37*I374-R374&gt;=0,0,ROUNDUP(R374/I374,0)-1)))</x:f>
        <x:v>10</x:v>
      </x:c>
      <x:c r="AA374" s="1" t="n">
        <x:f>IF(I374&lt;=0,'損益分岐設定'!C38,IF('損益分岐設定'!C38*I374-S374&lt;0,'損益分岐設定'!C38,IF('損益分岐設定'!B38*I374-S374&gt;=0,0,ROUNDUP(S374/I374,0)-1)))</x:f>
        <x:v>77</x:v>
      </x:c>
      <x:c r="AB374" s="1" t="n">
        <x:f>IF(I374&lt;=0,'損益分岐設定'!C39,IF('損益分岐設定'!C39*I374-T374&lt;0,'損益分岐設定'!C39,IF('損益分岐設定'!B39*I374-T374&gt;=0,0,ROUNDUP(T374/I374,0)-1)))</x:f>
        <x:v>0</x:v>
      </x:c>
      <x:c r="AC374" s="1" t="n">
        <x:f>IF(I374&lt;=0,'損益分岐設定'!C40,IF('損益分岐設定'!C40*I374-U374&lt;0,'損益分岐設定'!C40,IF('損益分岐設定'!B40*I374-U374&gt;=0,0,ROUNDUP(U374/I374,0)-1)))</x:f>
        <x:v>0</x:v>
      </x:c>
      <x:c r="AD374" s="1" t="n">
        <x:v>0</x:v>
      </x:c>
      <x:c r="AE374" s="1" t="n">
        <x:v>1</x:v>
      </x:c>
      <x:c r="AF374" s="1" t="n">
        <x:v>0</x:v>
      </x:c>
      <x:c r="AG374" s="1" t="n">
        <x:f>AD374*'損益分岐設定'!$C$56+AE374*'損益分岐設定'!$C$59+AF374*'損益分岐設定'!$C$62</x:f>
        <x:v>115.42604943847657</x:v>
      </x:c>
      <x:c r="AH374" s="1" t="n">
        <x:f>AD374*'損益分岐設定'!$D$56+AE374*'損益分岐設定'!$D$59+AF374*'損益分岐設定'!$D$62</x:f>
        <x:v>30</x:v>
      </x:c>
      <x:c r="AI374" s="1" t="n">
        <x:f>AD374*'損益分岐設定'!$E$56+AE374*'損益分岐設定'!$E$59+AF374*'損益分岐設定'!$E$62</x:f>
        <x:v>20</x:v>
      </x:c>
      <x:c r="AJ374" s="1" t="n">
        <x:f>(AD374*'損益分岐設定'!$F$56+AE374*'損益分岐設定'!$F$59+AF374*'損益分岐設定'!$F$62*1)*'損益分岐設定'!$B$22</x:f>
        <x:v>30</x:v>
      </x:c>
      <x:c r="AK374" s="1" t="n">
        <x:f>AD374*'損益分岐設定'!$G$56+AE374*'損益分岐設定'!$G$59+AF374*'損益分岐設定'!$G$62</x:f>
        <x:v>100</x:v>
      </x:c>
      <x:c r="AL374" s="1" t="n">
        <x:f>AD374*'損益分岐設定'!$H$56+AE374*'損益分岐設定'!$H$59+AF374*'損益分岐設定'!$H$62</x:f>
        <x:v>333.3333333333333</x:v>
      </x:c>
      <x:c r="AM374" s="1" t="n">
        <x:f>MAX(1,ROUNDUP('損益分岐設定'!C37*AJ374/('損益分岐設定'!$B$23*'損益分岐設定'!$B$24*3600*'損益分岐設定'!$B$25),0))</x:f>
        <x:v>1</x:v>
      </x:c>
      <x:c r="AN374" s="1" t="n">
        <x:f>MAX(2,ROUNDUP('損益分岐設定'!C38*AJ374/('損益分岐設定'!$B$23*'損益分岐設定'!$B$24*3600*'損益分岐設定'!$B$25),0))</x:f>
        <x:v>2</x:v>
      </x:c>
      <x:c r="AO374" s="1" t="n">
        <x:f>MAX(2,ROUNDUP('損益分岐設定'!C39*AJ374/('損益分岐設定'!$B$23*'損益分岐設定'!$B$24*3600*'損益分岐設定'!$B$25),0))</x:f>
        <x:v>2</x:v>
      </x:c>
      <x:c r="AP374" s="1" t="n">
        <x:f>MAX(2,ROUNDUP('損益分岐設定'!C40*AJ374/('損益分岐設定'!$B$23*'損益分岐設定'!$B$24*3600*'損益分岐設定'!$B$25),0))</x:f>
        <x:v>2</x:v>
      </x:c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 ht="23" customHeight="1">
      <x:c r="A375" s="1" t="str">
        <x:v>VM</x:v>
      </x:c>
      <x:c r="B375" s="1" t="str">
        <x:v>Business</x:v>
      </x:c>
      <x:c r="C375" s="1" t="str">
        <x:v>標準</x:v>
      </x:c>
      <x:c r="D375" s="21" t="n">
        <x:v>0</x:v>
      </x:c>
      <x:c r="E375" s="1" t="n">
        <x:v>0</x:v>
      </x:c>
      <x:c r="F375" s="7" t="n">
        <x:f>AD375*'損益分岐設定'!$B$5+AE375*'損益分岐設定'!$B$6+AF375*'損益分岐設定'!$B$7</x:f>
        <x:v>5000</x:v>
      </x:c>
      <x:c r="G375" s="7" t="n">
        <x:f>AG375+0+AK375*'損益分岐設定'!$B$33</x:f>
        <x:v>441.59351345062254</x:v>
      </x:c>
      <x:c r="H375" s="7" t="n">
        <x:f>AL375*E375</x:f>
        <x:v>0</x:v>
      </x:c>
      <x:c r="I375" s="7" t="n">
        <x:f>F375*(1-D375-'損益分岐設定'!$B$10)-G375-H375</x:f>
        <x:v>4378.406486549377</x:v>
      </x:c>
      <x:c r="J375" s="1" t="n">
        <x:f>IF(MIN(V375:Y375)&gt;1000,"範囲内なし",MIN(V375:Y375))</x:f>
        <x:v>23</x:v>
      </x:c>
      <x:c r="K375" s="1" t="n">
        <x:f>IF(MAX(Z375:AC375)&gt;=1000,"範囲内なし",MAX(1,MAX(Z375:AC375)+1))</x:f>
        <x:v>23</x:v>
      </x:c>
      <x:c r="L375" s="7" t="n">
        <x:f>10*I375-R375</x:f>
        <x:v>-6975.121895727498</x:v>
      </x:c>
      <x:c r="M375" s="7" t="n">
        <x:f>30*I375-S375</x:f>
        <x:v>34333.82107403879</x:v>
      </x:c>
      <x:c r="N375" s="7" t="n">
        <x:f>50*I375-S375</x:f>
        <x:v>121901.95080502632</x:v>
      </x:c>
      <x:c r="O375" s="7" t="n">
        <x:f>100*I375-S375</x:f>
        <x:v>340822.2751324952</x:v>
      </x:c>
      <x:c r="P375" s="7" t="n">
        <x:f>300*I375-T375</x:f>
        <x:v>1216503.5724423707</x:v>
      </x:c>
      <x:c r="Q375" s="7" t="n">
        <x:f>1000*I375-U375</x:f>
        <x:v>4260508.519646324</x:v>
      </x:c>
      <x:c r="R375" s="7" t="n">
        <x:f>'損益分岐設定'!$B$18+'損益分岐設定'!$B$19+'損益分岐設定'!$B$20+'損益分岐設定'!E37+('損益分岐設定'!F37+2*'損益分岐設定'!G37+AM375)*('損益分岐設定'!$B$15+'損益分岐設定'!$B$16)+'損益分岐設定'!$B$17+'損益分岐設定'!$B$21+E375*'損益分岐設定'!H37*'損益分岐設定'!$B$11</x:f>
        <x:v>50759.18676122127</x:v>
      </x:c>
      <x:c r="S375" s="7" t="n">
        <x:f>'損益分岐設定'!$B$18+'損益分岐設定'!$B$19+'損益分岐設定'!$B$20+'損益分岐設定'!E38+('損益分岐設定'!F38+2*'損益分岐設定'!G38+AN375)*('損益分岐設定'!$B$15+'損益分岐設定'!$B$16)+'損益分岐設定'!$B$17+'損益分岐設定'!$B$21+E375*'損益分岐設定'!H38*'損益分岐設定'!$B$11</x:f>
        <x:v>97018.37352244255</x:v>
      </x:c>
      <x:c r="T375" s="7" t="n">
        <x:f>'損益分岐設定'!$B$18+'損益分岐設定'!$B$19+'損益分岐設定'!$B$20+'損益分岐設定'!E39+('損益分岐設定'!F39+2*'損益分岐設定'!G39+AO375)*('損益分岐設定'!$B$15+'損益分岐設定'!$B$16)+'損益分岐設定'!$B$17+'損益分岐設定'!$B$21+E375*'損益分岐設定'!H39*'損益分岐設定'!$B$11</x:f>
        <x:v>97018.37352244255</x:v>
      </x:c>
      <x:c r="U375" s="7" t="n">
        <x:f>'損益分岐設定'!$B$18+'損益分岐設定'!$B$19+'損益分岐設定'!$B$20+'損益分岐設定'!E40+('損益分岐設定'!F40+2*'損益分岐設定'!G40+AP375)*('損益分岐設定'!$B$15+'損益分岐設定'!$B$16)+'損益分岐設定'!$B$17+'損益分岐設定'!$B$21+E375*'損益分岐設定'!H40*'損益分岐設定'!$B$11</x:f>
        <x:v>117897.96690305318</x:v>
      </x:c>
      <x:c r="V375" s="1" t="n">
        <x:f>IF(I375&lt;=0,1001,IF(MAX('損益分岐設定'!B37,ROUNDUP(R375/I375,0))&lt;='損益分岐設定'!C37,MAX('損益分岐設定'!B37,ROUNDUP(R375/I375,0)),1001))</x:f>
        <x:v>1001</x:v>
      </x:c>
      <x:c r="W375" s="1" t="n">
        <x:f>IF(I375&lt;=0,1001,IF(MAX('損益分岐設定'!B38,ROUNDUP(S375/I375,0))&lt;='損益分岐設定'!C38,MAX('損益分岐設定'!B38,ROUNDUP(S375/I375,0)),1001))</x:f>
        <x:v>23</x:v>
      </x:c>
      <x:c r="X375" s="1" t="n">
        <x:f>IF(I375&lt;=0,1001,IF(MAX('損益分岐設定'!B39,ROUNDUP(T375/I375,0))&lt;='損益分岐設定'!C39,MAX('損益分岐設定'!B39,ROUNDUP(T375/I375,0)),1001))</x:f>
        <x:v>101</x:v>
      </x:c>
      <x:c r="Y375" s="1" t="n">
        <x:f>IF(I375&lt;=0,1001,IF(MAX('損益分岐設定'!B40,ROUNDUP(U375/I375,0))&lt;='損益分岐設定'!C40,MAX('損益分岐設定'!B40,ROUNDUP(U375/I375,0)),1001))</x:f>
        <x:v>501</x:v>
      </x:c>
      <x:c r="Z375" s="1" t="n">
        <x:f>IF(I375&lt;=0,'損益分岐設定'!C37,IF('損益分岐設定'!C37*I375-R375&lt;0,'損益分岐設定'!C37,IF('損益分岐設定'!B37*I375-R375&gt;=0,0,ROUNDUP(R375/I375,0)-1)))</x:f>
        <x:v>10</x:v>
      </x:c>
      <x:c r="AA375" s="1" t="n">
        <x:f>IF(I375&lt;=0,'損益分岐設定'!C38,IF('損益分岐設定'!C38*I375-S375&lt;0,'損益分岐設定'!C38,IF('損益分岐設定'!B38*I375-S375&gt;=0,0,ROUNDUP(S375/I375,0)-1)))</x:f>
        <x:v>22</x:v>
      </x:c>
      <x:c r="AB375" s="1" t="n">
        <x:f>IF(I375&lt;=0,'損益分岐設定'!C39,IF('損益分岐設定'!C39*I375-T375&lt;0,'損益分岐設定'!C39,IF('損益分岐設定'!B39*I375-T375&gt;=0,0,ROUNDUP(T375/I375,0)-1)))</x:f>
        <x:v>0</x:v>
      </x:c>
      <x:c r="AC375" s="1" t="n">
        <x:f>IF(I375&lt;=0,'損益分岐設定'!C40,IF('損益分岐設定'!C40*I375-U375&lt;0,'損益分岐設定'!C40,IF('損益分岐設定'!B40*I375-U375&gt;=0,0,ROUNDUP(U375/I375,0)-1)))</x:f>
        <x:v>0</x:v>
      </x:c>
      <x:c r="AD375" s="1" t="n">
        <x:v>0</x:v>
      </x:c>
      <x:c r="AE375" s="1" t="n">
        <x:v>1</x:v>
      </x:c>
      <x:c r="AF375" s="1" t="n">
        <x:v>0</x:v>
      </x:c>
      <x:c r="AG375" s="1" t="n">
        <x:f>AD375*'損益分岐設定'!$C$57+AE375*'損益分岐設定'!$C$60+AF375*'損益分岐設定'!$C$63</x:f>
        <x:v>441.58457275390623</x:v>
      </x:c>
      <x:c r="AH375" s="1" t="n">
        <x:f>AD375*'損益分岐設定'!$D$57+AE375*'損益分岐設定'!$D$60+AF375*'損益分岐設定'!$D$63</x:f>
        <x:v>120</x:v>
      </x:c>
      <x:c r="AI375" s="1" t="n">
        <x:f>AD375*'損益分岐設定'!$E$57+AE375*'損益分岐設定'!$E$60+AF375*'損益分岐設定'!$E$63</x:f>
        <x:v>120</x:v>
      </x:c>
      <x:c r="AJ375" s="1" t="n">
        <x:f>(AD375*'損益分岐設定'!$F$57+AE375*'損益分岐設定'!$F$60+AF375*'損益分岐設定'!$F$63*1)*'損益分岐設定'!$B$22</x:f>
        <x:v>480</x:v>
      </x:c>
      <x:c r="AK375" s="1" t="n">
        <x:f>AD375*'損益分岐設定'!$G$57+AE375*'損益分岐設定'!$G$60+AF375*'損益分岐設定'!$G$63</x:f>
        <x:v>800</x:v>
      </x:c>
      <x:c r="AL375" s="1" t="n">
        <x:f>AD375*'損益分岐設定'!$H$57+AE375*'損益分岐設定'!$H$60+AF375*'損益分岐設定'!$H$63</x:f>
        <x:v>666.6666666666666</x:v>
      </x:c>
      <x:c r="AM375" s="1" t="n">
        <x:f>MAX(1,ROUNDUP('損益分岐設定'!C37*AJ375/('損益分岐設定'!$B$23*'損益分岐設定'!$B$24*3600*'損益分岐設定'!$B$25),0))</x:f>
        <x:v>1</x:v>
      </x:c>
      <x:c r="AN375" s="1" t="n">
        <x:f>MAX(2,ROUNDUP('損益分岐設定'!C38*AJ375/('損益分岐設定'!$B$23*'損益分岐設定'!$B$24*3600*'損益分岐設定'!$B$25),0))</x:f>
        <x:v>2</x:v>
      </x:c>
      <x:c r="AO375" s="1" t="n">
        <x:f>MAX(2,ROUNDUP('損益分岐設定'!C39*AJ375/('損益分岐設定'!$B$23*'損益分岐設定'!$B$24*3600*'損益分岐設定'!$B$25),0))</x:f>
        <x:v>2</x:v>
      </x:c>
      <x:c r="AP375" s="1" t="n">
        <x:f>MAX(2,ROUNDUP('損益分岐設定'!C40*AJ375/('損益分岐設定'!$B$23*'損益分岐設定'!$B$24*3600*'損益分岐設定'!$B$25),0))</x:f>
        <x:v>2</x:v>
      </x:c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 ht="23" customHeight="1">
      <x:c r="A376" s="1" t="str">
        <x:v>VM</x:v>
      </x:c>
      <x:c r="B376" s="1" t="str">
        <x:v>Business</x:v>
      </x:c>
      <x:c r="C376" s="1" t="str">
        <x:v>標準</x:v>
      </x:c>
      <x:c r="D376" s="21" t="n">
        <x:v>0</x:v>
      </x:c>
      <x:c r="E376" s="1" t="n">
        <x:v>1</x:v>
      </x:c>
      <x:c r="F376" s="7" t="n">
        <x:f>AD376*'損益分岐設定'!$B$5+AE376*'損益分岐設定'!$B$6+AF376*'損益分岐設定'!$B$7</x:f>
        <x:v>5000</x:v>
      </x:c>
      <x:c r="G376" s="7" t="n">
        <x:f>AG376+0+AK376*'損益分岐設定'!$B$33</x:f>
        <x:v>441.59351345062254</x:v>
      </x:c>
      <x:c r="H376" s="7" t="n">
        <x:f>AL376*E376</x:f>
        <x:v>666.6666666666666</x:v>
      </x:c>
      <x:c r="I376" s="7" t="n">
        <x:f>F376*(1-D376-'損益分岐設定'!$B$10)-G376-H376</x:f>
        <x:v>3711.739819882711</x:v>
      </x:c>
      <x:c r="J376" s="1" t="n">
        <x:f>IF(MIN(V376:Y376)&gt;1000,"範囲内なし",MIN(V376:Y376))</x:f>
        <x:v>40</x:v>
      </x:c>
      <x:c r="K376" s="1" t="n">
        <x:f>IF(MAX(Z376:AC376)&gt;=1000,"範囲内なし",MAX(1,MAX(Z376:AC376)+1))</x:f>
        <x:v>40</x:v>
      </x:c>
      <x:c r="L376" s="7" t="n">
        <x:f>10*I376-R376</x:f>
        <x:v>-45641.788562394155</x:v>
      </x:c>
      <x:c r="M376" s="7" t="n">
        <x:f>30*I376-S376</x:f>
        <x:v>-33666.17892596121</x:v>
      </x:c>
      <x:c r="N376" s="7" t="n">
        <x:f>50*I376-S376</x:f>
        <x:v>40568.617471693025</x:v>
      </x:c>
      <x:c r="O376" s="7" t="n">
        <x:f>100*I376-S376</x:f>
        <x:v>226155.60846582858</x:v>
      </x:c>
      <x:c r="P376" s="7" t="n">
        <x:f>300*I376-T376</x:f>
        <x:v>936503.5724423707</x:v>
      </x:c>
      <x:c r="Q376" s="7" t="n">
        <x:f>1000*I376-U376</x:f>
        <x:v>3465841.8529796577</x:v>
      </x:c>
      <x:c r="R376" s="7" t="n">
        <x:f>'損益分岐設定'!$B$18+'損益分岐設定'!$B$19+'損益分岐設定'!$B$20+'損益分岐設定'!E37+('損益分岐設定'!F37+2*'損益分岐設定'!G37+AM376)*('損益分岐設定'!$B$15+'損益分岐設定'!$B$16)+'損益分岐設定'!$B$17+'損益分岐設定'!$B$21+E376*'損益分岐設定'!H37*'損益分岐設定'!$B$11</x:f>
        <x:v>82759.18676122127</x:v>
      </x:c>
      <x:c r="S376" s="7" t="n">
        <x:f>'損益分岐設定'!$B$18+'損益分岐設定'!$B$19+'損益分岐設定'!$B$20+'損益分岐設定'!E38+('損益分岐設定'!F38+2*'損益分岐設定'!G38+AN376)*('損益分岐設定'!$B$15+'損益分岐設定'!$B$16)+'損益分岐設定'!$B$17+'損益分岐設定'!$B$21+E376*'損益分岐設定'!H38*'損益分岐設定'!$B$11</x:f>
        <x:v>145018.37352244253</x:v>
      </x:c>
      <x:c r="T376" s="7" t="n">
        <x:f>'損益分岐設定'!$B$18+'損益分岐設定'!$B$19+'損益分岐設定'!$B$20+'損益分岐設定'!E39+('損益分岐設定'!F39+2*'損益分岐設定'!G39+AO376)*('損益分岐設定'!$B$15+'損益分岐設定'!$B$16)+'損益分岐設定'!$B$17+'損益分岐設定'!$B$21+E376*'損益分岐設定'!H39*'損益分岐設定'!$B$11</x:f>
        <x:v>177018.37352244253</x:v>
      </x:c>
      <x:c r="U376" s="7" t="n">
        <x:f>'損益分岐設定'!$B$18+'損益分岐設定'!$B$19+'損益分岐設定'!$B$20+'損益分岐設定'!E40+('損益分岐設定'!F40+2*'損益分岐設定'!G40+AP376)*('損益分岐設定'!$B$15+'損益分岐設定'!$B$16)+'損益分岐設定'!$B$17+'損益分岐設定'!$B$21+E376*'損益分岐設定'!H40*'損益分岐設定'!$B$11</x:f>
        <x:v>245897.96690305317</x:v>
      </x:c>
      <x:c r="V376" s="1" t="n">
        <x:f>IF(I376&lt;=0,1001,IF(MAX('損益分岐設定'!B37,ROUNDUP(R376/I376,0))&lt;='損益分岐設定'!C37,MAX('損益分岐設定'!B37,ROUNDUP(R376/I376,0)),1001))</x:f>
        <x:v>1001</x:v>
      </x:c>
      <x:c r="W376" s="1" t="n">
        <x:f>IF(I376&lt;=0,1001,IF(MAX('損益分岐設定'!B38,ROUNDUP(S376/I376,0))&lt;='損益分岐設定'!C38,MAX('損益分岐設定'!B38,ROUNDUP(S376/I376,0)),1001))</x:f>
        <x:v>40</x:v>
      </x:c>
      <x:c r="X376" s="1" t="n">
        <x:f>IF(I376&lt;=0,1001,IF(MAX('損益分岐設定'!B39,ROUNDUP(T376/I376,0))&lt;='損益分岐設定'!C39,MAX('損益分岐設定'!B39,ROUNDUP(T376/I376,0)),1001))</x:f>
        <x:v>101</x:v>
      </x:c>
      <x:c r="Y376" s="1" t="n">
        <x:f>IF(I376&lt;=0,1001,IF(MAX('損益分岐設定'!B40,ROUNDUP(U376/I376,0))&lt;='損益分岐設定'!C40,MAX('損益分岐設定'!B40,ROUNDUP(U376/I376,0)),1001))</x:f>
        <x:v>501</x:v>
      </x:c>
      <x:c r="Z376" s="1" t="n">
        <x:f>IF(I376&lt;=0,'損益分岐設定'!C37,IF('損益分岐設定'!C37*I376-R376&lt;0,'損益分岐設定'!C37,IF('損益分岐設定'!B37*I376-R376&gt;=0,0,ROUNDUP(R376/I376,0)-1)))</x:f>
        <x:v>10</x:v>
      </x:c>
      <x:c r="AA376" s="1" t="n">
        <x:f>IF(I376&lt;=0,'損益分岐設定'!C38,IF('損益分岐設定'!C38*I376-S376&lt;0,'損益分岐設定'!C38,IF('損益分岐設定'!B38*I376-S376&gt;=0,0,ROUNDUP(S376/I376,0)-1)))</x:f>
        <x:v>39</x:v>
      </x:c>
      <x:c r="AB376" s="1" t="n">
        <x:f>IF(I376&lt;=0,'損益分岐設定'!C39,IF('損益分岐設定'!C39*I376-T376&lt;0,'損益分岐設定'!C39,IF('損益分岐設定'!B39*I376-T376&gt;=0,0,ROUNDUP(T376/I376,0)-1)))</x:f>
        <x:v>0</x:v>
      </x:c>
      <x:c r="AC376" s="1" t="n">
        <x:f>IF(I376&lt;=0,'損益分岐設定'!C40,IF('損益分岐設定'!C40*I376-U376&lt;0,'損益分岐設定'!C40,IF('損益分岐設定'!B40*I376-U376&gt;=0,0,ROUNDUP(U376/I376,0)-1)))</x:f>
        <x:v>0</x:v>
      </x:c>
      <x:c r="AD376" s="1" t="n">
        <x:v>0</x:v>
      </x:c>
      <x:c r="AE376" s="1" t="n">
        <x:v>1</x:v>
      </x:c>
      <x:c r="AF376" s="1" t="n">
        <x:v>0</x:v>
      </x:c>
      <x:c r="AG376" s="1" t="n">
        <x:f>AD376*'損益分岐設定'!$C$57+AE376*'損益分岐設定'!$C$60+AF376*'損益分岐設定'!$C$63</x:f>
        <x:v>441.58457275390623</x:v>
      </x:c>
      <x:c r="AH376" s="1" t="n">
        <x:f>AD376*'損益分岐設定'!$D$57+AE376*'損益分岐設定'!$D$60+AF376*'損益分岐設定'!$D$63</x:f>
        <x:v>120</x:v>
      </x:c>
      <x:c r="AI376" s="1" t="n">
        <x:f>AD376*'損益分岐設定'!$E$57+AE376*'損益分岐設定'!$E$60+AF376*'損益分岐設定'!$E$63</x:f>
        <x:v>120</x:v>
      </x:c>
      <x:c r="AJ376" s="1" t="n">
        <x:f>(AD376*'損益分岐設定'!$F$57+AE376*'損益分岐設定'!$F$60+AF376*'損益分岐設定'!$F$63*1)*'損益分岐設定'!$B$22</x:f>
        <x:v>480</x:v>
      </x:c>
      <x:c r="AK376" s="1" t="n">
        <x:f>AD376*'損益分岐設定'!$G$57+AE376*'損益分岐設定'!$G$60+AF376*'損益分岐設定'!$G$63</x:f>
        <x:v>800</x:v>
      </x:c>
      <x:c r="AL376" s="1" t="n">
        <x:f>AD376*'損益分岐設定'!$H$57+AE376*'損益分岐設定'!$H$60+AF376*'損益分岐設定'!$H$63</x:f>
        <x:v>666.6666666666666</x:v>
      </x:c>
      <x:c r="AM376" s="1" t="n">
        <x:f>MAX(1,ROUNDUP('損益分岐設定'!C37*AJ376/('損益分岐設定'!$B$23*'損益分岐設定'!$B$24*3600*'損益分岐設定'!$B$25),0))</x:f>
        <x:v>1</x:v>
      </x:c>
      <x:c r="AN376" s="1" t="n">
        <x:f>MAX(2,ROUNDUP('損益分岐設定'!C38*AJ376/('損益分岐設定'!$B$23*'損益分岐設定'!$B$24*3600*'損益分岐設定'!$B$25),0))</x:f>
        <x:v>2</x:v>
      </x:c>
      <x:c r="AO376" s="1" t="n">
        <x:f>MAX(2,ROUNDUP('損益分岐設定'!C39*AJ376/('損益分岐設定'!$B$23*'損益分岐設定'!$B$24*3600*'損益分岐設定'!$B$25),0))</x:f>
        <x:v>2</x:v>
      </x:c>
      <x:c r="AP376" s="1" t="n">
        <x:f>MAX(2,ROUNDUP('損益分岐設定'!C40*AJ376/('損益分岐設定'!$B$23*'損益分岐設定'!$B$24*3600*'損益分岐設定'!$B$25),0))</x:f>
        <x:v>2</x:v>
      </x:c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 ht="23" customHeight="1">
      <x:c r="A377" s="1" t="str">
        <x:v>VM</x:v>
      </x:c>
      <x:c r="B377" s="1" t="str">
        <x:v>Business</x:v>
      </x:c>
      <x:c r="C377" s="1" t="str">
        <x:v>標準</x:v>
      </x:c>
      <x:c r="D377" s="21" t="n">
        <x:v>0.2</x:v>
      </x:c>
      <x:c r="E377" s="1" t="n">
        <x:v>0</x:v>
      </x:c>
      <x:c r="F377" s="7" t="n">
        <x:f>AD377*'損益分岐設定'!$B$5+AE377*'損益分岐設定'!$B$6+AF377*'損益分岐設定'!$B$7</x:f>
        <x:v>5000</x:v>
      </x:c>
      <x:c r="G377" s="7" t="n">
        <x:f>AG377+0+AK377*'損益分岐設定'!$B$33</x:f>
        <x:v>441.59351345062254</x:v>
      </x:c>
      <x:c r="H377" s="7" t="n">
        <x:f>AL377*E377</x:f>
        <x:v>0</x:v>
      </x:c>
      <x:c r="I377" s="7" t="n">
        <x:f>F377*(1-D377-'損益分岐設定'!$B$10)-G377-H377</x:f>
        <x:v>3378.4064865493774</x:v>
      </x:c>
      <x:c r="J377" s="1" t="n">
        <x:f>IF(MIN(V377:Y377)&gt;1000,"範囲内なし",MIN(V377:Y377))</x:f>
        <x:v>29</x:v>
      </x:c>
      <x:c r="K377" s="1" t="n">
        <x:f>IF(MAX(Z377:AC377)&gt;=1000,"範囲内なし",MAX(1,MAX(Z377:AC377)+1))</x:f>
        <x:v>29</x:v>
      </x:c>
      <x:c r="L377" s="7" t="n">
        <x:f>10*I377-R377</x:f>
        <x:v>-16975.121895727498</x:v>
      </x:c>
      <x:c r="M377" s="7" t="n">
        <x:f>30*I377-S377</x:f>
        <x:v>4333.821074038773</x:v>
      </x:c>
      <x:c r="N377" s="7" t="n">
        <x:f>50*I377-S377</x:f>
        <x:v>71901.95080502632</x:v>
      </x:c>
      <x:c r="O377" s="7" t="n">
        <x:f>100*I377-S377</x:f>
        <x:v>240822.2751324952</x:v>
      </x:c>
      <x:c r="P377" s="7" t="n">
        <x:f>300*I377-T377</x:f>
        <x:v>916503.5724423707</x:v>
      </x:c>
      <x:c r="Q377" s="7" t="n">
        <x:f>1000*I377-U377</x:f>
        <x:v>3260508.519646324</x:v>
      </x:c>
      <x:c r="R377" s="7" t="n">
        <x:f>'損益分岐設定'!$B$18+'損益分岐設定'!$B$19+'損益分岐設定'!$B$20+'損益分岐設定'!E37+('損益分岐設定'!F37+2*'損益分岐設定'!G37+AM377)*('損益分岐設定'!$B$15+'損益分岐設定'!$B$16)+'損益分岐設定'!$B$17+'損益分岐設定'!$B$21+E377*'損益分岐設定'!H37*'損益分岐設定'!$B$11</x:f>
        <x:v>50759.18676122127</x:v>
      </x:c>
      <x:c r="S377" s="7" t="n">
        <x:f>'損益分岐設定'!$B$18+'損益分岐設定'!$B$19+'損益分岐設定'!$B$20+'損益分岐設定'!E38+('損益分岐設定'!F38+2*'損益分岐設定'!G38+AN377)*('損益分岐設定'!$B$15+'損益分岐設定'!$B$16)+'損益分岐設定'!$B$17+'損益分岐設定'!$B$21+E377*'損益分岐設定'!H38*'損益分岐設定'!$B$11</x:f>
        <x:v>97018.37352244255</x:v>
      </x:c>
      <x:c r="T377" s="7" t="n">
        <x:f>'損益分岐設定'!$B$18+'損益分岐設定'!$B$19+'損益分岐設定'!$B$20+'損益分岐設定'!E39+('損益分岐設定'!F39+2*'損益分岐設定'!G39+AO377)*('損益分岐設定'!$B$15+'損益分岐設定'!$B$16)+'損益分岐設定'!$B$17+'損益分岐設定'!$B$21+E377*'損益分岐設定'!H39*'損益分岐設定'!$B$11</x:f>
        <x:v>97018.37352244255</x:v>
      </x:c>
      <x:c r="U377" s="7" t="n">
        <x:f>'損益分岐設定'!$B$18+'損益分岐設定'!$B$19+'損益分岐設定'!$B$20+'損益分岐設定'!E40+('損益分岐設定'!F40+2*'損益分岐設定'!G40+AP377)*('損益分岐設定'!$B$15+'損益分岐設定'!$B$16)+'損益分岐設定'!$B$17+'損益分岐設定'!$B$21+E377*'損益分岐設定'!H40*'損益分岐設定'!$B$11</x:f>
        <x:v>117897.96690305318</x:v>
      </x:c>
      <x:c r="V377" s="1" t="n">
        <x:f>IF(I377&lt;=0,1001,IF(MAX('損益分岐設定'!B37,ROUNDUP(R377/I377,0))&lt;='損益分岐設定'!C37,MAX('損益分岐設定'!B37,ROUNDUP(R377/I377,0)),1001))</x:f>
        <x:v>1001</x:v>
      </x:c>
      <x:c r="W377" s="1" t="n">
        <x:f>IF(I377&lt;=0,1001,IF(MAX('損益分岐設定'!B38,ROUNDUP(S377/I377,0))&lt;='損益分岐設定'!C38,MAX('損益分岐設定'!B38,ROUNDUP(S377/I377,0)),1001))</x:f>
        <x:v>29</x:v>
      </x:c>
      <x:c r="X377" s="1" t="n">
        <x:f>IF(I377&lt;=0,1001,IF(MAX('損益分岐設定'!B39,ROUNDUP(T377/I377,0))&lt;='損益分岐設定'!C39,MAX('損益分岐設定'!B39,ROUNDUP(T377/I377,0)),1001))</x:f>
        <x:v>101</x:v>
      </x:c>
      <x:c r="Y377" s="1" t="n">
        <x:f>IF(I377&lt;=0,1001,IF(MAX('損益分岐設定'!B40,ROUNDUP(U377/I377,0))&lt;='損益分岐設定'!C40,MAX('損益分岐設定'!B40,ROUNDUP(U377/I377,0)),1001))</x:f>
        <x:v>501</x:v>
      </x:c>
      <x:c r="Z377" s="1" t="n">
        <x:f>IF(I377&lt;=0,'損益分岐設定'!C37,IF('損益分岐設定'!C37*I377-R377&lt;0,'損益分岐設定'!C37,IF('損益分岐設定'!B37*I377-R377&gt;=0,0,ROUNDUP(R377/I377,0)-1)))</x:f>
        <x:v>10</x:v>
      </x:c>
      <x:c r="AA377" s="1" t="n">
        <x:f>IF(I377&lt;=0,'損益分岐設定'!C38,IF('損益分岐設定'!C38*I377-S377&lt;0,'損益分岐設定'!C38,IF('損益分岐設定'!B38*I377-S377&gt;=0,0,ROUNDUP(S377/I377,0)-1)))</x:f>
        <x:v>28</x:v>
      </x:c>
      <x:c r="AB377" s="1" t="n">
        <x:f>IF(I377&lt;=0,'損益分岐設定'!C39,IF('損益分岐設定'!C39*I377-T377&lt;0,'損益分岐設定'!C39,IF('損益分岐設定'!B39*I377-T377&gt;=0,0,ROUNDUP(T377/I377,0)-1)))</x:f>
        <x:v>0</x:v>
      </x:c>
      <x:c r="AC377" s="1" t="n">
        <x:f>IF(I377&lt;=0,'損益分岐設定'!C40,IF('損益分岐設定'!C40*I377-U377&lt;0,'損益分岐設定'!C40,IF('損益分岐設定'!B40*I377-U377&gt;=0,0,ROUNDUP(U377/I377,0)-1)))</x:f>
        <x:v>0</x:v>
      </x:c>
      <x:c r="AD377" s="1" t="n">
        <x:v>0</x:v>
      </x:c>
      <x:c r="AE377" s="1" t="n">
        <x:v>1</x:v>
      </x:c>
      <x:c r="AF377" s="1" t="n">
        <x:v>0</x:v>
      </x:c>
      <x:c r="AG377" s="1" t="n">
        <x:f>AD377*'損益分岐設定'!$C$57+AE377*'損益分岐設定'!$C$60+AF377*'損益分岐設定'!$C$63</x:f>
        <x:v>441.58457275390623</x:v>
      </x:c>
      <x:c r="AH377" s="1" t="n">
        <x:f>AD377*'損益分岐設定'!$D$57+AE377*'損益分岐設定'!$D$60+AF377*'損益分岐設定'!$D$63</x:f>
        <x:v>120</x:v>
      </x:c>
      <x:c r="AI377" s="1" t="n">
        <x:f>AD377*'損益分岐設定'!$E$57+AE377*'損益分岐設定'!$E$60+AF377*'損益分岐設定'!$E$63</x:f>
        <x:v>120</x:v>
      </x:c>
      <x:c r="AJ377" s="1" t="n">
        <x:f>(AD377*'損益分岐設定'!$F$57+AE377*'損益分岐設定'!$F$60+AF377*'損益分岐設定'!$F$63*1)*'損益分岐設定'!$B$22</x:f>
        <x:v>480</x:v>
      </x:c>
      <x:c r="AK377" s="1" t="n">
        <x:f>AD377*'損益分岐設定'!$G$57+AE377*'損益分岐設定'!$G$60+AF377*'損益分岐設定'!$G$63</x:f>
        <x:v>800</x:v>
      </x:c>
      <x:c r="AL377" s="1" t="n">
        <x:f>AD377*'損益分岐設定'!$H$57+AE377*'損益分岐設定'!$H$60+AF377*'損益分岐設定'!$H$63</x:f>
        <x:v>666.6666666666666</x:v>
      </x:c>
      <x:c r="AM377" s="1" t="n">
        <x:f>MAX(1,ROUNDUP('損益分岐設定'!C37*AJ377/('損益分岐設定'!$B$23*'損益分岐設定'!$B$24*3600*'損益分岐設定'!$B$25),0))</x:f>
        <x:v>1</x:v>
      </x:c>
      <x:c r="AN377" s="1" t="n">
        <x:f>MAX(2,ROUNDUP('損益分岐設定'!C38*AJ377/('損益分岐設定'!$B$23*'損益分岐設定'!$B$24*3600*'損益分岐設定'!$B$25),0))</x:f>
        <x:v>2</x:v>
      </x:c>
      <x:c r="AO377" s="1" t="n">
        <x:f>MAX(2,ROUNDUP('損益分岐設定'!C39*AJ377/('損益分岐設定'!$B$23*'損益分岐設定'!$B$24*3600*'損益分岐設定'!$B$25),0))</x:f>
        <x:v>2</x:v>
      </x:c>
      <x:c r="AP377" s="1" t="n">
        <x:f>MAX(2,ROUNDUP('損益分岐設定'!C40*AJ377/('損益分岐設定'!$B$23*'損益分岐設定'!$B$24*3600*'損益分岐設定'!$B$25),0))</x:f>
        <x:v>2</x:v>
      </x:c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 ht="23" customHeight="1">
      <x:c r="A378" s="1" t="str">
        <x:v>VM</x:v>
      </x:c>
      <x:c r="B378" s="1" t="str">
        <x:v>Business</x:v>
      </x:c>
      <x:c r="C378" s="1" t="str">
        <x:v>標準</x:v>
      </x:c>
      <x:c r="D378" s="21" t="n">
        <x:v>0.2</x:v>
      </x:c>
      <x:c r="E378" s="1" t="n">
        <x:v>1</x:v>
      </x:c>
      <x:c r="F378" s="7" t="n">
        <x:f>AD378*'損益分岐設定'!$B$5+AE378*'損益分岐設定'!$B$6+AF378*'損益分岐設定'!$B$7</x:f>
        <x:v>5000</x:v>
      </x:c>
      <x:c r="G378" s="7" t="n">
        <x:f>AG378+0+AK378*'損益分岐設定'!$B$33</x:f>
        <x:v>441.59351345062254</x:v>
      </x:c>
      <x:c r="H378" s="7" t="n">
        <x:f>AL378*E378</x:f>
        <x:v>666.6666666666666</x:v>
      </x:c>
      <x:c r="I378" s="7" t="n">
        <x:f>F378*(1-D378-'損益分岐設定'!$B$10)-G378-H378</x:f>
        <x:v>2711.739819882711</x:v>
      </x:c>
      <x:c r="J378" s="1" t="n">
        <x:f>IF(MIN(V378:Y378)&gt;1000,"範囲内なし",MIN(V378:Y378))</x:f>
        <x:v>54</x:v>
      </x:c>
      <x:c r="K378" s="1" t="n">
        <x:f>IF(MAX(Z378:AC378)&gt;=1000,"範囲内なし",MAX(1,MAX(Z378:AC378)+1))</x:f>
        <x:v>54</x:v>
      </x:c>
      <x:c r="L378" s="7" t="n">
        <x:f>10*I378-R378</x:f>
        <x:v>-55641.788562394155</x:v>
      </x:c>
      <x:c r="M378" s="7" t="n">
        <x:f>30*I378-S378</x:f>
        <x:v>-63666.17892596121</x:v>
      </x:c>
      <x:c r="N378" s="7" t="n">
        <x:f>50*I378-S378</x:f>
        <x:v>-9431.382528306975</x:v>
      </x:c>
      <x:c r="O378" s="7" t="n">
        <x:f>100*I378-S378</x:f>
        <x:v>126155.60846582858</x:v>
      </x:c>
      <x:c r="P378" s="7" t="n">
        <x:f>300*I378-T378</x:f>
        <x:v>636503.5724423707</x:v>
      </x:c>
      <x:c r="Q378" s="7" t="n">
        <x:f>1000*I378-U378</x:f>
        <x:v>2465841.8529796577</x:v>
      </x:c>
      <x:c r="R378" s="7" t="n">
        <x:f>'損益分岐設定'!$B$18+'損益分岐設定'!$B$19+'損益分岐設定'!$B$20+'損益分岐設定'!E37+('損益分岐設定'!F37+2*'損益分岐設定'!G37+AM378)*('損益分岐設定'!$B$15+'損益分岐設定'!$B$16)+'損益分岐設定'!$B$17+'損益分岐設定'!$B$21+E378*'損益分岐設定'!H37*'損益分岐設定'!$B$11</x:f>
        <x:v>82759.18676122127</x:v>
      </x:c>
      <x:c r="S378" s="7" t="n">
        <x:f>'損益分岐設定'!$B$18+'損益分岐設定'!$B$19+'損益分岐設定'!$B$20+'損益分岐設定'!E38+('損益分岐設定'!F38+2*'損益分岐設定'!G38+AN378)*('損益分岐設定'!$B$15+'損益分岐設定'!$B$16)+'損益分岐設定'!$B$17+'損益分岐設定'!$B$21+E378*'損益分岐設定'!H38*'損益分岐設定'!$B$11</x:f>
        <x:v>145018.37352244253</x:v>
      </x:c>
      <x:c r="T378" s="7" t="n">
        <x:f>'損益分岐設定'!$B$18+'損益分岐設定'!$B$19+'損益分岐設定'!$B$20+'損益分岐設定'!E39+('損益分岐設定'!F39+2*'損益分岐設定'!G39+AO378)*('損益分岐設定'!$B$15+'損益分岐設定'!$B$16)+'損益分岐設定'!$B$17+'損益分岐設定'!$B$21+E378*'損益分岐設定'!H39*'損益分岐設定'!$B$11</x:f>
        <x:v>177018.37352244253</x:v>
      </x:c>
      <x:c r="U378" s="7" t="n">
        <x:f>'損益分岐設定'!$B$18+'損益分岐設定'!$B$19+'損益分岐設定'!$B$20+'損益分岐設定'!E40+('損益分岐設定'!F40+2*'損益分岐設定'!G40+AP378)*('損益分岐設定'!$B$15+'損益分岐設定'!$B$16)+'損益分岐設定'!$B$17+'損益分岐設定'!$B$21+E378*'損益分岐設定'!H40*'損益分岐設定'!$B$11</x:f>
        <x:v>245897.96690305317</x:v>
      </x:c>
      <x:c r="V378" s="1" t="n">
        <x:f>IF(I378&lt;=0,1001,IF(MAX('損益分岐設定'!B37,ROUNDUP(R378/I378,0))&lt;='損益分岐設定'!C37,MAX('損益分岐設定'!B37,ROUNDUP(R378/I378,0)),1001))</x:f>
        <x:v>1001</x:v>
      </x:c>
      <x:c r="W378" s="1" t="n">
        <x:f>IF(I378&lt;=0,1001,IF(MAX('損益分岐設定'!B38,ROUNDUP(S378/I378,0))&lt;='損益分岐設定'!C38,MAX('損益分岐設定'!B38,ROUNDUP(S378/I378,0)),1001))</x:f>
        <x:v>54</x:v>
      </x:c>
      <x:c r="X378" s="1" t="n">
        <x:f>IF(I378&lt;=0,1001,IF(MAX('損益分岐設定'!B39,ROUNDUP(T378/I378,0))&lt;='損益分岐設定'!C39,MAX('損益分岐設定'!B39,ROUNDUP(T378/I378,0)),1001))</x:f>
        <x:v>101</x:v>
      </x:c>
      <x:c r="Y378" s="1" t="n">
        <x:f>IF(I378&lt;=0,1001,IF(MAX('損益分岐設定'!B40,ROUNDUP(U378/I378,0))&lt;='損益分岐設定'!C40,MAX('損益分岐設定'!B40,ROUNDUP(U378/I378,0)),1001))</x:f>
        <x:v>501</x:v>
      </x:c>
      <x:c r="Z378" s="1" t="n">
        <x:f>IF(I378&lt;=0,'損益分岐設定'!C37,IF('損益分岐設定'!C37*I378-R378&lt;0,'損益分岐設定'!C37,IF('損益分岐設定'!B37*I378-R378&gt;=0,0,ROUNDUP(R378/I378,0)-1)))</x:f>
        <x:v>10</x:v>
      </x:c>
      <x:c r="AA378" s="1" t="n">
        <x:f>IF(I378&lt;=0,'損益分岐設定'!C38,IF('損益分岐設定'!C38*I378-S378&lt;0,'損益分岐設定'!C38,IF('損益分岐設定'!B38*I378-S378&gt;=0,0,ROUNDUP(S378/I378,0)-1)))</x:f>
        <x:v>53</x:v>
      </x:c>
      <x:c r="AB378" s="1" t="n">
        <x:f>IF(I378&lt;=0,'損益分岐設定'!C39,IF('損益分岐設定'!C39*I378-T378&lt;0,'損益分岐設定'!C39,IF('損益分岐設定'!B39*I378-T378&gt;=0,0,ROUNDUP(T378/I378,0)-1)))</x:f>
        <x:v>0</x:v>
      </x:c>
      <x:c r="AC378" s="1" t="n">
        <x:f>IF(I378&lt;=0,'損益分岐設定'!C40,IF('損益分岐設定'!C40*I378-U378&lt;0,'損益分岐設定'!C40,IF('損益分岐設定'!B40*I378-U378&gt;=0,0,ROUNDUP(U378/I378,0)-1)))</x:f>
        <x:v>0</x:v>
      </x:c>
      <x:c r="AD378" s="1" t="n">
        <x:v>0</x:v>
      </x:c>
      <x:c r="AE378" s="1" t="n">
        <x:v>1</x:v>
      </x:c>
      <x:c r="AF378" s="1" t="n">
        <x:v>0</x:v>
      </x:c>
      <x:c r="AG378" s="1" t="n">
        <x:f>AD378*'損益分岐設定'!$C$57+AE378*'損益分岐設定'!$C$60+AF378*'損益分岐設定'!$C$63</x:f>
        <x:v>441.58457275390623</x:v>
      </x:c>
      <x:c r="AH378" s="1" t="n">
        <x:f>AD378*'損益分岐設定'!$D$57+AE378*'損益分岐設定'!$D$60+AF378*'損益分岐設定'!$D$63</x:f>
        <x:v>120</x:v>
      </x:c>
      <x:c r="AI378" s="1" t="n">
        <x:f>AD378*'損益分岐設定'!$E$57+AE378*'損益分岐設定'!$E$60+AF378*'損益分岐設定'!$E$63</x:f>
        <x:v>120</x:v>
      </x:c>
      <x:c r="AJ378" s="1" t="n">
        <x:f>(AD378*'損益分岐設定'!$F$57+AE378*'損益分岐設定'!$F$60+AF378*'損益分岐設定'!$F$63*1)*'損益分岐設定'!$B$22</x:f>
        <x:v>480</x:v>
      </x:c>
      <x:c r="AK378" s="1" t="n">
        <x:f>AD378*'損益分岐設定'!$G$57+AE378*'損益分岐設定'!$G$60+AF378*'損益分岐設定'!$G$63</x:f>
        <x:v>800</x:v>
      </x:c>
      <x:c r="AL378" s="1" t="n">
        <x:f>AD378*'損益分岐設定'!$H$57+AE378*'損益分岐設定'!$H$60+AF378*'損益分岐設定'!$H$63</x:f>
        <x:v>666.6666666666666</x:v>
      </x:c>
      <x:c r="AM378" s="1" t="n">
        <x:f>MAX(1,ROUNDUP('損益分岐設定'!C37*AJ378/('損益分岐設定'!$B$23*'損益分岐設定'!$B$24*3600*'損益分岐設定'!$B$25),0))</x:f>
        <x:v>1</x:v>
      </x:c>
      <x:c r="AN378" s="1" t="n">
        <x:f>MAX(2,ROUNDUP('損益分岐設定'!C38*AJ378/('損益分岐設定'!$B$23*'損益分岐設定'!$B$24*3600*'損益分岐設定'!$B$25),0))</x:f>
        <x:v>2</x:v>
      </x:c>
      <x:c r="AO378" s="1" t="n">
        <x:f>MAX(2,ROUNDUP('損益分岐設定'!C39*AJ378/('損益分岐設定'!$B$23*'損益分岐設定'!$B$24*3600*'損益分岐設定'!$B$25),0))</x:f>
        <x:v>2</x:v>
      </x:c>
      <x:c r="AP378" s="1" t="n">
        <x:f>MAX(2,ROUNDUP('損益分岐設定'!C40*AJ378/('損益分岐設定'!$B$23*'損益分岐設定'!$B$24*3600*'損益分岐設定'!$B$25),0))</x:f>
        <x:v>2</x:v>
      </x:c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 ht="23" customHeight="1">
      <x:c r="A379" s="1" t="str">
        <x:v>VM</x:v>
      </x:c>
      <x:c r="B379" s="1" t="str">
        <x:v>Business</x:v>
      </x:c>
      <x:c r="C379" s="1" t="str">
        <x:v>標準</x:v>
      </x:c>
      <x:c r="D379" s="21" t="n">
        <x:v>0.3</x:v>
      </x:c>
      <x:c r="E379" s="1" t="n">
        <x:v>0</x:v>
      </x:c>
      <x:c r="F379" s="7" t="n">
        <x:f>AD379*'損益分岐設定'!$B$5+AE379*'損益分岐設定'!$B$6+AF379*'損益分岐設定'!$B$7</x:f>
        <x:v>5000</x:v>
      </x:c>
      <x:c r="G379" s="7" t="n">
        <x:f>AG379+0+AK379*'損益分岐設定'!$B$33</x:f>
        <x:v>441.59351345062254</x:v>
      </x:c>
      <x:c r="H379" s="7" t="n">
        <x:f>AL379*E379</x:f>
        <x:v>0</x:v>
      </x:c>
      <x:c r="I379" s="7" t="n">
        <x:f>F379*(1-D379-'損益分岐設定'!$B$10)-G379-H379</x:f>
        <x:v>2878.406486549377</x:v>
      </x:c>
      <x:c r="J379" s="1" t="n">
        <x:f>IF(MIN(V379:Y379)&gt;1000,"範囲内なし",MIN(V379:Y379))</x:f>
        <x:v>34</x:v>
      </x:c>
      <x:c r="K379" s="1" t="n">
        <x:f>IF(MAX(Z379:AC379)&gt;=1000,"範囲内なし",MAX(1,MAX(Z379:AC379)+1))</x:f>
        <x:v>34</x:v>
      </x:c>
      <x:c r="L379" s="7" t="n">
        <x:f>10*I379-R379</x:f>
        <x:v>-21975.121895727505</x:v>
      </x:c>
      <x:c r="M379" s="7" t="n">
        <x:f>30*I379-S379</x:f>
        <x:v>-10666.178925961241</x:v>
      </x:c>
      <x:c r="N379" s="7" t="n">
        <x:f>50*I379-S379</x:f>
        <x:v>46901.950805026296</x:v>
      </x:c>
      <x:c r="O379" s="7" t="n">
        <x:f>100*I379-S379</x:f>
        <x:v>190822.27513249515</x:v>
      </x:c>
      <x:c r="P379" s="7" t="n">
        <x:f>300*I379-T379</x:f>
        <x:v>766503.5724423706</x:v>
      </x:c>
      <x:c r="Q379" s="7" t="n">
        <x:f>1000*I379-U379</x:f>
        <x:v>2760508.5196463238</x:v>
      </x:c>
      <x:c r="R379" s="7" t="n">
        <x:f>'損益分岐設定'!$B$18+'損益分岐設定'!$B$19+'損益分岐設定'!$B$20+'損益分岐設定'!E37+('損益分岐設定'!F37+2*'損益分岐設定'!G37+AM379)*('損益分岐設定'!$B$15+'損益分岐設定'!$B$16)+'損益分岐設定'!$B$17+'損益分岐設定'!$B$21+E379*'損益分岐設定'!H37*'損益分岐設定'!$B$11</x:f>
        <x:v>50759.18676122127</x:v>
      </x:c>
      <x:c r="S379" s="7" t="n">
        <x:f>'損益分岐設定'!$B$18+'損益分岐設定'!$B$19+'損益分岐設定'!$B$20+'損益分岐設定'!E38+('損益分岐設定'!F38+2*'損益分岐設定'!G38+AN379)*('損益分岐設定'!$B$15+'損益分岐設定'!$B$16)+'損益分岐設定'!$B$17+'損益分岐設定'!$B$21+E379*'損益分岐設定'!H38*'損益分岐設定'!$B$11</x:f>
        <x:v>97018.37352244255</x:v>
      </x:c>
      <x:c r="T379" s="7" t="n">
        <x:f>'損益分岐設定'!$B$18+'損益分岐設定'!$B$19+'損益分岐設定'!$B$20+'損益分岐設定'!E39+('損益分岐設定'!F39+2*'損益分岐設定'!G39+AO379)*('損益分岐設定'!$B$15+'損益分岐設定'!$B$16)+'損益分岐設定'!$B$17+'損益分岐設定'!$B$21+E379*'損益分岐設定'!H39*'損益分岐設定'!$B$11</x:f>
        <x:v>97018.37352244255</x:v>
      </x:c>
      <x:c r="U379" s="7" t="n">
        <x:f>'損益分岐設定'!$B$18+'損益分岐設定'!$B$19+'損益分岐設定'!$B$20+'損益分岐設定'!E40+('損益分岐設定'!F40+2*'損益分岐設定'!G40+AP379)*('損益分岐設定'!$B$15+'損益分岐設定'!$B$16)+'損益分岐設定'!$B$17+'損益分岐設定'!$B$21+E379*'損益分岐設定'!H40*'損益分岐設定'!$B$11</x:f>
        <x:v>117897.96690305318</x:v>
      </x:c>
      <x:c r="V379" s="1" t="n">
        <x:f>IF(I379&lt;=0,1001,IF(MAX('損益分岐設定'!B37,ROUNDUP(R379/I379,0))&lt;='損益分岐設定'!C37,MAX('損益分岐設定'!B37,ROUNDUP(R379/I379,0)),1001))</x:f>
        <x:v>1001</x:v>
      </x:c>
      <x:c r="W379" s="1" t="n">
        <x:f>IF(I379&lt;=0,1001,IF(MAX('損益分岐設定'!B38,ROUNDUP(S379/I379,0))&lt;='損益分岐設定'!C38,MAX('損益分岐設定'!B38,ROUNDUP(S379/I379,0)),1001))</x:f>
        <x:v>34</x:v>
      </x:c>
      <x:c r="X379" s="1" t="n">
        <x:f>IF(I379&lt;=0,1001,IF(MAX('損益分岐設定'!B39,ROUNDUP(T379/I379,0))&lt;='損益分岐設定'!C39,MAX('損益分岐設定'!B39,ROUNDUP(T379/I379,0)),1001))</x:f>
        <x:v>101</x:v>
      </x:c>
      <x:c r="Y379" s="1" t="n">
        <x:f>IF(I379&lt;=0,1001,IF(MAX('損益分岐設定'!B40,ROUNDUP(U379/I379,0))&lt;='損益分岐設定'!C40,MAX('損益分岐設定'!B40,ROUNDUP(U379/I379,0)),1001))</x:f>
        <x:v>501</x:v>
      </x:c>
      <x:c r="Z379" s="1" t="n">
        <x:f>IF(I379&lt;=0,'損益分岐設定'!C37,IF('損益分岐設定'!C37*I379-R379&lt;0,'損益分岐設定'!C37,IF('損益分岐設定'!B37*I379-R379&gt;=0,0,ROUNDUP(R379/I379,0)-1)))</x:f>
        <x:v>10</x:v>
      </x:c>
      <x:c r="AA379" s="1" t="n">
        <x:f>IF(I379&lt;=0,'損益分岐設定'!C38,IF('損益分岐設定'!C38*I379-S379&lt;0,'損益分岐設定'!C38,IF('損益分岐設定'!B38*I379-S379&gt;=0,0,ROUNDUP(S379/I379,0)-1)))</x:f>
        <x:v>33</x:v>
      </x:c>
      <x:c r="AB379" s="1" t="n">
        <x:f>IF(I379&lt;=0,'損益分岐設定'!C39,IF('損益分岐設定'!C39*I379-T379&lt;0,'損益分岐設定'!C39,IF('損益分岐設定'!B39*I379-T379&gt;=0,0,ROUNDUP(T379/I379,0)-1)))</x:f>
        <x:v>0</x:v>
      </x:c>
      <x:c r="AC379" s="1" t="n">
        <x:f>IF(I379&lt;=0,'損益分岐設定'!C40,IF('損益分岐設定'!C40*I379-U379&lt;0,'損益分岐設定'!C40,IF('損益分岐設定'!B40*I379-U379&gt;=0,0,ROUNDUP(U379/I379,0)-1)))</x:f>
        <x:v>0</x:v>
      </x:c>
      <x:c r="AD379" s="1" t="n">
        <x:v>0</x:v>
      </x:c>
      <x:c r="AE379" s="1" t="n">
        <x:v>1</x:v>
      </x:c>
      <x:c r="AF379" s="1" t="n">
        <x:v>0</x:v>
      </x:c>
      <x:c r="AG379" s="1" t="n">
        <x:f>AD379*'損益分岐設定'!$C$57+AE379*'損益分岐設定'!$C$60+AF379*'損益分岐設定'!$C$63</x:f>
        <x:v>441.58457275390623</x:v>
      </x:c>
      <x:c r="AH379" s="1" t="n">
        <x:f>AD379*'損益分岐設定'!$D$57+AE379*'損益分岐設定'!$D$60+AF379*'損益分岐設定'!$D$63</x:f>
        <x:v>120</x:v>
      </x:c>
      <x:c r="AI379" s="1" t="n">
        <x:f>AD379*'損益分岐設定'!$E$57+AE379*'損益分岐設定'!$E$60+AF379*'損益分岐設定'!$E$63</x:f>
        <x:v>120</x:v>
      </x:c>
      <x:c r="AJ379" s="1" t="n">
        <x:f>(AD379*'損益分岐設定'!$F$57+AE379*'損益分岐設定'!$F$60+AF379*'損益分岐設定'!$F$63*1)*'損益分岐設定'!$B$22</x:f>
        <x:v>480</x:v>
      </x:c>
      <x:c r="AK379" s="1" t="n">
        <x:f>AD379*'損益分岐設定'!$G$57+AE379*'損益分岐設定'!$G$60+AF379*'損益分岐設定'!$G$63</x:f>
        <x:v>800</x:v>
      </x:c>
      <x:c r="AL379" s="1" t="n">
        <x:f>AD379*'損益分岐設定'!$H$57+AE379*'損益分岐設定'!$H$60+AF379*'損益分岐設定'!$H$63</x:f>
        <x:v>666.6666666666666</x:v>
      </x:c>
      <x:c r="AM379" s="1" t="n">
        <x:f>MAX(1,ROUNDUP('損益分岐設定'!C37*AJ379/('損益分岐設定'!$B$23*'損益分岐設定'!$B$24*3600*'損益分岐設定'!$B$25),0))</x:f>
        <x:v>1</x:v>
      </x:c>
      <x:c r="AN379" s="1" t="n">
        <x:f>MAX(2,ROUNDUP('損益分岐設定'!C38*AJ379/('損益分岐設定'!$B$23*'損益分岐設定'!$B$24*3600*'損益分岐設定'!$B$25),0))</x:f>
        <x:v>2</x:v>
      </x:c>
      <x:c r="AO379" s="1" t="n">
        <x:f>MAX(2,ROUNDUP('損益分岐設定'!C39*AJ379/('損益分岐設定'!$B$23*'損益分岐設定'!$B$24*3600*'損益分岐設定'!$B$25),0))</x:f>
        <x:v>2</x:v>
      </x:c>
      <x:c r="AP379" s="1" t="n">
        <x:f>MAX(2,ROUNDUP('損益分岐設定'!C40*AJ379/('損益分岐設定'!$B$23*'損益分岐設定'!$B$24*3600*'損益分岐設定'!$B$25),0))</x:f>
        <x:v>2</x:v>
      </x:c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 ht="23" customHeight="1">
      <x:c r="A380" s="1" t="str">
        <x:v>VM</x:v>
      </x:c>
      <x:c r="B380" s="1" t="str">
        <x:v>Business</x:v>
      </x:c>
      <x:c r="C380" s="1" t="str">
        <x:v>標準</x:v>
      </x:c>
      <x:c r="D380" s="21" t="n">
        <x:v>0.3</x:v>
      </x:c>
      <x:c r="E380" s="1" t="n">
        <x:v>1</x:v>
      </x:c>
      <x:c r="F380" s="7" t="n">
        <x:f>AD380*'損益分岐設定'!$B$5+AE380*'損益分岐設定'!$B$6+AF380*'損益分岐設定'!$B$7</x:f>
        <x:v>5000</x:v>
      </x:c>
      <x:c r="G380" s="7" t="n">
        <x:f>AG380+0+AK380*'損益分岐設定'!$B$33</x:f>
        <x:v>441.59351345062254</x:v>
      </x:c>
      <x:c r="H380" s="7" t="n">
        <x:f>AL380*E380</x:f>
        <x:v>666.6666666666666</x:v>
      </x:c>
      <x:c r="I380" s="7" t="n">
        <x:f>F380*(1-D380-'損益分岐設定'!$B$10)-G380-H380</x:f>
        <x:v>2211.7398198827104</x:v>
      </x:c>
      <x:c r="J380" s="1" t="n">
        <x:f>IF(MIN(V380:Y380)&gt;1000,"範囲内なし",MIN(V380:Y380))</x:f>
        <x:v>66</x:v>
      </x:c>
      <x:c r="K380" s="1" t="n">
        <x:f>IF(MAX(Z380:AC380)&gt;=1000,"範囲内なし",MAX(1,MAX(Z380:AC380)+1))</x:f>
        <x:v>66</x:v>
      </x:c>
      <x:c r="L380" s="7" t="n">
        <x:f>10*I380-R380</x:f>
        <x:v>-60641.78856239416</x:v>
      </x:c>
      <x:c r="M380" s="7" t="n">
        <x:f>30*I380-S380</x:f>
        <x:v>-78666.17892596123</x:v>
      </x:c>
      <x:c r="N380" s="7" t="n">
        <x:f>50*I380-S380</x:f>
        <x:v>-34431.382528307004</x:v>
      </x:c>
      <x:c r="O380" s="7" t="n">
        <x:f>100*I380-S380</x:f>
        <x:v>76155.60846582853</x:v>
      </x:c>
      <x:c r="P380" s="7" t="n">
        <x:f>300*I380-T380</x:f>
        <x:v>486503.5724423706</x:v>
      </x:c>
      <x:c r="Q380" s="7" t="n">
        <x:f>1000*I380-U380</x:f>
        <x:v>1965841.8529796572</x:v>
      </x:c>
      <x:c r="R380" s="7" t="n">
        <x:f>'損益分岐設定'!$B$18+'損益分岐設定'!$B$19+'損益分岐設定'!$B$20+'損益分岐設定'!E37+('損益分岐設定'!F37+2*'損益分岐設定'!G37+AM380)*('損益分岐設定'!$B$15+'損益分岐設定'!$B$16)+'損益分岐設定'!$B$17+'損益分岐設定'!$B$21+E380*'損益分岐設定'!H37*'損益分岐設定'!$B$11</x:f>
        <x:v>82759.18676122127</x:v>
      </x:c>
      <x:c r="S380" s="7" t="n">
        <x:f>'損益分岐設定'!$B$18+'損益分岐設定'!$B$19+'損益分岐設定'!$B$20+'損益分岐設定'!E38+('損益分岐設定'!F38+2*'損益分岐設定'!G38+AN380)*('損益分岐設定'!$B$15+'損益分岐設定'!$B$16)+'損益分岐設定'!$B$17+'損益分岐設定'!$B$21+E380*'損益分岐設定'!H38*'損益分岐設定'!$B$11</x:f>
        <x:v>145018.37352244253</x:v>
      </x:c>
      <x:c r="T380" s="7" t="n">
        <x:f>'損益分岐設定'!$B$18+'損益分岐設定'!$B$19+'損益分岐設定'!$B$20+'損益分岐設定'!E39+('損益分岐設定'!F39+2*'損益分岐設定'!G39+AO380)*('損益分岐設定'!$B$15+'損益分岐設定'!$B$16)+'損益分岐設定'!$B$17+'損益分岐設定'!$B$21+E380*'損益分岐設定'!H39*'損益分岐設定'!$B$11</x:f>
        <x:v>177018.37352244253</x:v>
      </x:c>
      <x:c r="U380" s="7" t="n">
        <x:f>'損益分岐設定'!$B$18+'損益分岐設定'!$B$19+'損益分岐設定'!$B$20+'損益分岐設定'!E40+('損益分岐設定'!F40+2*'損益分岐設定'!G40+AP380)*('損益分岐設定'!$B$15+'損益分岐設定'!$B$16)+'損益分岐設定'!$B$17+'損益分岐設定'!$B$21+E380*'損益分岐設定'!H40*'損益分岐設定'!$B$11</x:f>
        <x:v>245897.96690305317</x:v>
      </x:c>
      <x:c r="V380" s="1" t="n">
        <x:f>IF(I380&lt;=0,1001,IF(MAX('損益分岐設定'!B37,ROUNDUP(R380/I380,0))&lt;='損益分岐設定'!C37,MAX('損益分岐設定'!B37,ROUNDUP(R380/I380,0)),1001))</x:f>
        <x:v>1001</x:v>
      </x:c>
      <x:c r="W380" s="1" t="n">
        <x:f>IF(I380&lt;=0,1001,IF(MAX('損益分岐設定'!B38,ROUNDUP(S380/I380,0))&lt;='損益分岐設定'!C38,MAX('損益分岐設定'!B38,ROUNDUP(S380/I380,0)),1001))</x:f>
        <x:v>66</x:v>
      </x:c>
      <x:c r="X380" s="1" t="n">
        <x:f>IF(I380&lt;=0,1001,IF(MAX('損益分岐設定'!B39,ROUNDUP(T380/I380,0))&lt;='損益分岐設定'!C39,MAX('損益分岐設定'!B39,ROUNDUP(T380/I380,0)),1001))</x:f>
        <x:v>101</x:v>
      </x:c>
      <x:c r="Y380" s="1" t="n">
        <x:f>IF(I380&lt;=0,1001,IF(MAX('損益分岐設定'!B40,ROUNDUP(U380/I380,0))&lt;='損益分岐設定'!C40,MAX('損益分岐設定'!B40,ROUNDUP(U380/I380,0)),1001))</x:f>
        <x:v>501</x:v>
      </x:c>
      <x:c r="Z380" s="1" t="n">
        <x:f>IF(I380&lt;=0,'損益分岐設定'!C37,IF('損益分岐設定'!C37*I380-R380&lt;0,'損益分岐設定'!C37,IF('損益分岐設定'!B37*I380-R380&gt;=0,0,ROUNDUP(R380/I380,0)-1)))</x:f>
        <x:v>10</x:v>
      </x:c>
      <x:c r="AA380" s="1" t="n">
        <x:f>IF(I380&lt;=0,'損益分岐設定'!C38,IF('損益分岐設定'!C38*I380-S380&lt;0,'損益分岐設定'!C38,IF('損益分岐設定'!B38*I380-S380&gt;=0,0,ROUNDUP(S380/I380,0)-1)))</x:f>
        <x:v>65</x:v>
      </x:c>
      <x:c r="AB380" s="1" t="n">
        <x:f>IF(I380&lt;=0,'損益分岐設定'!C39,IF('損益分岐設定'!C39*I380-T380&lt;0,'損益分岐設定'!C39,IF('損益分岐設定'!B39*I380-T380&gt;=0,0,ROUNDUP(T380/I380,0)-1)))</x:f>
        <x:v>0</x:v>
      </x:c>
      <x:c r="AC380" s="1" t="n">
        <x:f>IF(I380&lt;=0,'損益分岐設定'!C40,IF('損益分岐設定'!C40*I380-U380&lt;0,'損益分岐設定'!C40,IF('損益分岐設定'!B40*I380-U380&gt;=0,0,ROUNDUP(U380/I380,0)-1)))</x:f>
        <x:v>0</x:v>
      </x:c>
      <x:c r="AD380" s="1" t="n">
        <x:v>0</x:v>
      </x:c>
      <x:c r="AE380" s="1" t="n">
        <x:v>1</x:v>
      </x:c>
      <x:c r="AF380" s="1" t="n">
        <x:v>0</x:v>
      </x:c>
      <x:c r="AG380" s="1" t="n">
        <x:f>AD380*'損益分岐設定'!$C$57+AE380*'損益分岐設定'!$C$60+AF380*'損益分岐設定'!$C$63</x:f>
        <x:v>441.58457275390623</x:v>
      </x:c>
      <x:c r="AH380" s="1" t="n">
        <x:f>AD380*'損益分岐設定'!$D$57+AE380*'損益分岐設定'!$D$60+AF380*'損益分岐設定'!$D$63</x:f>
        <x:v>120</x:v>
      </x:c>
      <x:c r="AI380" s="1" t="n">
        <x:f>AD380*'損益分岐設定'!$E$57+AE380*'損益分岐設定'!$E$60+AF380*'損益分岐設定'!$E$63</x:f>
        <x:v>120</x:v>
      </x:c>
      <x:c r="AJ380" s="1" t="n">
        <x:f>(AD380*'損益分岐設定'!$F$57+AE380*'損益分岐設定'!$F$60+AF380*'損益分岐設定'!$F$63*1)*'損益分岐設定'!$B$22</x:f>
        <x:v>480</x:v>
      </x:c>
      <x:c r="AK380" s="1" t="n">
        <x:f>AD380*'損益分岐設定'!$G$57+AE380*'損益分岐設定'!$G$60+AF380*'損益分岐設定'!$G$63</x:f>
        <x:v>800</x:v>
      </x:c>
      <x:c r="AL380" s="1" t="n">
        <x:f>AD380*'損益分岐設定'!$H$57+AE380*'損益分岐設定'!$H$60+AF380*'損益分岐設定'!$H$63</x:f>
        <x:v>666.6666666666666</x:v>
      </x:c>
      <x:c r="AM380" s="1" t="n">
        <x:f>MAX(1,ROUNDUP('損益分岐設定'!C37*AJ380/('損益分岐設定'!$B$23*'損益分岐設定'!$B$24*3600*'損益分岐設定'!$B$25),0))</x:f>
        <x:v>1</x:v>
      </x:c>
      <x:c r="AN380" s="1" t="n">
        <x:f>MAX(2,ROUNDUP('損益分岐設定'!C38*AJ380/('損益分岐設定'!$B$23*'損益分岐設定'!$B$24*3600*'損益分岐設定'!$B$25),0))</x:f>
        <x:v>2</x:v>
      </x:c>
      <x:c r="AO380" s="1" t="n">
        <x:f>MAX(2,ROUNDUP('損益分岐設定'!C39*AJ380/('損益分岐設定'!$B$23*'損益分岐設定'!$B$24*3600*'損益分岐設定'!$B$25),0))</x:f>
        <x:v>2</x:v>
      </x:c>
      <x:c r="AP380" s="1" t="n">
        <x:f>MAX(2,ROUNDUP('損益分岐設定'!C40*AJ380/('損益分岐設定'!$B$23*'損益分岐設定'!$B$24*3600*'損益分岐設定'!$B$25),0))</x:f>
        <x:v>2</x:v>
      </x:c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 ht="23" customHeight="1">
      <x:c r="A381" s="1" t="str">
        <x:v>VM</x:v>
      </x:c>
      <x:c r="B381" s="1" t="str">
        <x:v>Business</x:v>
      </x:c>
      <x:c r="C381" s="1" t="str">
        <x:v>標準</x:v>
      </x:c>
      <x:c r="D381" s="21" t="n">
        <x:v>0.4</x:v>
      </x:c>
      <x:c r="E381" s="1" t="n">
        <x:v>0</x:v>
      </x:c>
      <x:c r="F381" s="7" t="n">
        <x:f>AD381*'損益分岐設定'!$B$5+AE381*'損益分岐設定'!$B$6+AF381*'損益分岐設定'!$B$7</x:f>
        <x:v>5000</x:v>
      </x:c>
      <x:c r="G381" s="7" t="n">
        <x:f>AG381+0+AK381*'損益分岐設定'!$B$33</x:f>
        <x:v>441.59351345062254</x:v>
      </x:c>
      <x:c r="H381" s="7" t="n">
        <x:f>AL381*E381</x:f>
        <x:v>0</x:v>
      </x:c>
      <x:c r="I381" s="7" t="n">
        <x:f>F381*(1-D381-'損益分岐設定'!$B$10)-G381-H381</x:f>
        <x:v>2378.406486549377</x:v>
      </x:c>
      <x:c r="J381" s="1" t="n">
        <x:f>IF(MIN(V381:Y381)&gt;1000,"範囲内なし",MIN(V381:Y381))</x:f>
        <x:v>41</x:v>
      </x:c>
      <x:c r="K381" s="1" t="n">
        <x:f>IF(MAX(Z381:AC381)&gt;=1000,"範囲内なし",MAX(1,MAX(Z381:AC381)+1))</x:f>
        <x:v>41</x:v>
      </x:c>
      <x:c r="L381" s="7" t="n">
        <x:f>10*I381-R381</x:f>
        <x:v>-26975.121895727505</x:v>
      </x:c>
      <x:c r="M381" s="7" t="n">
        <x:f>30*I381-S381</x:f>
        <x:v>-25666.17892596124</x:v>
      </x:c>
      <x:c r="N381" s="7" t="n">
        <x:f>50*I381-S381</x:f>
        <x:v>21901.950805026296</x:v>
      </x:c>
      <x:c r="O381" s="7" t="n">
        <x:f>100*I381-S381</x:f>
        <x:v>140822.27513249515</x:v>
      </x:c>
      <x:c r="P381" s="7" t="n">
        <x:f>300*I381-T381</x:f>
        <x:v>616503.5724423706</x:v>
      </x:c>
      <x:c r="Q381" s="7" t="n">
        <x:f>1000*I381-U381</x:f>
        <x:v>2260508.5196463238</x:v>
      </x:c>
      <x:c r="R381" s="7" t="n">
        <x:f>'損益分岐設定'!$B$18+'損益分岐設定'!$B$19+'損益分岐設定'!$B$20+'損益分岐設定'!E37+('損益分岐設定'!F37+2*'損益分岐設定'!G37+AM381)*('損益分岐設定'!$B$15+'損益分岐設定'!$B$16)+'損益分岐設定'!$B$17+'損益分岐設定'!$B$21+E381*'損益分岐設定'!H37*'損益分岐設定'!$B$11</x:f>
        <x:v>50759.18676122127</x:v>
      </x:c>
      <x:c r="S381" s="7" t="n">
        <x:f>'損益分岐設定'!$B$18+'損益分岐設定'!$B$19+'損益分岐設定'!$B$20+'損益分岐設定'!E38+('損益分岐設定'!F38+2*'損益分岐設定'!G38+AN381)*('損益分岐設定'!$B$15+'損益分岐設定'!$B$16)+'損益分岐設定'!$B$17+'損益分岐設定'!$B$21+E381*'損益分岐設定'!H38*'損益分岐設定'!$B$11</x:f>
        <x:v>97018.37352244255</x:v>
      </x:c>
      <x:c r="T381" s="7" t="n">
        <x:f>'損益分岐設定'!$B$18+'損益分岐設定'!$B$19+'損益分岐設定'!$B$20+'損益分岐設定'!E39+('損益分岐設定'!F39+2*'損益分岐設定'!G39+AO381)*('損益分岐設定'!$B$15+'損益分岐設定'!$B$16)+'損益分岐設定'!$B$17+'損益分岐設定'!$B$21+E381*'損益分岐設定'!H39*'損益分岐設定'!$B$11</x:f>
        <x:v>97018.37352244255</x:v>
      </x:c>
      <x:c r="U381" s="7" t="n">
        <x:f>'損益分岐設定'!$B$18+'損益分岐設定'!$B$19+'損益分岐設定'!$B$20+'損益分岐設定'!E40+('損益分岐設定'!F40+2*'損益分岐設定'!G40+AP381)*('損益分岐設定'!$B$15+'損益分岐設定'!$B$16)+'損益分岐設定'!$B$17+'損益分岐設定'!$B$21+E381*'損益分岐設定'!H40*'損益分岐設定'!$B$11</x:f>
        <x:v>117897.96690305318</x:v>
      </x:c>
      <x:c r="V381" s="1" t="n">
        <x:f>IF(I381&lt;=0,1001,IF(MAX('損益分岐設定'!B37,ROUNDUP(R381/I381,0))&lt;='損益分岐設定'!C37,MAX('損益分岐設定'!B37,ROUNDUP(R381/I381,0)),1001))</x:f>
        <x:v>1001</x:v>
      </x:c>
      <x:c r="W381" s="1" t="n">
        <x:f>IF(I381&lt;=0,1001,IF(MAX('損益分岐設定'!B38,ROUNDUP(S381/I381,0))&lt;='損益分岐設定'!C38,MAX('損益分岐設定'!B38,ROUNDUP(S381/I381,0)),1001))</x:f>
        <x:v>41</x:v>
      </x:c>
      <x:c r="X381" s="1" t="n">
        <x:f>IF(I381&lt;=0,1001,IF(MAX('損益分岐設定'!B39,ROUNDUP(T381/I381,0))&lt;='損益分岐設定'!C39,MAX('損益分岐設定'!B39,ROUNDUP(T381/I381,0)),1001))</x:f>
        <x:v>101</x:v>
      </x:c>
      <x:c r="Y381" s="1" t="n">
        <x:f>IF(I381&lt;=0,1001,IF(MAX('損益分岐設定'!B40,ROUNDUP(U381/I381,0))&lt;='損益分岐設定'!C40,MAX('損益分岐設定'!B40,ROUNDUP(U381/I381,0)),1001))</x:f>
        <x:v>501</x:v>
      </x:c>
      <x:c r="Z381" s="1" t="n">
        <x:f>IF(I381&lt;=0,'損益分岐設定'!C37,IF('損益分岐設定'!C37*I381-R381&lt;0,'損益分岐設定'!C37,IF('損益分岐設定'!B37*I381-R381&gt;=0,0,ROUNDUP(R381/I381,0)-1)))</x:f>
        <x:v>10</x:v>
      </x:c>
      <x:c r="AA381" s="1" t="n">
        <x:f>IF(I381&lt;=0,'損益分岐設定'!C38,IF('損益分岐設定'!C38*I381-S381&lt;0,'損益分岐設定'!C38,IF('損益分岐設定'!B38*I381-S381&gt;=0,0,ROUNDUP(S381/I381,0)-1)))</x:f>
        <x:v>40</x:v>
      </x:c>
      <x:c r="AB381" s="1" t="n">
        <x:f>IF(I381&lt;=0,'損益分岐設定'!C39,IF('損益分岐設定'!C39*I381-T381&lt;0,'損益分岐設定'!C39,IF('損益分岐設定'!B39*I381-T381&gt;=0,0,ROUNDUP(T381/I381,0)-1)))</x:f>
        <x:v>0</x:v>
      </x:c>
      <x:c r="AC381" s="1" t="n">
        <x:f>IF(I381&lt;=0,'損益分岐設定'!C40,IF('損益分岐設定'!C40*I381-U381&lt;0,'損益分岐設定'!C40,IF('損益分岐設定'!B40*I381-U381&gt;=0,0,ROUNDUP(U381/I381,0)-1)))</x:f>
        <x:v>0</x:v>
      </x:c>
      <x:c r="AD381" s="1" t="n">
        <x:v>0</x:v>
      </x:c>
      <x:c r="AE381" s="1" t="n">
        <x:v>1</x:v>
      </x:c>
      <x:c r="AF381" s="1" t="n">
        <x:v>0</x:v>
      </x:c>
      <x:c r="AG381" s="1" t="n">
        <x:f>AD381*'損益分岐設定'!$C$57+AE381*'損益分岐設定'!$C$60+AF381*'損益分岐設定'!$C$63</x:f>
        <x:v>441.58457275390623</x:v>
      </x:c>
      <x:c r="AH381" s="1" t="n">
        <x:f>AD381*'損益分岐設定'!$D$57+AE381*'損益分岐設定'!$D$60+AF381*'損益分岐設定'!$D$63</x:f>
        <x:v>120</x:v>
      </x:c>
      <x:c r="AI381" s="1" t="n">
        <x:f>AD381*'損益分岐設定'!$E$57+AE381*'損益分岐設定'!$E$60+AF381*'損益分岐設定'!$E$63</x:f>
        <x:v>120</x:v>
      </x:c>
      <x:c r="AJ381" s="1" t="n">
        <x:f>(AD381*'損益分岐設定'!$F$57+AE381*'損益分岐設定'!$F$60+AF381*'損益分岐設定'!$F$63*1)*'損益分岐設定'!$B$22</x:f>
        <x:v>480</x:v>
      </x:c>
      <x:c r="AK381" s="1" t="n">
        <x:f>AD381*'損益分岐設定'!$G$57+AE381*'損益分岐設定'!$G$60+AF381*'損益分岐設定'!$G$63</x:f>
        <x:v>800</x:v>
      </x:c>
      <x:c r="AL381" s="1" t="n">
        <x:f>AD381*'損益分岐設定'!$H$57+AE381*'損益分岐設定'!$H$60+AF381*'損益分岐設定'!$H$63</x:f>
        <x:v>666.6666666666666</x:v>
      </x:c>
      <x:c r="AM381" s="1" t="n">
        <x:f>MAX(1,ROUNDUP('損益分岐設定'!C37*AJ381/('損益分岐設定'!$B$23*'損益分岐設定'!$B$24*3600*'損益分岐設定'!$B$25),0))</x:f>
        <x:v>1</x:v>
      </x:c>
      <x:c r="AN381" s="1" t="n">
        <x:f>MAX(2,ROUNDUP('損益分岐設定'!C38*AJ381/('損益分岐設定'!$B$23*'損益分岐設定'!$B$24*3600*'損益分岐設定'!$B$25),0))</x:f>
        <x:v>2</x:v>
      </x:c>
      <x:c r="AO381" s="1" t="n">
        <x:f>MAX(2,ROUNDUP('損益分岐設定'!C39*AJ381/('損益分岐設定'!$B$23*'損益分岐設定'!$B$24*3600*'損益分岐設定'!$B$25),0))</x:f>
        <x:v>2</x:v>
      </x:c>
      <x:c r="AP381" s="1" t="n">
        <x:f>MAX(2,ROUNDUP('損益分岐設定'!C40*AJ381/('損益分岐設定'!$B$23*'損益分岐設定'!$B$24*3600*'損益分岐設定'!$B$25),0))</x:f>
        <x:v>2</x:v>
      </x:c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 ht="23" customHeight="1">
      <x:c r="A382" s="1" t="str">
        <x:v>VM</x:v>
      </x:c>
      <x:c r="B382" s="1" t="str">
        <x:v>Business</x:v>
      </x:c>
      <x:c r="C382" s="1" t="str">
        <x:v>標準</x:v>
      </x:c>
      <x:c r="D382" s="21" t="n">
        <x:v>0.4</x:v>
      </x:c>
      <x:c r="E382" s="1" t="n">
        <x:v>1</x:v>
      </x:c>
      <x:c r="F382" s="7" t="n">
        <x:f>AD382*'損益分岐設定'!$B$5+AE382*'損益分岐設定'!$B$6+AF382*'損益分岐設定'!$B$7</x:f>
        <x:v>5000</x:v>
      </x:c>
      <x:c r="G382" s="7" t="n">
        <x:f>AG382+0+AK382*'損益分岐設定'!$B$33</x:f>
        <x:v>441.59351345062254</x:v>
      </x:c>
      <x:c r="H382" s="7" t="n">
        <x:f>AL382*E382</x:f>
        <x:v>666.6666666666666</x:v>
      </x:c>
      <x:c r="I382" s="7" t="n">
        <x:f>F382*(1-D382-'損益分岐設定'!$B$10)-G382-H382</x:f>
        <x:v>1711.7398198827104</x:v>
      </x:c>
      <x:c r="J382" s="1" t="n">
        <x:f>IF(MIN(V382:Y382)&gt;1000,"範囲内なし",MIN(V382:Y382))</x:f>
        <x:v>85</x:v>
      </x:c>
      <x:c r="K382" s="1" t="n">
        <x:f>IF(MAX(Z382:AC382)&gt;=1000,"範囲内なし",MAX(1,MAX(Z382:AC382)+1))</x:f>
        <x:v>104</x:v>
      </x:c>
      <x:c r="L382" s="7" t="n">
        <x:f>10*I382-R382</x:f>
        <x:v>-65641.78856239415</x:v>
      </x:c>
      <x:c r="M382" s="7" t="n">
        <x:f>30*I382-S382</x:f>
        <x:v>-93666.17892596123</x:v>
      </x:c>
      <x:c r="N382" s="7" t="n">
        <x:f>50*I382-S382</x:f>
        <x:v>-59431.382528307004</x:v>
      </x:c>
      <x:c r="O382" s="7" t="n">
        <x:f>100*I382-S382</x:f>
        <x:v>26155.608465828525</x:v>
      </x:c>
      <x:c r="P382" s="7" t="n">
        <x:f>300*I382-T382</x:f>
        <x:v>336503.5724423706</x:v>
      </x:c>
      <x:c r="Q382" s="7" t="n">
        <x:f>1000*I382-U382</x:f>
        <x:v>1465841.8529796572</x:v>
      </x:c>
      <x:c r="R382" s="7" t="n">
        <x:f>'損益分岐設定'!$B$18+'損益分岐設定'!$B$19+'損益分岐設定'!$B$20+'損益分岐設定'!E37+('損益分岐設定'!F37+2*'損益分岐設定'!G37+AM382)*('損益分岐設定'!$B$15+'損益分岐設定'!$B$16)+'損益分岐設定'!$B$17+'損益分岐設定'!$B$21+E382*'損益分岐設定'!H37*'損益分岐設定'!$B$11</x:f>
        <x:v>82759.18676122127</x:v>
      </x:c>
      <x:c r="S382" s="7" t="n">
        <x:f>'損益分岐設定'!$B$18+'損益分岐設定'!$B$19+'損益分岐設定'!$B$20+'損益分岐設定'!E38+('損益分岐設定'!F38+2*'損益分岐設定'!G38+AN382)*('損益分岐設定'!$B$15+'損益分岐設定'!$B$16)+'損益分岐設定'!$B$17+'損益分岐設定'!$B$21+E382*'損益分岐設定'!H38*'損益分岐設定'!$B$11</x:f>
        <x:v>145018.37352244253</x:v>
      </x:c>
      <x:c r="T382" s="7" t="n">
        <x:f>'損益分岐設定'!$B$18+'損益分岐設定'!$B$19+'損益分岐設定'!$B$20+'損益分岐設定'!E39+('損益分岐設定'!F39+2*'損益分岐設定'!G39+AO382)*('損益分岐設定'!$B$15+'損益分岐設定'!$B$16)+'損益分岐設定'!$B$17+'損益分岐設定'!$B$21+E382*'損益分岐設定'!H39*'損益分岐設定'!$B$11</x:f>
        <x:v>177018.37352244253</x:v>
      </x:c>
      <x:c r="U382" s="7" t="n">
        <x:f>'損益分岐設定'!$B$18+'損益分岐設定'!$B$19+'損益分岐設定'!$B$20+'損益分岐設定'!E40+('損益分岐設定'!F40+2*'損益分岐設定'!G40+AP382)*('損益分岐設定'!$B$15+'損益分岐設定'!$B$16)+'損益分岐設定'!$B$17+'損益分岐設定'!$B$21+E382*'損益分岐設定'!H40*'損益分岐設定'!$B$11</x:f>
        <x:v>245897.96690305317</x:v>
      </x:c>
      <x:c r="V382" s="1" t="n">
        <x:f>IF(I382&lt;=0,1001,IF(MAX('損益分岐設定'!B37,ROUNDUP(R382/I382,0))&lt;='損益分岐設定'!C37,MAX('損益分岐設定'!B37,ROUNDUP(R382/I382,0)),1001))</x:f>
        <x:v>1001</x:v>
      </x:c>
      <x:c r="W382" s="1" t="n">
        <x:f>IF(I382&lt;=0,1001,IF(MAX('損益分岐設定'!B38,ROUNDUP(S382/I382,0))&lt;='損益分岐設定'!C38,MAX('損益分岐設定'!B38,ROUNDUP(S382/I382,0)),1001))</x:f>
        <x:v>85</x:v>
      </x:c>
      <x:c r="X382" s="1" t="n">
        <x:f>IF(I382&lt;=0,1001,IF(MAX('損益分岐設定'!B39,ROUNDUP(T382/I382,0))&lt;='損益分岐設定'!C39,MAX('損益分岐設定'!B39,ROUNDUP(T382/I382,0)),1001))</x:f>
        <x:v>104</x:v>
      </x:c>
      <x:c r="Y382" s="1" t="n">
        <x:f>IF(I382&lt;=0,1001,IF(MAX('損益分岐設定'!B40,ROUNDUP(U382/I382,0))&lt;='損益分岐設定'!C40,MAX('損益分岐設定'!B40,ROUNDUP(U382/I382,0)),1001))</x:f>
        <x:v>501</x:v>
      </x:c>
      <x:c r="Z382" s="1" t="n">
        <x:f>IF(I382&lt;=0,'損益分岐設定'!C37,IF('損益分岐設定'!C37*I382-R382&lt;0,'損益分岐設定'!C37,IF('損益分岐設定'!B37*I382-R382&gt;=0,0,ROUNDUP(R382/I382,0)-1)))</x:f>
        <x:v>10</x:v>
      </x:c>
      <x:c r="AA382" s="1" t="n">
        <x:f>IF(I382&lt;=0,'損益分岐設定'!C38,IF('損益分岐設定'!C38*I382-S382&lt;0,'損益分岐設定'!C38,IF('損益分岐設定'!B38*I382-S382&gt;=0,0,ROUNDUP(S382/I382,0)-1)))</x:f>
        <x:v>84</x:v>
      </x:c>
      <x:c r="AB382" s="1" t="n">
        <x:f>IF(I382&lt;=0,'損益分岐設定'!C39,IF('損益分岐設定'!C39*I382-T382&lt;0,'損益分岐設定'!C39,IF('損益分岐設定'!B39*I382-T382&gt;=0,0,ROUNDUP(T382/I382,0)-1)))</x:f>
        <x:v>103</x:v>
      </x:c>
      <x:c r="AC382" s="1" t="n">
        <x:f>IF(I382&lt;=0,'損益分岐設定'!C40,IF('損益分岐設定'!C40*I382-U382&lt;0,'損益分岐設定'!C40,IF('損益分岐設定'!B40*I382-U382&gt;=0,0,ROUNDUP(U382/I382,0)-1)))</x:f>
        <x:v>0</x:v>
      </x:c>
      <x:c r="AD382" s="1" t="n">
        <x:v>0</x:v>
      </x:c>
      <x:c r="AE382" s="1" t="n">
        <x:v>1</x:v>
      </x:c>
      <x:c r="AF382" s="1" t="n">
        <x:v>0</x:v>
      </x:c>
      <x:c r="AG382" s="1" t="n">
        <x:f>AD382*'損益分岐設定'!$C$57+AE382*'損益分岐設定'!$C$60+AF382*'損益分岐設定'!$C$63</x:f>
        <x:v>441.58457275390623</x:v>
      </x:c>
      <x:c r="AH382" s="1" t="n">
        <x:f>AD382*'損益分岐設定'!$D$57+AE382*'損益分岐設定'!$D$60+AF382*'損益分岐設定'!$D$63</x:f>
        <x:v>120</x:v>
      </x:c>
      <x:c r="AI382" s="1" t="n">
        <x:f>AD382*'損益分岐設定'!$E$57+AE382*'損益分岐設定'!$E$60+AF382*'損益分岐設定'!$E$63</x:f>
        <x:v>120</x:v>
      </x:c>
      <x:c r="AJ382" s="1" t="n">
        <x:f>(AD382*'損益分岐設定'!$F$57+AE382*'損益分岐設定'!$F$60+AF382*'損益分岐設定'!$F$63*1)*'損益分岐設定'!$B$22</x:f>
        <x:v>480</x:v>
      </x:c>
      <x:c r="AK382" s="1" t="n">
        <x:f>AD382*'損益分岐設定'!$G$57+AE382*'損益分岐設定'!$G$60+AF382*'損益分岐設定'!$G$63</x:f>
        <x:v>800</x:v>
      </x:c>
      <x:c r="AL382" s="1" t="n">
        <x:f>AD382*'損益分岐設定'!$H$57+AE382*'損益分岐設定'!$H$60+AF382*'損益分岐設定'!$H$63</x:f>
        <x:v>666.6666666666666</x:v>
      </x:c>
      <x:c r="AM382" s="1" t="n">
        <x:f>MAX(1,ROUNDUP('損益分岐設定'!C37*AJ382/('損益分岐設定'!$B$23*'損益分岐設定'!$B$24*3600*'損益分岐設定'!$B$25),0))</x:f>
        <x:v>1</x:v>
      </x:c>
      <x:c r="AN382" s="1" t="n">
        <x:f>MAX(2,ROUNDUP('損益分岐設定'!C38*AJ382/('損益分岐設定'!$B$23*'損益分岐設定'!$B$24*3600*'損益分岐設定'!$B$25),0))</x:f>
        <x:v>2</x:v>
      </x:c>
      <x:c r="AO382" s="1" t="n">
        <x:f>MAX(2,ROUNDUP('損益分岐設定'!C39*AJ382/('損益分岐設定'!$B$23*'損益分岐設定'!$B$24*3600*'損益分岐設定'!$B$25),0))</x:f>
        <x:v>2</x:v>
      </x:c>
      <x:c r="AP382" s="1" t="n">
        <x:f>MAX(2,ROUNDUP('損益分岐設定'!C40*AJ382/('損益分岐設定'!$B$23*'損益分岐設定'!$B$24*3600*'損益分岐設定'!$B$25),0))</x:f>
        <x:v>2</x:v>
      </x:c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 ht="23" customHeight="1">
      <x:c r="A383" s="1" t="str">
        <x:v>VM</x:v>
      </x:c>
      <x:c r="B383" s="1" t="str">
        <x:v>Business</x:v>
      </x:c>
      <x:c r="C383" s="1" t="str">
        <x:v>標準</x:v>
      </x:c>
      <x:c r="D383" s="21" t="n">
        <x:v>0.5</x:v>
      </x:c>
      <x:c r="E383" s="1" t="n">
        <x:v>0</x:v>
      </x:c>
      <x:c r="F383" s="7" t="n">
        <x:f>AD383*'損益分岐設定'!$B$5+AE383*'損益分岐設定'!$B$6+AF383*'損益分岐設定'!$B$7</x:f>
        <x:v>5000</x:v>
      </x:c>
      <x:c r="G383" s="7" t="n">
        <x:f>AG383+0+AK383*'損益分岐設定'!$B$33</x:f>
        <x:v>441.59351345062254</x:v>
      </x:c>
      <x:c r="H383" s="7" t="n">
        <x:f>AL383*E383</x:f>
        <x:v>0</x:v>
      </x:c>
      <x:c r="I383" s="7" t="n">
        <x:f>F383*(1-D383-'損益分岐設定'!$B$10)-G383-H383</x:f>
        <x:v>1878.4064865493774</x:v>
      </x:c>
      <x:c r="J383" s="1" t="n">
        <x:f>IF(MIN(V383:Y383)&gt;1000,"範囲内なし",MIN(V383:Y383))</x:f>
        <x:v>52</x:v>
      </x:c>
      <x:c r="K383" s="1" t="n">
        <x:f>IF(MAX(Z383:AC383)&gt;=1000,"範囲内なし",MAX(1,MAX(Z383:AC383)+1))</x:f>
        <x:v>52</x:v>
      </x:c>
      <x:c r="L383" s="7" t="n">
        <x:f>10*I383-R383</x:f>
        <x:v>-31975.121895727498</x:v>
      </x:c>
      <x:c r="M383" s="7" t="n">
        <x:f>30*I383-S383</x:f>
        <x:v>-40666.17892596123</x:v>
      </x:c>
      <x:c r="N383" s="7" t="n">
        <x:f>50*I383-S383</x:f>
        <x:v>-3098.049194973675</x:v>
      </x:c>
      <x:c r="O383" s="7" t="n">
        <x:f>100*I383-S383</x:f>
        <x:v>90822.2751324952</x:v>
      </x:c>
      <x:c r="P383" s="7" t="n">
        <x:f>300*I383-T383</x:f>
        <x:v>466503.5724423707</x:v>
      </x:c>
      <x:c r="Q383" s="7" t="n">
        <x:f>1000*I383-U383</x:f>
        <x:v>1760508.5196463242</x:v>
      </x:c>
      <x:c r="R383" s="7" t="n">
        <x:f>'損益分岐設定'!$B$18+'損益分岐設定'!$B$19+'損益分岐設定'!$B$20+'損益分岐設定'!E37+('損益分岐設定'!F37+2*'損益分岐設定'!G37+AM383)*('損益分岐設定'!$B$15+'損益分岐設定'!$B$16)+'損益分岐設定'!$B$17+'損益分岐設定'!$B$21+E383*'損益分岐設定'!H37*'損益分岐設定'!$B$11</x:f>
        <x:v>50759.18676122127</x:v>
      </x:c>
      <x:c r="S383" s="7" t="n">
        <x:f>'損益分岐設定'!$B$18+'損益分岐設定'!$B$19+'損益分岐設定'!$B$20+'損益分岐設定'!E38+('損益分岐設定'!F38+2*'損益分岐設定'!G38+AN383)*('損益分岐設定'!$B$15+'損益分岐設定'!$B$16)+'損益分岐設定'!$B$17+'損益分岐設定'!$B$21+E383*'損益分岐設定'!H38*'損益分岐設定'!$B$11</x:f>
        <x:v>97018.37352244255</x:v>
      </x:c>
      <x:c r="T383" s="7" t="n">
        <x:f>'損益分岐設定'!$B$18+'損益分岐設定'!$B$19+'損益分岐設定'!$B$20+'損益分岐設定'!E39+('損益分岐設定'!F39+2*'損益分岐設定'!G39+AO383)*('損益分岐設定'!$B$15+'損益分岐設定'!$B$16)+'損益分岐設定'!$B$17+'損益分岐設定'!$B$21+E383*'損益分岐設定'!H39*'損益分岐設定'!$B$11</x:f>
        <x:v>97018.37352244255</x:v>
      </x:c>
      <x:c r="U383" s="7" t="n">
        <x:f>'損益分岐設定'!$B$18+'損益分岐設定'!$B$19+'損益分岐設定'!$B$20+'損益分岐設定'!E40+('損益分岐設定'!F40+2*'損益分岐設定'!G40+AP383)*('損益分岐設定'!$B$15+'損益分岐設定'!$B$16)+'損益分岐設定'!$B$17+'損益分岐設定'!$B$21+E383*'損益分岐設定'!H40*'損益分岐設定'!$B$11</x:f>
        <x:v>117897.96690305318</x:v>
      </x:c>
      <x:c r="V383" s="1" t="n">
        <x:f>IF(I383&lt;=0,1001,IF(MAX('損益分岐設定'!B37,ROUNDUP(R383/I383,0))&lt;='損益分岐設定'!C37,MAX('損益分岐設定'!B37,ROUNDUP(R383/I383,0)),1001))</x:f>
        <x:v>1001</x:v>
      </x:c>
      <x:c r="W383" s="1" t="n">
        <x:f>IF(I383&lt;=0,1001,IF(MAX('損益分岐設定'!B38,ROUNDUP(S383/I383,0))&lt;='損益分岐設定'!C38,MAX('損益分岐設定'!B38,ROUNDUP(S383/I383,0)),1001))</x:f>
        <x:v>52</x:v>
      </x:c>
      <x:c r="X383" s="1" t="n">
        <x:f>IF(I383&lt;=0,1001,IF(MAX('損益分岐設定'!B39,ROUNDUP(T383/I383,0))&lt;='損益分岐設定'!C39,MAX('損益分岐設定'!B39,ROUNDUP(T383/I383,0)),1001))</x:f>
        <x:v>101</x:v>
      </x:c>
      <x:c r="Y383" s="1" t="n">
        <x:f>IF(I383&lt;=0,1001,IF(MAX('損益分岐設定'!B40,ROUNDUP(U383/I383,0))&lt;='損益分岐設定'!C40,MAX('損益分岐設定'!B40,ROUNDUP(U383/I383,0)),1001))</x:f>
        <x:v>501</x:v>
      </x:c>
      <x:c r="Z383" s="1" t="n">
        <x:f>IF(I383&lt;=0,'損益分岐設定'!C37,IF('損益分岐設定'!C37*I383-R383&lt;0,'損益分岐設定'!C37,IF('損益分岐設定'!B37*I383-R383&gt;=0,0,ROUNDUP(R383/I383,0)-1)))</x:f>
        <x:v>10</x:v>
      </x:c>
      <x:c r="AA383" s="1" t="n">
        <x:f>IF(I383&lt;=0,'損益分岐設定'!C38,IF('損益分岐設定'!C38*I383-S383&lt;0,'損益分岐設定'!C38,IF('損益分岐設定'!B38*I383-S383&gt;=0,0,ROUNDUP(S383/I383,0)-1)))</x:f>
        <x:v>51</x:v>
      </x:c>
      <x:c r="AB383" s="1" t="n">
        <x:f>IF(I383&lt;=0,'損益分岐設定'!C39,IF('損益分岐設定'!C39*I383-T383&lt;0,'損益分岐設定'!C39,IF('損益分岐設定'!B39*I383-T383&gt;=0,0,ROUNDUP(T383/I383,0)-1)))</x:f>
        <x:v>0</x:v>
      </x:c>
      <x:c r="AC383" s="1" t="n">
        <x:f>IF(I383&lt;=0,'損益分岐設定'!C40,IF('損益分岐設定'!C40*I383-U383&lt;0,'損益分岐設定'!C40,IF('損益分岐設定'!B40*I383-U383&gt;=0,0,ROUNDUP(U383/I383,0)-1)))</x:f>
        <x:v>0</x:v>
      </x:c>
      <x:c r="AD383" s="1" t="n">
        <x:v>0</x:v>
      </x:c>
      <x:c r="AE383" s="1" t="n">
        <x:v>1</x:v>
      </x:c>
      <x:c r="AF383" s="1" t="n">
        <x:v>0</x:v>
      </x:c>
      <x:c r="AG383" s="1" t="n">
        <x:f>AD383*'損益分岐設定'!$C$57+AE383*'損益分岐設定'!$C$60+AF383*'損益分岐設定'!$C$63</x:f>
        <x:v>441.58457275390623</x:v>
      </x:c>
      <x:c r="AH383" s="1" t="n">
        <x:f>AD383*'損益分岐設定'!$D$57+AE383*'損益分岐設定'!$D$60+AF383*'損益分岐設定'!$D$63</x:f>
        <x:v>120</x:v>
      </x:c>
      <x:c r="AI383" s="1" t="n">
        <x:f>AD383*'損益分岐設定'!$E$57+AE383*'損益分岐設定'!$E$60+AF383*'損益分岐設定'!$E$63</x:f>
        <x:v>120</x:v>
      </x:c>
      <x:c r="AJ383" s="1" t="n">
        <x:f>(AD383*'損益分岐設定'!$F$57+AE383*'損益分岐設定'!$F$60+AF383*'損益分岐設定'!$F$63*1)*'損益分岐設定'!$B$22</x:f>
        <x:v>480</x:v>
      </x:c>
      <x:c r="AK383" s="1" t="n">
        <x:f>AD383*'損益分岐設定'!$G$57+AE383*'損益分岐設定'!$G$60+AF383*'損益分岐設定'!$G$63</x:f>
        <x:v>800</x:v>
      </x:c>
      <x:c r="AL383" s="1" t="n">
        <x:f>AD383*'損益分岐設定'!$H$57+AE383*'損益分岐設定'!$H$60+AF383*'損益分岐設定'!$H$63</x:f>
        <x:v>666.6666666666666</x:v>
      </x:c>
      <x:c r="AM383" s="1" t="n">
        <x:f>MAX(1,ROUNDUP('損益分岐設定'!C37*AJ383/('損益分岐設定'!$B$23*'損益分岐設定'!$B$24*3600*'損益分岐設定'!$B$25),0))</x:f>
        <x:v>1</x:v>
      </x:c>
      <x:c r="AN383" s="1" t="n">
        <x:f>MAX(2,ROUNDUP('損益分岐設定'!C38*AJ383/('損益分岐設定'!$B$23*'損益分岐設定'!$B$24*3600*'損益分岐設定'!$B$25),0))</x:f>
        <x:v>2</x:v>
      </x:c>
      <x:c r="AO383" s="1" t="n">
        <x:f>MAX(2,ROUNDUP('損益分岐設定'!C39*AJ383/('損益分岐設定'!$B$23*'損益分岐設定'!$B$24*3600*'損益分岐設定'!$B$25),0))</x:f>
        <x:v>2</x:v>
      </x:c>
      <x:c r="AP383" s="1" t="n">
        <x:f>MAX(2,ROUNDUP('損益分岐設定'!C40*AJ383/('損益分岐設定'!$B$23*'損益分岐設定'!$B$24*3600*'損益分岐設定'!$B$25),0))</x:f>
        <x:v>2</x:v>
      </x:c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 ht="23" customHeight="1">
      <x:c r="A384" s="1" t="str">
        <x:v>VM</x:v>
      </x:c>
      <x:c r="B384" s="1" t="str">
        <x:v>Business</x:v>
      </x:c>
      <x:c r="C384" s="1" t="str">
        <x:v>標準</x:v>
      </x:c>
      <x:c r="D384" s="21" t="n">
        <x:v>0.5</x:v>
      </x:c>
      <x:c r="E384" s="1" t="n">
        <x:v>1</x:v>
      </x:c>
      <x:c r="F384" s="7" t="n">
        <x:f>AD384*'損益分岐設定'!$B$5+AE384*'損益分岐設定'!$B$6+AF384*'損益分岐設定'!$B$7</x:f>
        <x:v>5000</x:v>
      </x:c>
      <x:c r="G384" s="7" t="n">
        <x:f>AG384+0+AK384*'損益分岐設定'!$B$33</x:f>
        <x:v>441.59351345062254</x:v>
      </x:c>
      <x:c r="H384" s="7" t="n">
        <x:f>AL384*E384</x:f>
        <x:v>666.6666666666666</x:v>
      </x:c>
      <x:c r="I384" s="7" t="n">
        <x:f>F384*(1-D384-'損益分岐設定'!$B$10)-G384-H384</x:f>
        <x:v>1211.739819882711</x:v>
      </x:c>
      <x:c r="J384" s="1" t="n">
        <x:f>IF(MIN(V384:Y384)&gt;1000,"範囲内なし",MIN(V384:Y384))</x:f>
        <x:v>147</x:v>
      </x:c>
      <x:c r="K384" s="1" t="n">
        <x:f>IF(MAX(Z384:AC384)&gt;=1000,"範囲内なし",MAX(1,MAX(Z384:AC384)+1))</x:f>
        <x:v>147</x:v>
      </x:c>
      <x:c r="L384" s="7" t="n">
        <x:f>10*I384-R384</x:f>
        <x:v>-70641.78856239415</x:v>
      </x:c>
      <x:c r="M384" s="7" t="n">
        <x:f>30*I384-S384</x:f>
        <x:v>-108666.1789259612</x:v>
      </x:c>
      <x:c r="N384" s="7" t="n">
        <x:f>50*I384-S384</x:f>
        <x:v>-84431.38252830699</x:v>
      </x:c>
      <x:c r="O384" s="7" t="n">
        <x:f>100*I384-S384</x:f>
        <x:v>-23844.391534171446</x:v>
      </x:c>
      <x:c r="P384" s="7" t="n">
        <x:f>300*I384-T384</x:f>
        <x:v>186503.57244237076</x:v>
      </x:c>
      <x:c r="Q384" s="7" t="n">
        <x:f>1000*I384-U384</x:f>
        <x:v>965841.8529796577</x:v>
      </x:c>
      <x:c r="R384" s="7" t="n">
        <x:f>'損益分岐設定'!$B$18+'損益分岐設定'!$B$19+'損益分岐設定'!$B$20+'損益分岐設定'!E37+('損益分岐設定'!F37+2*'損益分岐設定'!G37+AM384)*('損益分岐設定'!$B$15+'損益分岐設定'!$B$16)+'損益分岐設定'!$B$17+'損益分岐設定'!$B$21+E384*'損益分岐設定'!H37*'損益分岐設定'!$B$11</x:f>
        <x:v>82759.18676122127</x:v>
      </x:c>
      <x:c r="S384" s="7" t="n">
        <x:f>'損益分岐設定'!$B$18+'損益分岐設定'!$B$19+'損益分岐設定'!$B$20+'損益分岐設定'!E38+('損益分岐設定'!F38+2*'損益分岐設定'!G38+AN384)*('損益分岐設定'!$B$15+'損益分岐設定'!$B$16)+'損益分岐設定'!$B$17+'損益分岐設定'!$B$21+E384*'損益分岐設定'!H38*'損益分岐設定'!$B$11</x:f>
        <x:v>145018.37352244253</x:v>
      </x:c>
      <x:c r="T384" s="7" t="n">
        <x:f>'損益分岐設定'!$B$18+'損益分岐設定'!$B$19+'損益分岐設定'!$B$20+'損益分岐設定'!E39+('損益分岐設定'!F39+2*'損益分岐設定'!G39+AO384)*('損益分岐設定'!$B$15+'損益分岐設定'!$B$16)+'損益分岐設定'!$B$17+'損益分岐設定'!$B$21+E384*'損益分岐設定'!H39*'損益分岐設定'!$B$11</x:f>
        <x:v>177018.37352244253</x:v>
      </x:c>
      <x:c r="U384" s="7" t="n">
        <x:f>'損益分岐設定'!$B$18+'損益分岐設定'!$B$19+'損益分岐設定'!$B$20+'損益分岐設定'!E40+('損益分岐設定'!F40+2*'損益分岐設定'!G40+AP384)*('損益分岐設定'!$B$15+'損益分岐設定'!$B$16)+'損益分岐設定'!$B$17+'損益分岐設定'!$B$21+E384*'損益分岐設定'!H40*'損益分岐設定'!$B$11</x:f>
        <x:v>245897.96690305317</x:v>
      </x:c>
      <x:c r="V384" s="1" t="n">
        <x:f>IF(I384&lt;=0,1001,IF(MAX('損益分岐設定'!B37,ROUNDUP(R384/I384,0))&lt;='損益分岐設定'!C37,MAX('損益分岐設定'!B37,ROUNDUP(R384/I384,0)),1001))</x:f>
        <x:v>1001</x:v>
      </x:c>
      <x:c r="W384" s="1" t="n">
        <x:f>IF(I384&lt;=0,1001,IF(MAX('損益分岐設定'!B38,ROUNDUP(S384/I384,0))&lt;='損益分岐設定'!C38,MAX('損益分岐設定'!B38,ROUNDUP(S384/I384,0)),1001))</x:f>
        <x:v>1001</x:v>
      </x:c>
      <x:c r="X384" s="1" t="n">
        <x:f>IF(I384&lt;=0,1001,IF(MAX('損益分岐設定'!B39,ROUNDUP(T384/I384,0))&lt;='損益分岐設定'!C39,MAX('損益分岐設定'!B39,ROUNDUP(T384/I384,0)),1001))</x:f>
        <x:v>147</x:v>
      </x:c>
      <x:c r="Y384" s="1" t="n">
        <x:f>IF(I384&lt;=0,1001,IF(MAX('損益分岐設定'!B40,ROUNDUP(U384/I384,0))&lt;='損益分岐設定'!C40,MAX('損益分岐設定'!B40,ROUNDUP(U384/I384,0)),1001))</x:f>
        <x:v>501</x:v>
      </x:c>
      <x:c r="Z384" s="1" t="n">
        <x:f>IF(I384&lt;=0,'損益分岐設定'!C37,IF('損益分岐設定'!C37*I384-R384&lt;0,'損益分岐設定'!C37,IF('損益分岐設定'!B37*I384-R384&gt;=0,0,ROUNDUP(R384/I384,0)-1)))</x:f>
        <x:v>10</x:v>
      </x:c>
      <x:c r="AA384" s="1" t="n">
        <x:f>IF(I384&lt;=0,'損益分岐設定'!C38,IF('損益分岐設定'!C38*I384-S384&lt;0,'損益分岐設定'!C38,IF('損益分岐設定'!B38*I384-S384&gt;=0,0,ROUNDUP(S384/I384,0)-1)))</x:f>
        <x:v>100</x:v>
      </x:c>
      <x:c r="AB384" s="1" t="n">
        <x:f>IF(I384&lt;=0,'損益分岐設定'!C39,IF('損益分岐設定'!C39*I384-T384&lt;0,'損益分岐設定'!C39,IF('損益分岐設定'!B39*I384-T384&gt;=0,0,ROUNDUP(T384/I384,0)-1)))</x:f>
        <x:v>146</x:v>
      </x:c>
      <x:c r="AC384" s="1" t="n">
        <x:f>IF(I384&lt;=0,'損益分岐設定'!C40,IF('損益分岐設定'!C40*I384-U384&lt;0,'損益分岐設定'!C40,IF('損益分岐設定'!B40*I384-U384&gt;=0,0,ROUNDUP(U384/I384,0)-1)))</x:f>
        <x:v>0</x:v>
      </x:c>
      <x:c r="AD384" s="1" t="n">
        <x:v>0</x:v>
      </x:c>
      <x:c r="AE384" s="1" t="n">
        <x:v>1</x:v>
      </x:c>
      <x:c r="AF384" s="1" t="n">
        <x:v>0</x:v>
      </x:c>
      <x:c r="AG384" s="1" t="n">
        <x:f>AD384*'損益分岐設定'!$C$57+AE384*'損益分岐設定'!$C$60+AF384*'損益分岐設定'!$C$63</x:f>
        <x:v>441.58457275390623</x:v>
      </x:c>
      <x:c r="AH384" s="1" t="n">
        <x:f>AD384*'損益分岐設定'!$D$57+AE384*'損益分岐設定'!$D$60+AF384*'損益分岐設定'!$D$63</x:f>
        <x:v>120</x:v>
      </x:c>
      <x:c r="AI384" s="1" t="n">
        <x:f>AD384*'損益分岐設定'!$E$57+AE384*'損益分岐設定'!$E$60+AF384*'損益分岐設定'!$E$63</x:f>
        <x:v>120</x:v>
      </x:c>
      <x:c r="AJ384" s="1" t="n">
        <x:f>(AD384*'損益分岐設定'!$F$57+AE384*'損益分岐設定'!$F$60+AF384*'損益分岐設定'!$F$63*1)*'損益分岐設定'!$B$22</x:f>
        <x:v>480</x:v>
      </x:c>
      <x:c r="AK384" s="1" t="n">
        <x:f>AD384*'損益分岐設定'!$G$57+AE384*'損益分岐設定'!$G$60+AF384*'損益分岐設定'!$G$63</x:f>
        <x:v>800</x:v>
      </x:c>
      <x:c r="AL384" s="1" t="n">
        <x:f>AD384*'損益分岐設定'!$H$57+AE384*'損益分岐設定'!$H$60+AF384*'損益分岐設定'!$H$63</x:f>
        <x:v>666.6666666666666</x:v>
      </x:c>
      <x:c r="AM384" s="1" t="n">
        <x:f>MAX(1,ROUNDUP('損益分岐設定'!C37*AJ384/('損益分岐設定'!$B$23*'損益分岐設定'!$B$24*3600*'損益分岐設定'!$B$25),0))</x:f>
        <x:v>1</x:v>
      </x:c>
      <x:c r="AN384" s="1" t="n">
        <x:f>MAX(2,ROUNDUP('損益分岐設定'!C38*AJ384/('損益分岐設定'!$B$23*'損益分岐設定'!$B$24*3600*'損益分岐設定'!$B$25),0))</x:f>
        <x:v>2</x:v>
      </x:c>
      <x:c r="AO384" s="1" t="n">
        <x:f>MAX(2,ROUNDUP('損益分岐設定'!C39*AJ384/('損益分岐設定'!$B$23*'損益分岐設定'!$B$24*3600*'損益分岐設定'!$B$25),0))</x:f>
        <x:v>2</x:v>
      </x:c>
      <x:c r="AP384" s="1" t="n">
        <x:f>MAX(2,ROUNDUP('損益分岐設定'!C40*AJ384/('損益分岐設定'!$B$23*'損益分岐設定'!$B$24*3600*'損益分岐設定'!$B$25),0))</x:f>
        <x:v>2</x:v>
      </x:c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 ht="23" customHeight="1">
      <x:c r="A385" s="1" t="str">
        <x:v>VM</x:v>
      </x:c>
      <x:c r="B385" s="1" t="str">
        <x:v>Business</x:v>
      </x:c>
      <x:c r="C385" s="1" t="str">
        <x:v>高位</x:v>
      </x:c>
      <x:c r="D385" s="21" t="n">
        <x:v>0</x:v>
      </x:c>
      <x:c r="E385" s="1" t="n">
        <x:v>0</x:v>
      </x:c>
      <x:c r="F385" s="7" t="n">
        <x:f>AD385*'損益分岐設定'!$B$5+AE385*'損益分岐設定'!$B$6+AF385*'損益分岐設定'!$B$7</x:f>
        <x:v>5000</x:v>
      </x:c>
      <x:c r="G385" s="7" t="n">
        <x:f>AG385+0+AK385*'損益分岐設定'!$B$33</x:f>
        <x:v>9914.759435195923</x:v>
      </x:c>
      <x:c r="H385" s="7" t="n">
        <x:f>AL385*E385</x:f>
        <x:v>0</x:v>
      </x:c>
      <x:c r="I385" s="7" t="n">
        <x:f>F385*(1-D385-'損益分岐設定'!$B$10)-G385-H385</x:f>
        <x:v>-5094.759435195923</x:v>
      </x:c>
      <x:c r="J385" s="1" t="str">
        <x:f>IF(MIN(V385:Y385)&gt;1000,"範囲内なし",MIN(V385:Y385))</x:f>
        <x:v>範囲内なし</x:v>
      </x:c>
      <x:c r="K385" s="1" t="str">
        <x:f>IF(MAX(Z385:AC385)&gt;=1000,"範囲内なし",MAX(1,MAX(Z385:AC385)+1))</x:f>
        <x:v>範囲内なし</x:v>
      </x:c>
      <x:c r="L385" s="7" t="n">
        <x:f>10*I385-R385</x:f>
        <x:v>-101706.7811131805</x:v>
      </x:c>
      <x:c r="M385" s="7" t="n">
        <x:f>30*I385-S385</x:f>
        <x:v>-249861.15657832025</x:v>
      </x:c>
      <x:c r="N385" s="7" t="n">
        <x:f>50*I385-S385</x:f>
        <x:v>-351756.34528223873</x:v>
      </x:c>
      <x:c r="O385" s="7" t="n">
        <x:f>100*I385-S385</x:f>
        <x:v>-606494.3170420349</x:v>
      </x:c>
      <x:c r="P385" s="7" t="n">
        <x:f>300*I385-T385</x:f>
        <x:v>-1688084.9842230515</x:v>
      </x:c>
      <x:c r="Q385" s="7" t="n">
        <x:f>1000*I385-U385</x:f>
        <x:v>-5348374.759072945</x:v>
      </x:c>
      <x:c r="R385" s="7" t="n">
        <x:f>'損益分岐設定'!$B$18+'損益分岐設定'!$B$19+'損益分岐設定'!$B$20+'損益分岐設定'!E37+('損益分岐設定'!F37+2*'損益分岐設定'!G37+AM385)*('損益分岐設定'!$B$15+'損益分岐設定'!$B$16)+'損益分岐設定'!$B$17+'損益分岐設定'!$B$21+E385*'損益分岐設定'!H37*'損益分岐設定'!$B$11</x:f>
        <x:v>50759.18676122127</x:v>
      </x:c>
      <x:c r="S385" s="7" t="n">
        <x:f>'損益分岐設定'!$B$18+'損益分岐設定'!$B$19+'損益分岐設定'!$B$20+'損益分岐設定'!E38+('損益分岐設定'!F38+2*'損益分岐設定'!G38+AN385)*('損益分岐設定'!$B$15+'損益分岐設定'!$B$16)+'損益分岐設定'!$B$17+'損益分岐設定'!$B$21+E385*'損益分岐設定'!H38*'損益分岐設定'!$B$11</x:f>
        <x:v>97018.37352244255</x:v>
      </x:c>
      <x:c r="T385" s="7" t="n">
        <x:f>'損益分岐設定'!$B$18+'損益分岐設定'!$B$19+'損益分岐設定'!$B$20+'損益分岐設定'!E39+('損益分岐設定'!F39+2*'損益分岐設定'!G39+AO385)*('損益分岐設定'!$B$15+'損益分岐設定'!$B$16)+'損益分岐設定'!$B$17+'損益分岐設定'!$B$21+E385*'損益分岐設定'!H39*'損益分岐設定'!$B$11</x:f>
        <x:v>159657.15366427446</x:v>
      </x:c>
      <x:c r="U385" s="7" t="n">
        <x:f>'損益分岐設定'!$B$18+'損益分岐設定'!$B$19+'損益分岐設定'!$B$20+'損益分岐設定'!E40+('損益分岐設定'!F40+2*'損益分岐設定'!G40+AP385)*('損益分岐設定'!$B$15+'損益分岐設定'!$B$16)+'損益分岐設定'!$B$17+'損益分岐設定'!$B$21+E385*'損益分岐設定'!H40*'損益分岐設定'!$B$11</x:f>
        <x:v>253615.3238770223</x:v>
      </x:c>
      <x:c r="V385" s="1" t="n">
        <x:f>IF(I385&lt;=0,1001,IF(MAX('損益分岐設定'!B37,ROUNDUP(R385/I385,0))&lt;='損益分岐設定'!C37,MAX('損益分岐設定'!B37,ROUNDUP(R385/I385,0)),1001))</x:f>
        <x:v>1001</x:v>
      </x:c>
      <x:c r="W385" s="1" t="n">
        <x:f>IF(I385&lt;=0,1001,IF(MAX('損益分岐設定'!B38,ROUNDUP(S385/I385,0))&lt;='損益分岐設定'!C38,MAX('損益分岐設定'!B38,ROUNDUP(S385/I385,0)),1001))</x:f>
        <x:v>1001</x:v>
      </x:c>
      <x:c r="X385" s="1" t="n">
        <x:f>IF(I385&lt;=0,1001,IF(MAX('損益分岐設定'!B39,ROUNDUP(T385/I385,0))&lt;='損益分岐設定'!C39,MAX('損益分岐設定'!B39,ROUNDUP(T385/I385,0)),1001))</x:f>
        <x:v>1001</x:v>
      </x:c>
      <x:c r="Y385" s="1" t="n">
        <x:f>IF(I385&lt;=0,1001,IF(MAX('損益分岐設定'!B40,ROUNDUP(U385/I385,0))&lt;='損益分岐設定'!C40,MAX('損益分岐設定'!B40,ROUNDUP(U385/I385,0)),1001))</x:f>
        <x:v>1001</x:v>
      </x:c>
      <x:c r="Z385" s="1" t="n">
        <x:f>IF(I385&lt;=0,'損益分岐設定'!C37,IF('損益分岐設定'!C37*I385-R385&lt;0,'損益分岐設定'!C37,IF('損益分岐設定'!B37*I385-R385&gt;=0,0,ROUNDUP(R385/I385,0)-1)))</x:f>
        <x:v>10</x:v>
      </x:c>
      <x:c r="AA385" s="1" t="n">
        <x:f>IF(I385&lt;=0,'損益分岐設定'!C38,IF('損益分岐設定'!C38*I385-S385&lt;0,'損益分岐設定'!C38,IF('損益分岐設定'!B38*I385-S385&gt;=0,0,ROUNDUP(S385/I385,0)-1)))</x:f>
        <x:v>100</x:v>
      </x:c>
      <x:c r="AB385" s="1" t="n">
        <x:f>IF(I385&lt;=0,'損益分岐設定'!C39,IF('損益分岐設定'!C39*I385-T385&lt;0,'損益分岐設定'!C39,IF('損益分岐設定'!B39*I385-T385&gt;=0,0,ROUNDUP(T385/I385,0)-1)))</x:f>
        <x:v>500</x:v>
      </x:c>
      <x:c r="AC385" s="1" t="n">
        <x:f>IF(I385&lt;=0,'損益分岐設定'!C40,IF('損益分岐設定'!C40*I385-U385&lt;0,'損益分岐設定'!C40,IF('損益分岐設定'!B40*I385-U385&gt;=0,0,ROUNDUP(U385/I385,0)-1)))</x:f>
        <x:v>1000</x:v>
      </x:c>
      <x:c r="AD385" s="1" t="n">
        <x:v>0</x:v>
      </x:c>
      <x:c r="AE385" s="1" t="n">
        <x:v>1</x:v>
      </x:c>
      <x:c r="AF385" s="1" t="n">
        <x:v>0</x:v>
      </x:c>
      <x:c r="AG385" s="1" t="n">
        <x:f>AD385*'損益分岐設定'!$C$58+AE385*'損益分岐設定'!$C$61+AF385*'損益分岐設定'!$C$64</x:f>
        <x:v>9914.705791015625</x:v>
      </x:c>
      <x:c r="AH385" s="1" t="n">
        <x:f>AD385*'損益分岐設定'!$D$58+AE385*'損益分岐設定'!$D$61+AF385*'損益分岐設定'!$D$64</x:f>
        <x:v>480</x:v>
      </x:c>
      <x:c r="AI385" s="1" t="n">
        <x:f>AD385*'損益分岐設定'!$E$58+AE385*'損益分岐設定'!$E$61+AF385*'損益分岐設定'!$E$64</x:f>
        <x:v>640</x:v>
      </x:c>
      <x:c r="AJ385" s="1" t="n">
        <x:f>(AD385*'損益分岐設定'!$F$58+AE385*'損益分岐設定'!$F$61+AF385*'損益分岐設定'!$F$64*1)*'損益分岐設定'!$B$22</x:f>
        <x:v>7200</x:v>
      </x:c>
      <x:c r="AK385" s="1" t="n">
        <x:f>AD385*'損益分岐設定'!$G$58+AE385*'損益分岐設定'!$G$61+AF385*'損益分岐設定'!$G$64</x:f>
        <x:v>4800</x:v>
      </x:c>
      <x:c r="AL385" s="1" t="n">
        <x:f>AD385*'損益分岐設定'!$H$58+AE385*'損益分岐設定'!$H$61+AF385*'損益分岐設定'!$H$64</x:f>
        <x:v>1466.6666666666665</x:v>
      </x:c>
      <x:c r="AM385" s="1" t="n">
        <x:f>MAX(1,ROUNDUP('損益分岐設定'!C37*AJ385/('損益分岐設定'!$B$23*'損益分岐設定'!$B$24*3600*'損益分岐設定'!$B$25),0))</x:f>
        <x:v>1</x:v>
      </x:c>
      <x:c r="AN385" s="1" t="n">
        <x:f>MAX(2,ROUNDUP('損益分岐設定'!C38*AJ385/('損益分岐設定'!$B$23*'損益分岐設定'!$B$24*3600*'損益分岐設定'!$B$25),0))</x:f>
        <x:v>2</x:v>
      </x:c>
      <x:c r="AO385" s="1" t="n">
        <x:f>MAX(2,ROUNDUP('損益分岐設定'!C39*AJ385/('損益分岐設定'!$B$23*'損益分岐設定'!$B$24*3600*'損益分岐設定'!$B$25),0))</x:f>
        <x:v>8</x:v>
      </x:c>
      <x:c r="AP385" s="1" t="n">
        <x:f>MAX(2,ROUNDUP('損益分岐設定'!C40*AJ385/('損益分岐設定'!$B$23*'損益分岐設定'!$B$24*3600*'損益分岐設定'!$B$25),0))</x:f>
        <x:v>15</x:v>
      </x:c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 ht="23" customHeight="1">
      <x:c r="A386" s="1" t="str">
        <x:v>VM</x:v>
      </x:c>
      <x:c r="B386" s="1" t="str">
        <x:v>Business</x:v>
      </x:c>
      <x:c r="C386" s="1" t="str">
        <x:v>高位</x:v>
      </x:c>
      <x:c r="D386" s="21" t="n">
        <x:v>0</x:v>
      </x:c>
      <x:c r="E386" s="1" t="n">
        <x:v>1</x:v>
      </x:c>
      <x:c r="F386" s="7" t="n">
        <x:f>AD386*'損益分岐設定'!$B$5+AE386*'損益分岐設定'!$B$6+AF386*'損益分岐設定'!$B$7</x:f>
        <x:v>5000</x:v>
      </x:c>
      <x:c r="G386" s="7" t="n">
        <x:f>AG386+0+AK386*'損益分岐設定'!$B$33</x:f>
        <x:v>9914.759435195923</x:v>
      </x:c>
      <x:c r="H386" s="7" t="n">
        <x:f>AL386*E386</x:f>
        <x:v>1466.6666666666665</x:v>
      </x:c>
      <x:c r="I386" s="7" t="n">
        <x:f>F386*(1-D386-'損益分岐設定'!$B$10)-G386-H386</x:f>
        <x:v>-6561.426101862589</x:v>
      </x:c>
      <x:c r="J386" s="1" t="str">
        <x:f>IF(MIN(V386:Y386)&gt;1000,"範囲内なし",MIN(V386:Y386))</x:f>
        <x:v>範囲内なし</x:v>
      </x:c>
      <x:c r="K386" s="1" t="str">
        <x:f>IF(MAX(Z386:AC386)&gt;=1000,"範囲内なし",MAX(1,MAX(Z386:AC386)+1))</x:f>
        <x:v>範囲内なし</x:v>
      </x:c>
      <x:c r="L386" s="7" t="n">
        <x:f>10*I386-R386</x:f>
        <x:v>-148373.44777984716</x:v>
      </x:c>
      <x:c r="M386" s="7" t="n">
        <x:f>30*I386-S386</x:f>
        <x:v>-341861.1565783202</x:v>
      </x:c>
      <x:c r="N386" s="7" t="n">
        <x:f>50*I386-S386</x:f>
        <x:v>-473089.678615572</x:v>
      </x:c>
      <x:c r="O386" s="7" t="n">
        <x:f>100*I386-S386</x:f>
        <x:v>-801160.9837087014</x:v>
      </x:c>
      <x:c r="P386" s="7" t="n">
        <x:f>300*I386-T386</x:f>
        <x:v>-2208084.9842230515</x:v>
      </x:c>
      <x:c r="Q386" s="7" t="n">
        <x:f>1000*I386-U386</x:f>
        <x:v>-6943041.4257396115</x:v>
      </x:c>
      <x:c r="R386" s="7" t="n">
        <x:f>'損益分岐設定'!$B$18+'損益分岐設定'!$B$19+'損益分岐設定'!$B$20+'損益分岐設定'!E37+('損益分岐設定'!F37+2*'損益分岐設定'!G37+AM386)*('損益分岐設定'!$B$15+'損益分岐設定'!$B$16)+'損益分岐設定'!$B$17+'損益分岐設定'!$B$21+E386*'損益分岐設定'!H37*'損益分岐設定'!$B$11</x:f>
        <x:v>82759.18676122127</x:v>
      </x:c>
      <x:c r="S386" s="7" t="n">
        <x:f>'損益分岐設定'!$B$18+'損益分岐設定'!$B$19+'損益分岐設定'!$B$20+'損益分岐設定'!E38+('損益分岐設定'!F38+2*'損益分岐設定'!G38+AN386)*('損益分岐設定'!$B$15+'損益分岐設定'!$B$16)+'損益分岐設定'!$B$17+'損益分岐設定'!$B$21+E386*'損益分岐設定'!H38*'損益分岐設定'!$B$11</x:f>
        <x:v>145018.37352244253</x:v>
      </x:c>
      <x:c r="T386" s="7" t="n">
        <x:f>'損益分岐設定'!$B$18+'損益分岐設定'!$B$19+'損益分岐設定'!$B$20+'損益分岐設定'!E39+('損益分岐設定'!F39+2*'損益分岐設定'!G39+AO386)*('損益分岐設定'!$B$15+'損益分岐設定'!$B$16)+'損益分岐設定'!$B$17+'損益分岐設定'!$B$21+E386*'損益分岐設定'!H39*'損益分岐設定'!$B$11</x:f>
        <x:v>239657.15366427446</x:v>
      </x:c>
      <x:c r="U386" s="7" t="n">
        <x:f>'損益分岐設定'!$B$18+'損益分岐設定'!$B$19+'損益分岐設定'!$B$20+'損益分岐設定'!E40+('損益分岐設定'!F40+2*'損益分岐設定'!G40+AP386)*('損益分岐設定'!$B$15+'損益分岐設定'!$B$16)+'損益分岐設定'!$B$17+'損益分岐設定'!$B$21+E386*'損益分岐設定'!H40*'損益分岐設定'!$B$11</x:f>
        <x:v>381615.3238770223</x:v>
      </x:c>
      <x:c r="V386" s="1" t="n">
        <x:f>IF(I386&lt;=0,1001,IF(MAX('損益分岐設定'!B37,ROUNDUP(R386/I386,0))&lt;='損益分岐設定'!C37,MAX('損益分岐設定'!B37,ROUNDUP(R386/I386,0)),1001))</x:f>
        <x:v>1001</x:v>
      </x:c>
      <x:c r="W386" s="1" t="n">
        <x:f>IF(I386&lt;=0,1001,IF(MAX('損益分岐設定'!B38,ROUNDUP(S386/I386,0))&lt;='損益分岐設定'!C38,MAX('損益分岐設定'!B38,ROUNDUP(S386/I386,0)),1001))</x:f>
        <x:v>1001</x:v>
      </x:c>
      <x:c r="X386" s="1" t="n">
        <x:f>IF(I386&lt;=0,1001,IF(MAX('損益分岐設定'!B39,ROUNDUP(T386/I386,0))&lt;='損益分岐設定'!C39,MAX('損益分岐設定'!B39,ROUNDUP(T386/I386,0)),1001))</x:f>
        <x:v>1001</x:v>
      </x:c>
      <x:c r="Y386" s="1" t="n">
        <x:f>IF(I386&lt;=0,1001,IF(MAX('損益分岐設定'!B40,ROUNDUP(U386/I386,0))&lt;='損益分岐設定'!C40,MAX('損益分岐設定'!B40,ROUNDUP(U386/I386,0)),1001))</x:f>
        <x:v>1001</x:v>
      </x:c>
      <x:c r="Z386" s="1" t="n">
        <x:f>IF(I386&lt;=0,'損益分岐設定'!C37,IF('損益分岐設定'!C37*I386-R386&lt;0,'損益分岐設定'!C37,IF('損益分岐設定'!B37*I386-R386&gt;=0,0,ROUNDUP(R386/I386,0)-1)))</x:f>
        <x:v>10</x:v>
      </x:c>
      <x:c r="AA386" s="1" t="n">
        <x:f>IF(I386&lt;=0,'損益分岐設定'!C38,IF('損益分岐設定'!C38*I386-S386&lt;0,'損益分岐設定'!C38,IF('損益分岐設定'!B38*I386-S386&gt;=0,0,ROUNDUP(S386/I386,0)-1)))</x:f>
        <x:v>100</x:v>
      </x:c>
      <x:c r="AB386" s="1" t="n">
        <x:f>IF(I386&lt;=0,'損益分岐設定'!C39,IF('損益分岐設定'!C39*I386-T386&lt;0,'損益分岐設定'!C39,IF('損益分岐設定'!B39*I386-T386&gt;=0,0,ROUNDUP(T386/I386,0)-1)))</x:f>
        <x:v>500</x:v>
      </x:c>
      <x:c r="AC386" s="1" t="n">
        <x:f>IF(I386&lt;=0,'損益分岐設定'!C40,IF('損益分岐設定'!C40*I386-U386&lt;0,'損益分岐設定'!C40,IF('損益分岐設定'!B40*I386-U386&gt;=0,0,ROUNDUP(U386/I386,0)-1)))</x:f>
        <x:v>1000</x:v>
      </x:c>
      <x:c r="AD386" s="1" t="n">
        <x:v>0</x:v>
      </x:c>
      <x:c r="AE386" s="1" t="n">
        <x:v>1</x:v>
      </x:c>
      <x:c r="AF386" s="1" t="n">
        <x:v>0</x:v>
      </x:c>
      <x:c r="AG386" s="1" t="n">
        <x:f>AD386*'損益分岐設定'!$C$58+AE386*'損益分岐設定'!$C$61+AF386*'損益分岐設定'!$C$64</x:f>
        <x:v>9914.705791015625</x:v>
      </x:c>
      <x:c r="AH386" s="1" t="n">
        <x:f>AD386*'損益分岐設定'!$D$58+AE386*'損益分岐設定'!$D$61+AF386*'損益分岐設定'!$D$64</x:f>
        <x:v>480</x:v>
      </x:c>
      <x:c r="AI386" s="1" t="n">
        <x:f>AD386*'損益分岐設定'!$E$58+AE386*'損益分岐設定'!$E$61+AF386*'損益分岐設定'!$E$64</x:f>
        <x:v>640</x:v>
      </x:c>
      <x:c r="AJ386" s="1" t="n">
        <x:f>(AD386*'損益分岐設定'!$F$58+AE386*'損益分岐設定'!$F$61+AF386*'損益分岐設定'!$F$64*1)*'損益分岐設定'!$B$22</x:f>
        <x:v>7200</x:v>
      </x:c>
      <x:c r="AK386" s="1" t="n">
        <x:f>AD386*'損益分岐設定'!$G$58+AE386*'損益分岐設定'!$G$61+AF386*'損益分岐設定'!$G$64</x:f>
        <x:v>4800</x:v>
      </x:c>
      <x:c r="AL386" s="1" t="n">
        <x:f>AD386*'損益分岐設定'!$H$58+AE386*'損益分岐設定'!$H$61+AF386*'損益分岐設定'!$H$64</x:f>
        <x:v>1466.6666666666665</x:v>
      </x:c>
      <x:c r="AM386" s="1" t="n">
        <x:f>MAX(1,ROUNDUP('損益分岐設定'!C37*AJ386/('損益分岐設定'!$B$23*'損益分岐設定'!$B$24*3600*'損益分岐設定'!$B$25),0))</x:f>
        <x:v>1</x:v>
      </x:c>
      <x:c r="AN386" s="1" t="n">
        <x:f>MAX(2,ROUNDUP('損益分岐設定'!C38*AJ386/('損益分岐設定'!$B$23*'損益分岐設定'!$B$24*3600*'損益分岐設定'!$B$25),0))</x:f>
        <x:v>2</x:v>
      </x:c>
      <x:c r="AO386" s="1" t="n">
        <x:f>MAX(2,ROUNDUP('損益分岐設定'!C39*AJ386/('損益分岐設定'!$B$23*'損益分岐設定'!$B$24*3600*'損益分岐設定'!$B$25),0))</x:f>
        <x:v>8</x:v>
      </x:c>
      <x:c r="AP386" s="1" t="n">
        <x:f>MAX(2,ROUNDUP('損益分岐設定'!C40*AJ386/('損益分岐設定'!$B$23*'損益分岐設定'!$B$24*3600*'損益分岐設定'!$B$25),0))</x:f>
        <x:v>15</x:v>
      </x:c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 ht="23" customHeight="1">
      <x:c r="A387" s="1" t="str">
        <x:v>VM</x:v>
      </x:c>
      <x:c r="B387" s="1" t="str">
        <x:v>Business</x:v>
      </x:c>
      <x:c r="C387" s="1" t="str">
        <x:v>高位</x:v>
      </x:c>
      <x:c r="D387" s="21" t="n">
        <x:v>0.2</x:v>
      </x:c>
      <x:c r="E387" s="1" t="n">
        <x:v>0</x:v>
      </x:c>
      <x:c r="F387" s="7" t="n">
        <x:f>AD387*'損益分岐設定'!$B$5+AE387*'損益分岐設定'!$B$6+AF387*'損益分岐設定'!$B$7</x:f>
        <x:v>5000</x:v>
      </x:c>
      <x:c r="G387" s="7" t="n">
        <x:f>AG387+0+AK387*'損益分岐設定'!$B$33</x:f>
        <x:v>9914.759435195923</x:v>
      </x:c>
      <x:c r="H387" s="7" t="n">
        <x:f>AL387*E387</x:f>
        <x:v>0</x:v>
      </x:c>
      <x:c r="I387" s="7" t="n">
        <x:f>F387*(1-D387-'損益分岐設定'!$B$10)-G387-H387</x:f>
        <x:v>-6094.759435195923</x:v>
      </x:c>
      <x:c r="J387" s="1" t="str">
        <x:f>IF(MIN(V387:Y387)&gt;1000,"範囲内なし",MIN(V387:Y387))</x:f>
        <x:v>範囲内なし</x:v>
      </x:c>
      <x:c r="K387" s="1" t="str">
        <x:f>IF(MAX(Z387:AC387)&gt;=1000,"範囲内なし",MAX(1,MAX(Z387:AC387)+1))</x:f>
        <x:v>範囲内なし</x:v>
      </x:c>
      <x:c r="L387" s="7" t="n">
        <x:f>10*I387-R387</x:f>
        <x:v>-111706.7811131805</x:v>
      </x:c>
      <x:c r="M387" s="7" t="n">
        <x:f>30*I387-S387</x:f>
        <x:v>-279861.15657832025</x:v>
      </x:c>
      <x:c r="N387" s="7" t="n">
        <x:f>50*I387-S387</x:f>
        <x:v>-401756.3452822387</x:v>
      </x:c>
      <x:c r="O387" s="7" t="n">
        <x:f>100*I387-S387</x:f>
        <x:v>-706494.3170420348</x:v>
      </x:c>
      <x:c r="P387" s="7" t="n">
        <x:f>300*I387-T387</x:f>
        <x:v>-1988084.9842230515</x:v>
      </x:c>
      <x:c r="Q387" s="7" t="n">
        <x:f>1000*I387-U387</x:f>
        <x:v>-6348374.759072945</x:v>
      </x:c>
      <x:c r="R387" s="7" t="n">
        <x:f>'損益分岐設定'!$B$18+'損益分岐設定'!$B$19+'損益分岐設定'!$B$20+'損益分岐設定'!E37+('損益分岐設定'!F37+2*'損益分岐設定'!G37+AM387)*('損益分岐設定'!$B$15+'損益分岐設定'!$B$16)+'損益分岐設定'!$B$17+'損益分岐設定'!$B$21+E387*'損益分岐設定'!H37*'損益分岐設定'!$B$11</x:f>
        <x:v>50759.18676122127</x:v>
      </x:c>
      <x:c r="S387" s="7" t="n">
        <x:f>'損益分岐設定'!$B$18+'損益分岐設定'!$B$19+'損益分岐設定'!$B$20+'損益分岐設定'!E38+('損益分岐設定'!F38+2*'損益分岐設定'!G38+AN387)*('損益分岐設定'!$B$15+'損益分岐設定'!$B$16)+'損益分岐設定'!$B$17+'損益分岐設定'!$B$21+E387*'損益分岐設定'!H38*'損益分岐設定'!$B$11</x:f>
        <x:v>97018.37352244255</x:v>
      </x:c>
      <x:c r="T387" s="7" t="n">
        <x:f>'損益分岐設定'!$B$18+'損益分岐設定'!$B$19+'損益分岐設定'!$B$20+'損益分岐設定'!E39+('損益分岐設定'!F39+2*'損益分岐設定'!G39+AO387)*('損益分岐設定'!$B$15+'損益分岐設定'!$B$16)+'損益分岐設定'!$B$17+'損益分岐設定'!$B$21+E387*'損益分岐設定'!H39*'損益分岐設定'!$B$11</x:f>
        <x:v>159657.15366427446</x:v>
      </x:c>
      <x:c r="U387" s="7" t="n">
        <x:f>'損益分岐設定'!$B$18+'損益分岐設定'!$B$19+'損益分岐設定'!$B$20+'損益分岐設定'!E40+('損益分岐設定'!F40+2*'損益分岐設定'!G40+AP387)*('損益分岐設定'!$B$15+'損益分岐設定'!$B$16)+'損益分岐設定'!$B$17+'損益分岐設定'!$B$21+E387*'損益分岐設定'!H40*'損益分岐設定'!$B$11</x:f>
        <x:v>253615.3238770223</x:v>
      </x:c>
      <x:c r="V387" s="1" t="n">
        <x:f>IF(I387&lt;=0,1001,IF(MAX('損益分岐設定'!B37,ROUNDUP(R387/I387,0))&lt;='損益分岐設定'!C37,MAX('損益分岐設定'!B37,ROUNDUP(R387/I387,0)),1001))</x:f>
        <x:v>1001</x:v>
      </x:c>
      <x:c r="W387" s="1" t="n">
        <x:f>IF(I387&lt;=0,1001,IF(MAX('損益分岐設定'!B38,ROUNDUP(S387/I387,0))&lt;='損益分岐設定'!C38,MAX('損益分岐設定'!B38,ROUNDUP(S387/I387,0)),1001))</x:f>
        <x:v>1001</x:v>
      </x:c>
      <x:c r="X387" s="1" t="n">
        <x:f>IF(I387&lt;=0,1001,IF(MAX('損益分岐設定'!B39,ROUNDUP(T387/I387,0))&lt;='損益分岐設定'!C39,MAX('損益分岐設定'!B39,ROUNDUP(T387/I387,0)),1001))</x:f>
        <x:v>1001</x:v>
      </x:c>
      <x:c r="Y387" s="1" t="n">
        <x:f>IF(I387&lt;=0,1001,IF(MAX('損益分岐設定'!B40,ROUNDUP(U387/I387,0))&lt;='損益分岐設定'!C40,MAX('損益分岐設定'!B40,ROUNDUP(U387/I387,0)),1001))</x:f>
        <x:v>1001</x:v>
      </x:c>
      <x:c r="Z387" s="1" t="n">
        <x:f>IF(I387&lt;=0,'損益分岐設定'!C37,IF('損益分岐設定'!C37*I387-R387&lt;0,'損益分岐設定'!C37,IF('損益分岐設定'!B37*I387-R387&gt;=0,0,ROUNDUP(R387/I387,0)-1)))</x:f>
        <x:v>10</x:v>
      </x:c>
      <x:c r="AA387" s="1" t="n">
        <x:f>IF(I387&lt;=0,'損益分岐設定'!C38,IF('損益分岐設定'!C38*I387-S387&lt;0,'損益分岐設定'!C38,IF('損益分岐設定'!B38*I387-S387&gt;=0,0,ROUNDUP(S387/I387,0)-1)))</x:f>
        <x:v>100</x:v>
      </x:c>
      <x:c r="AB387" s="1" t="n">
        <x:f>IF(I387&lt;=0,'損益分岐設定'!C39,IF('損益分岐設定'!C39*I387-T387&lt;0,'損益分岐設定'!C39,IF('損益分岐設定'!B39*I387-T387&gt;=0,0,ROUNDUP(T387/I387,0)-1)))</x:f>
        <x:v>500</x:v>
      </x:c>
      <x:c r="AC387" s="1" t="n">
        <x:f>IF(I387&lt;=0,'損益分岐設定'!C40,IF('損益分岐設定'!C40*I387-U387&lt;0,'損益分岐設定'!C40,IF('損益分岐設定'!B40*I387-U387&gt;=0,0,ROUNDUP(U387/I387,0)-1)))</x:f>
        <x:v>1000</x:v>
      </x:c>
      <x:c r="AD387" s="1" t="n">
        <x:v>0</x:v>
      </x:c>
      <x:c r="AE387" s="1" t="n">
        <x:v>1</x:v>
      </x:c>
      <x:c r="AF387" s="1" t="n">
        <x:v>0</x:v>
      </x:c>
      <x:c r="AG387" s="1" t="n">
        <x:f>AD387*'損益分岐設定'!$C$58+AE387*'損益分岐設定'!$C$61+AF387*'損益分岐設定'!$C$64</x:f>
        <x:v>9914.705791015625</x:v>
      </x:c>
      <x:c r="AH387" s="1" t="n">
        <x:f>AD387*'損益分岐設定'!$D$58+AE387*'損益分岐設定'!$D$61+AF387*'損益分岐設定'!$D$64</x:f>
        <x:v>480</x:v>
      </x:c>
      <x:c r="AI387" s="1" t="n">
        <x:f>AD387*'損益分岐設定'!$E$58+AE387*'損益分岐設定'!$E$61+AF387*'損益分岐設定'!$E$64</x:f>
        <x:v>640</x:v>
      </x:c>
      <x:c r="AJ387" s="1" t="n">
        <x:f>(AD387*'損益分岐設定'!$F$58+AE387*'損益分岐設定'!$F$61+AF387*'損益分岐設定'!$F$64*1)*'損益分岐設定'!$B$22</x:f>
        <x:v>7200</x:v>
      </x:c>
      <x:c r="AK387" s="1" t="n">
        <x:f>AD387*'損益分岐設定'!$G$58+AE387*'損益分岐設定'!$G$61+AF387*'損益分岐設定'!$G$64</x:f>
        <x:v>4800</x:v>
      </x:c>
      <x:c r="AL387" s="1" t="n">
        <x:f>AD387*'損益分岐設定'!$H$58+AE387*'損益分岐設定'!$H$61+AF387*'損益分岐設定'!$H$64</x:f>
        <x:v>1466.6666666666665</x:v>
      </x:c>
      <x:c r="AM387" s="1" t="n">
        <x:f>MAX(1,ROUNDUP('損益分岐設定'!C37*AJ387/('損益分岐設定'!$B$23*'損益分岐設定'!$B$24*3600*'損益分岐設定'!$B$25),0))</x:f>
        <x:v>1</x:v>
      </x:c>
      <x:c r="AN387" s="1" t="n">
        <x:f>MAX(2,ROUNDUP('損益分岐設定'!C38*AJ387/('損益分岐設定'!$B$23*'損益分岐設定'!$B$24*3600*'損益分岐設定'!$B$25),0))</x:f>
        <x:v>2</x:v>
      </x:c>
      <x:c r="AO387" s="1" t="n">
        <x:f>MAX(2,ROUNDUP('損益分岐設定'!C39*AJ387/('損益分岐設定'!$B$23*'損益分岐設定'!$B$24*3600*'損益分岐設定'!$B$25),0))</x:f>
        <x:v>8</x:v>
      </x:c>
      <x:c r="AP387" s="1" t="n">
        <x:f>MAX(2,ROUNDUP('損益分岐設定'!C40*AJ387/('損益分岐設定'!$B$23*'損益分岐設定'!$B$24*3600*'損益分岐設定'!$B$25),0))</x:f>
        <x:v>15</x:v>
      </x:c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 ht="23" customHeight="1">
      <x:c r="A388" s="1" t="str">
        <x:v>VM</x:v>
      </x:c>
      <x:c r="B388" s="1" t="str">
        <x:v>Business</x:v>
      </x:c>
      <x:c r="C388" s="1" t="str">
        <x:v>高位</x:v>
      </x:c>
      <x:c r="D388" s="21" t="n">
        <x:v>0.2</x:v>
      </x:c>
      <x:c r="E388" s="1" t="n">
        <x:v>1</x:v>
      </x:c>
      <x:c r="F388" s="7" t="n">
        <x:f>AD388*'損益分岐設定'!$B$5+AE388*'損益分岐設定'!$B$6+AF388*'損益分岐設定'!$B$7</x:f>
        <x:v>5000</x:v>
      </x:c>
      <x:c r="G388" s="7" t="n">
        <x:f>AG388+0+AK388*'損益分岐設定'!$B$33</x:f>
        <x:v>9914.759435195923</x:v>
      </x:c>
      <x:c r="H388" s="7" t="n">
        <x:f>AL388*E388</x:f>
        <x:v>1466.6666666666665</x:v>
      </x:c>
      <x:c r="I388" s="7" t="n">
        <x:f>F388*(1-D388-'損益分岐設定'!$B$10)-G388-H388</x:f>
        <x:v>-7561.426101862589</x:v>
      </x:c>
      <x:c r="J388" s="1" t="str">
        <x:f>IF(MIN(V388:Y388)&gt;1000,"範囲内なし",MIN(V388:Y388))</x:f>
        <x:v>範囲内なし</x:v>
      </x:c>
      <x:c r="K388" s="1" t="str">
        <x:f>IF(MAX(Z388:AC388)&gt;=1000,"範囲内なし",MAX(1,MAX(Z388:AC388)+1))</x:f>
        <x:v>範囲内なし</x:v>
      </x:c>
      <x:c r="L388" s="7" t="n">
        <x:f>10*I388-R388</x:f>
        <x:v>-158373.44777984716</x:v>
      </x:c>
      <x:c r="M388" s="7" t="n">
        <x:f>30*I388-S388</x:f>
        <x:v>-371861.1565783202</x:v>
      </x:c>
      <x:c r="N388" s="7" t="n">
        <x:f>50*I388-S388</x:f>
        <x:v>-523089.678615572</x:v>
      </x:c>
      <x:c r="O388" s="7" t="n">
        <x:f>100*I388-S388</x:f>
        <x:v>-901160.9837087014</x:v>
      </x:c>
      <x:c r="P388" s="7" t="n">
        <x:f>300*I388-T388</x:f>
        <x:v>-2508084.9842230515</x:v>
      </x:c>
      <x:c r="Q388" s="7" t="n">
        <x:f>1000*I388-U388</x:f>
        <x:v>-7943041.4257396115</x:v>
      </x:c>
      <x:c r="R388" s="7" t="n">
        <x:f>'損益分岐設定'!$B$18+'損益分岐設定'!$B$19+'損益分岐設定'!$B$20+'損益分岐設定'!E37+('損益分岐設定'!F37+2*'損益分岐設定'!G37+AM388)*('損益分岐設定'!$B$15+'損益分岐設定'!$B$16)+'損益分岐設定'!$B$17+'損益分岐設定'!$B$21+E388*'損益分岐設定'!H37*'損益分岐設定'!$B$11</x:f>
        <x:v>82759.18676122127</x:v>
      </x:c>
      <x:c r="S388" s="7" t="n">
        <x:f>'損益分岐設定'!$B$18+'損益分岐設定'!$B$19+'損益分岐設定'!$B$20+'損益分岐設定'!E38+('損益分岐設定'!F38+2*'損益分岐設定'!G38+AN388)*('損益分岐設定'!$B$15+'損益分岐設定'!$B$16)+'損益分岐設定'!$B$17+'損益分岐設定'!$B$21+E388*'損益分岐設定'!H38*'損益分岐設定'!$B$11</x:f>
        <x:v>145018.37352244253</x:v>
      </x:c>
      <x:c r="T388" s="7" t="n">
        <x:f>'損益分岐設定'!$B$18+'損益分岐設定'!$B$19+'損益分岐設定'!$B$20+'損益分岐設定'!E39+('損益分岐設定'!F39+2*'損益分岐設定'!G39+AO388)*('損益分岐設定'!$B$15+'損益分岐設定'!$B$16)+'損益分岐設定'!$B$17+'損益分岐設定'!$B$21+E388*'損益分岐設定'!H39*'損益分岐設定'!$B$11</x:f>
        <x:v>239657.15366427446</x:v>
      </x:c>
      <x:c r="U388" s="7" t="n">
        <x:f>'損益分岐設定'!$B$18+'損益分岐設定'!$B$19+'損益分岐設定'!$B$20+'損益分岐設定'!E40+('損益分岐設定'!F40+2*'損益分岐設定'!G40+AP388)*('損益分岐設定'!$B$15+'損益分岐設定'!$B$16)+'損益分岐設定'!$B$17+'損益分岐設定'!$B$21+E388*'損益分岐設定'!H40*'損益分岐設定'!$B$11</x:f>
        <x:v>381615.3238770223</x:v>
      </x:c>
      <x:c r="V388" s="1" t="n">
        <x:f>IF(I388&lt;=0,1001,IF(MAX('損益分岐設定'!B37,ROUNDUP(R388/I388,0))&lt;='損益分岐設定'!C37,MAX('損益分岐設定'!B37,ROUNDUP(R388/I388,0)),1001))</x:f>
        <x:v>1001</x:v>
      </x:c>
      <x:c r="W388" s="1" t="n">
        <x:f>IF(I388&lt;=0,1001,IF(MAX('損益分岐設定'!B38,ROUNDUP(S388/I388,0))&lt;='損益分岐設定'!C38,MAX('損益分岐設定'!B38,ROUNDUP(S388/I388,0)),1001))</x:f>
        <x:v>1001</x:v>
      </x:c>
      <x:c r="X388" s="1" t="n">
        <x:f>IF(I388&lt;=0,1001,IF(MAX('損益分岐設定'!B39,ROUNDUP(T388/I388,0))&lt;='損益分岐設定'!C39,MAX('損益分岐設定'!B39,ROUNDUP(T388/I388,0)),1001))</x:f>
        <x:v>1001</x:v>
      </x:c>
      <x:c r="Y388" s="1" t="n">
        <x:f>IF(I388&lt;=0,1001,IF(MAX('損益分岐設定'!B40,ROUNDUP(U388/I388,0))&lt;='損益分岐設定'!C40,MAX('損益分岐設定'!B40,ROUNDUP(U388/I388,0)),1001))</x:f>
        <x:v>1001</x:v>
      </x:c>
      <x:c r="Z388" s="1" t="n">
        <x:f>IF(I388&lt;=0,'損益分岐設定'!C37,IF('損益分岐設定'!C37*I388-R388&lt;0,'損益分岐設定'!C37,IF('損益分岐設定'!B37*I388-R388&gt;=0,0,ROUNDUP(R388/I388,0)-1)))</x:f>
        <x:v>10</x:v>
      </x:c>
      <x:c r="AA388" s="1" t="n">
        <x:f>IF(I388&lt;=0,'損益分岐設定'!C38,IF('損益分岐設定'!C38*I388-S388&lt;0,'損益分岐設定'!C38,IF('損益分岐設定'!B38*I388-S388&gt;=0,0,ROUNDUP(S388/I388,0)-1)))</x:f>
        <x:v>100</x:v>
      </x:c>
      <x:c r="AB388" s="1" t="n">
        <x:f>IF(I388&lt;=0,'損益分岐設定'!C39,IF('損益分岐設定'!C39*I388-T388&lt;0,'損益分岐設定'!C39,IF('損益分岐設定'!B39*I388-T388&gt;=0,0,ROUNDUP(T388/I388,0)-1)))</x:f>
        <x:v>500</x:v>
      </x:c>
      <x:c r="AC388" s="1" t="n">
        <x:f>IF(I388&lt;=0,'損益分岐設定'!C40,IF('損益分岐設定'!C40*I388-U388&lt;0,'損益分岐設定'!C40,IF('損益分岐設定'!B40*I388-U388&gt;=0,0,ROUNDUP(U388/I388,0)-1)))</x:f>
        <x:v>1000</x:v>
      </x:c>
      <x:c r="AD388" s="1" t="n">
        <x:v>0</x:v>
      </x:c>
      <x:c r="AE388" s="1" t="n">
        <x:v>1</x:v>
      </x:c>
      <x:c r="AF388" s="1" t="n">
        <x:v>0</x:v>
      </x:c>
      <x:c r="AG388" s="1" t="n">
        <x:f>AD388*'損益分岐設定'!$C$58+AE388*'損益分岐設定'!$C$61+AF388*'損益分岐設定'!$C$64</x:f>
        <x:v>9914.705791015625</x:v>
      </x:c>
      <x:c r="AH388" s="1" t="n">
        <x:f>AD388*'損益分岐設定'!$D$58+AE388*'損益分岐設定'!$D$61+AF388*'損益分岐設定'!$D$64</x:f>
        <x:v>480</x:v>
      </x:c>
      <x:c r="AI388" s="1" t="n">
        <x:f>AD388*'損益分岐設定'!$E$58+AE388*'損益分岐設定'!$E$61+AF388*'損益分岐設定'!$E$64</x:f>
        <x:v>640</x:v>
      </x:c>
      <x:c r="AJ388" s="1" t="n">
        <x:f>(AD388*'損益分岐設定'!$F$58+AE388*'損益分岐設定'!$F$61+AF388*'損益分岐設定'!$F$64*1)*'損益分岐設定'!$B$22</x:f>
        <x:v>7200</x:v>
      </x:c>
      <x:c r="AK388" s="1" t="n">
        <x:f>AD388*'損益分岐設定'!$G$58+AE388*'損益分岐設定'!$G$61+AF388*'損益分岐設定'!$G$64</x:f>
        <x:v>4800</x:v>
      </x:c>
      <x:c r="AL388" s="1" t="n">
        <x:f>AD388*'損益分岐設定'!$H$58+AE388*'損益分岐設定'!$H$61+AF388*'損益分岐設定'!$H$64</x:f>
        <x:v>1466.6666666666665</x:v>
      </x:c>
      <x:c r="AM388" s="1" t="n">
        <x:f>MAX(1,ROUNDUP('損益分岐設定'!C37*AJ388/('損益分岐設定'!$B$23*'損益分岐設定'!$B$24*3600*'損益分岐設定'!$B$25),0))</x:f>
        <x:v>1</x:v>
      </x:c>
      <x:c r="AN388" s="1" t="n">
        <x:f>MAX(2,ROUNDUP('損益分岐設定'!C38*AJ388/('損益分岐設定'!$B$23*'損益分岐設定'!$B$24*3600*'損益分岐設定'!$B$25),0))</x:f>
        <x:v>2</x:v>
      </x:c>
      <x:c r="AO388" s="1" t="n">
        <x:f>MAX(2,ROUNDUP('損益分岐設定'!C39*AJ388/('損益分岐設定'!$B$23*'損益分岐設定'!$B$24*3600*'損益分岐設定'!$B$25),0))</x:f>
        <x:v>8</x:v>
      </x:c>
      <x:c r="AP388" s="1" t="n">
        <x:f>MAX(2,ROUNDUP('損益分岐設定'!C40*AJ388/('損益分岐設定'!$B$23*'損益分岐設定'!$B$24*3600*'損益分岐設定'!$B$25),0))</x:f>
        <x:v>15</x:v>
      </x:c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 ht="23" customHeight="1">
      <x:c r="A389" s="1" t="str">
        <x:v>VM</x:v>
      </x:c>
      <x:c r="B389" s="1" t="str">
        <x:v>Business</x:v>
      </x:c>
      <x:c r="C389" s="1" t="str">
        <x:v>高位</x:v>
      </x:c>
      <x:c r="D389" s="21" t="n">
        <x:v>0.3</x:v>
      </x:c>
      <x:c r="E389" s="1" t="n">
        <x:v>0</x:v>
      </x:c>
      <x:c r="F389" s="7" t="n">
        <x:f>AD389*'損益分岐設定'!$B$5+AE389*'損益分岐設定'!$B$6+AF389*'損益分岐設定'!$B$7</x:f>
        <x:v>5000</x:v>
      </x:c>
      <x:c r="G389" s="7" t="n">
        <x:f>AG389+0+AK389*'損益分岐設定'!$B$33</x:f>
        <x:v>9914.759435195923</x:v>
      </x:c>
      <x:c r="H389" s="7" t="n">
        <x:f>AL389*E389</x:f>
        <x:v>0</x:v>
      </x:c>
      <x:c r="I389" s="7" t="n">
        <x:f>F389*(1-D389-'損益分岐設定'!$B$10)-G389-H389</x:f>
        <x:v>-6594.759435195923</x:v>
      </x:c>
      <x:c r="J389" s="1" t="str">
        <x:f>IF(MIN(V389:Y389)&gt;1000,"範囲内なし",MIN(V389:Y389))</x:f>
        <x:v>範囲内なし</x:v>
      </x:c>
      <x:c r="K389" s="1" t="str">
        <x:f>IF(MAX(Z389:AC389)&gt;=1000,"範囲内なし",MAX(1,MAX(Z389:AC389)+1))</x:f>
        <x:v>範囲内なし</x:v>
      </x:c>
      <x:c r="L389" s="7" t="n">
        <x:f>10*I389-R389</x:f>
        <x:v>-116706.7811131805</x:v>
      </x:c>
      <x:c r="M389" s="7" t="n">
        <x:f>30*I389-S389</x:f>
        <x:v>-294861.15657832025</x:v>
      </x:c>
      <x:c r="N389" s="7" t="n">
        <x:f>50*I389-S389</x:f>
        <x:v>-426756.3452822387</x:v>
      </x:c>
      <x:c r="O389" s="7" t="n">
        <x:f>100*I389-S389</x:f>
        <x:v>-756494.3170420348</x:v>
      </x:c>
      <x:c r="P389" s="7" t="n">
        <x:f>300*I389-T389</x:f>
        <x:v>-2138084.9842230515</x:v>
      </x:c>
      <x:c r="Q389" s="7" t="n">
        <x:f>1000*I389-U389</x:f>
        <x:v>-6848374.759072945</x:v>
      </x:c>
      <x:c r="R389" s="7" t="n">
        <x:f>'損益分岐設定'!$B$18+'損益分岐設定'!$B$19+'損益分岐設定'!$B$20+'損益分岐設定'!E37+('損益分岐設定'!F37+2*'損益分岐設定'!G37+AM389)*('損益分岐設定'!$B$15+'損益分岐設定'!$B$16)+'損益分岐設定'!$B$17+'損益分岐設定'!$B$21+E389*'損益分岐設定'!H37*'損益分岐設定'!$B$11</x:f>
        <x:v>50759.18676122127</x:v>
      </x:c>
      <x:c r="S389" s="7" t="n">
        <x:f>'損益分岐設定'!$B$18+'損益分岐設定'!$B$19+'損益分岐設定'!$B$20+'損益分岐設定'!E38+('損益分岐設定'!F38+2*'損益分岐設定'!G38+AN389)*('損益分岐設定'!$B$15+'損益分岐設定'!$B$16)+'損益分岐設定'!$B$17+'損益分岐設定'!$B$21+E389*'損益分岐設定'!H38*'損益分岐設定'!$B$11</x:f>
        <x:v>97018.37352244255</x:v>
      </x:c>
      <x:c r="T389" s="7" t="n">
        <x:f>'損益分岐設定'!$B$18+'損益分岐設定'!$B$19+'損益分岐設定'!$B$20+'損益分岐設定'!E39+('損益分岐設定'!F39+2*'損益分岐設定'!G39+AO389)*('損益分岐設定'!$B$15+'損益分岐設定'!$B$16)+'損益分岐設定'!$B$17+'損益分岐設定'!$B$21+E389*'損益分岐設定'!H39*'損益分岐設定'!$B$11</x:f>
        <x:v>159657.15366427446</x:v>
      </x:c>
      <x:c r="U389" s="7" t="n">
        <x:f>'損益分岐設定'!$B$18+'損益分岐設定'!$B$19+'損益分岐設定'!$B$20+'損益分岐設定'!E40+('損益分岐設定'!F40+2*'損益分岐設定'!G40+AP389)*('損益分岐設定'!$B$15+'損益分岐設定'!$B$16)+'損益分岐設定'!$B$17+'損益分岐設定'!$B$21+E389*'損益分岐設定'!H40*'損益分岐設定'!$B$11</x:f>
        <x:v>253615.3238770223</x:v>
      </x:c>
      <x:c r="V389" s="1" t="n">
        <x:f>IF(I389&lt;=0,1001,IF(MAX('損益分岐設定'!B37,ROUNDUP(R389/I389,0))&lt;='損益分岐設定'!C37,MAX('損益分岐設定'!B37,ROUNDUP(R389/I389,0)),1001))</x:f>
        <x:v>1001</x:v>
      </x:c>
      <x:c r="W389" s="1" t="n">
        <x:f>IF(I389&lt;=0,1001,IF(MAX('損益分岐設定'!B38,ROUNDUP(S389/I389,0))&lt;='損益分岐設定'!C38,MAX('損益分岐設定'!B38,ROUNDUP(S389/I389,0)),1001))</x:f>
        <x:v>1001</x:v>
      </x:c>
      <x:c r="X389" s="1" t="n">
        <x:f>IF(I389&lt;=0,1001,IF(MAX('損益分岐設定'!B39,ROUNDUP(T389/I389,0))&lt;='損益分岐設定'!C39,MAX('損益分岐設定'!B39,ROUNDUP(T389/I389,0)),1001))</x:f>
        <x:v>1001</x:v>
      </x:c>
      <x:c r="Y389" s="1" t="n">
        <x:f>IF(I389&lt;=0,1001,IF(MAX('損益分岐設定'!B40,ROUNDUP(U389/I389,0))&lt;='損益分岐設定'!C40,MAX('損益分岐設定'!B40,ROUNDUP(U389/I389,0)),1001))</x:f>
        <x:v>1001</x:v>
      </x:c>
      <x:c r="Z389" s="1" t="n">
        <x:f>IF(I389&lt;=0,'損益分岐設定'!C37,IF('損益分岐設定'!C37*I389-R389&lt;0,'損益分岐設定'!C37,IF('損益分岐設定'!B37*I389-R389&gt;=0,0,ROUNDUP(R389/I389,0)-1)))</x:f>
        <x:v>10</x:v>
      </x:c>
      <x:c r="AA389" s="1" t="n">
        <x:f>IF(I389&lt;=0,'損益分岐設定'!C38,IF('損益分岐設定'!C38*I389-S389&lt;0,'損益分岐設定'!C38,IF('損益分岐設定'!B38*I389-S389&gt;=0,0,ROUNDUP(S389/I389,0)-1)))</x:f>
        <x:v>100</x:v>
      </x:c>
      <x:c r="AB389" s="1" t="n">
        <x:f>IF(I389&lt;=0,'損益分岐設定'!C39,IF('損益分岐設定'!C39*I389-T389&lt;0,'損益分岐設定'!C39,IF('損益分岐設定'!B39*I389-T389&gt;=0,0,ROUNDUP(T389/I389,0)-1)))</x:f>
        <x:v>500</x:v>
      </x:c>
      <x:c r="AC389" s="1" t="n">
        <x:f>IF(I389&lt;=0,'損益分岐設定'!C40,IF('損益分岐設定'!C40*I389-U389&lt;0,'損益分岐設定'!C40,IF('損益分岐設定'!B40*I389-U389&gt;=0,0,ROUNDUP(U389/I389,0)-1)))</x:f>
        <x:v>1000</x:v>
      </x:c>
      <x:c r="AD389" s="1" t="n">
        <x:v>0</x:v>
      </x:c>
      <x:c r="AE389" s="1" t="n">
        <x:v>1</x:v>
      </x:c>
      <x:c r="AF389" s="1" t="n">
        <x:v>0</x:v>
      </x:c>
      <x:c r="AG389" s="1" t="n">
        <x:f>AD389*'損益分岐設定'!$C$58+AE389*'損益分岐設定'!$C$61+AF389*'損益分岐設定'!$C$64</x:f>
        <x:v>9914.705791015625</x:v>
      </x:c>
      <x:c r="AH389" s="1" t="n">
        <x:f>AD389*'損益分岐設定'!$D$58+AE389*'損益分岐設定'!$D$61+AF389*'損益分岐設定'!$D$64</x:f>
        <x:v>480</x:v>
      </x:c>
      <x:c r="AI389" s="1" t="n">
        <x:f>AD389*'損益分岐設定'!$E$58+AE389*'損益分岐設定'!$E$61+AF389*'損益分岐設定'!$E$64</x:f>
        <x:v>640</x:v>
      </x:c>
      <x:c r="AJ389" s="1" t="n">
        <x:f>(AD389*'損益分岐設定'!$F$58+AE389*'損益分岐設定'!$F$61+AF389*'損益分岐設定'!$F$64*1)*'損益分岐設定'!$B$22</x:f>
        <x:v>7200</x:v>
      </x:c>
      <x:c r="AK389" s="1" t="n">
        <x:f>AD389*'損益分岐設定'!$G$58+AE389*'損益分岐設定'!$G$61+AF389*'損益分岐設定'!$G$64</x:f>
        <x:v>4800</x:v>
      </x:c>
      <x:c r="AL389" s="1" t="n">
        <x:f>AD389*'損益分岐設定'!$H$58+AE389*'損益分岐設定'!$H$61+AF389*'損益分岐設定'!$H$64</x:f>
        <x:v>1466.6666666666665</x:v>
      </x:c>
      <x:c r="AM389" s="1" t="n">
        <x:f>MAX(1,ROUNDUP('損益分岐設定'!C37*AJ389/('損益分岐設定'!$B$23*'損益分岐設定'!$B$24*3600*'損益分岐設定'!$B$25),0))</x:f>
        <x:v>1</x:v>
      </x:c>
      <x:c r="AN389" s="1" t="n">
        <x:f>MAX(2,ROUNDUP('損益分岐設定'!C38*AJ389/('損益分岐設定'!$B$23*'損益分岐設定'!$B$24*3600*'損益分岐設定'!$B$25),0))</x:f>
        <x:v>2</x:v>
      </x:c>
      <x:c r="AO389" s="1" t="n">
        <x:f>MAX(2,ROUNDUP('損益分岐設定'!C39*AJ389/('損益分岐設定'!$B$23*'損益分岐設定'!$B$24*3600*'損益分岐設定'!$B$25),0))</x:f>
        <x:v>8</x:v>
      </x:c>
      <x:c r="AP389" s="1" t="n">
        <x:f>MAX(2,ROUNDUP('損益分岐設定'!C40*AJ389/('損益分岐設定'!$B$23*'損益分岐設定'!$B$24*3600*'損益分岐設定'!$B$25),0))</x:f>
        <x:v>15</x:v>
      </x:c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 ht="23" customHeight="1">
      <x:c r="A390" s="1" t="str">
        <x:v>VM</x:v>
      </x:c>
      <x:c r="B390" s="1" t="str">
        <x:v>Business</x:v>
      </x:c>
      <x:c r="C390" s="1" t="str">
        <x:v>高位</x:v>
      </x:c>
      <x:c r="D390" s="21" t="n">
        <x:v>0.3</x:v>
      </x:c>
      <x:c r="E390" s="1" t="n">
        <x:v>1</x:v>
      </x:c>
      <x:c r="F390" s="7" t="n">
        <x:f>AD390*'損益分岐設定'!$B$5+AE390*'損益分岐設定'!$B$6+AF390*'損益分岐設定'!$B$7</x:f>
        <x:v>5000</x:v>
      </x:c>
      <x:c r="G390" s="7" t="n">
        <x:f>AG390+0+AK390*'損益分岐設定'!$B$33</x:f>
        <x:v>9914.759435195923</x:v>
      </x:c>
      <x:c r="H390" s="7" t="n">
        <x:f>AL390*E390</x:f>
        <x:v>1466.6666666666665</x:v>
      </x:c>
      <x:c r="I390" s="7" t="n">
        <x:f>F390*(1-D390-'損益分岐設定'!$B$10)-G390-H390</x:f>
        <x:v>-8061.426101862589</x:v>
      </x:c>
      <x:c r="J390" s="1" t="str">
        <x:f>IF(MIN(V390:Y390)&gt;1000,"範囲内なし",MIN(V390:Y390))</x:f>
        <x:v>範囲内なし</x:v>
      </x:c>
      <x:c r="K390" s="1" t="str">
        <x:f>IF(MAX(Z390:AC390)&gt;=1000,"範囲内なし",MAX(1,MAX(Z390:AC390)+1))</x:f>
        <x:v>範囲内なし</x:v>
      </x:c>
      <x:c r="L390" s="7" t="n">
        <x:f>10*I390-R390</x:f>
        <x:v>-163373.44777984716</x:v>
      </x:c>
      <x:c r="M390" s="7" t="n">
        <x:f>30*I390-S390</x:f>
        <x:v>-386861.1565783202</x:v>
      </x:c>
      <x:c r="N390" s="7" t="n">
        <x:f>50*I390-S390</x:f>
        <x:v>-548089.6786155719</x:v>
      </x:c>
      <x:c r="O390" s="7" t="n">
        <x:f>100*I390-S390</x:f>
        <x:v>-951160.9837087014</x:v>
      </x:c>
      <x:c r="P390" s="7" t="n">
        <x:f>300*I390-T390</x:f>
        <x:v>-2658084.9842230515</x:v>
      </x:c>
      <x:c r="Q390" s="7" t="n">
        <x:f>1000*I390-U390</x:f>
        <x:v>-8443041.42573961</x:v>
      </x:c>
      <x:c r="R390" s="7" t="n">
        <x:f>'損益分岐設定'!$B$18+'損益分岐設定'!$B$19+'損益分岐設定'!$B$20+'損益分岐設定'!E37+('損益分岐設定'!F37+2*'損益分岐設定'!G37+AM390)*('損益分岐設定'!$B$15+'損益分岐設定'!$B$16)+'損益分岐設定'!$B$17+'損益分岐設定'!$B$21+E390*'損益分岐設定'!H37*'損益分岐設定'!$B$11</x:f>
        <x:v>82759.18676122127</x:v>
      </x:c>
      <x:c r="S390" s="7" t="n">
        <x:f>'損益分岐設定'!$B$18+'損益分岐設定'!$B$19+'損益分岐設定'!$B$20+'損益分岐設定'!E38+('損益分岐設定'!F38+2*'損益分岐設定'!G38+AN390)*('損益分岐設定'!$B$15+'損益分岐設定'!$B$16)+'損益分岐設定'!$B$17+'損益分岐設定'!$B$21+E390*'損益分岐設定'!H38*'損益分岐設定'!$B$11</x:f>
        <x:v>145018.37352244253</x:v>
      </x:c>
      <x:c r="T390" s="7" t="n">
        <x:f>'損益分岐設定'!$B$18+'損益分岐設定'!$B$19+'損益分岐設定'!$B$20+'損益分岐設定'!E39+('損益分岐設定'!F39+2*'損益分岐設定'!G39+AO390)*('損益分岐設定'!$B$15+'損益分岐設定'!$B$16)+'損益分岐設定'!$B$17+'損益分岐設定'!$B$21+E390*'損益分岐設定'!H39*'損益分岐設定'!$B$11</x:f>
        <x:v>239657.15366427446</x:v>
      </x:c>
      <x:c r="U390" s="7" t="n">
        <x:f>'損益分岐設定'!$B$18+'損益分岐設定'!$B$19+'損益分岐設定'!$B$20+'損益分岐設定'!E40+('損益分岐設定'!F40+2*'損益分岐設定'!G40+AP390)*('損益分岐設定'!$B$15+'損益分岐設定'!$B$16)+'損益分岐設定'!$B$17+'損益分岐設定'!$B$21+E390*'損益分岐設定'!H40*'損益分岐設定'!$B$11</x:f>
        <x:v>381615.3238770223</x:v>
      </x:c>
      <x:c r="V390" s="1" t="n">
        <x:f>IF(I390&lt;=0,1001,IF(MAX('損益分岐設定'!B37,ROUNDUP(R390/I390,0))&lt;='損益分岐設定'!C37,MAX('損益分岐設定'!B37,ROUNDUP(R390/I390,0)),1001))</x:f>
        <x:v>1001</x:v>
      </x:c>
      <x:c r="W390" s="1" t="n">
        <x:f>IF(I390&lt;=0,1001,IF(MAX('損益分岐設定'!B38,ROUNDUP(S390/I390,0))&lt;='損益分岐設定'!C38,MAX('損益分岐設定'!B38,ROUNDUP(S390/I390,0)),1001))</x:f>
        <x:v>1001</x:v>
      </x:c>
      <x:c r="X390" s="1" t="n">
        <x:f>IF(I390&lt;=0,1001,IF(MAX('損益分岐設定'!B39,ROUNDUP(T390/I390,0))&lt;='損益分岐設定'!C39,MAX('損益分岐設定'!B39,ROUNDUP(T390/I390,0)),1001))</x:f>
        <x:v>1001</x:v>
      </x:c>
      <x:c r="Y390" s="1" t="n">
        <x:f>IF(I390&lt;=0,1001,IF(MAX('損益分岐設定'!B40,ROUNDUP(U390/I390,0))&lt;='損益分岐設定'!C40,MAX('損益分岐設定'!B40,ROUNDUP(U390/I390,0)),1001))</x:f>
        <x:v>1001</x:v>
      </x:c>
      <x:c r="Z390" s="1" t="n">
        <x:f>IF(I390&lt;=0,'損益分岐設定'!C37,IF('損益分岐設定'!C37*I390-R390&lt;0,'損益分岐設定'!C37,IF('損益分岐設定'!B37*I390-R390&gt;=0,0,ROUNDUP(R390/I390,0)-1)))</x:f>
        <x:v>10</x:v>
      </x:c>
      <x:c r="AA390" s="1" t="n">
        <x:f>IF(I390&lt;=0,'損益分岐設定'!C38,IF('損益分岐設定'!C38*I390-S390&lt;0,'損益分岐設定'!C38,IF('損益分岐設定'!B38*I390-S390&gt;=0,0,ROUNDUP(S390/I390,0)-1)))</x:f>
        <x:v>100</x:v>
      </x:c>
      <x:c r="AB390" s="1" t="n">
        <x:f>IF(I390&lt;=0,'損益分岐設定'!C39,IF('損益分岐設定'!C39*I390-T390&lt;0,'損益分岐設定'!C39,IF('損益分岐設定'!B39*I390-T390&gt;=0,0,ROUNDUP(T390/I390,0)-1)))</x:f>
        <x:v>500</x:v>
      </x:c>
      <x:c r="AC390" s="1" t="n">
        <x:f>IF(I390&lt;=0,'損益分岐設定'!C40,IF('損益分岐設定'!C40*I390-U390&lt;0,'損益分岐設定'!C40,IF('損益分岐設定'!B40*I390-U390&gt;=0,0,ROUNDUP(U390/I390,0)-1)))</x:f>
        <x:v>1000</x:v>
      </x:c>
      <x:c r="AD390" s="1" t="n">
        <x:v>0</x:v>
      </x:c>
      <x:c r="AE390" s="1" t="n">
        <x:v>1</x:v>
      </x:c>
      <x:c r="AF390" s="1" t="n">
        <x:v>0</x:v>
      </x:c>
      <x:c r="AG390" s="1" t="n">
        <x:f>AD390*'損益分岐設定'!$C$58+AE390*'損益分岐設定'!$C$61+AF390*'損益分岐設定'!$C$64</x:f>
        <x:v>9914.705791015625</x:v>
      </x:c>
      <x:c r="AH390" s="1" t="n">
        <x:f>AD390*'損益分岐設定'!$D$58+AE390*'損益分岐設定'!$D$61+AF390*'損益分岐設定'!$D$64</x:f>
        <x:v>480</x:v>
      </x:c>
      <x:c r="AI390" s="1" t="n">
        <x:f>AD390*'損益分岐設定'!$E$58+AE390*'損益分岐設定'!$E$61+AF390*'損益分岐設定'!$E$64</x:f>
        <x:v>640</x:v>
      </x:c>
      <x:c r="AJ390" s="1" t="n">
        <x:f>(AD390*'損益分岐設定'!$F$58+AE390*'損益分岐設定'!$F$61+AF390*'損益分岐設定'!$F$64*1)*'損益分岐設定'!$B$22</x:f>
        <x:v>7200</x:v>
      </x:c>
      <x:c r="AK390" s="1" t="n">
        <x:f>AD390*'損益分岐設定'!$G$58+AE390*'損益分岐設定'!$G$61+AF390*'損益分岐設定'!$G$64</x:f>
        <x:v>4800</x:v>
      </x:c>
      <x:c r="AL390" s="1" t="n">
        <x:f>AD390*'損益分岐設定'!$H$58+AE390*'損益分岐設定'!$H$61+AF390*'損益分岐設定'!$H$64</x:f>
        <x:v>1466.6666666666665</x:v>
      </x:c>
      <x:c r="AM390" s="1" t="n">
        <x:f>MAX(1,ROUNDUP('損益分岐設定'!C37*AJ390/('損益分岐設定'!$B$23*'損益分岐設定'!$B$24*3600*'損益分岐設定'!$B$25),0))</x:f>
        <x:v>1</x:v>
      </x:c>
      <x:c r="AN390" s="1" t="n">
        <x:f>MAX(2,ROUNDUP('損益分岐設定'!C38*AJ390/('損益分岐設定'!$B$23*'損益分岐設定'!$B$24*3600*'損益分岐設定'!$B$25),0))</x:f>
        <x:v>2</x:v>
      </x:c>
      <x:c r="AO390" s="1" t="n">
        <x:f>MAX(2,ROUNDUP('損益分岐設定'!C39*AJ390/('損益分岐設定'!$B$23*'損益分岐設定'!$B$24*3600*'損益分岐設定'!$B$25),0))</x:f>
        <x:v>8</x:v>
      </x:c>
      <x:c r="AP390" s="1" t="n">
        <x:f>MAX(2,ROUNDUP('損益分岐設定'!C40*AJ390/('損益分岐設定'!$B$23*'損益分岐設定'!$B$24*3600*'損益分岐設定'!$B$25),0))</x:f>
        <x:v>15</x:v>
      </x:c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 ht="23" customHeight="1">
      <x:c r="A391" s="1" t="str">
        <x:v>VM</x:v>
      </x:c>
      <x:c r="B391" s="1" t="str">
        <x:v>Business</x:v>
      </x:c>
      <x:c r="C391" s="1" t="str">
        <x:v>高位</x:v>
      </x:c>
      <x:c r="D391" s="21" t="n">
        <x:v>0.4</x:v>
      </x:c>
      <x:c r="E391" s="1" t="n">
        <x:v>0</x:v>
      </x:c>
      <x:c r="F391" s="7" t="n">
        <x:f>AD391*'損益分岐設定'!$B$5+AE391*'損益分岐設定'!$B$6+AF391*'損益分岐設定'!$B$7</x:f>
        <x:v>5000</x:v>
      </x:c>
      <x:c r="G391" s="7" t="n">
        <x:f>AG391+0+AK391*'損益分岐設定'!$B$33</x:f>
        <x:v>9914.759435195923</x:v>
      </x:c>
      <x:c r="H391" s="7" t="n">
        <x:f>AL391*E391</x:f>
        <x:v>0</x:v>
      </x:c>
      <x:c r="I391" s="7" t="n">
        <x:f>F391*(1-D391-'損益分岐設定'!$B$10)-G391-H391</x:f>
        <x:v>-7094.759435195923</x:v>
      </x:c>
      <x:c r="J391" s="1" t="str">
        <x:f>IF(MIN(V391:Y391)&gt;1000,"範囲内なし",MIN(V391:Y391))</x:f>
        <x:v>範囲内なし</x:v>
      </x:c>
      <x:c r="K391" s="1" t="str">
        <x:f>IF(MAX(Z391:AC391)&gt;=1000,"範囲内なし",MAX(1,MAX(Z391:AC391)+1))</x:f>
        <x:v>範囲内なし</x:v>
      </x:c>
      <x:c r="L391" s="7" t="n">
        <x:f>10*I391-R391</x:f>
        <x:v>-121706.7811131805</x:v>
      </x:c>
      <x:c r="M391" s="7" t="n">
        <x:f>30*I391-S391</x:f>
        <x:v>-309861.15657832025</x:v>
      </x:c>
      <x:c r="N391" s="7" t="n">
        <x:f>50*I391-S391</x:f>
        <x:v>-451756.3452822387</x:v>
      </x:c>
      <x:c r="O391" s="7" t="n">
        <x:f>100*I391-S391</x:f>
        <x:v>-806494.3170420348</x:v>
      </x:c>
      <x:c r="P391" s="7" t="n">
        <x:f>300*I391-T391</x:f>
        <x:v>-2288084.9842230515</x:v>
      </x:c>
      <x:c r="Q391" s="7" t="n">
        <x:f>1000*I391-U391</x:f>
        <x:v>-7348374.759072945</x:v>
      </x:c>
      <x:c r="R391" s="7" t="n">
        <x:f>'損益分岐設定'!$B$18+'損益分岐設定'!$B$19+'損益分岐設定'!$B$20+'損益分岐設定'!E37+('損益分岐設定'!F37+2*'損益分岐設定'!G37+AM391)*('損益分岐設定'!$B$15+'損益分岐設定'!$B$16)+'損益分岐設定'!$B$17+'損益分岐設定'!$B$21+E391*'損益分岐設定'!H37*'損益分岐設定'!$B$11</x:f>
        <x:v>50759.18676122127</x:v>
      </x:c>
      <x:c r="S391" s="7" t="n">
        <x:f>'損益分岐設定'!$B$18+'損益分岐設定'!$B$19+'損益分岐設定'!$B$20+'損益分岐設定'!E38+('損益分岐設定'!F38+2*'損益分岐設定'!G38+AN391)*('損益分岐設定'!$B$15+'損益分岐設定'!$B$16)+'損益分岐設定'!$B$17+'損益分岐設定'!$B$21+E391*'損益分岐設定'!H38*'損益分岐設定'!$B$11</x:f>
        <x:v>97018.37352244255</x:v>
      </x:c>
      <x:c r="T391" s="7" t="n">
        <x:f>'損益分岐設定'!$B$18+'損益分岐設定'!$B$19+'損益分岐設定'!$B$20+'損益分岐設定'!E39+('損益分岐設定'!F39+2*'損益分岐設定'!G39+AO391)*('損益分岐設定'!$B$15+'損益分岐設定'!$B$16)+'損益分岐設定'!$B$17+'損益分岐設定'!$B$21+E391*'損益分岐設定'!H39*'損益分岐設定'!$B$11</x:f>
        <x:v>159657.15366427446</x:v>
      </x:c>
      <x:c r="U391" s="7" t="n">
        <x:f>'損益分岐設定'!$B$18+'損益分岐設定'!$B$19+'損益分岐設定'!$B$20+'損益分岐設定'!E40+('損益分岐設定'!F40+2*'損益分岐設定'!G40+AP391)*('損益分岐設定'!$B$15+'損益分岐設定'!$B$16)+'損益分岐設定'!$B$17+'損益分岐設定'!$B$21+E391*'損益分岐設定'!H40*'損益分岐設定'!$B$11</x:f>
        <x:v>253615.3238770223</x:v>
      </x:c>
      <x:c r="V391" s="1" t="n">
        <x:f>IF(I391&lt;=0,1001,IF(MAX('損益分岐設定'!B37,ROUNDUP(R391/I391,0))&lt;='損益分岐設定'!C37,MAX('損益分岐設定'!B37,ROUNDUP(R391/I391,0)),1001))</x:f>
        <x:v>1001</x:v>
      </x:c>
      <x:c r="W391" s="1" t="n">
        <x:f>IF(I391&lt;=0,1001,IF(MAX('損益分岐設定'!B38,ROUNDUP(S391/I391,0))&lt;='損益分岐設定'!C38,MAX('損益分岐設定'!B38,ROUNDUP(S391/I391,0)),1001))</x:f>
        <x:v>1001</x:v>
      </x:c>
      <x:c r="X391" s="1" t="n">
        <x:f>IF(I391&lt;=0,1001,IF(MAX('損益分岐設定'!B39,ROUNDUP(T391/I391,0))&lt;='損益分岐設定'!C39,MAX('損益分岐設定'!B39,ROUNDUP(T391/I391,0)),1001))</x:f>
        <x:v>1001</x:v>
      </x:c>
      <x:c r="Y391" s="1" t="n">
        <x:f>IF(I391&lt;=0,1001,IF(MAX('損益分岐設定'!B40,ROUNDUP(U391/I391,0))&lt;='損益分岐設定'!C40,MAX('損益分岐設定'!B40,ROUNDUP(U391/I391,0)),1001))</x:f>
        <x:v>1001</x:v>
      </x:c>
      <x:c r="Z391" s="1" t="n">
        <x:f>IF(I391&lt;=0,'損益分岐設定'!C37,IF('損益分岐設定'!C37*I391-R391&lt;0,'損益分岐設定'!C37,IF('損益分岐設定'!B37*I391-R391&gt;=0,0,ROUNDUP(R391/I391,0)-1)))</x:f>
        <x:v>10</x:v>
      </x:c>
      <x:c r="AA391" s="1" t="n">
        <x:f>IF(I391&lt;=0,'損益分岐設定'!C38,IF('損益分岐設定'!C38*I391-S391&lt;0,'損益分岐設定'!C38,IF('損益分岐設定'!B38*I391-S391&gt;=0,0,ROUNDUP(S391/I391,0)-1)))</x:f>
        <x:v>100</x:v>
      </x:c>
      <x:c r="AB391" s="1" t="n">
        <x:f>IF(I391&lt;=0,'損益分岐設定'!C39,IF('損益分岐設定'!C39*I391-T391&lt;0,'損益分岐設定'!C39,IF('損益分岐設定'!B39*I391-T391&gt;=0,0,ROUNDUP(T391/I391,0)-1)))</x:f>
        <x:v>500</x:v>
      </x:c>
      <x:c r="AC391" s="1" t="n">
        <x:f>IF(I391&lt;=0,'損益分岐設定'!C40,IF('損益分岐設定'!C40*I391-U391&lt;0,'損益分岐設定'!C40,IF('損益分岐設定'!B40*I391-U391&gt;=0,0,ROUNDUP(U391/I391,0)-1)))</x:f>
        <x:v>1000</x:v>
      </x:c>
      <x:c r="AD391" s="1" t="n">
        <x:v>0</x:v>
      </x:c>
      <x:c r="AE391" s="1" t="n">
        <x:v>1</x:v>
      </x:c>
      <x:c r="AF391" s="1" t="n">
        <x:v>0</x:v>
      </x:c>
      <x:c r="AG391" s="1" t="n">
        <x:f>AD391*'損益分岐設定'!$C$58+AE391*'損益分岐設定'!$C$61+AF391*'損益分岐設定'!$C$64</x:f>
        <x:v>9914.705791015625</x:v>
      </x:c>
      <x:c r="AH391" s="1" t="n">
        <x:f>AD391*'損益分岐設定'!$D$58+AE391*'損益分岐設定'!$D$61+AF391*'損益分岐設定'!$D$64</x:f>
        <x:v>480</x:v>
      </x:c>
      <x:c r="AI391" s="1" t="n">
        <x:f>AD391*'損益分岐設定'!$E$58+AE391*'損益分岐設定'!$E$61+AF391*'損益分岐設定'!$E$64</x:f>
        <x:v>640</x:v>
      </x:c>
      <x:c r="AJ391" s="1" t="n">
        <x:f>(AD391*'損益分岐設定'!$F$58+AE391*'損益分岐設定'!$F$61+AF391*'損益分岐設定'!$F$64*1)*'損益分岐設定'!$B$22</x:f>
        <x:v>7200</x:v>
      </x:c>
      <x:c r="AK391" s="1" t="n">
        <x:f>AD391*'損益分岐設定'!$G$58+AE391*'損益分岐設定'!$G$61+AF391*'損益分岐設定'!$G$64</x:f>
        <x:v>4800</x:v>
      </x:c>
      <x:c r="AL391" s="1" t="n">
        <x:f>AD391*'損益分岐設定'!$H$58+AE391*'損益分岐設定'!$H$61+AF391*'損益分岐設定'!$H$64</x:f>
        <x:v>1466.6666666666665</x:v>
      </x:c>
      <x:c r="AM391" s="1" t="n">
        <x:f>MAX(1,ROUNDUP('損益分岐設定'!C37*AJ391/('損益分岐設定'!$B$23*'損益分岐設定'!$B$24*3600*'損益分岐設定'!$B$25),0))</x:f>
        <x:v>1</x:v>
      </x:c>
      <x:c r="AN391" s="1" t="n">
        <x:f>MAX(2,ROUNDUP('損益分岐設定'!C38*AJ391/('損益分岐設定'!$B$23*'損益分岐設定'!$B$24*3600*'損益分岐設定'!$B$25),0))</x:f>
        <x:v>2</x:v>
      </x:c>
      <x:c r="AO391" s="1" t="n">
        <x:f>MAX(2,ROUNDUP('損益分岐設定'!C39*AJ391/('損益分岐設定'!$B$23*'損益分岐設定'!$B$24*3600*'損益分岐設定'!$B$25),0))</x:f>
        <x:v>8</x:v>
      </x:c>
      <x:c r="AP391" s="1" t="n">
        <x:f>MAX(2,ROUNDUP('損益分岐設定'!C40*AJ391/('損益分岐設定'!$B$23*'損益分岐設定'!$B$24*3600*'損益分岐設定'!$B$25),0))</x:f>
        <x:v>15</x:v>
      </x:c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 ht="23" customHeight="1">
      <x:c r="A392" s="1" t="str">
        <x:v>VM</x:v>
      </x:c>
      <x:c r="B392" s="1" t="str">
        <x:v>Business</x:v>
      </x:c>
      <x:c r="C392" s="1" t="str">
        <x:v>高位</x:v>
      </x:c>
      <x:c r="D392" s="21" t="n">
        <x:v>0.4</x:v>
      </x:c>
      <x:c r="E392" s="1" t="n">
        <x:v>1</x:v>
      </x:c>
      <x:c r="F392" s="7" t="n">
        <x:f>AD392*'損益分岐設定'!$B$5+AE392*'損益分岐設定'!$B$6+AF392*'損益分岐設定'!$B$7</x:f>
        <x:v>5000</x:v>
      </x:c>
      <x:c r="G392" s="7" t="n">
        <x:f>AG392+0+AK392*'損益分岐設定'!$B$33</x:f>
        <x:v>9914.759435195923</x:v>
      </x:c>
      <x:c r="H392" s="7" t="n">
        <x:f>AL392*E392</x:f>
        <x:v>1466.6666666666665</x:v>
      </x:c>
      <x:c r="I392" s="7" t="n">
        <x:f>F392*(1-D392-'損益分岐設定'!$B$10)-G392-H392</x:f>
        <x:v>-8561.42610186259</x:v>
      </x:c>
      <x:c r="J392" s="1" t="str">
        <x:f>IF(MIN(V392:Y392)&gt;1000,"範囲内なし",MIN(V392:Y392))</x:f>
        <x:v>範囲内なし</x:v>
      </x:c>
      <x:c r="K392" s="1" t="str">
        <x:f>IF(MAX(Z392:AC392)&gt;=1000,"範囲内なし",MAX(1,MAX(Z392:AC392)+1))</x:f>
        <x:v>範囲内なし</x:v>
      </x:c>
      <x:c r="L392" s="7" t="n">
        <x:f>10*I392-R392</x:f>
        <x:v>-168373.44777984716</x:v>
      </x:c>
      <x:c r="M392" s="7" t="n">
        <x:f>30*I392-S392</x:f>
        <x:v>-401861.1565783202</x:v>
      </x:c>
      <x:c r="N392" s="7" t="n">
        <x:f>50*I392-S392</x:f>
        <x:v>-573089.6786155719</x:v>
      </x:c>
      <x:c r="O392" s="7" t="n">
        <x:f>100*I392-S392</x:f>
        <x:v>-1001160.9837087014</x:v>
      </x:c>
      <x:c r="P392" s="7" t="n">
        <x:f>300*I392-T392</x:f>
        <x:v>-2808084.9842230515</x:v>
      </x:c>
      <x:c r="Q392" s="7" t="n">
        <x:f>1000*I392-U392</x:f>
        <x:v>-8943041.42573961</x:v>
      </x:c>
      <x:c r="R392" s="7" t="n">
        <x:f>'損益分岐設定'!$B$18+'損益分岐設定'!$B$19+'損益分岐設定'!$B$20+'損益分岐設定'!E37+('損益分岐設定'!F37+2*'損益分岐設定'!G37+AM392)*('損益分岐設定'!$B$15+'損益分岐設定'!$B$16)+'損益分岐設定'!$B$17+'損益分岐設定'!$B$21+E392*'損益分岐設定'!H37*'損益分岐設定'!$B$11</x:f>
        <x:v>82759.18676122127</x:v>
      </x:c>
      <x:c r="S392" s="7" t="n">
        <x:f>'損益分岐設定'!$B$18+'損益分岐設定'!$B$19+'損益分岐設定'!$B$20+'損益分岐設定'!E38+('損益分岐設定'!F38+2*'損益分岐設定'!G38+AN392)*('損益分岐設定'!$B$15+'損益分岐設定'!$B$16)+'損益分岐設定'!$B$17+'損益分岐設定'!$B$21+E392*'損益分岐設定'!H38*'損益分岐設定'!$B$11</x:f>
        <x:v>145018.37352244253</x:v>
      </x:c>
      <x:c r="T392" s="7" t="n">
        <x:f>'損益分岐設定'!$B$18+'損益分岐設定'!$B$19+'損益分岐設定'!$B$20+'損益分岐設定'!E39+('損益分岐設定'!F39+2*'損益分岐設定'!G39+AO392)*('損益分岐設定'!$B$15+'損益分岐設定'!$B$16)+'損益分岐設定'!$B$17+'損益分岐設定'!$B$21+E392*'損益分岐設定'!H39*'損益分岐設定'!$B$11</x:f>
        <x:v>239657.15366427446</x:v>
      </x:c>
      <x:c r="U392" s="7" t="n">
        <x:f>'損益分岐設定'!$B$18+'損益分岐設定'!$B$19+'損益分岐設定'!$B$20+'損益分岐設定'!E40+('損益分岐設定'!F40+2*'損益分岐設定'!G40+AP392)*('損益分岐設定'!$B$15+'損益分岐設定'!$B$16)+'損益分岐設定'!$B$17+'損益分岐設定'!$B$21+E392*'損益分岐設定'!H40*'損益分岐設定'!$B$11</x:f>
        <x:v>381615.3238770223</x:v>
      </x:c>
      <x:c r="V392" s="1" t="n">
        <x:f>IF(I392&lt;=0,1001,IF(MAX('損益分岐設定'!B37,ROUNDUP(R392/I392,0))&lt;='損益分岐設定'!C37,MAX('損益分岐設定'!B37,ROUNDUP(R392/I392,0)),1001))</x:f>
        <x:v>1001</x:v>
      </x:c>
      <x:c r="W392" s="1" t="n">
        <x:f>IF(I392&lt;=0,1001,IF(MAX('損益分岐設定'!B38,ROUNDUP(S392/I392,0))&lt;='損益分岐設定'!C38,MAX('損益分岐設定'!B38,ROUNDUP(S392/I392,0)),1001))</x:f>
        <x:v>1001</x:v>
      </x:c>
      <x:c r="X392" s="1" t="n">
        <x:f>IF(I392&lt;=0,1001,IF(MAX('損益分岐設定'!B39,ROUNDUP(T392/I392,0))&lt;='損益分岐設定'!C39,MAX('損益分岐設定'!B39,ROUNDUP(T392/I392,0)),1001))</x:f>
        <x:v>1001</x:v>
      </x:c>
      <x:c r="Y392" s="1" t="n">
        <x:f>IF(I392&lt;=0,1001,IF(MAX('損益分岐設定'!B40,ROUNDUP(U392/I392,0))&lt;='損益分岐設定'!C40,MAX('損益分岐設定'!B40,ROUNDUP(U392/I392,0)),1001))</x:f>
        <x:v>1001</x:v>
      </x:c>
      <x:c r="Z392" s="1" t="n">
        <x:f>IF(I392&lt;=0,'損益分岐設定'!C37,IF('損益分岐設定'!C37*I392-R392&lt;0,'損益分岐設定'!C37,IF('損益分岐設定'!B37*I392-R392&gt;=0,0,ROUNDUP(R392/I392,0)-1)))</x:f>
        <x:v>10</x:v>
      </x:c>
      <x:c r="AA392" s="1" t="n">
        <x:f>IF(I392&lt;=0,'損益分岐設定'!C38,IF('損益分岐設定'!C38*I392-S392&lt;0,'損益分岐設定'!C38,IF('損益分岐設定'!B38*I392-S392&gt;=0,0,ROUNDUP(S392/I392,0)-1)))</x:f>
        <x:v>100</x:v>
      </x:c>
      <x:c r="AB392" s="1" t="n">
        <x:f>IF(I392&lt;=0,'損益分岐設定'!C39,IF('損益分岐設定'!C39*I392-T392&lt;0,'損益分岐設定'!C39,IF('損益分岐設定'!B39*I392-T392&gt;=0,0,ROUNDUP(T392/I392,0)-1)))</x:f>
        <x:v>500</x:v>
      </x:c>
      <x:c r="AC392" s="1" t="n">
        <x:f>IF(I392&lt;=0,'損益分岐設定'!C40,IF('損益分岐設定'!C40*I392-U392&lt;0,'損益分岐設定'!C40,IF('損益分岐設定'!B40*I392-U392&gt;=0,0,ROUNDUP(U392/I392,0)-1)))</x:f>
        <x:v>1000</x:v>
      </x:c>
      <x:c r="AD392" s="1" t="n">
        <x:v>0</x:v>
      </x:c>
      <x:c r="AE392" s="1" t="n">
        <x:v>1</x:v>
      </x:c>
      <x:c r="AF392" s="1" t="n">
        <x:v>0</x:v>
      </x:c>
      <x:c r="AG392" s="1" t="n">
        <x:f>AD392*'損益分岐設定'!$C$58+AE392*'損益分岐設定'!$C$61+AF392*'損益分岐設定'!$C$64</x:f>
        <x:v>9914.705791015625</x:v>
      </x:c>
      <x:c r="AH392" s="1" t="n">
        <x:f>AD392*'損益分岐設定'!$D$58+AE392*'損益分岐設定'!$D$61+AF392*'損益分岐設定'!$D$64</x:f>
        <x:v>480</x:v>
      </x:c>
      <x:c r="AI392" s="1" t="n">
        <x:f>AD392*'損益分岐設定'!$E$58+AE392*'損益分岐設定'!$E$61+AF392*'損益分岐設定'!$E$64</x:f>
        <x:v>640</x:v>
      </x:c>
      <x:c r="AJ392" s="1" t="n">
        <x:f>(AD392*'損益分岐設定'!$F$58+AE392*'損益分岐設定'!$F$61+AF392*'損益分岐設定'!$F$64*1)*'損益分岐設定'!$B$22</x:f>
        <x:v>7200</x:v>
      </x:c>
      <x:c r="AK392" s="1" t="n">
        <x:f>AD392*'損益分岐設定'!$G$58+AE392*'損益分岐設定'!$G$61+AF392*'損益分岐設定'!$G$64</x:f>
        <x:v>4800</x:v>
      </x:c>
      <x:c r="AL392" s="1" t="n">
        <x:f>AD392*'損益分岐設定'!$H$58+AE392*'損益分岐設定'!$H$61+AF392*'損益分岐設定'!$H$64</x:f>
        <x:v>1466.6666666666665</x:v>
      </x:c>
      <x:c r="AM392" s="1" t="n">
        <x:f>MAX(1,ROUNDUP('損益分岐設定'!C37*AJ392/('損益分岐設定'!$B$23*'損益分岐設定'!$B$24*3600*'損益分岐設定'!$B$25),0))</x:f>
        <x:v>1</x:v>
      </x:c>
      <x:c r="AN392" s="1" t="n">
        <x:f>MAX(2,ROUNDUP('損益分岐設定'!C38*AJ392/('損益分岐設定'!$B$23*'損益分岐設定'!$B$24*3600*'損益分岐設定'!$B$25),0))</x:f>
        <x:v>2</x:v>
      </x:c>
      <x:c r="AO392" s="1" t="n">
        <x:f>MAX(2,ROUNDUP('損益分岐設定'!C39*AJ392/('損益分岐設定'!$B$23*'損益分岐設定'!$B$24*3600*'損益分岐設定'!$B$25),0))</x:f>
        <x:v>8</x:v>
      </x:c>
      <x:c r="AP392" s="1" t="n">
        <x:f>MAX(2,ROUNDUP('損益分岐設定'!C40*AJ392/('損益分岐設定'!$B$23*'損益分岐設定'!$B$24*3600*'損益分岐設定'!$B$25),0))</x:f>
        <x:v>15</x:v>
      </x:c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 ht="23" customHeight="1">
      <x:c r="A393" s="1" t="str">
        <x:v>VM</x:v>
      </x:c>
      <x:c r="B393" s="1" t="str">
        <x:v>Business</x:v>
      </x:c>
      <x:c r="C393" s="1" t="str">
        <x:v>高位</x:v>
      </x:c>
      <x:c r="D393" s="21" t="n">
        <x:v>0.5</x:v>
      </x:c>
      <x:c r="E393" s="1" t="n">
        <x:v>0</x:v>
      </x:c>
      <x:c r="F393" s="7" t="n">
        <x:f>AD393*'損益分岐設定'!$B$5+AE393*'損益分岐設定'!$B$6+AF393*'損益分岐設定'!$B$7</x:f>
        <x:v>5000</x:v>
      </x:c>
      <x:c r="G393" s="7" t="n">
        <x:f>AG393+0+AK393*'損益分岐設定'!$B$33</x:f>
        <x:v>9914.759435195923</x:v>
      </x:c>
      <x:c r="H393" s="7" t="n">
        <x:f>AL393*E393</x:f>
        <x:v>0</x:v>
      </x:c>
      <x:c r="I393" s="7" t="n">
        <x:f>F393*(1-D393-'損益分岐設定'!$B$10)-G393-H393</x:f>
        <x:v>-7594.759435195923</x:v>
      </x:c>
      <x:c r="J393" s="1" t="str">
        <x:f>IF(MIN(V393:Y393)&gt;1000,"範囲内なし",MIN(V393:Y393))</x:f>
        <x:v>範囲内なし</x:v>
      </x:c>
      <x:c r="K393" s="1" t="str">
        <x:f>IF(MAX(Z393:AC393)&gt;=1000,"範囲内なし",MAX(1,MAX(Z393:AC393)+1))</x:f>
        <x:v>範囲内なし</x:v>
      </x:c>
      <x:c r="L393" s="7" t="n">
        <x:f>10*I393-R393</x:f>
        <x:v>-126706.7811131805</x:v>
      </x:c>
      <x:c r="M393" s="7" t="n">
        <x:f>30*I393-S393</x:f>
        <x:v>-324861.15657832025</x:v>
      </x:c>
      <x:c r="N393" s="7" t="n">
        <x:f>50*I393-S393</x:f>
        <x:v>-476756.3452822387</x:v>
      </x:c>
      <x:c r="O393" s="7" t="n">
        <x:f>100*I393-S393</x:f>
        <x:v>-856494.3170420348</x:v>
      </x:c>
      <x:c r="P393" s="7" t="n">
        <x:f>300*I393-T393</x:f>
        <x:v>-2438084.9842230515</x:v>
      </x:c>
      <x:c r="Q393" s="7" t="n">
        <x:f>1000*I393-U393</x:f>
        <x:v>-7848374.759072945</x:v>
      </x:c>
      <x:c r="R393" s="7" t="n">
        <x:f>'損益分岐設定'!$B$18+'損益分岐設定'!$B$19+'損益分岐設定'!$B$20+'損益分岐設定'!E37+('損益分岐設定'!F37+2*'損益分岐設定'!G37+AM393)*('損益分岐設定'!$B$15+'損益分岐設定'!$B$16)+'損益分岐設定'!$B$17+'損益分岐設定'!$B$21+E393*'損益分岐設定'!H37*'損益分岐設定'!$B$11</x:f>
        <x:v>50759.18676122127</x:v>
      </x:c>
      <x:c r="S393" s="7" t="n">
        <x:f>'損益分岐設定'!$B$18+'損益分岐設定'!$B$19+'損益分岐設定'!$B$20+'損益分岐設定'!E38+('損益分岐設定'!F38+2*'損益分岐設定'!G38+AN393)*('損益分岐設定'!$B$15+'損益分岐設定'!$B$16)+'損益分岐設定'!$B$17+'損益分岐設定'!$B$21+E393*'損益分岐設定'!H38*'損益分岐設定'!$B$11</x:f>
        <x:v>97018.37352244255</x:v>
      </x:c>
      <x:c r="T393" s="7" t="n">
        <x:f>'損益分岐設定'!$B$18+'損益分岐設定'!$B$19+'損益分岐設定'!$B$20+'損益分岐設定'!E39+('損益分岐設定'!F39+2*'損益分岐設定'!G39+AO393)*('損益分岐設定'!$B$15+'損益分岐設定'!$B$16)+'損益分岐設定'!$B$17+'損益分岐設定'!$B$21+E393*'損益分岐設定'!H39*'損益分岐設定'!$B$11</x:f>
        <x:v>159657.15366427446</x:v>
      </x:c>
      <x:c r="U393" s="7" t="n">
        <x:f>'損益分岐設定'!$B$18+'損益分岐設定'!$B$19+'損益分岐設定'!$B$20+'損益分岐設定'!E40+('損益分岐設定'!F40+2*'損益分岐設定'!G40+AP393)*('損益分岐設定'!$B$15+'損益分岐設定'!$B$16)+'損益分岐設定'!$B$17+'損益分岐設定'!$B$21+E393*'損益分岐設定'!H40*'損益分岐設定'!$B$11</x:f>
        <x:v>253615.3238770223</x:v>
      </x:c>
      <x:c r="V393" s="1" t="n">
        <x:f>IF(I393&lt;=0,1001,IF(MAX('損益分岐設定'!B37,ROUNDUP(R393/I393,0))&lt;='損益分岐設定'!C37,MAX('損益分岐設定'!B37,ROUNDUP(R393/I393,0)),1001))</x:f>
        <x:v>1001</x:v>
      </x:c>
      <x:c r="W393" s="1" t="n">
        <x:f>IF(I393&lt;=0,1001,IF(MAX('損益分岐設定'!B38,ROUNDUP(S393/I393,0))&lt;='損益分岐設定'!C38,MAX('損益分岐設定'!B38,ROUNDUP(S393/I393,0)),1001))</x:f>
        <x:v>1001</x:v>
      </x:c>
      <x:c r="X393" s="1" t="n">
        <x:f>IF(I393&lt;=0,1001,IF(MAX('損益分岐設定'!B39,ROUNDUP(T393/I393,0))&lt;='損益分岐設定'!C39,MAX('損益分岐設定'!B39,ROUNDUP(T393/I393,0)),1001))</x:f>
        <x:v>1001</x:v>
      </x:c>
      <x:c r="Y393" s="1" t="n">
        <x:f>IF(I393&lt;=0,1001,IF(MAX('損益分岐設定'!B40,ROUNDUP(U393/I393,0))&lt;='損益分岐設定'!C40,MAX('損益分岐設定'!B40,ROUNDUP(U393/I393,0)),1001))</x:f>
        <x:v>1001</x:v>
      </x:c>
      <x:c r="Z393" s="1" t="n">
        <x:f>IF(I393&lt;=0,'損益分岐設定'!C37,IF('損益分岐設定'!C37*I393-R393&lt;0,'損益分岐設定'!C37,IF('損益分岐設定'!B37*I393-R393&gt;=0,0,ROUNDUP(R393/I393,0)-1)))</x:f>
        <x:v>10</x:v>
      </x:c>
      <x:c r="AA393" s="1" t="n">
        <x:f>IF(I393&lt;=0,'損益分岐設定'!C38,IF('損益分岐設定'!C38*I393-S393&lt;0,'損益分岐設定'!C38,IF('損益分岐設定'!B38*I393-S393&gt;=0,0,ROUNDUP(S393/I393,0)-1)))</x:f>
        <x:v>100</x:v>
      </x:c>
      <x:c r="AB393" s="1" t="n">
        <x:f>IF(I393&lt;=0,'損益分岐設定'!C39,IF('損益分岐設定'!C39*I393-T393&lt;0,'損益分岐設定'!C39,IF('損益分岐設定'!B39*I393-T393&gt;=0,0,ROUNDUP(T393/I393,0)-1)))</x:f>
        <x:v>500</x:v>
      </x:c>
      <x:c r="AC393" s="1" t="n">
        <x:f>IF(I393&lt;=0,'損益分岐設定'!C40,IF('損益分岐設定'!C40*I393-U393&lt;0,'損益分岐設定'!C40,IF('損益分岐設定'!B40*I393-U393&gt;=0,0,ROUNDUP(U393/I393,0)-1)))</x:f>
        <x:v>1000</x:v>
      </x:c>
      <x:c r="AD393" s="1" t="n">
        <x:v>0</x:v>
      </x:c>
      <x:c r="AE393" s="1" t="n">
        <x:v>1</x:v>
      </x:c>
      <x:c r="AF393" s="1" t="n">
        <x:v>0</x:v>
      </x:c>
      <x:c r="AG393" s="1" t="n">
        <x:f>AD393*'損益分岐設定'!$C$58+AE393*'損益分岐設定'!$C$61+AF393*'損益分岐設定'!$C$64</x:f>
        <x:v>9914.705791015625</x:v>
      </x:c>
      <x:c r="AH393" s="1" t="n">
        <x:f>AD393*'損益分岐設定'!$D$58+AE393*'損益分岐設定'!$D$61+AF393*'損益分岐設定'!$D$64</x:f>
        <x:v>480</x:v>
      </x:c>
      <x:c r="AI393" s="1" t="n">
        <x:f>AD393*'損益分岐設定'!$E$58+AE393*'損益分岐設定'!$E$61+AF393*'損益分岐設定'!$E$64</x:f>
        <x:v>640</x:v>
      </x:c>
      <x:c r="AJ393" s="1" t="n">
        <x:f>(AD393*'損益分岐設定'!$F$58+AE393*'損益分岐設定'!$F$61+AF393*'損益分岐設定'!$F$64*1)*'損益分岐設定'!$B$22</x:f>
        <x:v>7200</x:v>
      </x:c>
      <x:c r="AK393" s="1" t="n">
        <x:f>AD393*'損益分岐設定'!$G$58+AE393*'損益分岐設定'!$G$61+AF393*'損益分岐設定'!$G$64</x:f>
        <x:v>4800</x:v>
      </x:c>
      <x:c r="AL393" s="1" t="n">
        <x:f>AD393*'損益分岐設定'!$H$58+AE393*'損益分岐設定'!$H$61+AF393*'損益分岐設定'!$H$64</x:f>
        <x:v>1466.6666666666665</x:v>
      </x:c>
      <x:c r="AM393" s="1" t="n">
        <x:f>MAX(1,ROUNDUP('損益分岐設定'!C37*AJ393/('損益分岐設定'!$B$23*'損益分岐設定'!$B$24*3600*'損益分岐設定'!$B$25),0))</x:f>
        <x:v>1</x:v>
      </x:c>
      <x:c r="AN393" s="1" t="n">
        <x:f>MAX(2,ROUNDUP('損益分岐設定'!C38*AJ393/('損益分岐設定'!$B$23*'損益分岐設定'!$B$24*3600*'損益分岐設定'!$B$25),0))</x:f>
        <x:v>2</x:v>
      </x:c>
      <x:c r="AO393" s="1" t="n">
        <x:f>MAX(2,ROUNDUP('損益分岐設定'!C39*AJ393/('損益分岐設定'!$B$23*'損益分岐設定'!$B$24*3600*'損益分岐設定'!$B$25),0))</x:f>
        <x:v>8</x:v>
      </x:c>
      <x:c r="AP393" s="1" t="n">
        <x:f>MAX(2,ROUNDUP('損益分岐設定'!C40*AJ393/('損益分岐設定'!$B$23*'損益分岐設定'!$B$24*3600*'損益分岐設定'!$B$25),0))</x:f>
        <x:v>15</x:v>
      </x:c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 ht="23" customHeight="1">
      <x:c r="A394" s="1" t="str">
        <x:v>VM</x:v>
      </x:c>
      <x:c r="B394" s="1" t="str">
        <x:v>Business</x:v>
      </x:c>
      <x:c r="C394" s="1" t="str">
        <x:v>高位</x:v>
      </x:c>
      <x:c r="D394" s="21" t="n">
        <x:v>0.5</x:v>
      </x:c>
      <x:c r="E394" s="1" t="n">
        <x:v>1</x:v>
      </x:c>
      <x:c r="F394" s="7" t="n">
        <x:f>AD394*'損益分岐設定'!$B$5+AE394*'損益分岐設定'!$B$6+AF394*'損益分岐設定'!$B$7</x:f>
        <x:v>5000</x:v>
      </x:c>
      <x:c r="G394" s="7" t="n">
        <x:f>AG394+0+AK394*'損益分岐設定'!$B$33</x:f>
        <x:v>9914.759435195923</x:v>
      </x:c>
      <x:c r="H394" s="7" t="n">
        <x:f>AL394*E394</x:f>
        <x:v>1466.6666666666665</x:v>
      </x:c>
      <x:c r="I394" s="7" t="n">
        <x:f>F394*(1-D394-'損益分岐設定'!$B$10)-G394-H394</x:f>
        <x:v>-9061.42610186259</x:v>
      </x:c>
      <x:c r="J394" s="1" t="str">
        <x:f>IF(MIN(V394:Y394)&gt;1000,"範囲内なし",MIN(V394:Y394))</x:f>
        <x:v>範囲内なし</x:v>
      </x:c>
      <x:c r="K394" s="1" t="str">
        <x:f>IF(MAX(Z394:AC394)&gt;=1000,"範囲内なし",MAX(1,MAX(Z394:AC394)+1))</x:f>
        <x:v>範囲内なし</x:v>
      </x:c>
      <x:c r="L394" s="7" t="n">
        <x:f>10*I394-R394</x:f>
        <x:v>-173373.44777984716</x:v>
      </x:c>
      <x:c r="M394" s="7" t="n">
        <x:f>30*I394-S394</x:f>
        <x:v>-416861.1565783202</x:v>
      </x:c>
      <x:c r="N394" s="7" t="n">
        <x:f>50*I394-S394</x:f>
        <x:v>-598089.6786155719</x:v>
      </x:c>
      <x:c r="O394" s="7" t="n">
        <x:f>100*I394-S394</x:f>
        <x:v>-1051160.9837087016</x:v>
      </x:c>
      <x:c r="P394" s="7" t="n">
        <x:f>300*I394-T394</x:f>
        <x:v>-2958084.9842230515</x:v>
      </x:c>
      <x:c r="Q394" s="7" t="n">
        <x:f>1000*I394-U394</x:f>
        <x:v>-9443041.42573961</x:v>
      </x:c>
      <x:c r="R394" s="7" t="n">
        <x:f>'損益分岐設定'!$B$18+'損益分岐設定'!$B$19+'損益分岐設定'!$B$20+'損益分岐設定'!E37+('損益分岐設定'!F37+2*'損益分岐設定'!G37+AM394)*('損益分岐設定'!$B$15+'損益分岐設定'!$B$16)+'損益分岐設定'!$B$17+'損益分岐設定'!$B$21+E394*'損益分岐設定'!H37*'損益分岐設定'!$B$11</x:f>
        <x:v>82759.18676122127</x:v>
      </x:c>
      <x:c r="S394" s="7" t="n">
        <x:f>'損益分岐設定'!$B$18+'損益分岐設定'!$B$19+'損益分岐設定'!$B$20+'損益分岐設定'!E38+('損益分岐設定'!F38+2*'損益分岐設定'!G38+AN394)*('損益分岐設定'!$B$15+'損益分岐設定'!$B$16)+'損益分岐設定'!$B$17+'損益分岐設定'!$B$21+E394*'損益分岐設定'!H38*'損益分岐設定'!$B$11</x:f>
        <x:v>145018.37352244253</x:v>
      </x:c>
      <x:c r="T394" s="7" t="n">
        <x:f>'損益分岐設定'!$B$18+'損益分岐設定'!$B$19+'損益分岐設定'!$B$20+'損益分岐設定'!E39+('損益分岐設定'!F39+2*'損益分岐設定'!G39+AO394)*('損益分岐設定'!$B$15+'損益分岐設定'!$B$16)+'損益分岐設定'!$B$17+'損益分岐設定'!$B$21+E394*'損益分岐設定'!H39*'損益分岐設定'!$B$11</x:f>
        <x:v>239657.15366427446</x:v>
      </x:c>
      <x:c r="U394" s="7" t="n">
        <x:f>'損益分岐設定'!$B$18+'損益分岐設定'!$B$19+'損益分岐設定'!$B$20+'損益分岐設定'!E40+('損益分岐設定'!F40+2*'損益分岐設定'!G40+AP394)*('損益分岐設定'!$B$15+'損益分岐設定'!$B$16)+'損益分岐設定'!$B$17+'損益分岐設定'!$B$21+E394*'損益分岐設定'!H40*'損益分岐設定'!$B$11</x:f>
        <x:v>381615.3238770223</x:v>
      </x:c>
      <x:c r="V394" s="1" t="n">
        <x:f>IF(I394&lt;=0,1001,IF(MAX('損益分岐設定'!B37,ROUNDUP(R394/I394,0))&lt;='損益分岐設定'!C37,MAX('損益分岐設定'!B37,ROUNDUP(R394/I394,0)),1001))</x:f>
        <x:v>1001</x:v>
      </x:c>
      <x:c r="W394" s="1" t="n">
        <x:f>IF(I394&lt;=0,1001,IF(MAX('損益分岐設定'!B38,ROUNDUP(S394/I394,0))&lt;='損益分岐設定'!C38,MAX('損益分岐設定'!B38,ROUNDUP(S394/I394,0)),1001))</x:f>
        <x:v>1001</x:v>
      </x:c>
      <x:c r="X394" s="1" t="n">
        <x:f>IF(I394&lt;=0,1001,IF(MAX('損益分岐設定'!B39,ROUNDUP(T394/I394,0))&lt;='損益分岐設定'!C39,MAX('損益分岐設定'!B39,ROUNDUP(T394/I394,0)),1001))</x:f>
        <x:v>1001</x:v>
      </x:c>
      <x:c r="Y394" s="1" t="n">
        <x:f>IF(I394&lt;=0,1001,IF(MAX('損益分岐設定'!B40,ROUNDUP(U394/I394,0))&lt;='損益分岐設定'!C40,MAX('損益分岐設定'!B40,ROUNDUP(U394/I394,0)),1001))</x:f>
        <x:v>1001</x:v>
      </x:c>
      <x:c r="Z394" s="1" t="n">
        <x:f>IF(I394&lt;=0,'損益分岐設定'!C37,IF('損益分岐設定'!C37*I394-R394&lt;0,'損益分岐設定'!C37,IF('損益分岐設定'!B37*I394-R394&gt;=0,0,ROUNDUP(R394/I394,0)-1)))</x:f>
        <x:v>10</x:v>
      </x:c>
      <x:c r="AA394" s="1" t="n">
        <x:f>IF(I394&lt;=0,'損益分岐設定'!C38,IF('損益分岐設定'!C38*I394-S394&lt;0,'損益分岐設定'!C38,IF('損益分岐設定'!B38*I394-S394&gt;=0,0,ROUNDUP(S394/I394,0)-1)))</x:f>
        <x:v>100</x:v>
      </x:c>
      <x:c r="AB394" s="1" t="n">
        <x:f>IF(I394&lt;=0,'損益分岐設定'!C39,IF('損益分岐設定'!C39*I394-T394&lt;0,'損益分岐設定'!C39,IF('損益分岐設定'!B39*I394-T394&gt;=0,0,ROUNDUP(T394/I394,0)-1)))</x:f>
        <x:v>500</x:v>
      </x:c>
      <x:c r="AC394" s="1" t="n">
        <x:f>IF(I394&lt;=0,'損益分岐設定'!C40,IF('損益分岐設定'!C40*I394-U394&lt;0,'損益分岐設定'!C40,IF('損益分岐設定'!B40*I394-U394&gt;=0,0,ROUNDUP(U394/I394,0)-1)))</x:f>
        <x:v>1000</x:v>
      </x:c>
      <x:c r="AD394" s="1" t="n">
        <x:v>0</x:v>
      </x:c>
      <x:c r="AE394" s="1" t="n">
        <x:v>1</x:v>
      </x:c>
      <x:c r="AF394" s="1" t="n">
        <x:v>0</x:v>
      </x:c>
      <x:c r="AG394" s="1" t="n">
        <x:f>AD394*'損益分岐設定'!$C$58+AE394*'損益分岐設定'!$C$61+AF394*'損益分岐設定'!$C$64</x:f>
        <x:v>9914.705791015625</x:v>
      </x:c>
      <x:c r="AH394" s="1" t="n">
        <x:f>AD394*'損益分岐設定'!$D$58+AE394*'損益分岐設定'!$D$61+AF394*'損益分岐設定'!$D$64</x:f>
        <x:v>480</x:v>
      </x:c>
      <x:c r="AI394" s="1" t="n">
        <x:f>AD394*'損益分岐設定'!$E$58+AE394*'損益分岐設定'!$E$61+AF394*'損益分岐設定'!$E$64</x:f>
        <x:v>640</x:v>
      </x:c>
      <x:c r="AJ394" s="1" t="n">
        <x:f>(AD394*'損益分岐設定'!$F$58+AE394*'損益分岐設定'!$F$61+AF394*'損益分岐設定'!$F$64*1)*'損益分岐設定'!$B$22</x:f>
        <x:v>7200</x:v>
      </x:c>
      <x:c r="AK394" s="1" t="n">
        <x:f>AD394*'損益分岐設定'!$G$58+AE394*'損益分岐設定'!$G$61+AF394*'損益分岐設定'!$G$64</x:f>
        <x:v>4800</x:v>
      </x:c>
      <x:c r="AL394" s="1" t="n">
        <x:f>AD394*'損益分岐設定'!$H$58+AE394*'損益分岐設定'!$H$61+AF394*'損益分岐設定'!$H$64</x:f>
        <x:v>1466.6666666666665</x:v>
      </x:c>
      <x:c r="AM394" s="1" t="n">
        <x:f>MAX(1,ROUNDUP('損益分岐設定'!C37*AJ394/('損益分岐設定'!$B$23*'損益分岐設定'!$B$24*3600*'損益分岐設定'!$B$25),0))</x:f>
        <x:v>1</x:v>
      </x:c>
      <x:c r="AN394" s="1" t="n">
        <x:f>MAX(2,ROUNDUP('損益分岐設定'!C38*AJ394/('損益分岐設定'!$B$23*'損益分岐設定'!$B$24*3600*'損益分岐設定'!$B$25),0))</x:f>
        <x:v>2</x:v>
      </x:c>
      <x:c r="AO394" s="1" t="n">
        <x:f>MAX(2,ROUNDUP('損益分岐設定'!C39*AJ394/('損益分岐設定'!$B$23*'損益分岐設定'!$B$24*3600*'損益分岐設定'!$B$25),0))</x:f>
        <x:v>8</x:v>
      </x:c>
      <x:c r="AP394" s="1" t="n">
        <x:f>MAX(2,ROUNDUP('損益分岐設定'!C40*AJ394/('損益分岐設定'!$B$23*'損益分岐設定'!$B$24*3600*'損益分岐設定'!$B$25),0))</x:f>
        <x:v>15</x:v>
      </x:c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 ht="23" customHeight="1">
      <x:c r="A395" s="1" t="str">
        <x:v>VM</x:v>
      </x:c>
      <x:c r="B395" s="1" t="str">
        <x:v>Business</x:v>
      </x:c>
      <x:c r="C395" s="1" t="str">
        <x:v>標準+高位混在</x:v>
      </x:c>
      <x:c r="D395" s="21" t="n">
        <x:v>0</x:v>
      </x:c>
      <x:c r="E395" s="1" t="n">
        <x:v>0</x:v>
      </x:c>
      <x:c r="F395" s="7" t="n">
        <x:f>AD395*'損益分岐設定'!$B$5+AE395*'損益分岐設定'!$B$6+AF395*'損益分岐設定'!$B$7</x:f>
        <x:v>5000</x:v>
      </x:c>
      <x:c r="G395" s="7" t="n">
        <x:f>AG395+0+AK395*'損益分岐設定'!$B$33</x:f>
        <x:v>2336.226697799683</x:v>
      </x:c>
      <x:c r="H395" s="7" t="n">
        <x:f>AL395*E395</x:f>
        <x:v>0</x:v>
      </x:c>
      <x:c r="I395" s="7" t="n">
        <x:f>F395*(1-D395-'損益分岐設定'!$B$10)-G395-H395</x:f>
        <x:v>2483.773302200317</x:v>
      </x:c>
      <x:c r="J395" s="1" t="n">
        <x:f>IF(MIN(V395:Y395)&gt;1000,"範囲内なし",MIN(V395:Y395))</x:f>
        <x:v>40</x:v>
      </x:c>
      <x:c r="K395" s="1" t="n">
        <x:f>IF(MAX(Z395:AC395)&gt;=1000,"範囲内なし",MAX(1,MAX(Z395:AC395)+1))</x:f>
        <x:v>40</x:v>
      </x:c>
      <x:c r="L395" s="7" t="n">
        <x:f>10*I395-R395</x:f>
        <x:v>-25921.4537392181</x:v>
      </x:c>
      <x:c r="M395" s="7" t="n">
        <x:f>30*I395-S395</x:f>
        <x:v>-22505.17445643303</x:v>
      </x:c>
      <x:c r="N395" s="7" t="n">
        <x:f>50*I395-S395</x:f>
        <x:v>27170.291587573316</x:v>
      </x:c>
      <x:c r="O395" s="7" t="n">
        <x:f>100*I395-S395</x:f>
        <x:v>151358.9566975892</x:v>
      </x:c>
      <x:c r="P395" s="7" t="n">
        <x:f>300*I395-T395</x:f>
        <x:v>648113.6171376526</x:v>
      </x:c>
      <x:c r="Q395" s="7" t="n">
        <x:f>1000*I395-U395</x:f>
        <x:v>2344995.7419166537</x:v>
      </x:c>
      <x:c r="R395" s="7" t="n">
        <x:f>'損益分岐設定'!$B$18+'損益分岐設定'!$B$19+'損益分岐設定'!$B$20+'損益分岐設定'!E37+('損益分岐設定'!F37+2*'損益分岐設定'!G37+AM395)*('損益分岐設定'!$B$15+'損益分岐設定'!$B$16)+'損益分岐設定'!$B$17+'損益分岐設定'!$B$21+E395*'損益分岐設定'!H37*'損益分岐設定'!$B$11</x:f>
        <x:v>50759.18676122127</x:v>
      </x:c>
      <x:c r="S395" s="7" t="n">
        <x:f>'損益分岐設定'!$B$18+'損益分岐設定'!$B$19+'損益分岐設定'!$B$20+'損益分岐設定'!E38+('損益分岐設定'!F38+2*'損益分岐設定'!G38+AN395)*('損益分岐設定'!$B$15+'損益分岐設定'!$B$16)+'損益分岐設定'!$B$17+'損益分岐設定'!$B$21+E395*'損益分岐設定'!H38*'損益分岐設定'!$B$11</x:f>
        <x:v>97018.37352244255</x:v>
      </x:c>
      <x:c r="T395" s="7" t="n">
        <x:f>'損益分岐設定'!$B$18+'損益分岐設定'!$B$19+'損益分岐設定'!$B$20+'損益分岐設定'!E39+('損益分岐設定'!F39+2*'損益分岐設定'!G39+AO395)*('損益分岐設定'!$B$15+'損益分岐設定'!$B$16)+'損益分岐設定'!$B$17+'損益分岐設定'!$B$21+E395*'損益分岐設定'!H39*'損益分岐設定'!$B$11</x:f>
        <x:v>97018.37352244255</x:v>
      </x:c>
      <x:c r="U395" s="7" t="n">
        <x:f>'損益分岐設定'!$B$18+'損益分岐設定'!$B$19+'損益分岐設定'!$B$20+'損益分岐設定'!E40+('損益分岐設定'!F40+2*'損益分岐設定'!G40+AP395)*('損益分岐設定'!$B$15+'損益分岐設定'!$B$16)+'損益分岐設定'!$B$17+'損益分岐設定'!$B$21+E395*'損益分岐設定'!H40*'損益分岐設定'!$B$11</x:f>
        <x:v>138777.56028366383</x:v>
      </x:c>
      <x:c r="V395" s="1" t="n">
        <x:f>IF(I395&lt;=0,1001,IF(MAX('損益分岐設定'!B37,ROUNDUP(R395/I395,0))&lt;='損益分岐設定'!C37,MAX('損益分岐設定'!B37,ROUNDUP(R395/I395,0)),1001))</x:f>
        <x:v>1001</x:v>
      </x:c>
      <x:c r="W395" s="1" t="n">
        <x:f>IF(I395&lt;=0,1001,IF(MAX('損益分岐設定'!B38,ROUNDUP(S395/I395,0))&lt;='損益分岐設定'!C38,MAX('損益分岐設定'!B38,ROUNDUP(S395/I395,0)),1001))</x:f>
        <x:v>40</x:v>
      </x:c>
      <x:c r="X395" s="1" t="n">
        <x:f>IF(I395&lt;=0,1001,IF(MAX('損益分岐設定'!B39,ROUNDUP(T395/I395,0))&lt;='損益分岐設定'!C39,MAX('損益分岐設定'!B39,ROUNDUP(T395/I395,0)),1001))</x:f>
        <x:v>101</x:v>
      </x:c>
      <x:c r="Y395" s="1" t="n">
        <x:f>IF(I395&lt;=0,1001,IF(MAX('損益分岐設定'!B40,ROUNDUP(U395/I395,0))&lt;='損益分岐設定'!C40,MAX('損益分岐設定'!B40,ROUNDUP(U395/I395,0)),1001))</x:f>
        <x:v>501</x:v>
      </x:c>
      <x:c r="Z395" s="1" t="n">
        <x:f>IF(I395&lt;=0,'損益分岐設定'!C37,IF('損益分岐設定'!C37*I395-R395&lt;0,'損益分岐設定'!C37,IF('損益分岐設定'!B37*I395-R395&gt;=0,0,ROUNDUP(R395/I395,0)-1)))</x:f>
        <x:v>10</x:v>
      </x:c>
      <x:c r="AA395" s="1" t="n">
        <x:f>IF(I395&lt;=0,'損益分岐設定'!C38,IF('損益分岐設定'!C38*I395-S395&lt;0,'損益分岐設定'!C38,IF('損益分岐設定'!B38*I395-S395&gt;=0,0,ROUNDUP(S395/I395,0)-1)))</x:f>
        <x:v>39</x:v>
      </x:c>
      <x:c r="AB395" s="1" t="n">
        <x:f>IF(I395&lt;=0,'損益分岐設定'!C39,IF('損益分岐設定'!C39*I395-T395&lt;0,'損益分岐設定'!C39,IF('損益分岐設定'!B39*I395-T395&gt;=0,0,ROUNDUP(T395/I395,0)-1)))</x:f>
        <x:v>0</x:v>
      </x:c>
      <x:c r="AC395" s="1" t="n">
        <x:f>IF(I395&lt;=0,'損益分岐設定'!C40,IF('損益分岐設定'!C40*I395-U395&lt;0,'損益分岐設定'!C40,IF('損益分岐設定'!B40*I395-U395&gt;=0,0,ROUNDUP(U395/I395,0)-1)))</x:f>
        <x:v>0</x:v>
      </x:c>
      <x:c r="AD395" s="1" t="n">
        <x:v>0</x:v>
      </x:c>
      <x:c r="AE395" s="1" t="n">
        <x:v>1</x:v>
      </x:c>
      <x:c r="AF395" s="1" t="n">
        <x:v>0</x:v>
      </x:c>
      <x:c r="AG395" s="1" t="n">
        <x:f>AD395*('損益分岐設定'!$C$57*(1-'損益分岐設定'!$B$51)+'損益分岐設定'!$C$58*'損益分岐設定'!$B$51)+AE395*('損益分岐設定'!$C$60*(1-'損益分岐設定'!$B$51)+'損益分岐設定'!$C$61*'損益分岐設定'!$B$51)+AF395*('損益分岐設定'!$C$63*(1-'損益分岐設定'!$B$51)+'損益分岐設定'!$C$64*'損益分岐設定'!$B$51)</x:f>
        <x:v>2336.20881640625</x:v>
      </x:c>
      <x:c r="AH395" s="1" t="n">
        <x:f>AD395*('損益分岐設定'!$D$57*(1-'損益分岐設定'!$B$51)+'損益分岐設定'!$D$58*'損益分岐設定'!$B$51)+AE395*('損益分岐設定'!$D$60*(1-'損益分岐設定'!$B$51)+'損益分岐設定'!$D$61*'損益分岐設定'!$B$51)+AF395*('損益分岐設定'!$D$63*(1-'損益分岐設定'!$B$51)+'損益分岐設定'!$D$64*'損益分岐設定'!$B$51)</x:f>
        <x:v>192</x:v>
      </x:c>
      <x:c r="AI395" s="1" t="n">
        <x:f>AD395*('損益分岐設定'!$E$57*(1-'損益分岐設定'!$B$51)+'損益分岐設定'!$E$58*'損益分岐設定'!$B$51)+AE395*('損益分岐設定'!$E$60*(1-'損益分岐設定'!$B$51)+'損益分岐設定'!$E$61*'損益分岐設定'!$B$51)+AF395*('損益分岐設定'!$E$63*(1-'損益分岐設定'!$B$51)+'損益分岐設定'!$E$64*'損益分岐設定'!$B$51)</x:f>
        <x:v>224</x:v>
      </x:c>
      <x:c r="AJ395" s="1" t="n">
        <x:f>(AD395*('損益分岐設定'!$F$57*(1-'損益分岐設定'!$B$51)+'損益分岐設定'!$F$58*'損益分岐設定'!$B$51)+AE395*('損益分岐設定'!$F$60*(1-'損益分岐設定'!$B$51)+'損益分岐設定'!$F$61*'損益分岐設定'!$B$51)+AF395*('損益分岐設定'!$F$63*(1-'損益分岐設定'!$B$51)+'損益分岐設定'!$F$64*'損益分岐設定'!$B$51)*1)*'損益分岐設定'!$B$22</x:f>
        <x:v>1824</x:v>
      </x:c>
      <x:c r="AK395" s="1" t="n">
        <x:f>AD395*('損益分岐設定'!$G$57*(1-'損益分岐設定'!$B$51)+'損益分岐設定'!$G$58*'損益分岐設定'!$B$51)+AE395*('損益分岐設定'!$G$60*(1-'損益分岐設定'!$B$51)+'損益分岐設定'!$G$61*'損益分岐設定'!$B$51)+AF395*('損益分岐設定'!$G$63*(1-'損益分岐設定'!$B$51)+'損益分岐設定'!$G$64*'損益分岐設定'!$B$51)</x:f>
        <x:v>1600</x:v>
      </x:c>
      <x:c r="AL395" s="1" t="n">
        <x:f>AD395*('損益分岐設定'!$H$57*(1-'損益分岐設定'!$B$51)+'損益分岐設定'!$H$58*'損益分岐設定'!$B$51)+AE395*('損益分岐設定'!$H$60*(1-'損益分岐設定'!$B$51)+'損益分岐設定'!$H$61*'損益分岐設定'!$B$51)+AF395*('損益分岐設定'!$H$63*(1-'損益分岐設定'!$B$51)+'損益分岐設定'!$H$64*'損益分岐設定'!$B$51)</x:f>
        <x:v>826.6666666666667</x:v>
      </x:c>
      <x:c r="AM395" s="1" t="n">
        <x:f>MAX(1,ROUNDUP('損益分岐設定'!C37*AJ395/('損益分岐設定'!$B$23*'損益分岐設定'!$B$24*3600*'損益分岐設定'!$B$25),0))</x:f>
        <x:v>1</x:v>
      </x:c>
      <x:c r="AN395" s="1" t="n">
        <x:f>MAX(2,ROUNDUP('損益分岐設定'!C38*AJ395/('損益分岐設定'!$B$23*'損益分岐設定'!$B$24*3600*'損益分岐設定'!$B$25),0))</x:f>
        <x:v>2</x:v>
      </x:c>
      <x:c r="AO395" s="1" t="n">
        <x:f>MAX(2,ROUNDUP('損益分岐設定'!C39*AJ395/('損益分岐設定'!$B$23*'損益分岐設定'!$B$24*3600*'損益分岐設定'!$B$25),0))</x:f>
        <x:v>2</x:v>
      </x:c>
      <x:c r="AP395" s="1" t="n">
        <x:f>MAX(2,ROUNDUP('損益分岐設定'!C40*AJ395/('損益分岐設定'!$B$23*'損益分岐設定'!$B$24*3600*'損益分岐設定'!$B$25),0))</x:f>
        <x:v>4</x:v>
      </x:c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 ht="23" customHeight="1">
      <x:c r="A396" s="1" t="str">
        <x:v>VM</x:v>
      </x:c>
      <x:c r="B396" s="1" t="str">
        <x:v>Business</x:v>
      </x:c>
      <x:c r="C396" s="1" t="str">
        <x:v>標準+高位混在</x:v>
      </x:c>
      <x:c r="D396" s="21" t="n">
        <x:v>0</x:v>
      </x:c>
      <x:c r="E396" s="1" t="n">
        <x:v>1</x:v>
      </x:c>
      <x:c r="F396" s="7" t="n">
        <x:f>AD396*'損益分岐設定'!$B$5+AE396*'損益分岐設定'!$B$6+AF396*'損益分岐設定'!$B$7</x:f>
        <x:v>5000</x:v>
      </x:c>
      <x:c r="G396" s="7" t="n">
        <x:f>AG396+0+AK396*'損益分岐設定'!$B$33</x:f>
        <x:v>2336.226697799683</x:v>
      </x:c>
      <x:c r="H396" s="7" t="n">
        <x:f>AL396*E396</x:f>
        <x:v>826.6666666666667</x:v>
      </x:c>
      <x:c r="I396" s="7" t="n">
        <x:f>F396*(1-D396-'損益分岐設定'!$B$10)-G396-H396</x:f>
        <x:v>1657.1066355336504</x:v>
      </x:c>
      <x:c r="J396" s="1" t="n">
        <x:f>IF(MIN(V396:Y396)&gt;1000,"範囲内なし",MIN(V396:Y396))</x:f>
        <x:v>88</x:v>
      </x:c>
      <x:c r="K396" s="1" t="n">
        <x:f>IF(MAX(Z396:AC396)&gt;=1000,"範囲内なし",MAX(1,MAX(Z396:AC396)+1))</x:f>
        <x:v>107</x:v>
      </x:c>
      <x:c r="L396" s="7" t="n">
        <x:f>10*I396-R396</x:f>
        <x:v>-66188.12040588477</x:v>
      </x:c>
      <x:c r="M396" s="7" t="n">
        <x:f>30*I396-S396</x:f>
        <x:v>-95305.17445643301</x:v>
      </x:c>
      <x:c r="N396" s="7" t="n">
        <x:f>50*I396-S396</x:f>
        <x:v>-62163.04174576001</x:v>
      </x:c>
      <x:c r="O396" s="7" t="n">
        <x:f>100*I396-S396</x:f>
        <x:v>20692.290030922508</x:v>
      </x:c>
      <x:c r="P396" s="7" t="n">
        <x:f>300*I396-T396</x:f>
        <x:v>320113.6171376526</x:v>
      </x:c>
      <x:c r="Q396" s="7" t="n">
        <x:f>1000*I396-U396</x:f>
        <x:v>1390329.0752499867</x:v>
      </x:c>
      <x:c r="R396" s="7" t="n">
        <x:f>'損益分岐設定'!$B$18+'損益分岐設定'!$B$19+'損益分岐設定'!$B$20+'損益分岐設定'!E37+('損益分岐設定'!F37+2*'損益分岐設定'!G37+AM396)*('損益分岐設定'!$B$15+'損益分岐設定'!$B$16)+'損益分岐設定'!$B$17+'損益分岐設定'!$B$21+E396*'損益分岐設定'!H37*'損益分岐設定'!$B$11</x:f>
        <x:v>82759.18676122127</x:v>
      </x:c>
      <x:c r="S396" s="7" t="n">
        <x:f>'損益分岐設定'!$B$18+'損益分岐設定'!$B$19+'損益分岐設定'!$B$20+'損益分岐設定'!E38+('損益分岐設定'!F38+2*'損益分岐設定'!G38+AN396)*('損益分岐設定'!$B$15+'損益分岐設定'!$B$16)+'損益分岐設定'!$B$17+'損益分岐設定'!$B$21+E396*'損益分岐設定'!H38*'損益分岐設定'!$B$11</x:f>
        <x:v>145018.37352244253</x:v>
      </x:c>
      <x:c r="T396" s="7" t="n">
        <x:f>'損益分岐設定'!$B$18+'損益分岐設定'!$B$19+'損益分岐設定'!$B$20+'損益分岐設定'!E39+('損益分岐設定'!F39+2*'損益分岐設定'!G39+AO396)*('損益分岐設定'!$B$15+'損益分岐設定'!$B$16)+'損益分岐設定'!$B$17+'損益分岐設定'!$B$21+E396*'損益分岐設定'!H39*'損益分岐設定'!$B$11</x:f>
        <x:v>177018.37352244253</x:v>
      </x:c>
      <x:c r="U396" s="7" t="n">
        <x:f>'損益分岐設定'!$B$18+'損益分岐設定'!$B$19+'損益分岐設定'!$B$20+'損益分岐設定'!E40+('損益分岐設定'!F40+2*'損益分岐設定'!G40+AP396)*('損益分岐設定'!$B$15+'損益分岐設定'!$B$16)+'損益分岐設定'!$B$17+'損益分岐設定'!$B$21+E396*'損益分岐設定'!H40*'損益分岐設定'!$B$11</x:f>
        <x:v>266777.5602836638</x:v>
      </x:c>
      <x:c r="V396" s="1" t="n">
        <x:f>IF(I396&lt;=0,1001,IF(MAX('損益分岐設定'!B37,ROUNDUP(R396/I396,0))&lt;='損益分岐設定'!C37,MAX('損益分岐設定'!B37,ROUNDUP(R396/I396,0)),1001))</x:f>
        <x:v>1001</x:v>
      </x:c>
      <x:c r="W396" s="1" t="n">
        <x:f>IF(I396&lt;=0,1001,IF(MAX('損益分岐設定'!B38,ROUNDUP(S396/I396,0))&lt;='損益分岐設定'!C38,MAX('損益分岐設定'!B38,ROUNDUP(S396/I396,0)),1001))</x:f>
        <x:v>88</x:v>
      </x:c>
      <x:c r="X396" s="1" t="n">
        <x:f>IF(I396&lt;=0,1001,IF(MAX('損益分岐設定'!B39,ROUNDUP(T396/I396,0))&lt;='損益分岐設定'!C39,MAX('損益分岐設定'!B39,ROUNDUP(T396/I396,0)),1001))</x:f>
        <x:v>107</x:v>
      </x:c>
      <x:c r="Y396" s="1" t="n">
        <x:f>IF(I396&lt;=0,1001,IF(MAX('損益分岐設定'!B40,ROUNDUP(U396/I396,0))&lt;='損益分岐設定'!C40,MAX('損益分岐設定'!B40,ROUNDUP(U396/I396,0)),1001))</x:f>
        <x:v>501</x:v>
      </x:c>
      <x:c r="Z396" s="1" t="n">
        <x:f>IF(I396&lt;=0,'損益分岐設定'!C37,IF('損益分岐設定'!C37*I396-R396&lt;0,'損益分岐設定'!C37,IF('損益分岐設定'!B37*I396-R396&gt;=0,0,ROUNDUP(R396/I396,0)-1)))</x:f>
        <x:v>10</x:v>
      </x:c>
      <x:c r="AA396" s="1" t="n">
        <x:f>IF(I396&lt;=0,'損益分岐設定'!C38,IF('損益分岐設定'!C38*I396-S396&lt;0,'損益分岐設定'!C38,IF('損益分岐設定'!B38*I396-S396&gt;=0,0,ROUNDUP(S396/I396,0)-1)))</x:f>
        <x:v>87</x:v>
      </x:c>
      <x:c r="AB396" s="1" t="n">
        <x:f>IF(I396&lt;=0,'損益分岐設定'!C39,IF('損益分岐設定'!C39*I396-T396&lt;0,'損益分岐設定'!C39,IF('損益分岐設定'!B39*I396-T396&gt;=0,0,ROUNDUP(T396/I396,0)-1)))</x:f>
        <x:v>106</x:v>
      </x:c>
      <x:c r="AC396" s="1" t="n">
        <x:f>IF(I396&lt;=0,'損益分岐設定'!C40,IF('損益分岐設定'!C40*I396-U396&lt;0,'損益分岐設定'!C40,IF('損益分岐設定'!B40*I396-U396&gt;=0,0,ROUNDUP(U396/I396,0)-1)))</x:f>
        <x:v>0</x:v>
      </x:c>
      <x:c r="AD396" s="1" t="n">
        <x:v>0</x:v>
      </x:c>
      <x:c r="AE396" s="1" t="n">
        <x:v>1</x:v>
      </x:c>
      <x:c r="AF396" s="1" t="n">
        <x:v>0</x:v>
      </x:c>
      <x:c r="AG396" s="1" t="n">
        <x:f>AD396*('損益分岐設定'!$C$57*(1-'損益分岐設定'!$B$51)+'損益分岐設定'!$C$58*'損益分岐設定'!$B$51)+AE396*('損益分岐設定'!$C$60*(1-'損益分岐設定'!$B$51)+'損益分岐設定'!$C$61*'損益分岐設定'!$B$51)+AF396*('損益分岐設定'!$C$63*(1-'損益分岐設定'!$B$51)+'損益分岐設定'!$C$64*'損益分岐設定'!$B$51)</x:f>
        <x:v>2336.20881640625</x:v>
      </x:c>
      <x:c r="AH396" s="1" t="n">
        <x:f>AD396*('損益分岐設定'!$D$57*(1-'損益分岐設定'!$B$51)+'損益分岐設定'!$D$58*'損益分岐設定'!$B$51)+AE396*('損益分岐設定'!$D$60*(1-'損益分岐設定'!$B$51)+'損益分岐設定'!$D$61*'損益分岐設定'!$B$51)+AF396*('損益分岐設定'!$D$63*(1-'損益分岐設定'!$B$51)+'損益分岐設定'!$D$64*'損益分岐設定'!$B$51)</x:f>
        <x:v>192</x:v>
      </x:c>
      <x:c r="AI396" s="1" t="n">
        <x:f>AD396*('損益分岐設定'!$E$57*(1-'損益分岐設定'!$B$51)+'損益分岐設定'!$E$58*'損益分岐設定'!$B$51)+AE396*('損益分岐設定'!$E$60*(1-'損益分岐設定'!$B$51)+'損益分岐設定'!$E$61*'損益分岐設定'!$B$51)+AF396*('損益分岐設定'!$E$63*(1-'損益分岐設定'!$B$51)+'損益分岐設定'!$E$64*'損益分岐設定'!$B$51)</x:f>
        <x:v>224</x:v>
      </x:c>
      <x:c r="AJ396" s="1" t="n">
        <x:f>(AD396*('損益分岐設定'!$F$57*(1-'損益分岐設定'!$B$51)+'損益分岐設定'!$F$58*'損益分岐設定'!$B$51)+AE396*('損益分岐設定'!$F$60*(1-'損益分岐設定'!$B$51)+'損益分岐設定'!$F$61*'損益分岐設定'!$B$51)+AF396*('損益分岐設定'!$F$63*(1-'損益分岐設定'!$B$51)+'損益分岐設定'!$F$64*'損益分岐設定'!$B$51)*1)*'損益分岐設定'!$B$22</x:f>
        <x:v>1824</x:v>
      </x:c>
      <x:c r="AK396" s="1" t="n">
        <x:f>AD396*('損益分岐設定'!$G$57*(1-'損益分岐設定'!$B$51)+'損益分岐設定'!$G$58*'損益分岐設定'!$B$51)+AE396*('損益分岐設定'!$G$60*(1-'損益分岐設定'!$B$51)+'損益分岐設定'!$G$61*'損益分岐設定'!$B$51)+AF396*('損益分岐設定'!$G$63*(1-'損益分岐設定'!$B$51)+'損益分岐設定'!$G$64*'損益分岐設定'!$B$51)</x:f>
        <x:v>1600</x:v>
      </x:c>
      <x:c r="AL396" s="1" t="n">
        <x:f>AD396*('損益分岐設定'!$H$57*(1-'損益分岐設定'!$B$51)+'損益分岐設定'!$H$58*'損益分岐設定'!$B$51)+AE396*('損益分岐設定'!$H$60*(1-'損益分岐設定'!$B$51)+'損益分岐設定'!$H$61*'損益分岐設定'!$B$51)+AF396*('損益分岐設定'!$H$63*(1-'損益分岐設定'!$B$51)+'損益分岐設定'!$H$64*'損益分岐設定'!$B$51)</x:f>
        <x:v>826.6666666666667</x:v>
      </x:c>
      <x:c r="AM396" s="1" t="n">
        <x:f>MAX(1,ROUNDUP('損益分岐設定'!C37*AJ396/('損益分岐設定'!$B$23*'損益分岐設定'!$B$24*3600*'損益分岐設定'!$B$25),0))</x:f>
        <x:v>1</x:v>
      </x:c>
      <x:c r="AN396" s="1" t="n">
        <x:f>MAX(2,ROUNDUP('損益分岐設定'!C38*AJ396/('損益分岐設定'!$B$23*'損益分岐設定'!$B$24*3600*'損益分岐設定'!$B$25),0))</x:f>
        <x:v>2</x:v>
      </x:c>
      <x:c r="AO396" s="1" t="n">
        <x:f>MAX(2,ROUNDUP('損益分岐設定'!C39*AJ396/('損益分岐設定'!$B$23*'損益分岐設定'!$B$24*3600*'損益分岐設定'!$B$25),0))</x:f>
        <x:v>2</x:v>
      </x:c>
      <x:c r="AP396" s="1" t="n">
        <x:f>MAX(2,ROUNDUP('損益分岐設定'!C40*AJ396/('損益分岐設定'!$B$23*'損益分岐設定'!$B$24*3600*'損益分岐設定'!$B$25),0))</x:f>
        <x:v>4</x:v>
      </x:c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 ht="23" customHeight="1">
      <x:c r="A397" s="1" t="str">
        <x:v>VM</x:v>
      </x:c>
      <x:c r="B397" s="1" t="str">
        <x:v>Business</x:v>
      </x:c>
      <x:c r="C397" s="1" t="str">
        <x:v>標準+高位混在</x:v>
      </x:c>
      <x:c r="D397" s="21" t="n">
        <x:v>0.2</x:v>
      </x:c>
      <x:c r="E397" s="1" t="n">
        <x:v>0</x:v>
      </x:c>
      <x:c r="F397" s="7" t="n">
        <x:f>AD397*'損益分岐設定'!$B$5+AE397*'損益分岐設定'!$B$6+AF397*'損益分岐設定'!$B$7</x:f>
        <x:v>5000</x:v>
      </x:c>
      <x:c r="G397" s="7" t="n">
        <x:f>AG397+0+AK397*'損益分岐設定'!$B$33</x:f>
        <x:v>2336.226697799683</x:v>
      </x:c>
      <x:c r="H397" s="7" t="n">
        <x:f>AL397*E397</x:f>
        <x:v>0</x:v>
      </x:c>
      <x:c r="I397" s="7" t="n">
        <x:f>F397*(1-D397-'損益分岐設定'!$B$10)-G397-H397</x:f>
        <x:v>1483.7733022003172</x:v>
      </x:c>
      <x:c r="J397" s="1" t="n">
        <x:f>IF(MIN(V397:Y397)&gt;1000,"範囲内なし",MIN(V397:Y397))</x:f>
        <x:v>66</x:v>
      </x:c>
      <x:c r="K397" s="1" t="n">
        <x:f>IF(MAX(Z397:AC397)&gt;=1000,"範囲内なし",MAX(1,MAX(Z397:AC397)+1))</x:f>
        <x:v>66</x:v>
      </x:c>
      <x:c r="L397" s="7" t="n">
        <x:f>10*I397-R397</x:f>
        <x:v>-35921.4537392181</x:v>
      </x:c>
      <x:c r="M397" s="7" t="n">
        <x:f>30*I397-S397</x:f>
        <x:v>-52505.17445643303</x:v>
      </x:c>
      <x:c r="N397" s="7" t="n">
        <x:f>50*I397-S397</x:f>
        <x:v>-22829.708412426684</x:v>
      </x:c>
      <x:c r="O397" s="7" t="n">
        <x:f>100*I397-S397</x:f>
        <x:v>51358.95669758918</x:v>
      </x:c>
      <x:c r="P397" s="7" t="n">
        <x:f>300*I397-T397</x:f>
        <x:v>348113.61713765265</x:v>
      </x:c>
      <x:c r="Q397" s="7" t="n">
        <x:f>1000*I397-U397</x:f>
        <x:v>1344995.7419166532</x:v>
      </x:c>
      <x:c r="R397" s="7" t="n">
        <x:f>'損益分岐設定'!$B$18+'損益分岐設定'!$B$19+'損益分岐設定'!$B$20+'損益分岐設定'!E37+('損益分岐設定'!F37+2*'損益分岐設定'!G37+AM397)*('損益分岐設定'!$B$15+'損益分岐設定'!$B$16)+'損益分岐設定'!$B$17+'損益分岐設定'!$B$21+E397*'損益分岐設定'!H37*'損益分岐設定'!$B$11</x:f>
        <x:v>50759.18676122127</x:v>
      </x:c>
      <x:c r="S397" s="7" t="n">
        <x:f>'損益分岐設定'!$B$18+'損益分岐設定'!$B$19+'損益分岐設定'!$B$20+'損益分岐設定'!E38+('損益分岐設定'!F38+2*'損益分岐設定'!G38+AN397)*('損益分岐設定'!$B$15+'損益分岐設定'!$B$16)+'損益分岐設定'!$B$17+'損益分岐設定'!$B$21+E397*'損益分岐設定'!H38*'損益分岐設定'!$B$11</x:f>
        <x:v>97018.37352244255</x:v>
      </x:c>
      <x:c r="T397" s="7" t="n">
        <x:f>'損益分岐設定'!$B$18+'損益分岐設定'!$B$19+'損益分岐設定'!$B$20+'損益分岐設定'!E39+('損益分岐設定'!F39+2*'損益分岐設定'!G39+AO397)*('損益分岐設定'!$B$15+'損益分岐設定'!$B$16)+'損益分岐設定'!$B$17+'損益分岐設定'!$B$21+E397*'損益分岐設定'!H39*'損益分岐設定'!$B$11</x:f>
        <x:v>97018.37352244255</x:v>
      </x:c>
      <x:c r="U397" s="7" t="n">
        <x:f>'損益分岐設定'!$B$18+'損益分岐設定'!$B$19+'損益分岐設定'!$B$20+'損益分岐設定'!E40+('損益分岐設定'!F40+2*'損益分岐設定'!G40+AP397)*('損益分岐設定'!$B$15+'損益分岐設定'!$B$16)+'損益分岐設定'!$B$17+'損益分岐設定'!$B$21+E397*'損益分岐設定'!H40*'損益分岐設定'!$B$11</x:f>
        <x:v>138777.56028366383</x:v>
      </x:c>
      <x:c r="V397" s="1" t="n">
        <x:f>IF(I397&lt;=0,1001,IF(MAX('損益分岐設定'!B37,ROUNDUP(R397/I397,0))&lt;='損益分岐設定'!C37,MAX('損益分岐設定'!B37,ROUNDUP(R397/I397,0)),1001))</x:f>
        <x:v>1001</x:v>
      </x:c>
      <x:c r="W397" s="1" t="n">
        <x:f>IF(I397&lt;=0,1001,IF(MAX('損益分岐設定'!B38,ROUNDUP(S397/I397,0))&lt;='損益分岐設定'!C38,MAX('損益分岐設定'!B38,ROUNDUP(S397/I397,0)),1001))</x:f>
        <x:v>66</x:v>
      </x:c>
      <x:c r="X397" s="1" t="n">
        <x:f>IF(I397&lt;=0,1001,IF(MAX('損益分岐設定'!B39,ROUNDUP(T397/I397,0))&lt;='損益分岐設定'!C39,MAX('損益分岐設定'!B39,ROUNDUP(T397/I397,0)),1001))</x:f>
        <x:v>101</x:v>
      </x:c>
      <x:c r="Y397" s="1" t="n">
        <x:f>IF(I397&lt;=0,1001,IF(MAX('損益分岐設定'!B40,ROUNDUP(U397/I397,0))&lt;='損益分岐設定'!C40,MAX('損益分岐設定'!B40,ROUNDUP(U397/I397,0)),1001))</x:f>
        <x:v>501</x:v>
      </x:c>
      <x:c r="Z397" s="1" t="n">
        <x:f>IF(I397&lt;=0,'損益分岐設定'!C37,IF('損益分岐設定'!C37*I397-R397&lt;0,'損益分岐設定'!C37,IF('損益分岐設定'!B37*I397-R397&gt;=0,0,ROUNDUP(R397/I397,0)-1)))</x:f>
        <x:v>10</x:v>
      </x:c>
      <x:c r="AA397" s="1" t="n">
        <x:f>IF(I397&lt;=0,'損益分岐設定'!C38,IF('損益分岐設定'!C38*I397-S397&lt;0,'損益分岐設定'!C38,IF('損益分岐設定'!B38*I397-S397&gt;=0,0,ROUNDUP(S397/I397,0)-1)))</x:f>
        <x:v>65</x:v>
      </x:c>
      <x:c r="AB397" s="1" t="n">
        <x:f>IF(I397&lt;=0,'損益分岐設定'!C39,IF('損益分岐設定'!C39*I397-T397&lt;0,'損益分岐設定'!C39,IF('損益分岐設定'!B39*I397-T397&gt;=0,0,ROUNDUP(T397/I397,0)-1)))</x:f>
        <x:v>0</x:v>
      </x:c>
      <x:c r="AC397" s="1" t="n">
        <x:f>IF(I397&lt;=0,'損益分岐設定'!C40,IF('損益分岐設定'!C40*I397-U397&lt;0,'損益分岐設定'!C40,IF('損益分岐設定'!B40*I397-U397&gt;=0,0,ROUNDUP(U397/I397,0)-1)))</x:f>
        <x:v>0</x:v>
      </x:c>
      <x:c r="AD397" s="1" t="n">
        <x:v>0</x:v>
      </x:c>
      <x:c r="AE397" s="1" t="n">
        <x:v>1</x:v>
      </x:c>
      <x:c r="AF397" s="1" t="n">
        <x:v>0</x:v>
      </x:c>
      <x:c r="AG397" s="1" t="n">
        <x:f>AD397*('損益分岐設定'!$C$57*(1-'損益分岐設定'!$B$51)+'損益分岐設定'!$C$58*'損益分岐設定'!$B$51)+AE397*('損益分岐設定'!$C$60*(1-'損益分岐設定'!$B$51)+'損益分岐設定'!$C$61*'損益分岐設定'!$B$51)+AF397*('損益分岐設定'!$C$63*(1-'損益分岐設定'!$B$51)+'損益分岐設定'!$C$64*'損益分岐設定'!$B$51)</x:f>
        <x:v>2336.20881640625</x:v>
      </x:c>
      <x:c r="AH397" s="1" t="n">
        <x:f>AD397*('損益分岐設定'!$D$57*(1-'損益分岐設定'!$B$51)+'損益分岐設定'!$D$58*'損益分岐設定'!$B$51)+AE397*('損益分岐設定'!$D$60*(1-'損益分岐設定'!$B$51)+'損益分岐設定'!$D$61*'損益分岐設定'!$B$51)+AF397*('損益分岐設定'!$D$63*(1-'損益分岐設定'!$B$51)+'損益分岐設定'!$D$64*'損益分岐設定'!$B$51)</x:f>
        <x:v>192</x:v>
      </x:c>
      <x:c r="AI397" s="1" t="n">
        <x:f>AD397*('損益分岐設定'!$E$57*(1-'損益分岐設定'!$B$51)+'損益分岐設定'!$E$58*'損益分岐設定'!$B$51)+AE397*('損益分岐設定'!$E$60*(1-'損益分岐設定'!$B$51)+'損益分岐設定'!$E$61*'損益分岐設定'!$B$51)+AF397*('損益分岐設定'!$E$63*(1-'損益分岐設定'!$B$51)+'損益分岐設定'!$E$64*'損益分岐設定'!$B$51)</x:f>
        <x:v>224</x:v>
      </x:c>
      <x:c r="AJ397" s="1" t="n">
        <x:f>(AD397*('損益分岐設定'!$F$57*(1-'損益分岐設定'!$B$51)+'損益分岐設定'!$F$58*'損益分岐設定'!$B$51)+AE397*('損益分岐設定'!$F$60*(1-'損益分岐設定'!$B$51)+'損益分岐設定'!$F$61*'損益分岐設定'!$B$51)+AF397*('損益分岐設定'!$F$63*(1-'損益分岐設定'!$B$51)+'損益分岐設定'!$F$64*'損益分岐設定'!$B$51)*1)*'損益分岐設定'!$B$22</x:f>
        <x:v>1824</x:v>
      </x:c>
      <x:c r="AK397" s="1" t="n">
        <x:f>AD397*('損益分岐設定'!$G$57*(1-'損益分岐設定'!$B$51)+'損益分岐設定'!$G$58*'損益分岐設定'!$B$51)+AE397*('損益分岐設定'!$G$60*(1-'損益分岐設定'!$B$51)+'損益分岐設定'!$G$61*'損益分岐設定'!$B$51)+AF397*('損益分岐設定'!$G$63*(1-'損益分岐設定'!$B$51)+'損益分岐設定'!$G$64*'損益分岐設定'!$B$51)</x:f>
        <x:v>1600</x:v>
      </x:c>
      <x:c r="AL397" s="1" t="n">
        <x:f>AD397*('損益分岐設定'!$H$57*(1-'損益分岐設定'!$B$51)+'損益分岐設定'!$H$58*'損益分岐設定'!$B$51)+AE397*('損益分岐設定'!$H$60*(1-'損益分岐設定'!$B$51)+'損益分岐設定'!$H$61*'損益分岐設定'!$B$51)+AF397*('損益分岐設定'!$H$63*(1-'損益分岐設定'!$B$51)+'損益分岐設定'!$H$64*'損益分岐設定'!$B$51)</x:f>
        <x:v>826.6666666666667</x:v>
      </x:c>
      <x:c r="AM397" s="1" t="n">
        <x:f>MAX(1,ROUNDUP('損益分岐設定'!C37*AJ397/('損益分岐設定'!$B$23*'損益分岐設定'!$B$24*3600*'損益分岐設定'!$B$25),0))</x:f>
        <x:v>1</x:v>
      </x:c>
      <x:c r="AN397" s="1" t="n">
        <x:f>MAX(2,ROUNDUP('損益分岐設定'!C38*AJ397/('損益分岐設定'!$B$23*'損益分岐設定'!$B$24*3600*'損益分岐設定'!$B$25),0))</x:f>
        <x:v>2</x:v>
      </x:c>
      <x:c r="AO397" s="1" t="n">
        <x:f>MAX(2,ROUNDUP('損益分岐設定'!C39*AJ397/('損益分岐設定'!$B$23*'損益分岐設定'!$B$24*3600*'損益分岐設定'!$B$25),0))</x:f>
        <x:v>2</x:v>
      </x:c>
      <x:c r="AP397" s="1" t="n">
        <x:f>MAX(2,ROUNDUP('損益分岐設定'!C40*AJ397/('損益分岐設定'!$B$23*'損益分岐設定'!$B$24*3600*'損益分岐設定'!$B$25),0))</x:f>
        <x:v>4</x:v>
      </x:c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 ht="23" customHeight="1">
      <x:c r="A398" s="1" t="str">
        <x:v>VM</x:v>
      </x:c>
      <x:c r="B398" s="1" t="str">
        <x:v>Business</x:v>
      </x:c>
      <x:c r="C398" s="1" t="str">
        <x:v>標準+高位混在</x:v>
      </x:c>
      <x:c r="D398" s="21" t="n">
        <x:v>0.2</x:v>
      </x:c>
      <x:c r="E398" s="1" t="n">
        <x:v>1</x:v>
      </x:c>
      <x:c r="F398" s="7" t="n">
        <x:f>AD398*'損益分岐設定'!$B$5+AE398*'損益分岐設定'!$B$6+AF398*'損益分岐設定'!$B$7</x:f>
        <x:v>5000</x:v>
      </x:c>
      <x:c r="G398" s="7" t="n">
        <x:f>AG398+0+AK398*'損益分岐設定'!$B$33</x:f>
        <x:v>2336.226697799683</x:v>
      </x:c>
      <x:c r="H398" s="7" t="n">
        <x:f>AL398*E398</x:f>
        <x:v>826.6666666666667</x:v>
      </x:c>
      <x:c r="I398" s="7" t="n">
        <x:f>F398*(1-D398-'損益分岐設定'!$B$10)-G398-H398</x:f>
        <x:v>657.1066355336504</x:v>
      </x:c>
      <x:c r="J398" s="1" t="n">
        <x:f>IF(MIN(V398:Y398)&gt;1000,"範囲内なし",MIN(V398:Y398))</x:f>
        <x:v>270</x:v>
      </x:c>
      <x:c r="K398" s="1" t="n">
        <x:f>IF(MAX(Z398:AC398)&gt;=1000,"範囲内なし",MAX(1,MAX(Z398:AC398)+1))</x:f>
        <x:v>270</x:v>
      </x:c>
      <x:c r="L398" s="7" t="n">
        <x:f>10*I398-R398</x:f>
        <x:v>-76188.12040588477</x:v>
      </x:c>
      <x:c r="M398" s="7" t="n">
        <x:f>30*I398-S398</x:f>
        <x:v>-125305.17445643301</x:v>
      </x:c>
      <x:c r="N398" s="7" t="n">
        <x:f>50*I398-S398</x:f>
        <x:v>-112163.04174576001</x:v>
      </x:c>
      <x:c r="O398" s="7" t="n">
        <x:f>100*I398-S398</x:f>
        <x:v>-79307.70996907749</x:v>
      </x:c>
      <x:c r="P398" s="7" t="n">
        <x:f>300*I398-T398</x:f>
        <x:v>20113.61713765259</x:v>
      </x:c>
      <x:c r="Q398" s="7" t="n">
        <x:f>1000*I398-U398</x:f>
        <x:v>390329.0752499866</x:v>
      </x:c>
      <x:c r="R398" s="7" t="n">
        <x:f>'損益分岐設定'!$B$18+'損益分岐設定'!$B$19+'損益分岐設定'!$B$20+'損益分岐設定'!E37+('損益分岐設定'!F37+2*'損益分岐設定'!G37+AM398)*('損益分岐設定'!$B$15+'損益分岐設定'!$B$16)+'損益分岐設定'!$B$17+'損益分岐設定'!$B$21+E398*'損益分岐設定'!H37*'損益分岐設定'!$B$11</x:f>
        <x:v>82759.18676122127</x:v>
      </x:c>
      <x:c r="S398" s="7" t="n">
        <x:f>'損益分岐設定'!$B$18+'損益分岐設定'!$B$19+'損益分岐設定'!$B$20+'損益分岐設定'!E38+('損益分岐設定'!F38+2*'損益分岐設定'!G38+AN398)*('損益分岐設定'!$B$15+'損益分岐設定'!$B$16)+'損益分岐設定'!$B$17+'損益分岐設定'!$B$21+E398*'損益分岐設定'!H38*'損益分岐設定'!$B$11</x:f>
        <x:v>145018.37352244253</x:v>
      </x:c>
      <x:c r="T398" s="7" t="n">
        <x:f>'損益分岐設定'!$B$18+'損益分岐設定'!$B$19+'損益分岐設定'!$B$20+'損益分岐設定'!E39+('損益分岐設定'!F39+2*'損益分岐設定'!G39+AO398)*('損益分岐設定'!$B$15+'損益分岐設定'!$B$16)+'損益分岐設定'!$B$17+'損益分岐設定'!$B$21+E398*'損益分岐設定'!H39*'損益分岐設定'!$B$11</x:f>
        <x:v>177018.37352244253</x:v>
      </x:c>
      <x:c r="U398" s="7" t="n">
        <x:f>'損益分岐設定'!$B$18+'損益分岐設定'!$B$19+'損益分岐設定'!$B$20+'損益分岐設定'!E40+('損益分岐設定'!F40+2*'損益分岐設定'!G40+AP398)*('損益分岐設定'!$B$15+'損益分岐設定'!$B$16)+'損益分岐設定'!$B$17+'損益分岐設定'!$B$21+E398*'損益分岐設定'!H40*'損益分岐設定'!$B$11</x:f>
        <x:v>266777.5602836638</x:v>
      </x:c>
      <x:c r="V398" s="1" t="n">
        <x:f>IF(I398&lt;=0,1001,IF(MAX('損益分岐設定'!B37,ROUNDUP(R398/I398,0))&lt;='損益分岐設定'!C37,MAX('損益分岐設定'!B37,ROUNDUP(R398/I398,0)),1001))</x:f>
        <x:v>1001</x:v>
      </x:c>
      <x:c r="W398" s="1" t="n">
        <x:f>IF(I398&lt;=0,1001,IF(MAX('損益分岐設定'!B38,ROUNDUP(S398/I398,0))&lt;='損益分岐設定'!C38,MAX('損益分岐設定'!B38,ROUNDUP(S398/I398,0)),1001))</x:f>
        <x:v>1001</x:v>
      </x:c>
      <x:c r="X398" s="1" t="n">
        <x:f>IF(I398&lt;=0,1001,IF(MAX('損益分岐設定'!B39,ROUNDUP(T398/I398,0))&lt;='損益分岐設定'!C39,MAX('損益分岐設定'!B39,ROUNDUP(T398/I398,0)),1001))</x:f>
        <x:v>270</x:v>
      </x:c>
      <x:c r="Y398" s="1" t="n">
        <x:f>IF(I398&lt;=0,1001,IF(MAX('損益分岐設定'!B40,ROUNDUP(U398/I398,0))&lt;='損益分岐設定'!C40,MAX('損益分岐設定'!B40,ROUNDUP(U398/I398,0)),1001))</x:f>
        <x:v>501</x:v>
      </x:c>
      <x:c r="Z398" s="1" t="n">
        <x:f>IF(I398&lt;=0,'損益分岐設定'!C37,IF('損益分岐設定'!C37*I398-R398&lt;0,'損益分岐設定'!C37,IF('損益分岐設定'!B37*I398-R398&gt;=0,0,ROUNDUP(R398/I398,0)-1)))</x:f>
        <x:v>10</x:v>
      </x:c>
      <x:c r="AA398" s="1" t="n">
        <x:f>IF(I398&lt;=0,'損益分岐設定'!C38,IF('損益分岐設定'!C38*I398-S398&lt;0,'損益分岐設定'!C38,IF('損益分岐設定'!B38*I398-S398&gt;=0,0,ROUNDUP(S398/I398,0)-1)))</x:f>
        <x:v>100</x:v>
      </x:c>
      <x:c r="AB398" s="1" t="n">
        <x:f>IF(I398&lt;=0,'損益分岐設定'!C39,IF('損益分岐設定'!C39*I398-T398&lt;0,'損益分岐設定'!C39,IF('損益分岐設定'!B39*I398-T398&gt;=0,0,ROUNDUP(T398/I398,0)-1)))</x:f>
        <x:v>269</x:v>
      </x:c>
      <x:c r="AC398" s="1" t="n">
        <x:f>IF(I398&lt;=0,'損益分岐設定'!C40,IF('損益分岐設定'!C40*I398-U398&lt;0,'損益分岐設定'!C40,IF('損益分岐設定'!B40*I398-U398&gt;=0,0,ROUNDUP(U398/I398,0)-1)))</x:f>
        <x:v>0</x:v>
      </x:c>
      <x:c r="AD398" s="1" t="n">
        <x:v>0</x:v>
      </x:c>
      <x:c r="AE398" s="1" t="n">
        <x:v>1</x:v>
      </x:c>
      <x:c r="AF398" s="1" t="n">
        <x:v>0</x:v>
      </x:c>
      <x:c r="AG398" s="1" t="n">
        <x:f>AD398*('損益分岐設定'!$C$57*(1-'損益分岐設定'!$B$51)+'損益分岐設定'!$C$58*'損益分岐設定'!$B$51)+AE398*('損益分岐設定'!$C$60*(1-'損益分岐設定'!$B$51)+'損益分岐設定'!$C$61*'損益分岐設定'!$B$51)+AF398*('損益分岐設定'!$C$63*(1-'損益分岐設定'!$B$51)+'損益分岐設定'!$C$64*'損益分岐設定'!$B$51)</x:f>
        <x:v>2336.20881640625</x:v>
      </x:c>
      <x:c r="AH398" s="1" t="n">
        <x:f>AD398*('損益分岐設定'!$D$57*(1-'損益分岐設定'!$B$51)+'損益分岐設定'!$D$58*'損益分岐設定'!$B$51)+AE398*('損益分岐設定'!$D$60*(1-'損益分岐設定'!$B$51)+'損益分岐設定'!$D$61*'損益分岐設定'!$B$51)+AF398*('損益分岐設定'!$D$63*(1-'損益分岐設定'!$B$51)+'損益分岐設定'!$D$64*'損益分岐設定'!$B$51)</x:f>
        <x:v>192</x:v>
      </x:c>
      <x:c r="AI398" s="1" t="n">
        <x:f>AD398*('損益分岐設定'!$E$57*(1-'損益分岐設定'!$B$51)+'損益分岐設定'!$E$58*'損益分岐設定'!$B$51)+AE398*('損益分岐設定'!$E$60*(1-'損益分岐設定'!$B$51)+'損益分岐設定'!$E$61*'損益分岐設定'!$B$51)+AF398*('損益分岐設定'!$E$63*(1-'損益分岐設定'!$B$51)+'損益分岐設定'!$E$64*'損益分岐設定'!$B$51)</x:f>
        <x:v>224</x:v>
      </x:c>
      <x:c r="AJ398" s="1" t="n">
        <x:f>(AD398*('損益分岐設定'!$F$57*(1-'損益分岐設定'!$B$51)+'損益分岐設定'!$F$58*'損益分岐設定'!$B$51)+AE398*('損益分岐設定'!$F$60*(1-'損益分岐設定'!$B$51)+'損益分岐設定'!$F$61*'損益分岐設定'!$B$51)+AF398*('損益分岐設定'!$F$63*(1-'損益分岐設定'!$B$51)+'損益分岐設定'!$F$64*'損益分岐設定'!$B$51)*1)*'損益分岐設定'!$B$22</x:f>
        <x:v>1824</x:v>
      </x:c>
      <x:c r="AK398" s="1" t="n">
        <x:f>AD398*('損益分岐設定'!$G$57*(1-'損益分岐設定'!$B$51)+'損益分岐設定'!$G$58*'損益分岐設定'!$B$51)+AE398*('損益分岐設定'!$G$60*(1-'損益分岐設定'!$B$51)+'損益分岐設定'!$G$61*'損益分岐設定'!$B$51)+AF398*('損益分岐設定'!$G$63*(1-'損益分岐設定'!$B$51)+'損益分岐設定'!$G$64*'損益分岐設定'!$B$51)</x:f>
        <x:v>1600</x:v>
      </x:c>
      <x:c r="AL398" s="1" t="n">
        <x:f>AD398*('損益分岐設定'!$H$57*(1-'損益分岐設定'!$B$51)+'損益分岐設定'!$H$58*'損益分岐設定'!$B$51)+AE398*('損益分岐設定'!$H$60*(1-'損益分岐設定'!$B$51)+'損益分岐設定'!$H$61*'損益分岐設定'!$B$51)+AF398*('損益分岐設定'!$H$63*(1-'損益分岐設定'!$B$51)+'損益分岐設定'!$H$64*'損益分岐設定'!$B$51)</x:f>
        <x:v>826.6666666666667</x:v>
      </x:c>
      <x:c r="AM398" s="1" t="n">
        <x:f>MAX(1,ROUNDUP('損益分岐設定'!C37*AJ398/('損益分岐設定'!$B$23*'損益分岐設定'!$B$24*3600*'損益分岐設定'!$B$25),0))</x:f>
        <x:v>1</x:v>
      </x:c>
      <x:c r="AN398" s="1" t="n">
        <x:f>MAX(2,ROUNDUP('損益分岐設定'!C38*AJ398/('損益分岐設定'!$B$23*'損益分岐設定'!$B$24*3600*'損益分岐設定'!$B$25),0))</x:f>
        <x:v>2</x:v>
      </x:c>
      <x:c r="AO398" s="1" t="n">
        <x:f>MAX(2,ROUNDUP('損益分岐設定'!C39*AJ398/('損益分岐設定'!$B$23*'損益分岐設定'!$B$24*3600*'損益分岐設定'!$B$25),0))</x:f>
        <x:v>2</x:v>
      </x:c>
      <x:c r="AP398" s="1" t="n">
        <x:f>MAX(2,ROUNDUP('損益分岐設定'!C40*AJ398/('損益分岐設定'!$B$23*'損益分岐設定'!$B$24*3600*'損益分岐設定'!$B$25),0))</x:f>
        <x:v>4</x:v>
      </x:c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 ht="23" customHeight="1">
      <x:c r="A399" s="1" t="str">
        <x:v>VM</x:v>
      </x:c>
      <x:c r="B399" s="1" t="str">
        <x:v>Business</x:v>
      </x:c>
      <x:c r="C399" s="1" t="str">
        <x:v>標準+高位混在</x:v>
      </x:c>
      <x:c r="D399" s="21" t="n">
        <x:v>0.3</x:v>
      </x:c>
      <x:c r="E399" s="1" t="n">
        <x:v>0</x:v>
      </x:c>
      <x:c r="F399" s="7" t="n">
        <x:f>AD399*'損益分岐設定'!$B$5+AE399*'損益分岐設定'!$B$6+AF399*'損益分岐設定'!$B$7</x:f>
        <x:v>5000</x:v>
      </x:c>
      <x:c r="G399" s="7" t="n">
        <x:f>AG399+0+AK399*'損益分岐設定'!$B$33</x:f>
        <x:v>2336.226697799683</x:v>
      </x:c>
      <x:c r="H399" s="7" t="n">
        <x:f>AL399*E399</x:f>
        <x:v>0</x:v>
      </x:c>
      <x:c r="I399" s="7" t="n">
        <x:f>F399*(1-D399-'損益分岐設定'!$B$10)-G399-H399</x:f>
        <x:v>983.7733022003167</x:v>
      </x:c>
      <x:c r="J399" s="1" t="n">
        <x:f>IF(MIN(V399:Y399)&gt;1000,"範囲内なし",MIN(V399:Y399))</x:f>
        <x:v>99</x:v>
      </x:c>
      <x:c r="K399" s="1" t="n">
        <x:f>IF(MAX(Z399:AC399)&gt;=1000,"範囲内なし",MAX(1,MAX(Z399:AC399)+1))</x:f>
        <x:v>99</x:v>
      </x:c>
      <x:c r="L399" s="7" t="n">
        <x:f>10*I399-R399</x:f>
        <x:v>-40921.45373921811</x:v>
      </x:c>
      <x:c r="M399" s="7" t="n">
        <x:f>30*I399-S399</x:f>
        <x:v>-67505.17445643304</x:v>
      </x:c>
      <x:c r="N399" s="7" t="n">
        <x:f>50*I399-S399</x:f>
        <x:v>-47829.70841242671</x:v>
      </x:c>
      <x:c r="O399" s="7" t="n">
        <x:f>100*I399-S399</x:f>
        <x:v>1358.9566975891212</x:v>
      </x:c>
      <x:c r="P399" s="7" t="n">
        <x:f>300*I399-T399</x:f>
        <x:v>198113.61713765247</x:v>
      </x:c>
      <x:c r="Q399" s="7" t="n">
        <x:f>1000*I399-U399</x:f>
        <x:v>844995.7419166529</x:v>
      </x:c>
      <x:c r="R399" s="7" t="n">
        <x:f>'損益分岐設定'!$B$18+'損益分岐設定'!$B$19+'損益分岐設定'!$B$20+'損益分岐設定'!E37+('損益分岐設定'!F37+2*'損益分岐設定'!G37+AM399)*('損益分岐設定'!$B$15+'損益分岐設定'!$B$16)+'損益分岐設定'!$B$17+'損益分岐設定'!$B$21+E399*'損益分岐設定'!H37*'損益分岐設定'!$B$11</x:f>
        <x:v>50759.18676122127</x:v>
      </x:c>
      <x:c r="S399" s="7" t="n">
        <x:f>'損益分岐設定'!$B$18+'損益分岐設定'!$B$19+'損益分岐設定'!$B$20+'損益分岐設定'!E38+('損益分岐設定'!F38+2*'損益分岐設定'!G38+AN399)*('損益分岐設定'!$B$15+'損益分岐設定'!$B$16)+'損益分岐設定'!$B$17+'損益分岐設定'!$B$21+E399*'損益分岐設定'!H38*'損益分岐設定'!$B$11</x:f>
        <x:v>97018.37352244255</x:v>
      </x:c>
      <x:c r="T399" s="7" t="n">
        <x:f>'損益分岐設定'!$B$18+'損益分岐設定'!$B$19+'損益分岐設定'!$B$20+'損益分岐設定'!E39+('損益分岐設定'!F39+2*'損益分岐設定'!G39+AO399)*('損益分岐設定'!$B$15+'損益分岐設定'!$B$16)+'損益分岐設定'!$B$17+'損益分岐設定'!$B$21+E399*'損益分岐設定'!H39*'損益分岐設定'!$B$11</x:f>
        <x:v>97018.37352244255</x:v>
      </x:c>
      <x:c r="U399" s="7" t="n">
        <x:f>'損益分岐設定'!$B$18+'損益分岐設定'!$B$19+'損益分岐設定'!$B$20+'損益分岐設定'!E40+('損益分岐設定'!F40+2*'損益分岐設定'!G40+AP399)*('損益分岐設定'!$B$15+'損益分岐設定'!$B$16)+'損益分岐設定'!$B$17+'損益分岐設定'!$B$21+E399*'損益分岐設定'!H40*'損益分岐設定'!$B$11</x:f>
        <x:v>138777.56028366383</x:v>
      </x:c>
      <x:c r="V399" s="1" t="n">
        <x:f>IF(I399&lt;=0,1001,IF(MAX('損益分岐設定'!B37,ROUNDUP(R399/I399,0))&lt;='損益分岐設定'!C37,MAX('損益分岐設定'!B37,ROUNDUP(R399/I399,0)),1001))</x:f>
        <x:v>1001</x:v>
      </x:c>
      <x:c r="W399" s="1" t="n">
        <x:f>IF(I399&lt;=0,1001,IF(MAX('損益分岐設定'!B38,ROUNDUP(S399/I399,0))&lt;='損益分岐設定'!C38,MAX('損益分岐設定'!B38,ROUNDUP(S399/I399,0)),1001))</x:f>
        <x:v>99</x:v>
      </x:c>
      <x:c r="X399" s="1" t="n">
        <x:f>IF(I399&lt;=0,1001,IF(MAX('損益分岐設定'!B39,ROUNDUP(T399/I399,0))&lt;='損益分岐設定'!C39,MAX('損益分岐設定'!B39,ROUNDUP(T399/I399,0)),1001))</x:f>
        <x:v>101</x:v>
      </x:c>
      <x:c r="Y399" s="1" t="n">
        <x:f>IF(I399&lt;=0,1001,IF(MAX('損益分岐設定'!B40,ROUNDUP(U399/I399,0))&lt;='損益分岐設定'!C40,MAX('損益分岐設定'!B40,ROUNDUP(U399/I399,0)),1001))</x:f>
        <x:v>501</x:v>
      </x:c>
      <x:c r="Z399" s="1" t="n">
        <x:f>IF(I399&lt;=0,'損益分岐設定'!C37,IF('損益分岐設定'!C37*I399-R399&lt;0,'損益分岐設定'!C37,IF('損益分岐設定'!B37*I399-R399&gt;=0,0,ROUNDUP(R399/I399,0)-1)))</x:f>
        <x:v>10</x:v>
      </x:c>
      <x:c r="AA399" s="1" t="n">
        <x:f>IF(I399&lt;=0,'損益分岐設定'!C38,IF('損益分岐設定'!C38*I399-S399&lt;0,'損益分岐設定'!C38,IF('損益分岐設定'!B38*I399-S399&gt;=0,0,ROUNDUP(S399/I399,0)-1)))</x:f>
        <x:v>98</x:v>
      </x:c>
      <x:c r="AB399" s="1" t="n">
        <x:f>IF(I399&lt;=0,'損益分岐設定'!C39,IF('損益分岐設定'!C39*I399-T399&lt;0,'損益分岐設定'!C39,IF('損益分岐設定'!B39*I399-T399&gt;=0,0,ROUNDUP(T399/I399,0)-1)))</x:f>
        <x:v>0</x:v>
      </x:c>
      <x:c r="AC399" s="1" t="n">
        <x:f>IF(I399&lt;=0,'損益分岐設定'!C40,IF('損益分岐設定'!C40*I399-U399&lt;0,'損益分岐設定'!C40,IF('損益分岐設定'!B40*I399-U399&gt;=0,0,ROUNDUP(U399/I399,0)-1)))</x:f>
        <x:v>0</x:v>
      </x:c>
      <x:c r="AD399" s="1" t="n">
        <x:v>0</x:v>
      </x:c>
      <x:c r="AE399" s="1" t="n">
        <x:v>1</x:v>
      </x:c>
      <x:c r="AF399" s="1" t="n">
        <x:v>0</x:v>
      </x:c>
      <x:c r="AG399" s="1" t="n">
        <x:f>AD399*('損益分岐設定'!$C$57*(1-'損益分岐設定'!$B$51)+'損益分岐設定'!$C$58*'損益分岐設定'!$B$51)+AE399*('損益分岐設定'!$C$60*(1-'損益分岐設定'!$B$51)+'損益分岐設定'!$C$61*'損益分岐設定'!$B$51)+AF399*('損益分岐設定'!$C$63*(1-'損益分岐設定'!$B$51)+'損益分岐設定'!$C$64*'損益分岐設定'!$B$51)</x:f>
        <x:v>2336.20881640625</x:v>
      </x:c>
      <x:c r="AH399" s="1" t="n">
        <x:f>AD399*('損益分岐設定'!$D$57*(1-'損益分岐設定'!$B$51)+'損益分岐設定'!$D$58*'損益分岐設定'!$B$51)+AE399*('損益分岐設定'!$D$60*(1-'損益分岐設定'!$B$51)+'損益分岐設定'!$D$61*'損益分岐設定'!$B$51)+AF399*('損益分岐設定'!$D$63*(1-'損益分岐設定'!$B$51)+'損益分岐設定'!$D$64*'損益分岐設定'!$B$51)</x:f>
        <x:v>192</x:v>
      </x:c>
      <x:c r="AI399" s="1" t="n">
        <x:f>AD399*('損益分岐設定'!$E$57*(1-'損益分岐設定'!$B$51)+'損益分岐設定'!$E$58*'損益分岐設定'!$B$51)+AE399*('損益分岐設定'!$E$60*(1-'損益分岐設定'!$B$51)+'損益分岐設定'!$E$61*'損益分岐設定'!$B$51)+AF399*('損益分岐設定'!$E$63*(1-'損益分岐設定'!$B$51)+'損益分岐設定'!$E$64*'損益分岐設定'!$B$51)</x:f>
        <x:v>224</x:v>
      </x:c>
      <x:c r="AJ399" s="1" t="n">
        <x:f>(AD399*('損益分岐設定'!$F$57*(1-'損益分岐設定'!$B$51)+'損益分岐設定'!$F$58*'損益分岐設定'!$B$51)+AE399*('損益分岐設定'!$F$60*(1-'損益分岐設定'!$B$51)+'損益分岐設定'!$F$61*'損益分岐設定'!$B$51)+AF399*('損益分岐設定'!$F$63*(1-'損益分岐設定'!$B$51)+'損益分岐設定'!$F$64*'損益分岐設定'!$B$51)*1)*'損益分岐設定'!$B$22</x:f>
        <x:v>1824</x:v>
      </x:c>
      <x:c r="AK399" s="1" t="n">
        <x:f>AD399*('損益分岐設定'!$G$57*(1-'損益分岐設定'!$B$51)+'損益分岐設定'!$G$58*'損益分岐設定'!$B$51)+AE399*('損益分岐設定'!$G$60*(1-'損益分岐設定'!$B$51)+'損益分岐設定'!$G$61*'損益分岐設定'!$B$51)+AF399*('損益分岐設定'!$G$63*(1-'損益分岐設定'!$B$51)+'損益分岐設定'!$G$64*'損益分岐設定'!$B$51)</x:f>
        <x:v>1600</x:v>
      </x:c>
      <x:c r="AL399" s="1" t="n">
        <x:f>AD399*('損益分岐設定'!$H$57*(1-'損益分岐設定'!$B$51)+'損益分岐設定'!$H$58*'損益分岐設定'!$B$51)+AE399*('損益分岐設定'!$H$60*(1-'損益分岐設定'!$B$51)+'損益分岐設定'!$H$61*'損益分岐設定'!$B$51)+AF399*('損益分岐設定'!$H$63*(1-'損益分岐設定'!$B$51)+'損益分岐設定'!$H$64*'損益分岐設定'!$B$51)</x:f>
        <x:v>826.6666666666667</x:v>
      </x:c>
      <x:c r="AM399" s="1" t="n">
        <x:f>MAX(1,ROUNDUP('損益分岐設定'!C37*AJ399/('損益分岐設定'!$B$23*'損益分岐設定'!$B$24*3600*'損益分岐設定'!$B$25),0))</x:f>
        <x:v>1</x:v>
      </x:c>
      <x:c r="AN399" s="1" t="n">
        <x:f>MAX(2,ROUNDUP('損益分岐設定'!C38*AJ399/('損益分岐設定'!$B$23*'損益分岐設定'!$B$24*3600*'損益分岐設定'!$B$25),0))</x:f>
        <x:v>2</x:v>
      </x:c>
      <x:c r="AO399" s="1" t="n">
        <x:f>MAX(2,ROUNDUP('損益分岐設定'!C39*AJ399/('損益分岐設定'!$B$23*'損益分岐設定'!$B$24*3600*'損益分岐設定'!$B$25),0))</x:f>
        <x:v>2</x:v>
      </x:c>
      <x:c r="AP399" s="1" t="n">
        <x:f>MAX(2,ROUNDUP('損益分岐設定'!C40*AJ399/('損益分岐設定'!$B$23*'損益分岐設定'!$B$24*3600*'損益分岐設定'!$B$25),0))</x:f>
        <x:v>4</x:v>
      </x:c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 ht="23" customHeight="1">
      <x:c r="A400" s="1" t="str">
        <x:v>VM</x:v>
      </x:c>
      <x:c r="B400" s="1" t="str">
        <x:v>Business</x:v>
      </x:c>
      <x:c r="C400" s="1" t="str">
        <x:v>標準+高位混在</x:v>
      </x:c>
      <x:c r="D400" s="21" t="n">
        <x:v>0.3</x:v>
      </x:c>
      <x:c r="E400" s="1" t="n">
        <x:v>1</x:v>
      </x:c>
      <x:c r="F400" s="7" t="n">
        <x:f>AD400*'損益分岐設定'!$B$5+AE400*'損益分岐設定'!$B$6+AF400*'損益分岐設定'!$B$7</x:f>
        <x:v>5000</x:v>
      </x:c>
      <x:c r="G400" s="7" t="n">
        <x:f>AG400+0+AK400*'損益分岐設定'!$B$33</x:f>
        <x:v>2336.226697799683</x:v>
      </x:c>
      <x:c r="H400" s="7" t="n">
        <x:f>AL400*E400</x:f>
        <x:v>826.6666666666667</x:v>
      </x:c>
      <x:c r="I400" s="7" t="n">
        <x:f>F400*(1-D400-'損益分岐設定'!$B$10)-G400-H400</x:f>
        <x:v>157.10663553364998</x:v>
      </x:c>
      <x:c r="J400" s="1" t="str">
        <x:f>IF(MIN(V400:Y400)&gt;1000,"範囲内なし",MIN(V400:Y400))</x:f>
        <x:v>範囲内なし</x:v>
      </x:c>
      <x:c r="K400" s="1" t="str">
        <x:f>IF(MAX(Z400:AC400)&gt;=1000,"範囲内なし",MAX(1,MAX(Z400:AC400)+1))</x:f>
        <x:v>範囲内なし</x:v>
      </x:c>
      <x:c r="L400" s="7" t="n">
        <x:f>10*I400-R400</x:f>
        <x:v>-81188.12040588477</x:v>
      </x:c>
      <x:c r="M400" s="7" t="n">
        <x:f>30*I400-S400</x:f>
        <x:v>-140305.17445643304</x:v>
      </x:c>
      <x:c r="N400" s="7" t="n">
        <x:f>50*I400-S400</x:f>
        <x:v>-137163.04174576004</x:v>
      </x:c>
      <x:c r="O400" s="7" t="n">
        <x:f>100*I400-S400</x:f>
        <x:v>-129307.70996907754</x:v>
      </x:c>
      <x:c r="P400" s="7" t="n">
        <x:f>300*I400-T400</x:f>
        <x:v>-129886.38286234754</x:v>
      </x:c>
      <x:c r="Q400" s="7" t="n">
        <x:f>1000*I400-U400</x:f>
        <x:v>-109670.92475001383</x:v>
      </x:c>
      <x:c r="R400" s="7" t="n">
        <x:f>'損益分岐設定'!$B$18+'損益分岐設定'!$B$19+'損益分岐設定'!$B$20+'損益分岐設定'!E37+('損益分岐設定'!F37+2*'損益分岐設定'!G37+AM400)*('損益分岐設定'!$B$15+'損益分岐設定'!$B$16)+'損益分岐設定'!$B$17+'損益分岐設定'!$B$21+E400*'損益分岐設定'!H37*'損益分岐設定'!$B$11</x:f>
        <x:v>82759.18676122127</x:v>
      </x:c>
      <x:c r="S400" s="7" t="n">
        <x:f>'損益分岐設定'!$B$18+'損益分岐設定'!$B$19+'損益分岐設定'!$B$20+'損益分岐設定'!E38+('損益分岐設定'!F38+2*'損益分岐設定'!G38+AN400)*('損益分岐設定'!$B$15+'損益分岐設定'!$B$16)+'損益分岐設定'!$B$17+'損益分岐設定'!$B$21+E400*'損益分岐設定'!H38*'損益分岐設定'!$B$11</x:f>
        <x:v>145018.37352244253</x:v>
      </x:c>
      <x:c r="T400" s="7" t="n">
        <x:f>'損益分岐設定'!$B$18+'損益分岐設定'!$B$19+'損益分岐設定'!$B$20+'損益分岐設定'!E39+('損益分岐設定'!F39+2*'損益分岐設定'!G39+AO400)*('損益分岐設定'!$B$15+'損益分岐設定'!$B$16)+'損益分岐設定'!$B$17+'損益分岐設定'!$B$21+E400*'損益分岐設定'!H39*'損益分岐設定'!$B$11</x:f>
        <x:v>177018.37352244253</x:v>
      </x:c>
      <x:c r="U400" s="7" t="n">
        <x:f>'損益分岐設定'!$B$18+'損益分岐設定'!$B$19+'損益分岐設定'!$B$20+'損益分岐設定'!E40+('損益分岐設定'!F40+2*'損益分岐設定'!G40+AP400)*('損益分岐設定'!$B$15+'損益分岐設定'!$B$16)+'損益分岐設定'!$B$17+'損益分岐設定'!$B$21+E400*'損益分岐設定'!H40*'損益分岐設定'!$B$11</x:f>
        <x:v>266777.5602836638</x:v>
      </x:c>
      <x:c r="V400" s="1" t="n">
        <x:f>IF(I400&lt;=0,1001,IF(MAX('損益分岐設定'!B37,ROUNDUP(R400/I400,0))&lt;='損益分岐設定'!C37,MAX('損益分岐設定'!B37,ROUNDUP(R400/I400,0)),1001))</x:f>
        <x:v>1001</x:v>
      </x:c>
      <x:c r="W400" s="1" t="n">
        <x:f>IF(I400&lt;=0,1001,IF(MAX('損益分岐設定'!B38,ROUNDUP(S400/I400,0))&lt;='損益分岐設定'!C38,MAX('損益分岐設定'!B38,ROUNDUP(S400/I400,0)),1001))</x:f>
        <x:v>1001</x:v>
      </x:c>
      <x:c r="X400" s="1" t="n">
        <x:f>IF(I400&lt;=0,1001,IF(MAX('損益分岐設定'!B39,ROUNDUP(T400/I400,0))&lt;='損益分岐設定'!C39,MAX('損益分岐設定'!B39,ROUNDUP(T400/I400,0)),1001))</x:f>
        <x:v>1001</x:v>
      </x:c>
      <x:c r="Y400" s="1" t="n">
        <x:f>IF(I400&lt;=0,1001,IF(MAX('損益分岐設定'!B40,ROUNDUP(U400/I400,0))&lt;='損益分岐設定'!C40,MAX('損益分岐設定'!B40,ROUNDUP(U400/I400,0)),1001))</x:f>
        <x:v>1001</x:v>
      </x:c>
      <x:c r="Z400" s="1" t="n">
        <x:f>IF(I400&lt;=0,'損益分岐設定'!C37,IF('損益分岐設定'!C37*I400-R400&lt;0,'損益分岐設定'!C37,IF('損益分岐設定'!B37*I400-R400&gt;=0,0,ROUNDUP(R400/I400,0)-1)))</x:f>
        <x:v>10</x:v>
      </x:c>
      <x:c r="AA400" s="1" t="n">
        <x:f>IF(I400&lt;=0,'損益分岐設定'!C38,IF('損益分岐設定'!C38*I400-S400&lt;0,'損益分岐設定'!C38,IF('損益分岐設定'!B38*I400-S400&gt;=0,0,ROUNDUP(S400/I400,0)-1)))</x:f>
        <x:v>100</x:v>
      </x:c>
      <x:c r="AB400" s="1" t="n">
        <x:f>IF(I400&lt;=0,'損益分岐設定'!C39,IF('損益分岐設定'!C39*I400-T400&lt;0,'損益分岐設定'!C39,IF('損益分岐設定'!B39*I400-T400&gt;=0,0,ROUNDUP(T400/I400,0)-1)))</x:f>
        <x:v>500</x:v>
      </x:c>
      <x:c r="AC400" s="1" t="n">
        <x:f>IF(I400&lt;=0,'損益分岐設定'!C40,IF('損益分岐設定'!C40*I400-U400&lt;0,'損益分岐設定'!C40,IF('損益分岐設定'!B40*I400-U400&gt;=0,0,ROUNDUP(U400/I400,0)-1)))</x:f>
        <x:v>1000</x:v>
      </x:c>
      <x:c r="AD400" s="1" t="n">
        <x:v>0</x:v>
      </x:c>
      <x:c r="AE400" s="1" t="n">
        <x:v>1</x:v>
      </x:c>
      <x:c r="AF400" s="1" t="n">
        <x:v>0</x:v>
      </x:c>
      <x:c r="AG400" s="1" t="n">
        <x:f>AD400*('損益分岐設定'!$C$57*(1-'損益分岐設定'!$B$51)+'損益分岐設定'!$C$58*'損益分岐設定'!$B$51)+AE400*('損益分岐設定'!$C$60*(1-'損益分岐設定'!$B$51)+'損益分岐設定'!$C$61*'損益分岐設定'!$B$51)+AF400*('損益分岐設定'!$C$63*(1-'損益分岐設定'!$B$51)+'損益分岐設定'!$C$64*'損益分岐設定'!$B$51)</x:f>
        <x:v>2336.20881640625</x:v>
      </x:c>
      <x:c r="AH400" s="1" t="n">
        <x:f>AD400*('損益分岐設定'!$D$57*(1-'損益分岐設定'!$B$51)+'損益分岐設定'!$D$58*'損益分岐設定'!$B$51)+AE400*('損益分岐設定'!$D$60*(1-'損益分岐設定'!$B$51)+'損益分岐設定'!$D$61*'損益分岐設定'!$B$51)+AF400*('損益分岐設定'!$D$63*(1-'損益分岐設定'!$B$51)+'損益分岐設定'!$D$64*'損益分岐設定'!$B$51)</x:f>
        <x:v>192</x:v>
      </x:c>
      <x:c r="AI400" s="1" t="n">
        <x:f>AD400*('損益分岐設定'!$E$57*(1-'損益分岐設定'!$B$51)+'損益分岐設定'!$E$58*'損益分岐設定'!$B$51)+AE400*('損益分岐設定'!$E$60*(1-'損益分岐設定'!$B$51)+'損益分岐設定'!$E$61*'損益分岐設定'!$B$51)+AF400*('損益分岐設定'!$E$63*(1-'損益分岐設定'!$B$51)+'損益分岐設定'!$E$64*'損益分岐設定'!$B$51)</x:f>
        <x:v>224</x:v>
      </x:c>
      <x:c r="AJ400" s="1" t="n">
        <x:f>(AD400*('損益分岐設定'!$F$57*(1-'損益分岐設定'!$B$51)+'損益分岐設定'!$F$58*'損益分岐設定'!$B$51)+AE400*('損益分岐設定'!$F$60*(1-'損益分岐設定'!$B$51)+'損益分岐設定'!$F$61*'損益分岐設定'!$B$51)+AF400*('損益分岐設定'!$F$63*(1-'損益分岐設定'!$B$51)+'損益分岐設定'!$F$64*'損益分岐設定'!$B$51)*1)*'損益分岐設定'!$B$22</x:f>
        <x:v>1824</x:v>
      </x:c>
      <x:c r="AK400" s="1" t="n">
        <x:f>AD400*('損益分岐設定'!$G$57*(1-'損益分岐設定'!$B$51)+'損益分岐設定'!$G$58*'損益分岐設定'!$B$51)+AE400*('損益分岐設定'!$G$60*(1-'損益分岐設定'!$B$51)+'損益分岐設定'!$G$61*'損益分岐設定'!$B$51)+AF400*('損益分岐設定'!$G$63*(1-'損益分岐設定'!$B$51)+'損益分岐設定'!$G$64*'損益分岐設定'!$B$51)</x:f>
        <x:v>1600</x:v>
      </x:c>
      <x:c r="AL400" s="1" t="n">
        <x:f>AD400*('損益分岐設定'!$H$57*(1-'損益分岐設定'!$B$51)+'損益分岐設定'!$H$58*'損益分岐設定'!$B$51)+AE400*('損益分岐設定'!$H$60*(1-'損益分岐設定'!$B$51)+'損益分岐設定'!$H$61*'損益分岐設定'!$B$51)+AF400*('損益分岐設定'!$H$63*(1-'損益分岐設定'!$B$51)+'損益分岐設定'!$H$64*'損益分岐設定'!$B$51)</x:f>
        <x:v>826.6666666666667</x:v>
      </x:c>
      <x:c r="AM400" s="1" t="n">
        <x:f>MAX(1,ROUNDUP('損益分岐設定'!C37*AJ400/('損益分岐設定'!$B$23*'損益分岐設定'!$B$24*3600*'損益分岐設定'!$B$25),0))</x:f>
        <x:v>1</x:v>
      </x:c>
      <x:c r="AN400" s="1" t="n">
        <x:f>MAX(2,ROUNDUP('損益分岐設定'!C38*AJ400/('損益分岐設定'!$B$23*'損益分岐設定'!$B$24*3600*'損益分岐設定'!$B$25),0))</x:f>
        <x:v>2</x:v>
      </x:c>
      <x:c r="AO400" s="1" t="n">
        <x:f>MAX(2,ROUNDUP('損益分岐設定'!C39*AJ400/('損益分岐設定'!$B$23*'損益分岐設定'!$B$24*3600*'損益分岐設定'!$B$25),0))</x:f>
        <x:v>2</x:v>
      </x:c>
      <x:c r="AP400" s="1" t="n">
        <x:f>MAX(2,ROUNDUP('損益分岐設定'!C40*AJ400/('損益分岐設定'!$B$23*'損益分岐設定'!$B$24*3600*'損益分岐設定'!$B$25),0))</x:f>
        <x:v>4</x:v>
      </x:c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 ht="23" customHeight="1">
      <x:c r="A401" s="1" t="str">
        <x:v>VM</x:v>
      </x:c>
      <x:c r="B401" s="1" t="str">
        <x:v>Business</x:v>
      </x:c>
      <x:c r="C401" s="1" t="str">
        <x:v>標準+高位混在</x:v>
      </x:c>
      <x:c r="D401" s="21" t="n">
        <x:v>0.4</x:v>
      </x:c>
      <x:c r="E401" s="1" t="n">
        <x:v>0</x:v>
      </x:c>
      <x:c r="F401" s="7" t="n">
        <x:f>AD401*'損益分岐設定'!$B$5+AE401*'損益分岐設定'!$B$6+AF401*'損益分岐設定'!$B$7</x:f>
        <x:v>5000</x:v>
      </x:c>
      <x:c r="G401" s="7" t="n">
        <x:f>AG401+0+AK401*'損益分岐設定'!$B$33</x:f>
        <x:v>2336.226697799683</x:v>
      </x:c>
      <x:c r="H401" s="7" t="n">
        <x:f>AL401*E401</x:f>
        <x:v>0</x:v>
      </x:c>
      <x:c r="I401" s="7" t="n">
        <x:f>F401*(1-D401-'損益分岐設定'!$B$10)-G401-H401</x:f>
        <x:v>483.7733022003167</x:v>
      </x:c>
      <x:c r="J401" s="1" t="n">
        <x:f>IF(MIN(V401:Y401)&gt;1000,"範囲内なし",MIN(V401:Y401))</x:f>
        <x:v>201</x:v>
      </x:c>
      <x:c r="K401" s="1" t="n">
        <x:f>IF(MAX(Z401:AC401)&gt;=1000,"範囲内なし",MAX(1,MAX(Z401:AC401)+1))</x:f>
        <x:v>201</x:v>
      </x:c>
      <x:c r="L401" s="7" t="n">
        <x:f>10*I401-R401</x:f>
        <x:v>-45921.45373921811</x:v>
      </x:c>
      <x:c r="M401" s="7" t="n">
        <x:f>30*I401-S401</x:f>
        <x:v>-82505.17445643304</x:v>
      </x:c>
      <x:c r="N401" s="7" t="n">
        <x:f>50*I401-S401</x:f>
        <x:v>-72829.70841242671</x:v>
      </x:c>
      <x:c r="O401" s="7" t="n">
        <x:f>100*I401-S401</x:f>
        <x:v>-48641.04330241088</x:v>
      </x:c>
      <x:c r="P401" s="7" t="n">
        <x:f>300*I401-T401</x:f>
        <x:v>48113.61713765246</x:v>
      </x:c>
      <x:c r="Q401" s="7" t="n">
        <x:f>1000*I401-U401</x:f>
        <x:v>344995.7419166529</x:v>
      </x:c>
      <x:c r="R401" s="7" t="n">
        <x:f>'損益分岐設定'!$B$18+'損益分岐設定'!$B$19+'損益分岐設定'!$B$20+'損益分岐設定'!E37+('損益分岐設定'!F37+2*'損益分岐設定'!G37+AM401)*('損益分岐設定'!$B$15+'損益分岐設定'!$B$16)+'損益分岐設定'!$B$17+'損益分岐設定'!$B$21+E401*'損益分岐設定'!H37*'損益分岐設定'!$B$11</x:f>
        <x:v>50759.18676122127</x:v>
      </x:c>
      <x:c r="S401" s="7" t="n">
        <x:f>'損益分岐設定'!$B$18+'損益分岐設定'!$B$19+'損益分岐設定'!$B$20+'損益分岐設定'!E38+('損益分岐設定'!F38+2*'損益分岐設定'!G38+AN401)*('損益分岐設定'!$B$15+'損益分岐設定'!$B$16)+'損益分岐設定'!$B$17+'損益分岐設定'!$B$21+E401*'損益分岐設定'!H38*'損益分岐設定'!$B$11</x:f>
        <x:v>97018.37352244255</x:v>
      </x:c>
      <x:c r="T401" s="7" t="n">
        <x:f>'損益分岐設定'!$B$18+'損益分岐設定'!$B$19+'損益分岐設定'!$B$20+'損益分岐設定'!E39+('損益分岐設定'!F39+2*'損益分岐設定'!G39+AO401)*('損益分岐設定'!$B$15+'損益分岐設定'!$B$16)+'損益分岐設定'!$B$17+'損益分岐設定'!$B$21+E401*'損益分岐設定'!H39*'損益分岐設定'!$B$11</x:f>
        <x:v>97018.37352244255</x:v>
      </x:c>
      <x:c r="U401" s="7" t="n">
        <x:f>'損益分岐設定'!$B$18+'損益分岐設定'!$B$19+'損益分岐設定'!$B$20+'損益分岐設定'!E40+('損益分岐設定'!F40+2*'損益分岐設定'!G40+AP401)*('損益分岐設定'!$B$15+'損益分岐設定'!$B$16)+'損益分岐設定'!$B$17+'損益分岐設定'!$B$21+E401*'損益分岐設定'!H40*'損益分岐設定'!$B$11</x:f>
        <x:v>138777.56028366383</x:v>
      </x:c>
      <x:c r="V401" s="1" t="n">
        <x:f>IF(I401&lt;=0,1001,IF(MAX('損益分岐設定'!B37,ROUNDUP(R401/I401,0))&lt;='損益分岐設定'!C37,MAX('損益分岐設定'!B37,ROUNDUP(R401/I401,0)),1001))</x:f>
        <x:v>1001</x:v>
      </x:c>
      <x:c r="W401" s="1" t="n">
        <x:f>IF(I401&lt;=0,1001,IF(MAX('損益分岐設定'!B38,ROUNDUP(S401/I401,0))&lt;='損益分岐設定'!C38,MAX('損益分岐設定'!B38,ROUNDUP(S401/I401,0)),1001))</x:f>
        <x:v>1001</x:v>
      </x:c>
      <x:c r="X401" s="1" t="n">
        <x:f>IF(I401&lt;=0,1001,IF(MAX('損益分岐設定'!B39,ROUNDUP(T401/I401,0))&lt;='損益分岐設定'!C39,MAX('損益分岐設定'!B39,ROUNDUP(T401/I401,0)),1001))</x:f>
        <x:v>201</x:v>
      </x:c>
      <x:c r="Y401" s="1" t="n">
        <x:f>IF(I401&lt;=0,1001,IF(MAX('損益分岐設定'!B40,ROUNDUP(U401/I401,0))&lt;='損益分岐設定'!C40,MAX('損益分岐設定'!B40,ROUNDUP(U401/I401,0)),1001))</x:f>
        <x:v>501</x:v>
      </x:c>
      <x:c r="Z401" s="1" t="n">
        <x:f>IF(I401&lt;=0,'損益分岐設定'!C37,IF('損益分岐設定'!C37*I401-R401&lt;0,'損益分岐設定'!C37,IF('損益分岐設定'!B37*I401-R401&gt;=0,0,ROUNDUP(R401/I401,0)-1)))</x:f>
        <x:v>10</x:v>
      </x:c>
      <x:c r="AA401" s="1" t="n">
        <x:f>IF(I401&lt;=0,'損益分岐設定'!C38,IF('損益分岐設定'!C38*I401-S401&lt;0,'損益分岐設定'!C38,IF('損益分岐設定'!B38*I401-S401&gt;=0,0,ROUNDUP(S401/I401,0)-1)))</x:f>
        <x:v>100</x:v>
      </x:c>
      <x:c r="AB401" s="1" t="n">
        <x:f>IF(I401&lt;=0,'損益分岐設定'!C39,IF('損益分岐設定'!C39*I401-T401&lt;0,'損益分岐設定'!C39,IF('損益分岐設定'!B39*I401-T401&gt;=0,0,ROUNDUP(T401/I401,0)-1)))</x:f>
        <x:v>200</x:v>
      </x:c>
      <x:c r="AC401" s="1" t="n">
        <x:f>IF(I401&lt;=0,'損益分岐設定'!C40,IF('損益分岐設定'!C40*I401-U401&lt;0,'損益分岐設定'!C40,IF('損益分岐設定'!B40*I401-U401&gt;=0,0,ROUNDUP(U401/I401,0)-1)))</x:f>
        <x:v>0</x:v>
      </x:c>
      <x:c r="AD401" s="1" t="n">
        <x:v>0</x:v>
      </x:c>
      <x:c r="AE401" s="1" t="n">
        <x:v>1</x:v>
      </x:c>
      <x:c r="AF401" s="1" t="n">
        <x:v>0</x:v>
      </x:c>
      <x:c r="AG401" s="1" t="n">
        <x:f>AD401*('損益分岐設定'!$C$57*(1-'損益分岐設定'!$B$51)+'損益分岐設定'!$C$58*'損益分岐設定'!$B$51)+AE401*('損益分岐設定'!$C$60*(1-'損益分岐設定'!$B$51)+'損益分岐設定'!$C$61*'損益分岐設定'!$B$51)+AF401*('損益分岐設定'!$C$63*(1-'損益分岐設定'!$B$51)+'損益分岐設定'!$C$64*'損益分岐設定'!$B$51)</x:f>
        <x:v>2336.20881640625</x:v>
      </x:c>
      <x:c r="AH401" s="1" t="n">
        <x:f>AD401*('損益分岐設定'!$D$57*(1-'損益分岐設定'!$B$51)+'損益分岐設定'!$D$58*'損益分岐設定'!$B$51)+AE401*('損益分岐設定'!$D$60*(1-'損益分岐設定'!$B$51)+'損益分岐設定'!$D$61*'損益分岐設定'!$B$51)+AF401*('損益分岐設定'!$D$63*(1-'損益分岐設定'!$B$51)+'損益分岐設定'!$D$64*'損益分岐設定'!$B$51)</x:f>
        <x:v>192</x:v>
      </x:c>
      <x:c r="AI401" s="1" t="n">
        <x:f>AD401*('損益分岐設定'!$E$57*(1-'損益分岐設定'!$B$51)+'損益分岐設定'!$E$58*'損益分岐設定'!$B$51)+AE401*('損益分岐設定'!$E$60*(1-'損益分岐設定'!$B$51)+'損益分岐設定'!$E$61*'損益分岐設定'!$B$51)+AF401*('損益分岐設定'!$E$63*(1-'損益分岐設定'!$B$51)+'損益分岐設定'!$E$64*'損益分岐設定'!$B$51)</x:f>
        <x:v>224</x:v>
      </x:c>
      <x:c r="AJ401" s="1" t="n">
        <x:f>(AD401*('損益分岐設定'!$F$57*(1-'損益分岐設定'!$B$51)+'損益分岐設定'!$F$58*'損益分岐設定'!$B$51)+AE401*('損益分岐設定'!$F$60*(1-'損益分岐設定'!$B$51)+'損益分岐設定'!$F$61*'損益分岐設定'!$B$51)+AF401*('損益分岐設定'!$F$63*(1-'損益分岐設定'!$B$51)+'損益分岐設定'!$F$64*'損益分岐設定'!$B$51)*1)*'損益分岐設定'!$B$22</x:f>
        <x:v>1824</x:v>
      </x:c>
      <x:c r="AK401" s="1" t="n">
        <x:f>AD401*('損益分岐設定'!$G$57*(1-'損益分岐設定'!$B$51)+'損益分岐設定'!$G$58*'損益分岐設定'!$B$51)+AE401*('損益分岐設定'!$G$60*(1-'損益分岐設定'!$B$51)+'損益分岐設定'!$G$61*'損益分岐設定'!$B$51)+AF401*('損益分岐設定'!$G$63*(1-'損益分岐設定'!$B$51)+'損益分岐設定'!$G$64*'損益分岐設定'!$B$51)</x:f>
        <x:v>1600</x:v>
      </x:c>
      <x:c r="AL401" s="1" t="n">
        <x:f>AD401*('損益分岐設定'!$H$57*(1-'損益分岐設定'!$B$51)+'損益分岐設定'!$H$58*'損益分岐設定'!$B$51)+AE401*('損益分岐設定'!$H$60*(1-'損益分岐設定'!$B$51)+'損益分岐設定'!$H$61*'損益分岐設定'!$B$51)+AF401*('損益分岐設定'!$H$63*(1-'損益分岐設定'!$B$51)+'損益分岐設定'!$H$64*'損益分岐設定'!$B$51)</x:f>
        <x:v>826.6666666666667</x:v>
      </x:c>
      <x:c r="AM401" s="1" t="n">
        <x:f>MAX(1,ROUNDUP('損益分岐設定'!C37*AJ401/('損益分岐設定'!$B$23*'損益分岐設定'!$B$24*3600*'損益分岐設定'!$B$25),0))</x:f>
        <x:v>1</x:v>
      </x:c>
      <x:c r="AN401" s="1" t="n">
        <x:f>MAX(2,ROUNDUP('損益分岐設定'!C38*AJ401/('損益分岐設定'!$B$23*'損益分岐設定'!$B$24*3600*'損益分岐設定'!$B$25),0))</x:f>
        <x:v>2</x:v>
      </x:c>
      <x:c r="AO401" s="1" t="n">
        <x:f>MAX(2,ROUNDUP('損益分岐設定'!C39*AJ401/('損益分岐設定'!$B$23*'損益分岐設定'!$B$24*3600*'損益分岐設定'!$B$25),0))</x:f>
        <x:v>2</x:v>
      </x:c>
      <x:c r="AP401" s="1" t="n">
        <x:f>MAX(2,ROUNDUP('損益分岐設定'!C40*AJ401/('損益分岐設定'!$B$23*'損益分岐設定'!$B$24*3600*'損益分岐設定'!$B$25),0))</x:f>
        <x:v>4</x:v>
      </x:c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 ht="23" customHeight="1">
      <x:c r="A402" s="1" t="str">
        <x:v>VM</x:v>
      </x:c>
      <x:c r="B402" s="1" t="str">
        <x:v>Business</x:v>
      </x:c>
      <x:c r="C402" s="1" t="str">
        <x:v>標準+高位混在</x:v>
      </x:c>
      <x:c r="D402" s="21" t="n">
        <x:v>0.4</x:v>
      </x:c>
      <x:c r="E402" s="1" t="n">
        <x:v>1</x:v>
      </x:c>
      <x:c r="F402" s="7" t="n">
        <x:f>AD402*'損益分岐設定'!$B$5+AE402*'損益分岐設定'!$B$6+AF402*'損益分岐設定'!$B$7</x:f>
        <x:v>5000</x:v>
      </x:c>
      <x:c r="G402" s="7" t="n">
        <x:f>AG402+0+AK402*'損益分岐設定'!$B$33</x:f>
        <x:v>2336.226697799683</x:v>
      </x:c>
      <x:c r="H402" s="7" t="n">
        <x:f>AL402*E402</x:f>
        <x:v>826.6666666666667</x:v>
      </x:c>
      <x:c r="I402" s="7" t="n">
        <x:f>F402*(1-D402-'損益分岐設定'!$B$10)-G402-H402</x:f>
        <x:v>-342.89336446635</x:v>
      </x:c>
      <x:c r="J402" s="1" t="str">
        <x:f>IF(MIN(V402:Y402)&gt;1000,"範囲内なし",MIN(V402:Y402))</x:f>
        <x:v>範囲内なし</x:v>
      </x:c>
      <x:c r="K402" s="1" t="str">
        <x:f>IF(MAX(Z402:AC402)&gt;=1000,"範囲内なし",MAX(1,MAX(Z402:AC402)+1))</x:f>
        <x:v>範囲内なし</x:v>
      </x:c>
      <x:c r="L402" s="7" t="n">
        <x:f>10*I402-R402</x:f>
        <x:v>-86188.12040588477</x:v>
      </x:c>
      <x:c r="M402" s="7" t="n">
        <x:f>30*I402-S402</x:f>
        <x:v>-155305.17445643304</x:v>
      </x:c>
      <x:c r="N402" s="7" t="n">
        <x:f>50*I402-S402</x:f>
        <x:v>-162163.04174576004</x:v>
      </x:c>
      <x:c r="O402" s="7" t="n">
        <x:f>100*I402-S402</x:f>
        <x:v>-179307.70996907755</x:v>
      </x:c>
      <x:c r="P402" s="7" t="n">
        <x:f>300*I402-T402</x:f>
        <x:v>-279886.3828623475</x:v>
      </x:c>
      <x:c r="Q402" s="7" t="n">
        <x:f>1000*I402-U402</x:f>
        <x:v>-609670.9247500137</x:v>
      </x:c>
      <x:c r="R402" s="7" t="n">
        <x:f>'損益分岐設定'!$B$18+'損益分岐設定'!$B$19+'損益分岐設定'!$B$20+'損益分岐設定'!E37+('損益分岐設定'!F37+2*'損益分岐設定'!G37+AM402)*('損益分岐設定'!$B$15+'損益分岐設定'!$B$16)+'損益分岐設定'!$B$17+'損益分岐設定'!$B$21+E402*'損益分岐設定'!H37*'損益分岐設定'!$B$11</x:f>
        <x:v>82759.18676122127</x:v>
      </x:c>
      <x:c r="S402" s="7" t="n">
        <x:f>'損益分岐設定'!$B$18+'損益分岐設定'!$B$19+'損益分岐設定'!$B$20+'損益分岐設定'!E38+('損益分岐設定'!F38+2*'損益分岐設定'!G38+AN402)*('損益分岐設定'!$B$15+'損益分岐設定'!$B$16)+'損益分岐設定'!$B$17+'損益分岐設定'!$B$21+E402*'損益分岐設定'!H38*'損益分岐設定'!$B$11</x:f>
        <x:v>145018.37352244253</x:v>
      </x:c>
      <x:c r="T402" s="7" t="n">
        <x:f>'損益分岐設定'!$B$18+'損益分岐設定'!$B$19+'損益分岐設定'!$B$20+'損益分岐設定'!E39+('損益分岐設定'!F39+2*'損益分岐設定'!G39+AO402)*('損益分岐設定'!$B$15+'損益分岐設定'!$B$16)+'損益分岐設定'!$B$17+'損益分岐設定'!$B$21+E402*'損益分岐設定'!H39*'損益分岐設定'!$B$11</x:f>
        <x:v>177018.37352244253</x:v>
      </x:c>
      <x:c r="U402" s="7" t="n">
        <x:f>'損益分岐設定'!$B$18+'損益分岐設定'!$B$19+'損益分岐設定'!$B$20+'損益分岐設定'!E40+('損益分岐設定'!F40+2*'損益分岐設定'!G40+AP402)*('損益分岐設定'!$B$15+'損益分岐設定'!$B$16)+'損益分岐設定'!$B$17+'損益分岐設定'!$B$21+E402*'損益分岐設定'!H40*'損益分岐設定'!$B$11</x:f>
        <x:v>266777.5602836638</x:v>
      </x:c>
      <x:c r="V402" s="1" t="n">
        <x:f>IF(I402&lt;=0,1001,IF(MAX('損益分岐設定'!B37,ROUNDUP(R402/I402,0))&lt;='損益分岐設定'!C37,MAX('損益分岐設定'!B37,ROUNDUP(R402/I402,0)),1001))</x:f>
        <x:v>1001</x:v>
      </x:c>
      <x:c r="W402" s="1" t="n">
        <x:f>IF(I402&lt;=0,1001,IF(MAX('損益分岐設定'!B38,ROUNDUP(S402/I402,0))&lt;='損益分岐設定'!C38,MAX('損益分岐設定'!B38,ROUNDUP(S402/I402,0)),1001))</x:f>
        <x:v>1001</x:v>
      </x:c>
      <x:c r="X402" s="1" t="n">
        <x:f>IF(I402&lt;=0,1001,IF(MAX('損益分岐設定'!B39,ROUNDUP(T402/I402,0))&lt;='損益分岐設定'!C39,MAX('損益分岐設定'!B39,ROUNDUP(T402/I402,0)),1001))</x:f>
        <x:v>1001</x:v>
      </x:c>
      <x:c r="Y402" s="1" t="n">
        <x:f>IF(I402&lt;=0,1001,IF(MAX('損益分岐設定'!B40,ROUNDUP(U402/I402,0))&lt;='損益分岐設定'!C40,MAX('損益分岐設定'!B40,ROUNDUP(U402/I402,0)),1001))</x:f>
        <x:v>1001</x:v>
      </x:c>
      <x:c r="Z402" s="1" t="n">
        <x:f>IF(I402&lt;=0,'損益分岐設定'!C37,IF('損益分岐設定'!C37*I402-R402&lt;0,'損益分岐設定'!C37,IF('損益分岐設定'!B37*I402-R402&gt;=0,0,ROUNDUP(R402/I402,0)-1)))</x:f>
        <x:v>10</x:v>
      </x:c>
      <x:c r="AA402" s="1" t="n">
        <x:f>IF(I402&lt;=0,'損益分岐設定'!C38,IF('損益分岐設定'!C38*I402-S402&lt;0,'損益分岐設定'!C38,IF('損益分岐設定'!B38*I402-S402&gt;=0,0,ROUNDUP(S402/I402,0)-1)))</x:f>
        <x:v>100</x:v>
      </x:c>
      <x:c r="AB402" s="1" t="n">
        <x:f>IF(I402&lt;=0,'損益分岐設定'!C39,IF('損益分岐設定'!C39*I402-T402&lt;0,'損益分岐設定'!C39,IF('損益分岐設定'!B39*I402-T402&gt;=0,0,ROUNDUP(T402/I402,0)-1)))</x:f>
        <x:v>500</x:v>
      </x:c>
      <x:c r="AC402" s="1" t="n">
        <x:f>IF(I402&lt;=0,'損益分岐設定'!C40,IF('損益分岐設定'!C40*I402-U402&lt;0,'損益分岐設定'!C40,IF('損益分岐設定'!B40*I402-U402&gt;=0,0,ROUNDUP(U402/I402,0)-1)))</x:f>
        <x:v>1000</x:v>
      </x:c>
      <x:c r="AD402" s="1" t="n">
        <x:v>0</x:v>
      </x:c>
      <x:c r="AE402" s="1" t="n">
        <x:v>1</x:v>
      </x:c>
      <x:c r="AF402" s="1" t="n">
        <x:v>0</x:v>
      </x:c>
      <x:c r="AG402" s="1" t="n">
        <x:f>AD402*('損益分岐設定'!$C$57*(1-'損益分岐設定'!$B$51)+'損益分岐設定'!$C$58*'損益分岐設定'!$B$51)+AE402*('損益分岐設定'!$C$60*(1-'損益分岐設定'!$B$51)+'損益分岐設定'!$C$61*'損益分岐設定'!$B$51)+AF402*('損益分岐設定'!$C$63*(1-'損益分岐設定'!$B$51)+'損益分岐設定'!$C$64*'損益分岐設定'!$B$51)</x:f>
        <x:v>2336.20881640625</x:v>
      </x:c>
      <x:c r="AH402" s="1" t="n">
        <x:f>AD402*('損益分岐設定'!$D$57*(1-'損益分岐設定'!$B$51)+'損益分岐設定'!$D$58*'損益分岐設定'!$B$51)+AE402*('損益分岐設定'!$D$60*(1-'損益分岐設定'!$B$51)+'損益分岐設定'!$D$61*'損益分岐設定'!$B$51)+AF402*('損益分岐設定'!$D$63*(1-'損益分岐設定'!$B$51)+'損益分岐設定'!$D$64*'損益分岐設定'!$B$51)</x:f>
        <x:v>192</x:v>
      </x:c>
      <x:c r="AI402" s="1" t="n">
        <x:f>AD402*('損益分岐設定'!$E$57*(1-'損益分岐設定'!$B$51)+'損益分岐設定'!$E$58*'損益分岐設定'!$B$51)+AE402*('損益分岐設定'!$E$60*(1-'損益分岐設定'!$B$51)+'損益分岐設定'!$E$61*'損益分岐設定'!$B$51)+AF402*('損益分岐設定'!$E$63*(1-'損益分岐設定'!$B$51)+'損益分岐設定'!$E$64*'損益分岐設定'!$B$51)</x:f>
        <x:v>224</x:v>
      </x:c>
      <x:c r="AJ402" s="1" t="n">
        <x:f>(AD402*('損益分岐設定'!$F$57*(1-'損益分岐設定'!$B$51)+'損益分岐設定'!$F$58*'損益分岐設定'!$B$51)+AE402*('損益分岐設定'!$F$60*(1-'損益分岐設定'!$B$51)+'損益分岐設定'!$F$61*'損益分岐設定'!$B$51)+AF402*('損益分岐設定'!$F$63*(1-'損益分岐設定'!$B$51)+'損益分岐設定'!$F$64*'損益分岐設定'!$B$51)*1)*'損益分岐設定'!$B$22</x:f>
        <x:v>1824</x:v>
      </x:c>
      <x:c r="AK402" s="1" t="n">
        <x:f>AD402*('損益分岐設定'!$G$57*(1-'損益分岐設定'!$B$51)+'損益分岐設定'!$G$58*'損益分岐設定'!$B$51)+AE402*('損益分岐設定'!$G$60*(1-'損益分岐設定'!$B$51)+'損益分岐設定'!$G$61*'損益分岐設定'!$B$51)+AF402*('損益分岐設定'!$G$63*(1-'損益分岐設定'!$B$51)+'損益分岐設定'!$G$64*'損益分岐設定'!$B$51)</x:f>
        <x:v>1600</x:v>
      </x:c>
      <x:c r="AL402" s="1" t="n">
        <x:f>AD402*('損益分岐設定'!$H$57*(1-'損益分岐設定'!$B$51)+'損益分岐設定'!$H$58*'損益分岐設定'!$B$51)+AE402*('損益分岐設定'!$H$60*(1-'損益分岐設定'!$B$51)+'損益分岐設定'!$H$61*'損益分岐設定'!$B$51)+AF402*('損益分岐設定'!$H$63*(1-'損益分岐設定'!$B$51)+'損益分岐設定'!$H$64*'損益分岐設定'!$B$51)</x:f>
        <x:v>826.6666666666667</x:v>
      </x:c>
      <x:c r="AM402" s="1" t="n">
        <x:f>MAX(1,ROUNDUP('損益分岐設定'!C37*AJ402/('損益分岐設定'!$B$23*'損益分岐設定'!$B$24*3600*'損益分岐設定'!$B$25),0))</x:f>
        <x:v>1</x:v>
      </x:c>
      <x:c r="AN402" s="1" t="n">
        <x:f>MAX(2,ROUNDUP('損益分岐設定'!C38*AJ402/('損益分岐設定'!$B$23*'損益分岐設定'!$B$24*3600*'損益分岐設定'!$B$25),0))</x:f>
        <x:v>2</x:v>
      </x:c>
      <x:c r="AO402" s="1" t="n">
        <x:f>MAX(2,ROUNDUP('損益分岐設定'!C39*AJ402/('損益分岐設定'!$B$23*'損益分岐設定'!$B$24*3600*'損益分岐設定'!$B$25),0))</x:f>
        <x:v>2</x:v>
      </x:c>
      <x:c r="AP402" s="1" t="n">
        <x:f>MAX(2,ROUNDUP('損益分岐設定'!C40*AJ402/('損益分岐設定'!$B$23*'損益分岐設定'!$B$24*3600*'損益分岐設定'!$B$25),0))</x:f>
        <x:v>4</x:v>
      </x:c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 ht="23" customHeight="1">
      <x:c r="A403" s="1" t="str">
        <x:v>VM</x:v>
      </x:c>
      <x:c r="B403" s="1" t="str">
        <x:v>Business</x:v>
      </x:c>
      <x:c r="C403" s="1" t="str">
        <x:v>標準+高位混在</x:v>
      </x:c>
      <x:c r="D403" s="21" t="n">
        <x:v>0.5</x:v>
      </x:c>
      <x:c r="E403" s="1" t="n">
        <x:v>0</x:v>
      </x:c>
      <x:c r="F403" s="7" t="n">
        <x:f>AD403*'損益分岐設定'!$B$5+AE403*'損益分岐設定'!$B$6+AF403*'損益分岐設定'!$B$7</x:f>
        <x:v>5000</x:v>
      </x:c>
      <x:c r="G403" s="7" t="n">
        <x:f>AG403+0+AK403*'損益分岐設定'!$B$33</x:f>
        <x:v>2336.226697799683</x:v>
      </x:c>
      <x:c r="H403" s="7" t="n">
        <x:f>AL403*E403</x:f>
        <x:v>0</x:v>
      </x:c>
      <x:c r="I403" s="7" t="n">
        <x:f>F403*(1-D403-'損益分岐設定'!$B$10)-G403-H403</x:f>
        <x:v>-16.226697799682825</x:v>
      </x:c>
      <x:c r="J403" s="1" t="str">
        <x:f>IF(MIN(V403:Y403)&gt;1000,"範囲内なし",MIN(V403:Y403))</x:f>
        <x:v>範囲内なし</x:v>
      </x:c>
      <x:c r="K403" s="1" t="str">
        <x:f>IF(MAX(Z403:AC403)&gt;=1000,"範囲内なし",MAX(1,MAX(Z403:AC403)+1))</x:f>
        <x:v>範囲内なし</x:v>
      </x:c>
      <x:c r="L403" s="7" t="n">
        <x:f>10*I403-R403</x:f>
        <x:v>-50921.4537392181</x:v>
      </x:c>
      <x:c r="M403" s="7" t="n">
        <x:f>30*I403-S403</x:f>
        <x:v>-97505.17445643303</x:v>
      </x:c>
      <x:c r="N403" s="7" t="n">
        <x:f>50*I403-S403</x:f>
        <x:v>-97829.70841242668</x:v>
      </x:c>
      <x:c r="O403" s="7" t="n">
        <x:f>100*I403-S403</x:f>
        <x:v>-98641.04330241084</x:v>
      </x:c>
      <x:c r="P403" s="7" t="n">
        <x:f>300*I403-T403</x:f>
        <x:v>-101886.3828623474</x:v>
      </x:c>
      <x:c r="Q403" s="7" t="n">
        <x:f>1000*I403-U403</x:f>
        <x:v>-155004.25808334665</x:v>
      </x:c>
      <x:c r="R403" s="7" t="n">
        <x:f>'損益分岐設定'!$B$18+'損益分岐設定'!$B$19+'損益分岐設定'!$B$20+'損益分岐設定'!E37+('損益分岐設定'!F37+2*'損益分岐設定'!G37+AM403)*('損益分岐設定'!$B$15+'損益分岐設定'!$B$16)+'損益分岐設定'!$B$17+'損益分岐設定'!$B$21+E403*'損益分岐設定'!H37*'損益分岐設定'!$B$11</x:f>
        <x:v>50759.18676122127</x:v>
      </x:c>
      <x:c r="S403" s="7" t="n">
        <x:f>'損益分岐設定'!$B$18+'損益分岐設定'!$B$19+'損益分岐設定'!$B$20+'損益分岐設定'!E38+('損益分岐設定'!F38+2*'損益分岐設定'!G38+AN403)*('損益分岐設定'!$B$15+'損益分岐設定'!$B$16)+'損益分岐設定'!$B$17+'損益分岐設定'!$B$21+E403*'損益分岐設定'!H38*'損益分岐設定'!$B$11</x:f>
        <x:v>97018.37352244255</x:v>
      </x:c>
      <x:c r="T403" s="7" t="n">
        <x:f>'損益分岐設定'!$B$18+'損益分岐設定'!$B$19+'損益分岐設定'!$B$20+'損益分岐設定'!E39+('損益分岐設定'!F39+2*'損益分岐設定'!G39+AO403)*('損益分岐設定'!$B$15+'損益分岐設定'!$B$16)+'損益分岐設定'!$B$17+'損益分岐設定'!$B$21+E403*'損益分岐設定'!H39*'損益分岐設定'!$B$11</x:f>
        <x:v>97018.37352244255</x:v>
      </x:c>
      <x:c r="U403" s="7" t="n">
        <x:f>'損益分岐設定'!$B$18+'損益分岐設定'!$B$19+'損益分岐設定'!$B$20+'損益分岐設定'!E40+('損益分岐設定'!F40+2*'損益分岐設定'!G40+AP403)*('損益分岐設定'!$B$15+'損益分岐設定'!$B$16)+'損益分岐設定'!$B$17+'損益分岐設定'!$B$21+E403*'損益分岐設定'!H40*'損益分岐設定'!$B$11</x:f>
        <x:v>138777.56028366383</x:v>
      </x:c>
      <x:c r="V403" s="1" t="n">
        <x:f>IF(I403&lt;=0,1001,IF(MAX('損益分岐設定'!B37,ROUNDUP(R403/I403,0))&lt;='損益分岐設定'!C37,MAX('損益分岐設定'!B37,ROUNDUP(R403/I403,0)),1001))</x:f>
        <x:v>1001</x:v>
      </x:c>
      <x:c r="W403" s="1" t="n">
        <x:f>IF(I403&lt;=0,1001,IF(MAX('損益分岐設定'!B38,ROUNDUP(S403/I403,0))&lt;='損益分岐設定'!C38,MAX('損益分岐設定'!B38,ROUNDUP(S403/I403,0)),1001))</x:f>
        <x:v>1001</x:v>
      </x:c>
      <x:c r="X403" s="1" t="n">
        <x:f>IF(I403&lt;=0,1001,IF(MAX('損益分岐設定'!B39,ROUNDUP(T403/I403,0))&lt;='損益分岐設定'!C39,MAX('損益分岐設定'!B39,ROUNDUP(T403/I403,0)),1001))</x:f>
        <x:v>1001</x:v>
      </x:c>
      <x:c r="Y403" s="1" t="n">
        <x:f>IF(I403&lt;=0,1001,IF(MAX('損益分岐設定'!B40,ROUNDUP(U403/I403,0))&lt;='損益分岐設定'!C40,MAX('損益分岐設定'!B40,ROUNDUP(U403/I403,0)),1001))</x:f>
        <x:v>1001</x:v>
      </x:c>
      <x:c r="Z403" s="1" t="n">
        <x:f>IF(I403&lt;=0,'損益分岐設定'!C37,IF('損益分岐設定'!C37*I403-R403&lt;0,'損益分岐設定'!C37,IF('損益分岐設定'!B37*I403-R403&gt;=0,0,ROUNDUP(R403/I403,0)-1)))</x:f>
        <x:v>10</x:v>
      </x:c>
      <x:c r="AA403" s="1" t="n">
        <x:f>IF(I403&lt;=0,'損益分岐設定'!C38,IF('損益分岐設定'!C38*I403-S403&lt;0,'損益分岐設定'!C38,IF('損益分岐設定'!B38*I403-S403&gt;=0,0,ROUNDUP(S403/I403,0)-1)))</x:f>
        <x:v>100</x:v>
      </x:c>
      <x:c r="AB403" s="1" t="n">
        <x:f>IF(I403&lt;=0,'損益分岐設定'!C39,IF('損益分岐設定'!C39*I403-T403&lt;0,'損益分岐設定'!C39,IF('損益分岐設定'!B39*I403-T403&gt;=0,0,ROUNDUP(T403/I403,0)-1)))</x:f>
        <x:v>500</x:v>
      </x:c>
      <x:c r="AC403" s="1" t="n">
        <x:f>IF(I403&lt;=0,'損益分岐設定'!C40,IF('損益分岐設定'!C40*I403-U403&lt;0,'損益分岐設定'!C40,IF('損益分岐設定'!B40*I403-U403&gt;=0,0,ROUNDUP(U403/I403,0)-1)))</x:f>
        <x:v>1000</x:v>
      </x:c>
      <x:c r="AD403" s="1" t="n">
        <x:v>0</x:v>
      </x:c>
      <x:c r="AE403" s="1" t="n">
        <x:v>1</x:v>
      </x:c>
      <x:c r="AF403" s="1" t="n">
        <x:v>0</x:v>
      </x:c>
      <x:c r="AG403" s="1" t="n">
        <x:f>AD403*('損益分岐設定'!$C$57*(1-'損益分岐設定'!$B$51)+'損益分岐設定'!$C$58*'損益分岐設定'!$B$51)+AE403*('損益分岐設定'!$C$60*(1-'損益分岐設定'!$B$51)+'損益分岐設定'!$C$61*'損益分岐設定'!$B$51)+AF403*('損益分岐設定'!$C$63*(1-'損益分岐設定'!$B$51)+'損益分岐設定'!$C$64*'損益分岐設定'!$B$51)</x:f>
        <x:v>2336.20881640625</x:v>
      </x:c>
      <x:c r="AH403" s="1" t="n">
        <x:f>AD403*('損益分岐設定'!$D$57*(1-'損益分岐設定'!$B$51)+'損益分岐設定'!$D$58*'損益分岐設定'!$B$51)+AE403*('損益分岐設定'!$D$60*(1-'損益分岐設定'!$B$51)+'損益分岐設定'!$D$61*'損益分岐設定'!$B$51)+AF403*('損益分岐設定'!$D$63*(1-'損益分岐設定'!$B$51)+'損益分岐設定'!$D$64*'損益分岐設定'!$B$51)</x:f>
        <x:v>192</x:v>
      </x:c>
      <x:c r="AI403" s="1" t="n">
        <x:f>AD403*('損益分岐設定'!$E$57*(1-'損益分岐設定'!$B$51)+'損益分岐設定'!$E$58*'損益分岐設定'!$B$51)+AE403*('損益分岐設定'!$E$60*(1-'損益分岐設定'!$B$51)+'損益分岐設定'!$E$61*'損益分岐設定'!$B$51)+AF403*('損益分岐設定'!$E$63*(1-'損益分岐設定'!$B$51)+'損益分岐設定'!$E$64*'損益分岐設定'!$B$51)</x:f>
        <x:v>224</x:v>
      </x:c>
      <x:c r="AJ403" s="1" t="n">
        <x:f>(AD403*('損益分岐設定'!$F$57*(1-'損益分岐設定'!$B$51)+'損益分岐設定'!$F$58*'損益分岐設定'!$B$51)+AE403*('損益分岐設定'!$F$60*(1-'損益分岐設定'!$B$51)+'損益分岐設定'!$F$61*'損益分岐設定'!$B$51)+AF403*('損益分岐設定'!$F$63*(1-'損益分岐設定'!$B$51)+'損益分岐設定'!$F$64*'損益分岐設定'!$B$51)*1)*'損益分岐設定'!$B$22</x:f>
        <x:v>1824</x:v>
      </x:c>
      <x:c r="AK403" s="1" t="n">
        <x:f>AD403*('損益分岐設定'!$G$57*(1-'損益分岐設定'!$B$51)+'損益分岐設定'!$G$58*'損益分岐設定'!$B$51)+AE403*('損益分岐設定'!$G$60*(1-'損益分岐設定'!$B$51)+'損益分岐設定'!$G$61*'損益分岐設定'!$B$51)+AF403*('損益分岐設定'!$G$63*(1-'損益分岐設定'!$B$51)+'損益分岐設定'!$G$64*'損益分岐設定'!$B$51)</x:f>
        <x:v>1600</x:v>
      </x:c>
      <x:c r="AL403" s="1" t="n">
        <x:f>AD403*('損益分岐設定'!$H$57*(1-'損益分岐設定'!$B$51)+'損益分岐設定'!$H$58*'損益分岐設定'!$B$51)+AE403*('損益分岐設定'!$H$60*(1-'損益分岐設定'!$B$51)+'損益分岐設定'!$H$61*'損益分岐設定'!$B$51)+AF403*('損益分岐設定'!$H$63*(1-'損益分岐設定'!$B$51)+'損益分岐設定'!$H$64*'損益分岐設定'!$B$51)</x:f>
        <x:v>826.6666666666667</x:v>
      </x:c>
      <x:c r="AM403" s="1" t="n">
        <x:f>MAX(1,ROUNDUP('損益分岐設定'!C37*AJ403/('損益分岐設定'!$B$23*'損益分岐設定'!$B$24*3600*'損益分岐設定'!$B$25),0))</x:f>
        <x:v>1</x:v>
      </x:c>
      <x:c r="AN403" s="1" t="n">
        <x:f>MAX(2,ROUNDUP('損益分岐設定'!C38*AJ403/('損益分岐設定'!$B$23*'損益分岐設定'!$B$24*3600*'損益分岐設定'!$B$25),0))</x:f>
        <x:v>2</x:v>
      </x:c>
      <x:c r="AO403" s="1" t="n">
        <x:f>MAX(2,ROUNDUP('損益分岐設定'!C39*AJ403/('損益分岐設定'!$B$23*'損益分岐設定'!$B$24*3600*'損益分岐設定'!$B$25),0))</x:f>
        <x:v>2</x:v>
      </x:c>
      <x:c r="AP403" s="1" t="n">
        <x:f>MAX(2,ROUNDUP('損益分岐設定'!C40*AJ403/('損益分岐設定'!$B$23*'損益分岐設定'!$B$24*3600*'損益分岐設定'!$B$25),0))</x:f>
        <x:v>4</x:v>
      </x:c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 ht="23" customHeight="1">
      <x:c r="A404" s="1" t="str">
        <x:v>VM</x:v>
      </x:c>
      <x:c r="B404" s="1" t="str">
        <x:v>Business</x:v>
      </x:c>
      <x:c r="C404" s="1" t="str">
        <x:v>標準+高位混在</x:v>
      </x:c>
      <x:c r="D404" s="21" t="n">
        <x:v>0.5</x:v>
      </x:c>
      <x:c r="E404" s="1" t="n">
        <x:v>1</x:v>
      </x:c>
      <x:c r="F404" s="7" t="n">
        <x:f>AD404*'損益分岐設定'!$B$5+AE404*'損益分岐設定'!$B$6+AF404*'損益分岐設定'!$B$7</x:f>
        <x:v>5000</x:v>
      </x:c>
      <x:c r="G404" s="7" t="n">
        <x:f>AG404+0+AK404*'損益分岐設定'!$B$33</x:f>
        <x:v>2336.226697799683</x:v>
      </x:c>
      <x:c r="H404" s="7" t="n">
        <x:f>AL404*E404</x:f>
        <x:v>826.6666666666667</x:v>
      </x:c>
      <x:c r="I404" s="7" t="n">
        <x:f>F404*(1-D404-'損益分岐設定'!$B$10)-G404-H404</x:f>
        <x:v>-842.8933644663496</x:v>
      </x:c>
      <x:c r="J404" s="1" t="str">
        <x:f>IF(MIN(V404:Y404)&gt;1000,"範囲内なし",MIN(V404:Y404))</x:f>
        <x:v>範囲内なし</x:v>
      </x:c>
      <x:c r="K404" s="1" t="str">
        <x:f>IF(MAX(Z404:AC404)&gt;=1000,"範囲内なし",MAX(1,MAX(Z404:AC404)+1))</x:f>
        <x:v>範囲内なし</x:v>
      </x:c>
      <x:c r="L404" s="7" t="n">
        <x:f>10*I404-R404</x:f>
        <x:v>-91188.12040588477</x:v>
      </x:c>
      <x:c r="M404" s="7" t="n">
        <x:f>30*I404-S404</x:f>
        <x:v>-170305.17445643301</x:v>
      </x:c>
      <x:c r="N404" s="7" t="n">
        <x:f>50*I404-S404</x:f>
        <x:v>-187163.04174576</x:v>
      </x:c>
      <x:c r="O404" s="7" t="n">
        <x:f>100*I404-S404</x:f>
        <x:v>-229307.7099690775</x:v>
      </x:c>
      <x:c r="P404" s="7" t="n">
        <x:f>300*I404-T404</x:f>
        <x:v>-429886.3828623474</x:v>
      </x:c>
      <x:c r="Q404" s="7" t="n">
        <x:f>1000*I404-U404</x:f>
        <x:v>-1109670.9247500133</x:v>
      </x:c>
      <x:c r="R404" s="7" t="n">
        <x:f>'損益分岐設定'!$B$18+'損益分岐設定'!$B$19+'損益分岐設定'!$B$20+'損益分岐設定'!E37+('損益分岐設定'!F37+2*'損益分岐設定'!G37+AM404)*('損益分岐設定'!$B$15+'損益分岐設定'!$B$16)+'損益分岐設定'!$B$17+'損益分岐設定'!$B$21+E404*'損益分岐設定'!H37*'損益分岐設定'!$B$11</x:f>
        <x:v>82759.18676122127</x:v>
      </x:c>
      <x:c r="S404" s="7" t="n">
        <x:f>'損益分岐設定'!$B$18+'損益分岐設定'!$B$19+'損益分岐設定'!$B$20+'損益分岐設定'!E38+('損益分岐設定'!F38+2*'損益分岐設定'!G38+AN404)*('損益分岐設定'!$B$15+'損益分岐設定'!$B$16)+'損益分岐設定'!$B$17+'損益分岐設定'!$B$21+E404*'損益分岐設定'!H38*'損益分岐設定'!$B$11</x:f>
        <x:v>145018.37352244253</x:v>
      </x:c>
      <x:c r="T404" s="7" t="n">
        <x:f>'損益分岐設定'!$B$18+'損益分岐設定'!$B$19+'損益分岐設定'!$B$20+'損益分岐設定'!E39+('損益分岐設定'!F39+2*'損益分岐設定'!G39+AO404)*('損益分岐設定'!$B$15+'損益分岐設定'!$B$16)+'損益分岐設定'!$B$17+'損益分岐設定'!$B$21+E404*'損益分岐設定'!H39*'損益分岐設定'!$B$11</x:f>
        <x:v>177018.37352244253</x:v>
      </x:c>
      <x:c r="U404" s="7" t="n">
        <x:f>'損益分岐設定'!$B$18+'損益分岐設定'!$B$19+'損益分岐設定'!$B$20+'損益分岐設定'!E40+('損益分岐設定'!F40+2*'損益分岐設定'!G40+AP404)*('損益分岐設定'!$B$15+'損益分岐設定'!$B$16)+'損益分岐設定'!$B$17+'損益分岐設定'!$B$21+E404*'損益分岐設定'!H40*'損益分岐設定'!$B$11</x:f>
        <x:v>266777.5602836638</x:v>
      </x:c>
      <x:c r="V404" s="1" t="n">
        <x:f>IF(I404&lt;=0,1001,IF(MAX('損益分岐設定'!B37,ROUNDUP(R404/I404,0))&lt;='損益分岐設定'!C37,MAX('損益分岐設定'!B37,ROUNDUP(R404/I404,0)),1001))</x:f>
        <x:v>1001</x:v>
      </x:c>
      <x:c r="W404" s="1" t="n">
        <x:f>IF(I404&lt;=0,1001,IF(MAX('損益分岐設定'!B38,ROUNDUP(S404/I404,0))&lt;='損益分岐設定'!C38,MAX('損益分岐設定'!B38,ROUNDUP(S404/I404,0)),1001))</x:f>
        <x:v>1001</x:v>
      </x:c>
      <x:c r="X404" s="1" t="n">
        <x:f>IF(I404&lt;=0,1001,IF(MAX('損益分岐設定'!B39,ROUNDUP(T404/I404,0))&lt;='損益分岐設定'!C39,MAX('損益分岐設定'!B39,ROUNDUP(T404/I404,0)),1001))</x:f>
        <x:v>1001</x:v>
      </x:c>
      <x:c r="Y404" s="1" t="n">
        <x:f>IF(I404&lt;=0,1001,IF(MAX('損益分岐設定'!B40,ROUNDUP(U404/I404,0))&lt;='損益分岐設定'!C40,MAX('損益分岐設定'!B40,ROUNDUP(U404/I404,0)),1001))</x:f>
        <x:v>1001</x:v>
      </x:c>
      <x:c r="Z404" s="1" t="n">
        <x:f>IF(I404&lt;=0,'損益分岐設定'!C37,IF('損益分岐設定'!C37*I404-R404&lt;0,'損益分岐設定'!C37,IF('損益分岐設定'!B37*I404-R404&gt;=0,0,ROUNDUP(R404/I404,0)-1)))</x:f>
        <x:v>10</x:v>
      </x:c>
      <x:c r="AA404" s="1" t="n">
        <x:f>IF(I404&lt;=0,'損益分岐設定'!C38,IF('損益分岐設定'!C38*I404-S404&lt;0,'損益分岐設定'!C38,IF('損益分岐設定'!B38*I404-S404&gt;=0,0,ROUNDUP(S404/I404,0)-1)))</x:f>
        <x:v>100</x:v>
      </x:c>
      <x:c r="AB404" s="1" t="n">
        <x:f>IF(I404&lt;=0,'損益分岐設定'!C39,IF('損益分岐設定'!C39*I404-T404&lt;0,'損益分岐設定'!C39,IF('損益分岐設定'!B39*I404-T404&gt;=0,0,ROUNDUP(T404/I404,0)-1)))</x:f>
        <x:v>500</x:v>
      </x:c>
      <x:c r="AC404" s="1" t="n">
        <x:f>IF(I404&lt;=0,'損益分岐設定'!C40,IF('損益分岐設定'!C40*I404-U404&lt;0,'損益分岐設定'!C40,IF('損益分岐設定'!B40*I404-U404&gt;=0,0,ROUNDUP(U404/I404,0)-1)))</x:f>
        <x:v>1000</x:v>
      </x:c>
      <x:c r="AD404" s="1" t="n">
        <x:v>0</x:v>
      </x:c>
      <x:c r="AE404" s="1" t="n">
        <x:v>1</x:v>
      </x:c>
      <x:c r="AF404" s="1" t="n">
        <x:v>0</x:v>
      </x:c>
      <x:c r="AG404" s="1" t="n">
        <x:f>AD404*('損益分岐設定'!$C$57*(1-'損益分岐設定'!$B$51)+'損益分岐設定'!$C$58*'損益分岐設定'!$B$51)+AE404*('損益分岐設定'!$C$60*(1-'損益分岐設定'!$B$51)+'損益分岐設定'!$C$61*'損益分岐設定'!$B$51)+AF404*('損益分岐設定'!$C$63*(1-'損益分岐設定'!$B$51)+'損益分岐設定'!$C$64*'損益分岐設定'!$B$51)</x:f>
        <x:v>2336.20881640625</x:v>
      </x:c>
      <x:c r="AH404" s="1" t="n">
        <x:f>AD404*('損益分岐設定'!$D$57*(1-'損益分岐設定'!$B$51)+'損益分岐設定'!$D$58*'損益分岐設定'!$B$51)+AE404*('損益分岐設定'!$D$60*(1-'損益分岐設定'!$B$51)+'損益分岐設定'!$D$61*'損益分岐設定'!$B$51)+AF404*('損益分岐設定'!$D$63*(1-'損益分岐設定'!$B$51)+'損益分岐設定'!$D$64*'損益分岐設定'!$B$51)</x:f>
        <x:v>192</x:v>
      </x:c>
      <x:c r="AI404" s="1" t="n">
        <x:f>AD404*('損益分岐設定'!$E$57*(1-'損益分岐設定'!$B$51)+'損益分岐設定'!$E$58*'損益分岐設定'!$B$51)+AE404*('損益分岐設定'!$E$60*(1-'損益分岐設定'!$B$51)+'損益分岐設定'!$E$61*'損益分岐設定'!$B$51)+AF404*('損益分岐設定'!$E$63*(1-'損益分岐設定'!$B$51)+'損益分岐設定'!$E$64*'損益分岐設定'!$B$51)</x:f>
        <x:v>224</x:v>
      </x:c>
      <x:c r="AJ404" s="1" t="n">
        <x:f>(AD404*('損益分岐設定'!$F$57*(1-'損益分岐設定'!$B$51)+'損益分岐設定'!$F$58*'損益分岐設定'!$B$51)+AE404*('損益分岐設定'!$F$60*(1-'損益分岐設定'!$B$51)+'損益分岐設定'!$F$61*'損益分岐設定'!$B$51)+AF404*('損益分岐設定'!$F$63*(1-'損益分岐設定'!$B$51)+'損益分岐設定'!$F$64*'損益分岐設定'!$B$51)*1)*'損益分岐設定'!$B$22</x:f>
        <x:v>1824</x:v>
      </x:c>
      <x:c r="AK404" s="1" t="n">
        <x:f>AD404*('損益分岐設定'!$G$57*(1-'損益分岐設定'!$B$51)+'損益分岐設定'!$G$58*'損益分岐設定'!$B$51)+AE404*('損益分岐設定'!$G$60*(1-'損益分岐設定'!$B$51)+'損益分岐設定'!$G$61*'損益分岐設定'!$B$51)+AF404*('損益分岐設定'!$G$63*(1-'損益分岐設定'!$B$51)+'損益分岐設定'!$G$64*'損益分岐設定'!$B$51)</x:f>
        <x:v>1600</x:v>
      </x:c>
      <x:c r="AL404" s="1" t="n">
        <x:f>AD404*('損益分岐設定'!$H$57*(1-'損益分岐設定'!$B$51)+'損益分岐設定'!$H$58*'損益分岐設定'!$B$51)+AE404*('損益分岐設定'!$H$60*(1-'損益分岐設定'!$B$51)+'損益分岐設定'!$H$61*'損益分岐設定'!$B$51)+AF404*('損益分岐設定'!$H$63*(1-'損益分岐設定'!$B$51)+'損益分岐設定'!$H$64*'損益分岐設定'!$B$51)</x:f>
        <x:v>826.6666666666667</x:v>
      </x:c>
      <x:c r="AM404" s="1" t="n">
        <x:f>MAX(1,ROUNDUP('損益分岐設定'!C37*AJ404/('損益分岐設定'!$B$23*'損益分岐設定'!$B$24*3600*'損益分岐設定'!$B$25),0))</x:f>
        <x:v>1</x:v>
      </x:c>
      <x:c r="AN404" s="1" t="n">
        <x:f>MAX(2,ROUNDUP('損益分岐設定'!C38*AJ404/('損益分岐設定'!$B$23*'損益分岐設定'!$B$24*3600*'損益分岐設定'!$B$25),0))</x:f>
        <x:v>2</x:v>
      </x:c>
      <x:c r="AO404" s="1" t="n">
        <x:f>MAX(2,ROUNDUP('損益分岐設定'!C39*AJ404/('損益分岐設定'!$B$23*'損益分岐設定'!$B$24*3600*'損益分岐設定'!$B$25),0))</x:f>
        <x:v>2</x:v>
      </x:c>
      <x:c r="AP404" s="1" t="n">
        <x:f>MAX(2,ROUNDUP('損益分岐設定'!C40*AJ404/('損益分岐設定'!$B$23*'損益分岐設定'!$B$24*3600*'損益分岐設定'!$B$25),0))</x:f>
        <x:v>4</x:v>
      </x:c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 ht="23" customHeight="1">
      <x:c r="A405" s="1" t="str">
        <x:v>VM</x:v>
      </x:c>
      <x:c r="B405" s="1" t="str">
        <x:v>Business Plus</x:v>
      </x:c>
      <x:c r="C405" s="1" t="str">
        <x:v>低位</x:v>
      </x:c>
      <x:c r="D405" s="21" t="n">
        <x:v>0</x:v>
      </x:c>
      <x:c r="E405" s="1" t="n">
        <x:v>0</x:v>
      </x:c>
      <x:c r="F405" s="7" t="n">
        <x:f>AD405*'損益分岐設定'!$B$5+AE405*'損益分岐設定'!$B$6+AF405*'損益分岐設定'!$B$7</x:f>
        <x:v>8000</x:v>
      </x:c>
      <x:c r="G405" s="7" t="n">
        <x:f>AG405+0+AK405*'損益分岐設定'!$B$33</x:f>
        <x:v>213.56791756391527</x:v>
      </x:c>
      <x:c r="H405" s="7" t="n">
        <x:f>AL405*E405</x:f>
        <x:v>0</x:v>
      </x:c>
      <x:c r="I405" s="7" t="n">
        <x:f>F405*(1-D405-'損益分岐設定'!$B$10)-G405-H405</x:f>
        <x:v>7498.432082436085</x:v>
      </x:c>
      <x:c r="J405" s="1" t="n">
        <x:f>IF(MIN(V405:Y405)&gt;1000,"範囲内なし",MIN(V405:Y405))</x:f>
        <x:v>7</x:v>
      </x:c>
      <x:c r="K405" s="1" t="n">
        <x:f>IF(MAX(Z405:AC405)&gt;=1000,"範囲内なし",MAX(1,MAX(Z405:AC405)+1))</x:f>
        <x:v>13</x:v>
      </x:c>
      <x:c r="L405" s="7" t="n">
        <x:f>10*I405-R405</x:f>
        <x:v>24225.13406313958</x:v>
      </x:c>
      <x:c r="M405" s="7" t="n">
        <x:f>30*I405-S405</x:f>
        <x:v>127934.58895063998</x:v>
      </x:c>
      <x:c r="N405" s="7" t="n">
        <x:f>50*I405-S405</x:f>
        <x:v>277903.2305993617</x:v>
      </x:c>
      <x:c r="O405" s="7" t="n">
        <x:f>100*I405-S405</x:f>
        <x:v>652824.834721166</x:v>
      </x:c>
      <x:c r="P405" s="7" t="n">
        <x:f>300*I405-T405</x:f>
        <x:v>2152511.2512083827</x:v>
      </x:c>
      <x:c r="Q405" s="7" t="n">
        <x:f>1000*I405-U405</x:f>
        <x:v>7380534.1155330315</x:v>
      </x:c>
      <x:c r="R405" s="7" t="n">
        <x:f>'損益分岐設定'!$B$18+'損益分岐設定'!$B$19+'損益分岐設定'!$B$20+'損益分岐設定'!E37+('損益分岐設定'!F37+2*'損益分岐設定'!G37+AM405)*('損益分岐設定'!$B$15+'損益分岐設定'!$B$16)+'損益分岐設定'!$B$17+'損益分岐設定'!$B$21+E405*'損益分岐設定'!H37*'損益分岐設定'!$B$11</x:f>
        <x:v>50759.18676122127</x:v>
      </x:c>
      <x:c r="S405" s="7" t="n">
        <x:f>'損益分岐設定'!$B$18+'損益分岐設定'!$B$19+'損益分岐設定'!$B$20+'損益分岐設定'!E38+('損益分岐設定'!F38+2*'損益分岐設定'!G38+AN405)*('損益分岐設定'!$B$15+'損益分岐設定'!$B$16)+'損益分岐設定'!$B$17+'損益分岐設定'!$B$21+E405*'損益分岐設定'!H38*'損益分岐設定'!$B$11</x:f>
        <x:v>97018.37352244255</x:v>
      </x:c>
      <x:c r="T405" s="7" t="n">
        <x:f>'損益分岐設定'!$B$18+'損益分岐設定'!$B$19+'損益分岐設定'!$B$20+'損益分岐設定'!E39+('損益分岐設定'!F39+2*'損益分岐設定'!G39+AO405)*('損益分岐設定'!$B$15+'損益分岐設定'!$B$16)+'損益分岐設定'!$B$17+'損益分岐設定'!$B$21+E405*'損益分岐設定'!H39*'損益分岐設定'!$B$11</x:f>
        <x:v>97018.37352244255</x:v>
      </x:c>
      <x:c r="U405" s="7" t="n">
        <x:f>'損益分岐設定'!$B$18+'損益分岐設定'!$B$19+'損益分岐設定'!$B$20+'損益分岐設定'!E40+('損益分岐設定'!F40+2*'損益分岐設定'!G40+AP405)*('損益分岐設定'!$B$15+'損益分岐設定'!$B$16)+'損益分岐設定'!$B$17+'損益分岐設定'!$B$21+E405*'損益分岐設定'!H40*'損益分岐設定'!$B$11</x:f>
        <x:v>117897.96690305318</x:v>
      </x:c>
      <x:c r="V405" s="1" t="n">
        <x:f>IF(I405&lt;=0,1001,IF(MAX('損益分岐設定'!B37,ROUNDUP(R405/I405,0))&lt;='損益分岐設定'!C37,MAX('損益分岐設定'!B37,ROUNDUP(R405/I405,0)),1001))</x:f>
        <x:v>7</x:v>
      </x:c>
      <x:c r="W405" s="1" t="n">
        <x:f>IF(I405&lt;=0,1001,IF(MAX('損益分岐設定'!B38,ROUNDUP(S405/I405,0))&lt;='損益分岐設定'!C38,MAX('損益分岐設定'!B38,ROUNDUP(S405/I405,0)),1001))</x:f>
        <x:v>13</x:v>
      </x:c>
      <x:c r="X405" s="1" t="n">
        <x:f>IF(I405&lt;=0,1001,IF(MAX('損益分岐設定'!B39,ROUNDUP(T405/I405,0))&lt;='損益分岐設定'!C39,MAX('損益分岐設定'!B39,ROUNDUP(T405/I405,0)),1001))</x:f>
        <x:v>101</x:v>
      </x:c>
      <x:c r="Y405" s="1" t="n">
        <x:f>IF(I405&lt;=0,1001,IF(MAX('損益分岐設定'!B40,ROUNDUP(U405/I405,0))&lt;='損益分岐設定'!C40,MAX('損益分岐設定'!B40,ROUNDUP(U405/I405,0)),1001))</x:f>
        <x:v>501</x:v>
      </x:c>
      <x:c r="Z405" s="1" t="n">
        <x:f>IF(I405&lt;=0,'損益分岐設定'!C37,IF('損益分岐設定'!C37*I405-R405&lt;0,'損益分岐設定'!C37,IF('損益分岐設定'!B37*I405-R405&gt;=0,0,ROUNDUP(R405/I405,0)-1)))</x:f>
        <x:v>6</x:v>
      </x:c>
      <x:c r="AA405" s="1" t="n">
        <x:f>IF(I405&lt;=0,'損益分岐設定'!C38,IF('損益分岐設定'!C38*I405-S405&lt;0,'損益分岐設定'!C38,IF('損益分岐設定'!B38*I405-S405&gt;=0,0,ROUNDUP(S405/I405,0)-1)))</x:f>
        <x:v>12</x:v>
      </x:c>
      <x:c r="AB405" s="1" t="n">
        <x:f>IF(I405&lt;=0,'損益分岐設定'!C39,IF('損益分岐設定'!C39*I405-T405&lt;0,'損益分岐設定'!C39,IF('損益分岐設定'!B39*I405-T405&gt;=0,0,ROUNDUP(T405/I405,0)-1)))</x:f>
        <x:v>0</x:v>
      </x:c>
      <x:c r="AC405" s="1" t="n">
        <x:f>IF(I405&lt;=0,'損益分岐設定'!C40,IF('損益分岐設定'!C40*I405-U405&lt;0,'損益分岐設定'!C40,IF('損益分岐設定'!B40*I405-U405&gt;=0,0,ROUNDUP(U405/I405,0)-1)))</x:f>
        <x:v>0</x:v>
      </x:c>
      <x:c r="AD405" s="1" t="n">
        <x:v>0</x:v>
      </x:c>
      <x:c r="AE405" s="1" t="n">
        <x:v>0</x:v>
      </x:c>
      <x:c r="AF405" s="1" t="n">
        <x:v>1</x:v>
      </x:c>
      <x:c r="AG405" s="1" t="n">
        <x:f>AD405*'損益分岐設定'!$C$56+AE405*'損益分岐設定'!$C$59+AF405*'損益分岐設定'!$C$62</x:f>
        <x:v>213.56512359619143</x:v>
      </x:c>
      <x:c r="AH405" s="1" t="n">
        <x:f>AD405*'損益分岐設定'!$D$56+AE405*'損益分岐設定'!$D$59+AF405*'損益分岐設定'!$D$62</x:f>
        <x:v>75</x:v>
      </x:c>
      <x:c r="AI405" s="1" t="n">
        <x:f>AD405*'損益分岐設定'!$E$56+AE405*'損益分岐設定'!$E$59+AF405*'損益分岐設定'!$E$62</x:f>
        <x:v>50</x:v>
      </x:c>
      <x:c r="AJ405" s="1" t="n">
        <x:f>(AD405*'損益分岐設定'!$F$56+AE405*'損益分岐設定'!$F$59+AF405*'損益分岐設定'!$F$62*1)*'損益分岐設定'!$B$22</x:f>
        <x:v>75</x:v>
      </x:c>
      <x:c r="AK405" s="1" t="n">
        <x:f>AD405*'損益分岐設定'!$G$56+AE405*'損益分岐設定'!$G$59+AF405*'損益分岐設定'!$G$62</x:f>
        <x:v>250</x:v>
      </x:c>
      <x:c r="AL405" s="1" t="n">
        <x:f>AD405*'損益分岐設定'!$H$56+AE405*'損益分岐設定'!$H$59+AF405*'損益分岐設定'!$H$62</x:f>
        <x:v>533.3333333333334</x:v>
      </x:c>
      <x:c r="AM405" s="1" t="n">
        <x:f>MAX(1,ROUNDUP('損益分岐設定'!C37*AJ405/('損益分岐設定'!$B$23*'損益分岐設定'!$B$24*3600*'損益分岐設定'!$B$25),0))</x:f>
        <x:v>1</x:v>
      </x:c>
      <x:c r="AN405" s="1" t="n">
        <x:f>MAX(2,ROUNDUP('損益分岐設定'!C38*AJ405/('損益分岐設定'!$B$23*'損益分岐設定'!$B$24*3600*'損益分岐設定'!$B$25),0))</x:f>
        <x:v>2</x:v>
      </x:c>
      <x:c r="AO405" s="1" t="n">
        <x:f>MAX(2,ROUNDUP('損益分岐設定'!C39*AJ405/('損益分岐設定'!$B$23*'損益分岐設定'!$B$24*3600*'損益分岐設定'!$B$25),0))</x:f>
        <x:v>2</x:v>
      </x:c>
      <x:c r="AP405" s="1" t="n">
        <x:f>MAX(2,ROUNDUP('損益分岐設定'!C40*AJ405/('損益分岐設定'!$B$23*'損益分岐設定'!$B$24*3600*'損益分岐設定'!$B$25),0))</x:f>
        <x:v>2</x:v>
      </x:c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 ht="23" customHeight="1">
      <x:c r="A406" s="1" t="str">
        <x:v>VM</x:v>
      </x:c>
      <x:c r="B406" s="1" t="str">
        <x:v>Business Plus</x:v>
      </x:c>
      <x:c r="C406" s="1" t="str">
        <x:v>低位</x:v>
      </x:c>
      <x:c r="D406" s="21" t="n">
        <x:v>0</x:v>
      </x:c>
      <x:c r="E406" s="1" t="n">
        <x:v>1</x:v>
      </x:c>
      <x:c r="F406" s="7" t="n">
        <x:f>AD406*'損益分岐設定'!$B$5+AE406*'損益分岐設定'!$B$6+AF406*'損益分岐設定'!$B$7</x:f>
        <x:v>8000</x:v>
      </x:c>
      <x:c r="G406" s="7" t="n">
        <x:f>AG406+0+AK406*'損益分岐設定'!$B$33</x:f>
        <x:v>213.56791756391527</x:v>
      </x:c>
      <x:c r="H406" s="7" t="n">
        <x:f>AL406*E406</x:f>
        <x:v>533.3333333333334</x:v>
      </x:c>
      <x:c r="I406" s="7" t="n">
        <x:f>F406*(1-D406-'損益分岐設定'!$B$10)-G406-H406</x:f>
        <x:v>6965.098749102752</x:v>
      </x:c>
      <x:c r="J406" s="1" t="n">
        <x:f>IF(MIN(V406:Y406)&gt;1000,"範囲内なし",MIN(V406:Y406))</x:f>
        <x:v>21</x:v>
      </x:c>
      <x:c r="K406" s="1" t="n">
        <x:f>IF(MAX(Z406:AC406)&gt;=1000,"範囲内なし",MAX(1,MAX(Z406:AC406)+1))</x:f>
        <x:v>21</x:v>
      </x:c>
      <x:c r="L406" s="7" t="n">
        <x:f>10*I406-R406</x:f>
        <x:v>-13108.199270193756</x:v>
      </x:c>
      <x:c r="M406" s="7" t="n">
        <x:f>30*I406-S406</x:f>
        <x:v>63934.58895064003</x:v>
      </x:c>
      <x:c r="N406" s="7" t="n">
        <x:f>50*I406-S406</x:f>
        <x:v>203236.56393269508</x:v>
      </x:c>
      <x:c r="O406" s="7" t="n">
        <x:f>100*I406-S406</x:f>
        <x:v>551491.5013878327</x:v>
      </x:c>
      <x:c r="P406" s="7" t="n">
        <x:f>300*I406-T406</x:f>
        <x:v>1912511.251208383</x:v>
      </x:c>
      <x:c r="Q406" s="7" t="n">
        <x:f>1000*I406-U406</x:f>
        <x:v>6719200.7821996985</x:v>
      </x:c>
      <x:c r="R406" s="7" t="n">
        <x:f>'損益分岐設定'!$B$18+'損益分岐設定'!$B$19+'損益分岐設定'!$B$20+'損益分岐設定'!E37+('損益分岐設定'!F37+2*'損益分岐設定'!G37+AM406)*('損益分岐設定'!$B$15+'損益分岐設定'!$B$16)+'損益分岐設定'!$B$17+'損益分岐設定'!$B$21+E406*'損益分岐設定'!H37*'損益分岐設定'!$B$11</x:f>
        <x:v>82759.18676122127</x:v>
      </x:c>
      <x:c r="S406" s="7" t="n">
        <x:f>'損益分岐設定'!$B$18+'損益分岐設定'!$B$19+'損益分岐設定'!$B$20+'損益分岐設定'!E38+('損益分岐設定'!F38+2*'損益分岐設定'!G38+AN406)*('損益分岐設定'!$B$15+'損益分岐設定'!$B$16)+'損益分岐設定'!$B$17+'損益分岐設定'!$B$21+E406*'損益分岐設定'!H38*'損益分岐設定'!$B$11</x:f>
        <x:v>145018.37352244253</x:v>
      </x:c>
      <x:c r="T406" s="7" t="n">
        <x:f>'損益分岐設定'!$B$18+'損益分岐設定'!$B$19+'損益分岐設定'!$B$20+'損益分岐設定'!E39+('損益分岐設定'!F39+2*'損益分岐設定'!G39+AO406)*('損益分岐設定'!$B$15+'損益分岐設定'!$B$16)+'損益分岐設定'!$B$17+'損益分岐設定'!$B$21+E406*'損益分岐設定'!H39*'損益分岐設定'!$B$11</x:f>
        <x:v>177018.37352244253</x:v>
      </x:c>
      <x:c r="U406" s="7" t="n">
        <x:f>'損益分岐設定'!$B$18+'損益分岐設定'!$B$19+'損益分岐設定'!$B$20+'損益分岐設定'!E40+('損益分岐設定'!F40+2*'損益分岐設定'!G40+AP406)*('損益分岐設定'!$B$15+'損益分岐設定'!$B$16)+'損益分岐設定'!$B$17+'損益分岐設定'!$B$21+E406*'損益分岐設定'!H40*'損益分岐設定'!$B$11</x:f>
        <x:v>245897.96690305317</x:v>
      </x:c>
      <x:c r="V406" s="1" t="n">
        <x:f>IF(I406&lt;=0,1001,IF(MAX('損益分岐設定'!B37,ROUNDUP(R406/I406,0))&lt;='損益分岐設定'!C37,MAX('損益分岐設定'!B37,ROUNDUP(R406/I406,0)),1001))</x:f>
        <x:v>1001</x:v>
      </x:c>
      <x:c r="W406" s="1" t="n">
        <x:f>IF(I406&lt;=0,1001,IF(MAX('損益分岐設定'!B38,ROUNDUP(S406/I406,0))&lt;='損益分岐設定'!C38,MAX('損益分岐設定'!B38,ROUNDUP(S406/I406,0)),1001))</x:f>
        <x:v>21</x:v>
      </x:c>
      <x:c r="X406" s="1" t="n">
        <x:f>IF(I406&lt;=0,1001,IF(MAX('損益分岐設定'!B39,ROUNDUP(T406/I406,0))&lt;='損益分岐設定'!C39,MAX('損益分岐設定'!B39,ROUNDUP(T406/I406,0)),1001))</x:f>
        <x:v>101</x:v>
      </x:c>
      <x:c r="Y406" s="1" t="n">
        <x:f>IF(I406&lt;=0,1001,IF(MAX('損益分岐設定'!B40,ROUNDUP(U406/I406,0))&lt;='損益分岐設定'!C40,MAX('損益分岐設定'!B40,ROUNDUP(U406/I406,0)),1001))</x:f>
        <x:v>501</x:v>
      </x:c>
      <x:c r="Z406" s="1" t="n">
        <x:f>IF(I406&lt;=0,'損益分岐設定'!C37,IF('損益分岐設定'!C37*I406-R406&lt;0,'損益分岐設定'!C37,IF('損益分岐設定'!B37*I406-R406&gt;=0,0,ROUNDUP(R406/I406,0)-1)))</x:f>
        <x:v>10</x:v>
      </x:c>
      <x:c r="AA406" s="1" t="n">
        <x:f>IF(I406&lt;=0,'損益分岐設定'!C38,IF('損益分岐設定'!C38*I406-S406&lt;0,'損益分岐設定'!C38,IF('損益分岐設定'!B38*I406-S406&gt;=0,0,ROUNDUP(S406/I406,0)-1)))</x:f>
        <x:v>20</x:v>
      </x:c>
      <x:c r="AB406" s="1" t="n">
        <x:f>IF(I406&lt;=0,'損益分岐設定'!C39,IF('損益分岐設定'!C39*I406-T406&lt;0,'損益分岐設定'!C39,IF('損益分岐設定'!B39*I406-T406&gt;=0,0,ROUNDUP(T406/I406,0)-1)))</x:f>
        <x:v>0</x:v>
      </x:c>
      <x:c r="AC406" s="1" t="n">
        <x:f>IF(I406&lt;=0,'損益分岐設定'!C40,IF('損益分岐設定'!C40*I406-U406&lt;0,'損益分岐設定'!C40,IF('損益分岐設定'!B40*I406-U406&gt;=0,0,ROUNDUP(U406/I406,0)-1)))</x:f>
        <x:v>0</x:v>
      </x:c>
      <x:c r="AD406" s="1" t="n">
        <x:v>0</x:v>
      </x:c>
      <x:c r="AE406" s="1" t="n">
        <x:v>0</x:v>
      </x:c>
      <x:c r="AF406" s="1" t="n">
        <x:v>1</x:v>
      </x:c>
      <x:c r="AG406" s="1" t="n">
        <x:f>AD406*'損益分岐設定'!$C$56+AE406*'損益分岐設定'!$C$59+AF406*'損益分岐設定'!$C$62</x:f>
        <x:v>213.56512359619143</x:v>
      </x:c>
      <x:c r="AH406" s="1" t="n">
        <x:f>AD406*'損益分岐設定'!$D$56+AE406*'損益分岐設定'!$D$59+AF406*'損益分岐設定'!$D$62</x:f>
        <x:v>75</x:v>
      </x:c>
      <x:c r="AI406" s="1" t="n">
        <x:f>AD406*'損益分岐設定'!$E$56+AE406*'損益分岐設定'!$E$59+AF406*'損益分岐設定'!$E$62</x:f>
        <x:v>50</x:v>
      </x:c>
      <x:c r="AJ406" s="1" t="n">
        <x:f>(AD406*'損益分岐設定'!$F$56+AE406*'損益分岐設定'!$F$59+AF406*'損益分岐設定'!$F$62*1)*'損益分岐設定'!$B$22</x:f>
        <x:v>75</x:v>
      </x:c>
      <x:c r="AK406" s="1" t="n">
        <x:f>AD406*'損益分岐設定'!$G$56+AE406*'損益分岐設定'!$G$59+AF406*'損益分岐設定'!$G$62</x:f>
        <x:v>250</x:v>
      </x:c>
      <x:c r="AL406" s="1" t="n">
        <x:f>AD406*'損益分岐設定'!$H$56+AE406*'損益分岐設定'!$H$59+AF406*'損益分岐設定'!$H$62</x:f>
        <x:v>533.3333333333334</x:v>
      </x:c>
      <x:c r="AM406" s="1" t="n">
        <x:f>MAX(1,ROUNDUP('損益分岐設定'!C37*AJ406/('損益分岐設定'!$B$23*'損益分岐設定'!$B$24*3600*'損益分岐設定'!$B$25),0))</x:f>
        <x:v>1</x:v>
      </x:c>
      <x:c r="AN406" s="1" t="n">
        <x:f>MAX(2,ROUNDUP('損益分岐設定'!C38*AJ406/('損益分岐設定'!$B$23*'損益分岐設定'!$B$24*3600*'損益分岐設定'!$B$25),0))</x:f>
        <x:v>2</x:v>
      </x:c>
      <x:c r="AO406" s="1" t="n">
        <x:f>MAX(2,ROUNDUP('損益分岐設定'!C39*AJ406/('損益分岐設定'!$B$23*'損益分岐設定'!$B$24*3600*'損益分岐設定'!$B$25),0))</x:f>
        <x:v>2</x:v>
      </x:c>
      <x:c r="AP406" s="1" t="n">
        <x:f>MAX(2,ROUNDUP('損益分岐設定'!C40*AJ406/('損益分岐設定'!$B$23*'損益分岐設定'!$B$24*3600*'損益分岐設定'!$B$25),0))</x:f>
        <x:v>2</x:v>
      </x:c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 ht="23" customHeight="1">
      <x:c r="A407" s="1" t="str">
        <x:v>VM</x:v>
      </x:c>
      <x:c r="B407" s="1" t="str">
        <x:v>Business Plus</x:v>
      </x:c>
      <x:c r="C407" s="1" t="str">
        <x:v>低位</x:v>
      </x:c>
      <x:c r="D407" s="21" t="n">
        <x:v>0.2</x:v>
      </x:c>
      <x:c r="E407" s="1" t="n">
        <x:v>0</x:v>
      </x:c>
      <x:c r="F407" s="7" t="n">
        <x:f>AD407*'損益分岐設定'!$B$5+AE407*'損益分岐設定'!$B$6+AF407*'損益分岐設定'!$B$7</x:f>
        <x:v>8000</x:v>
      </x:c>
      <x:c r="G407" s="7" t="n">
        <x:f>AG407+0+AK407*'損益分岐設定'!$B$33</x:f>
        <x:v>213.56791756391527</x:v>
      </x:c>
      <x:c r="H407" s="7" t="n">
        <x:f>AL407*E407</x:f>
        <x:v>0</x:v>
      </x:c>
      <x:c r="I407" s="7" t="n">
        <x:f>F407*(1-D407-'損益分岐設定'!$B$10)-G407-H407</x:f>
        <x:v>5898.432082436085</x:v>
      </x:c>
      <x:c r="J407" s="1" t="n">
        <x:f>IF(MIN(V407:Y407)&gt;1000,"範囲内なし",MIN(V407:Y407))</x:f>
        <x:v>9</x:v>
      </x:c>
      <x:c r="K407" s="1" t="n">
        <x:f>IF(MAX(Z407:AC407)&gt;=1000,"範囲内なし",MAX(1,MAX(Z407:AC407)+1))</x:f>
        <x:v>17</x:v>
      </x:c>
      <x:c r="L407" s="7" t="n">
        <x:f>10*I407-R407</x:f>
        <x:v>8225.134063139572</x:v>
      </x:c>
      <x:c r="M407" s="7" t="n">
        <x:f>30*I407-S407</x:f>
        <x:v>79934.58895063998</x:v>
      </x:c>
      <x:c r="N407" s="7" t="n">
        <x:f>50*I407-S407</x:f>
        <x:v>197903.2305993617</x:v>
      </x:c>
      <x:c r="O407" s="7" t="n">
        <x:f>100*I407-S407</x:f>
        <x:v>492824.83472116594</x:v>
      </x:c>
      <x:c r="P407" s="7" t="n">
        <x:f>300*I407-T407</x:f>
        <x:v>1672511.251208383</x:v>
      </x:c>
      <x:c r="Q407" s="7" t="n">
        <x:f>1000*I407-U407</x:f>
        <x:v>5780534.1155330315</x:v>
      </x:c>
      <x:c r="R407" s="7" t="n">
        <x:f>'損益分岐設定'!$B$18+'損益分岐設定'!$B$19+'損益分岐設定'!$B$20+'損益分岐設定'!E37+('損益分岐設定'!F37+2*'損益分岐設定'!G37+AM407)*('損益分岐設定'!$B$15+'損益分岐設定'!$B$16)+'損益分岐設定'!$B$17+'損益分岐設定'!$B$21+E407*'損益分岐設定'!H37*'損益分岐設定'!$B$11</x:f>
        <x:v>50759.18676122127</x:v>
      </x:c>
      <x:c r="S407" s="7" t="n">
        <x:f>'損益分岐設定'!$B$18+'損益分岐設定'!$B$19+'損益分岐設定'!$B$20+'損益分岐設定'!E38+('損益分岐設定'!F38+2*'損益分岐設定'!G38+AN407)*('損益分岐設定'!$B$15+'損益分岐設定'!$B$16)+'損益分岐設定'!$B$17+'損益分岐設定'!$B$21+E407*'損益分岐設定'!H38*'損益分岐設定'!$B$11</x:f>
        <x:v>97018.37352244255</x:v>
      </x:c>
      <x:c r="T407" s="7" t="n">
        <x:f>'損益分岐設定'!$B$18+'損益分岐設定'!$B$19+'損益分岐設定'!$B$20+'損益分岐設定'!E39+('損益分岐設定'!F39+2*'損益分岐設定'!G39+AO407)*('損益分岐設定'!$B$15+'損益分岐設定'!$B$16)+'損益分岐設定'!$B$17+'損益分岐設定'!$B$21+E407*'損益分岐設定'!H39*'損益分岐設定'!$B$11</x:f>
        <x:v>97018.37352244255</x:v>
      </x:c>
      <x:c r="U407" s="7" t="n">
        <x:f>'損益分岐設定'!$B$18+'損益分岐設定'!$B$19+'損益分岐設定'!$B$20+'損益分岐設定'!E40+('損益分岐設定'!F40+2*'損益分岐設定'!G40+AP407)*('損益分岐設定'!$B$15+'損益分岐設定'!$B$16)+'損益分岐設定'!$B$17+'損益分岐設定'!$B$21+E407*'損益分岐設定'!H40*'損益分岐設定'!$B$11</x:f>
        <x:v>117897.96690305318</x:v>
      </x:c>
      <x:c r="V407" s="1" t="n">
        <x:f>IF(I407&lt;=0,1001,IF(MAX('損益分岐設定'!B37,ROUNDUP(R407/I407,0))&lt;='損益分岐設定'!C37,MAX('損益分岐設定'!B37,ROUNDUP(R407/I407,0)),1001))</x:f>
        <x:v>9</x:v>
      </x:c>
      <x:c r="W407" s="1" t="n">
        <x:f>IF(I407&lt;=0,1001,IF(MAX('損益分岐設定'!B38,ROUNDUP(S407/I407,0))&lt;='損益分岐設定'!C38,MAX('損益分岐設定'!B38,ROUNDUP(S407/I407,0)),1001))</x:f>
        <x:v>17</x:v>
      </x:c>
      <x:c r="X407" s="1" t="n">
        <x:f>IF(I407&lt;=0,1001,IF(MAX('損益分岐設定'!B39,ROUNDUP(T407/I407,0))&lt;='損益分岐設定'!C39,MAX('損益分岐設定'!B39,ROUNDUP(T407/I407,0)),1001))</x:f>
        <x:v>101</x:v>
      </x:c>
      <x:c r="Y407" s="1" t="n">
        <x:f>IF(I407&lt;=0,1001,IF(MAX('損益分岐設定'!B40,ROUNDUP(U407/I407,0))&lt;='損益分岐設定'!C40,MAX('損益分岐設定'!B40,ROUNDUP(U407/I407,0)),1001))</x:f>
        <x:v>501</x:v>
      </x:c>
      <x:c r="Z407" s="1" t="n">
        <x:f>IF(I407&lt;=0,'損益分岐設定'!C37,IF('損益分岐設定'!C37*I407-R407&lt;0,'損益分岐設定'!C37,IF('損益分岐設定'!B37*I407-R407&gt;=0,0,ROUNDUP(R407/I407,0)-1)))</x:f>
        <x:v>8</x:v>
      </x:c>
      <x:c r="AA407" s="1" t="n">
        <x:f>IF(I407&lt;=0,'損益分岐設定'!C38,IF('損益分岐設定'!C38*I407-S407&lt;0,'損益分岐設定'!C38,IF('損益分岐設定'!B38*I407-S407&gt;=0,0,ROUNDUP(S407/I407,0)-1)))</x:f>
        <x:v>16</x:v>
      </x:c>
      <x:c r="AB407" s="1" t="n">
        <x:f>IF(I407&lt;=0,'損益分岐設定'!C39,IF('損益分岐設定'!C39*I407-T407&lt;0,'損益分岐設定'!C39,IF('損益分岐設定'!B39*I407-T407&gt;=0,0,ROUNDUP(T407/I407,0)-1)))</x:f>
        <x:v>0</x:v>
      </x:c>
      <x:c r="AC407" s="1" t="n">
        <x:f>IF(I407&lt;=0,'損益分岐設定'!C40,IF('損益分岐設定'!C40*I407-U407&lt;0,'損益分岐設定'!C40,IF('損益分岐設定'!B40*I407-U407&gt;=0,0,ROUNDUP(U407/I407,0)-1)))</x:f>
        <x:v>0</x:v>
      </x:c>
      <x:c r="AD407" s="1" t="n">
        <x:v>0</x:v>
      </x:c>
      <x:c r="AE407" s="1" t="n">
        <x:v>0</x:v>
      </x:c>
      <x:c r="AF407" s="1" t="n">
        <x:v>1</x:v>
      </x:c>
      <x:c r="AG407" s="1" t="n">
        <x:f>AD407*'損益分岐設定'!$C$56+AE407*'損益分岐設定'!$C$59+AF407*'損益分岐設定'!$C$62</x:f>
        <x:v>213.56512359619143</x:v>
      </x:c>
      <x:c r="AH407" s="1" t="n">
        <x:f>AD407*'損益分岐設定'!$D$56+AE407*'損益分岐設定'!$D$59+AF407*'損益分岐設定'!$D$62</x:f>
        <x:v>75</x:v>
      </x:c>
      <x:c r="AI407" s="1" t="n">
        <x:f>AD407*'損益分岐設定'!$E$56+AE407*'損益分岐設定'!$E$59+AF407*'損益分岐設定'!$E$62</x:f>
        <x:v>50</x:v>
      </x:c>
      <x:c r="AJ407" s="1" t="n">
        <x:f>(AD407*'損益分岐設定'!$F$56+AE407*'損益分岐設定'!$F$59+AF407*'損益分岐設定'!$F$62*1)*'損益分岐設定'!$B$22</x:f>
        <x:v>75</x:v>
      </x:c>
      <x:c r="AK407" s="1" t="n">
        <x:f>AD407*'損益分岐設定'!$G$56+AE407*'損益分岐設定'!$G$59+AF407*'損益分岐設定'!$G$62</x:f>
        <x:v>250</x:v>
      </x:c>
      <x:c r="AL407" s="1" t="n">
        <x:f>AD407*'損益分岐設定'!$H$56+AE407*'損益分岐設定'!$H$59+AF407*'損益分岐設定'!$H$62</x:f>
        <x:v>533.3333333333334</x:v>
      </x:c>
      <x:c r="AM407" s="1" t="n">
        <x:f>MAX(1,ROUNDUP('損益分岐設定'!C37*AJ407/('損益分岐設定'!$B$23*'損益分岐設定'!$B$24*3600*'損益分岐設定'!$B$25),0))</x:f>
        <x:v>1</x:v>
      </x:c>
      <x:c r="AN407" s="1" t="n">
        <x:f>MAX(2,ROUNDUP('損益分岐設定'!C38*AJ407/('損益分岐設定'!$B$23*'損益分岐設定'!$B$24*3600*'損益分岐設定'!$B$25),0))</x:f>
        <x:v>2</x:v>
      </x:c>
      <x:c r="AO407" s="1" t="n">
        <x:f>MAX(2,ROUNDUP('損益分岐設定'!C39*AJ407/('損益分岐設定'!$B$23*'損益分岐設定'!$B$24*3600*'損益分岐設定'!$B$25),0))</x:f>
        <x:v>2</x:v>
      </x:c>
      <x:c r="AP407" s="1" t="n">
        <x:f>MAX(2,ROUNDUP('損益分岐設定'!C40*AJ407/('損益分岐設定'!$B$23*'損益分岐設定'!$B$24*3600*'損益分岐設定'!$B$25),0))</x:f>
        <x:v>2</x:v>
      </x:c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 ht="23" customHeight="1">
      <x:c r="A408" s="1" t="str">
        <x:v>VM</x:v>
      </x:c>
      <x:c r="B408" s="1" t="str">
        <x:v>Business Plus</x:v>
      </x:c>
      <x:c r="C408" s="1" t="str">
        <x:v>低位</x:v>
      </x:c>
      <x:c r="D408" s="21" t="n">
        <x:v>0.2</x:v>
      </x:c>
      <x:c r="E408" s="1" t="n">
        <x:v>1</x:v>
      </x:c>
      <x:c r="F408" s="7" t="n">
        <x:f>AD408*'損益分岐設定'!$B$5+AE408*'損益分岐設定'!$B$6+AF408*'損益分岐設定'!$B$7</x:f>
        <x:v>8000</x:v>
      </x:c>
      <x:c r="G408" s="7" t="n">
        <x:f>AG408+0+AK408*'損益分岐設定'!$B$33</x:f>
        <x:v>213.56791756391527</x:v>
      </x:c>
      <x:c r="H408" s="7" t="n">
        <x:f>AL408*E408</x:f>
        <x:v>533.3333333333334</x:v>
      </x:c>
      <x:c r="I408" s="7" t="n">
        <x:f>F408*(1-D408-'損益分岐設定'!$B$10)-G408-H408</x:f>
        <x:v>5365.098749102752</x:v>
      </x:c>
      <x:c r="J408" s="1" t="n">
        <x:f>IF(MIN(V408:Y408)&gt;1000,"範囲内なし",MIN(V408:Y408))</x:f>
        <x:v>28</x:v>
      </x:c>
      <x:c r="K408" s="1" t="n">
        <x:f>IF(MAX(Z408:AC408)&gt;=1000,"範囲内なし",MAX(1,MAX(Z408:AC408)+1))</x:f>
        <x:v>28</x:v>
      </x:c>
      <x:c r="L408" s="7" t="n">
        <x:f>10*I408-R408</x:f>
        <x:v>-29108.19927019375</x:v>
      </x:c>
      <x:c r="M408" s="7" t="n">
        <x:f>30*I408-S408</x:f>
        <x:v>15934.588950640027</x:v>
      </x:c>
      <x:c r="N408" s="7" t="n">
        <x:f>50*I408-S408</x:f>
        <x:v>123236.56393269508</x:v>
      </x:c>
      <x:c r="O408" s="7" t="n">
        <x:f>100*I408-S408</x:f>
        <x:v>391491.5013878327</x:v>
      </x:c>
      <x:c r="P408" s="7" t="n">
        <x:f>300*I408-T408</x:f>
        <x:v>1432511.251208383</x:v>
      </x:c>
      <x:c r="Q408" s="7" t="n">
        <x:f>1000*I408-U408</x:f>
        <x:v>5119200.7821996985</x:v>
      </x:c>
      <x:c r="R408" s="7" t="n">
        <x:f>'損益分岐設定'!$B$18+'損益分岐設定'!$B$19+'損益分岐設定'!$B$20+'損益分岐設定'!E37+('損益分岐設定'!F37+2*'損益分岐設定'!G37+AM408)*('損益分岐設定'!$B$15+'損益分岐設定'!$B$16)+'損益分岐設定'!$B$17+'損益分岐設定'!$B$21+E408*'損益分岐設定'!H37*'損益分岐設定'!$B$11</x:f>
        <x:v>82759.18676122127</x:v>
      </x:c>
      <x:c r="S408" s="7" t="n">
        <x:f>'損益分岐設定'!$B$18+'損益分岐設定'!$B$19+'損益分岐設定'!$B$20+'損益分岐設定'!E38+('損益分岐設定'!F38+2*'損益分岐設定'!G38+AN408)*('損益分岐設定'!$B$15+'損益分岐設定'!$B$16)+'損益分岐設定'!$B$17+'損益分岐設定'!$B$21+E408*'損益分岐設定'!H38*'損益分岐設定'!$B$11</x:f>
        <x:v>145018.37352244253</x:v>
      </x:c>
      <x:c r="T408" s="7" t="n">
        <x:f>'損益分岐設定'!$B$18+'損益分岐設定'!$B$19+'損益分岐設定'!$B$20+'損益分岐設定'!E39+('損益分岐設定'!F39+2*'損益分岐設定'!G39+AO408)*('損益分岐設定'!$B$15+'損益分岐設定'!$B$16)+'損益分岐設定'!$B$17+'損益分岐設定'!$B$21+E408*'損益分岐設定'!H39*'損益分岐設定'!$B$11</x:f>
        <x:v>177018.37352244253</x:v>
      </x:c>
      <x:c r="U408" s="7" t="n">
        <x:f>'損益分岐設定'!$B$18+'損益分岐設定'!$B$19+'損益分岐設定'!$B$20+'損益分岐設定'!E40+('損益分岐設定'!F40+2*'損益分岐設定'!G40+AP408)*('損益分岐設定'!$B$15+'損益分岐設定'!$B$16)+'損益分岐設定'!$B$17+'損益分岐設定'!$B$21+E408*'損益分岐設定'!H40*'損益分岐設定'!$B$11</x:f>
        <x:v>245897.96690305317</x:v>
      </x:c>
      <x:c r="V408" s="1" t="n">
        <x:f>IF(I408&lt;=0,1001,IF(MAX('損益分岐設定'!B37,ROUNDUP(R408/I408,0))&lt;='損益分岐設定'!C37,MAX('損益分岐設定'!B37,ROUNDUP(R408/I408,0)),1001))</x:f>
        <x:v>1001</x:v>
      </x:c>
      <x:c r="W408" s="1" t="n">
        <x:f>IF(I408&lt;=0,1001,IF(MAX('損益分岐設定'!B38,ROUNDUP(S408/I408,0))&lt;='損益分岐設定'!C38,MAX('損益分岐設定'!B38,ROUNDUP(S408/I408,0)),1001))</x:f>
        <x:v>28</x:v>
      </x:c>
      <x:c r="X408" s="1" t="n">
        <x:f>IF(I408&lt;=0,1001,IF(MAX('損益分岐設定'!B39,ROUNDUP(T408/I408,0))&lt;='損益分岐設定'!C39,MAX('損益分岐設定'!B39,ROUNDUP(T408/I408,0)),1001))</x:f>
        <x:v>101</x:v>
      </x:c>
      <x:c r="Y408" s="1" t="n">
        <x:f>IF(I408&lt;=0,1001,IF(MAX('損益分岐設定'!B40,ROUNDUP(U408/I408,0))&lt;='損益分岐設定'!C40,MAX('損益分岐設定'!B40,ROUNDUP(U408/I408,0)),1001))</x:f>
        <x:v>501</x:v>
      </x:c>
      <x:c r="Z408" s="1" t="n">
        <x:f>IF(I408&lt;=0,'損益分岐設定'!C37,IF('損益分岐設定'!C37*I408-R408&lt;0,'損益分岐設定'!C37,IF('損益分岐設定'!B37*I408-R408&gt;=0,0,ROUNDUP(R408/I408,0)-1)))</x:f>
        <x:v>10</x:v>
      </x:c>
      <x:c r="AA408" s="1" t="n">
        <x:f>IF(I408&lt;=0,'損益分岐設定'!C38,IF('損益分岐設定'!C38*I408-S408&lt;0,'損益分岐設定'!C38,IF('損益分岐設定'!B38*I408-S408&gt;=0,0,ROUNDUP(S408/I408,0)-1)))</x:f>
        <x:v>27</x:v>
      </x:c>
      <x:c r="AB408" s="1" t="n">
        <x:f>IF(I408&lt;=0,'損益分岐設定'!C39,IF('損益分岐設定'!C39*I408-T408&lt;0,'損益分岐設定'!C39,IF('損益分岐設定'!B39*I408-T408&gt;=0,0,ROUNDUP(T408/I408,0)-1)))</x:f>
        <x:v>0</x:v>
      </x:c>
      <x:c r="AC408" s="1" t="n">
        <x:f>IF(I408&lt;=0,'損益分岐設定'!C40,IF('損益分岐設定'!C40*I408-U408&lt;0,'損益分岐設定'!C40,IF('損益分岐設定'!B40*I408-U408&gt;=0,0,ROUNDUP(U408/I408,0)-1)))</x:f>
        <x:v>0</x:v>
      </x:c>
      <x:c r="AD408" s="1" t="n">
        <x:v>0</x:v>
      </x:c>
      <x:c r="AE408" s="1" t="n">
        <x:v>0</x:v>
      </x:c>
      <x:c r="AF408" s="1" t="n">
        <x:v>1</x:v>
      </x:c>
      <x:c r="AG408" s="1" t="n">
        <x:f>AD408*'損益分岐設定'!$C$56+AE408*'損益分岐設定'!$C$59+AF408*'損益分岐設定'!$C$62</x:f>
        <x:v>213.56512359619143</x:v>
      </x:c>
      <x:c r="AH408" s="1" t="n">
        <x:f>AD408*'損益分岐設定'!$D$56+AE408*'損益分岐設定'!$D$59+AF408*'損益分岐設定'!$D$62</x:f>
        <x:v>75</x:v>
      </x:c>
      <x:c r="AI408" s="1" t="n">
        <x:f>AD408*'損益分岐設定'!$E$56+AE408*'損益分岐設定'!$E$59+AF408*'損益分岐設定'!$E$62</x:f>
        <x:v>50</x:v>
      </x:c>
      <x:c r="AJ408" s="1" t="n">
        <x:f>(AD408*'損益分岐設定'!$F$56+AE408*'損益分岐設定'!$F$59+AF408*'損益分岐設定'!$F$62*1)*'損益分岐設定'!$B$22</x:f>
        <x:v>75</x:v>
      </x:c>
      <x:c r="AK408" s="1" t="n">
        <x:f>AD408*'損益分岐設定'!$G$56+AE408*'損益分岐設定'!$G$59+AF408*'損益分岐設定'!$G$62</x:f>
        <x:v>250</x:v>
      </x:c>
      <x:c r="AL408" s="1" t="n">
        <x:f>AD408*'損益分岐設定'!$H$56+AE408*'損益分岐設定'!$H$59+AF408*'損益分岐設定'!$H$62</x:f>
        <x:v>533.3333333333334</x:v>
      </x:c>
      <x:c r="AM408" s="1" t="n">
        <x:f>MAX(1,ROUNDUP('損益分岐設定'!C37*AJ408/('損益分岐設定'!$B$23*'損益分岐設定'!$B$24*3600*'損益分岐設定'!$B$25),0))</x:f>
        <x:v>1</x:v>
      </x:c>
      <x:c r="AN408" s="1" t="n">
        <x:f>MAX(2,ROUNDUP('損益分岐設定'!C38*AJ408/('損益分岐設定'!$B$23*'損益分岐設定'!$B$24*3600*'損益分岐設定'!$B$25),0))</x:f>
        <x:v>2</x:v>
      </x:c>
      <x:c r="AO408" s="1" t="n">
        <x:f>MAX(2,ROUNDUP('損益分岐設定'!C39*AJ408/('損益分岐設定'!$B$23*'損益分岐設定'!$B$24*3600*'損益分岐設定'!$B$25),0))</x:f>
        <x:v>2</x:v>
      </x:c>
      <x:c r="AP408" s="1" t="n">
        <x:f>MAX(2,ROUNDUP('損益分岐設定'!C40*AJ408/('損益分岐設定'!$B$23*'損益分岐設定'!$B$24*3600*'損益分岐設定'!$B$25),0))</x:f>
        <x:v>2</x:v>
      </x:c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 ht="23" customHeight="1">
      <x:c r="A409" s="1" t="str">
        <x:v>VM</x:v>
      </x:c>
      <x:c r="B409" s="1" t="str">
        <x:v>Business Plus</x:v>
      </x:c>
      <x:c r="C409" s="1" t="str">
        <x:v>低位</x:v>
      </x:c>
      <x:c r="D409" s="21" t="n">
        <x:v>0.3</x:v>
      </x:c>
      <x:c r="E409" s="1" t="n">
        <x:v>0</x:v>
      </x:c>
      <x:c r="F409" s="7" t="n">
        <x:f>AD409*'損益分岐設定'!$B$5+AE409*'損益分岐設定'!$B$6+AF409*'損益分岐設定'!$B$7</x:f>
        <x:v>8000</x:v>
      </x:c>
      <x:c r="G409" s="7" t="n">
        <x:f>AG409+0+AK409*'損益分岐設定'!$B$33</x:f>
        <x:v>213.56791756391527</x:v>
      </x:c>
      <x:c r="H409" s="7" t="n">
        <x:f>AL409*E409</x:f>
        <x:v>0</x:v>
      </x:c>
      <x:c r="I409" s="7" t="n">
        <x:f>F409*(1-D409-'損益分岐設定'!$B$10)-G409-H409</x:f>
        <x:v>5098.432082436084</x:v>
      </x:c>
      <x:c r="J409" s="1" t="n">
        <x:f>IF(MIN(V409:Y409)&gt;1000,"範囲内なし",MIN(V409:Y409))</x:f>
        <x:v>10</x:v>
      </x:c>
      <x:c r="K409" s="1" t="n">
        <x:f>IF(MAX(Z409:AC409)&gt;=1000,"範囲内なし",MAX(1,MAX(Z409:AC409)+1))</x:f>
        <x:v>20</x:v>
      </x:c>
      <x:c r="L409" s="7" t="n">
        <x:f>10*I409-R409</x:f>
        <x:v>225.13406313956511</x:v>
      </x:c>
      <x:c r="M409" s="7" t="n">
        <x:f>30*I409-S409</x:f>
        <x:v>55934.58895063998</x:v>
      </x:c>
      <x:c r="N409" s="7" t="n">
        <x:f>50*I409-S409</x:f>
        <x:v>157903.23059936165</x:v>
      </x:c>
      <x:c r="O409" s="7" t="n">
        <x:f>100*I409-S409</x:f>
        <x:v>412824.8347211658</x:v>
      </x:c>
      <x:c r="P409" s="7" t="n">
        <x:f>300*I409-T409</x:f>
        <x:v>1432511.2512083827</x:v>
      </x:c>
      <x:c r="Q409" s="7" t="n">
        <x:f>1000*I409-U409</x:f>
        <x:v>4980534.115533031</x:v>
      </x:c>
      <x:c r="R409" s="7" t="n">
        <x:f>'損益分岐設定'!$B$18+'損益分岐設定'!$B$19+'損益分岐設定'!$B$20+'損益分岐設定'!E37+('損益分岐設定'!F37+2*'損益分岐設定'!G37+AM409)*('損益分岐設定'!$B$15+'損益分岐設定'!$B$16)+'損益分岐設定'!$B$17+'損益分岐設定'!$B$21+E409*'損益分岐設定'!H37*'損益分岐設定'!$B$11</x:f>
        <x:v>50759.18676122127</x:v>
      </x:c>
      <x:c r="S409" s="7" t="n">
        <x:f>'損益分岐設定'!$B$18+'損益分岐設定'!$B$19+'損益分岐設定'!$B$20+'損益分岐設定'!E38+('損益分岐設定'!F38+2*'損益分岐設定'!G38+AN409)*('損益分岐設定'!$B$15+'損益分岐設定'!$B$16)+'損益分岐設定'!$B$17+'損益分岐設定'!$B$21+E409*'損益分岐設定'!H38*'損益分岐設定'!$B$11</x:f>
        <x:v>97018.37352244255</x:v>
      </x:c>
      <x:c r="T409" s="7" t="n">
        <x:f>'損益分岐設定'!$B$18+'損益分岐設定'!$B$19+'損益分岐設定'!$B$20+'損益分岐設定'!E39+('損益分岐設定'!F39+2*'損益分岐設定'!G39+AO409)*('損益分岐設定'!$B$15+'損益分岐設定'!$B$16)+'損益分岐設定'!$B$17+'損益分岐設定'!$B$21+E409*'損益分岐設定'!H39*'損益分岐設定'!$B$11</x:f>
        <x:v>97018.37352244255</x:v>
      </x:c>
      <x:c r="U409" s="7" t="n">
        <x:f>'損益分岐設定'!$B$18+'損益分岐設定'!$B$19+'損益分岐設定'!$B$20+'損益分岐設定'!E40+('損益分岐設定'!F40+2*'損益分岐設定'!G40+AP409)*('損益分岐設定'!$B$15+'損益分岐設定'!$B$16)+'損益分岐設定'!$B$17+'損益分岐設定'!$B$21+E409*'損益分岐設定'!H40*'損益分岐設定'!$B$11</x:f>
        <x:v>117897.96690305318</x:v>
      </x:c>
      <x:c r="V409" s="1" t="n">
        <x:f>IF(I409&lt;=0,1001,IF(MAX('損益分岐設定'!B37,ROUNDUP(R409/I409,0))&lt;='損益分岐設定'!C37,MAX('損益分岐設定'!B37,ROUNDUP(R409/I409,0)),1001))</x:f>
        <x:v>10</x:v>
      </x:c>
      <x:c r="W409" s="1" t="n">
        <x:f>IF(I409&lt;=0,1001,IF(MAX('損益分岐設定'!B38,ROUNDUP(S409/I409,0))&lt;='損益分岐設定'!C38,MAX('損益分岐設定'!B38,ROUNDUP(S409/I409,0)),1001))</x:f>
        <x:v>20</x:v>
      </x:c>
      <x:c r="X409" s="1" t="n">
        <x:f>IF(I409&lt;=0,1001,IF(MAX('損益分岐設定'!B39,ROUNDUP(T409/I409,0))&lt;='損益分岐設定'!C39,MAX('損益分岐設定'!B39,ROUNDUP(T409/I409,0)),1001))</x:f>
        <x:v>101</x:v>
      </x:c>
      <x:c r="Y409" s="1" t="n">
        <x:f>IF(I409&lt;=0,1001,IF(MAX('損益分岐設定'!B40,ROUNDUP(U409/I409,0))&lt;='損益分岐設定'!C40,MAX('損益分岐設定'!B40,ROUNDUP(U409/I409,0)),1001))</x:f>
        <x:v>501</x:v>
      </x:c>
      <x:c r="Z409" s="1" t="n">
        <x:f>IF(I409&lt;=0,'損益分岐設定'!C37,IF('損益分岐設定'!C37*I409-R409&lt;0,'損益分岐設定'!C37,IF('損益分岐設定'!B37*I409-R409&gt;=0,0,ROUNDUP(R409/I409,0)-1)))</x:f>
        <x:v>9</x:v>
      </x:c>
      <x:c r="AA409" s="1" t="n">
        <x:f>IF(I409&lt;=0,'損益分岐設定'!C38,IF('損益分岐設定'!C38*I409-S409&lt;0,'損益分岐設定'!C38,IF('損益分岐設定'!B38*I409-S409&gt;=0,0,ROUNDUP(S409/I409,0)-1)))</x:f>
        <x:v>19</x:v>
      </x:c>
      <x:c r="AB409" s="1" t="n">
        <x:f>IF(I409&lt;=0,'損益分岐設定'!C39,IF('損益分岐設定'!C39*I409-T409&lt;0,'損益分岐設定'!C39,IF('損益分岐設定'!B39*I409-T409&gt;=0,0,ROUNDUP(T409/I409,0)-1)))</x:f>
        <x:v>0</x:v>
      </x:c>
      <x:c r="AC409" s="1" t="n">
        <x:f>IF(I409&lt;=0,'損益分岐設定'!C40,IF('損益分岐設定'!C40*I409-U409&lt;0,'損益分岐設定'!C40,IF('損益分岐設定'!B40*I409-U409&gt;=0,0,ROUNDUP(U409/I409,0)-1)))</x:f>
        <x:v>0</x:v>
      </x:c>
      <x:c r="AD409" s="1" t="n">
        <x:v>0</x:v>
      </x:c>
      <x:c r="AE409" s="1" t="n">
        <x:v>0</x:v>
      </x:c>
      <x:c r="AF409" s="1" t="n">
        <x:v>1</x:v>
      </x:c>
      <x:c r="AG409" s="1" t="n">
        <x:f>AD409*'損益分岐設定'!$C$56+AE409*'損益分岐設定'!$C$59+AF409*'損益分岐設定'!$C$62</x:f>
        <x:v>213.56512359619143</x:v>
      </x:c>
      <x:c r="AH409" s="1" t="n">
        <x:f>AD409*'損益分岐設定'!$D$56+AE409*'損益分岐設定'!$D$59+AF409*'損益分岐設定'!$D$62</x:f>
        <x:v>75</x:v>
      </x:c>
      <x:c r="AI409" s="1" t="n">
        <x:f>AD409*'損益分岐設定'!$E$56+AE409*'損益分岐設定'!$E$59+AF409*'損益分岐設定'!$E$62</x:f>
        <x:v>50</x:v>
      </x:c>
      <x:c r="AJ409" s="1" t="n">
        <x:f>(AD409*'損益分岐設定'!$F$56+AE409*'損益分岐設定'!$F$59+AF409*'損益分岐設定'!$F$62*1)*'損益分岐設定'!$B$22</x:f>
        <x:v>75</x:v>
      </x:c>
      <x:c r="AK409" s="1" t="n">
        <x:f>AD409*'損益分岐設定'!$G$56+AE409*'損益分岐設定'!$G$59+AF409*'損益分岐設定'!$G$62</x:f>
        <x:v>250</x:v>
      </x:c>
      <x:c r="AL409" s="1" t="n">
        <x:f>AD409*'損益分岐設定'!$H$56+AE409*'損益分岐設定'!$H$59+AF409*'損益分岐設定'!$H$62</x:f>
        <x:v>533.3333333333334</x:v>
      </x:c>
      <x:c r="AM409" s="1" t="n">
        <x:f>MAX(1,ROUNDUP('損益分岐設定'!C37*AJ409/('損益分岐設定'!$B$23*'損益分岐設定'!$B$24*3600*'損益分岐設定'!$B$25),0))</x:f>
        <x:v>1</x:v>
      </x:c>
      <x:c r="AN409" s="1" t="n">
        <x:f>MAX(2,ROUNDUP('損益分岐設定'!C38*AJ409/('損益分岐設定'!$B$23*'損益分岐設定'!$B$24*3600*'損益分岐設定'!$B$25),0))</x:f>
        <x:v>2</x:v>
      </x:c>
      <x:c r="AO409" s="1" t="n">
        <x:f>MAX(2,ROUNDUP('損益分岐設定'!C39*AJ409/('損益分岐設定'!$B$23*'損益分岐設定'!$B$24*3600*'損益分岐設定'!$B$25),0))</x:f>
        <x:v>2</x:v>
      </x:c>
      <x:c r="AP409" s="1" t="n">
        <x:f>MAX(2,ROUNDUP('損益分岐設定'!C40*AJ409/('損益分岐設定'!$B$23*'損益分岐設定'!$B$24*3600*'損益分岐設定'!$B$25),0))</x:f>
        <x:v>2</x:v>
      </x:c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 ht="23" customHeight="1">
      <x:c r="A410" s="1" t="str">
        <x:v>VM</x:v>
      </x:c>
      <x:c r="B410" s="1" t="str">
        <x:v>Business Plus</x:v>
      </x:c>
      <x:c r="C410" s="1" t="str">
        <x:v>低位</x:v>
      </x:c>
      <x:c r="D410" s="21" t="n">
        <x:v>0.3</x:v>
      </x:c>
      <x:c r="E410" s="1" t="n">
        <x:v>1</x:v>
      </x:c>
      <x:c r="F410" s="7" t="n">
        <x:f>AD410*'損益分岐設定'!$B$5+AE410*'損益分岐設定'!$B$6+AF410*'損益分岐設定'!$B$7</x:f>
        <x:v>8000</x:v>
      </x:c>
      <x:c r="G410" s="7" t="n">
        <x:f>AG410+0+AK410*'損益分岐設定'!$B$33</x:f>
        <x:v>213.56791756391527</x:v>
      </x:c>
      <x:c r="H410" s="7" t="n">
        <x:f>AL410*E410</x:f>
        <x:v>533.3333333333334</x:v>
      </x:c>
      <x:c r="I410" s="7" t="n">
        <x:f>F410*(1-D410-'損益分岐設定'!$B$10)-G410-H410</x:f>
        <x:v>4565.098749102751</x:v>
      </x:c>
      <x:c r="J410" s="1" t="n">
        <x:f>IF(MIN(V410:Y410)&gt;1000,"範囲内なし",MIN(V410:Y410))</x:f>
        <x:v>32</x:v>
      </x:c>
      <x:c r="K410" s="1" t="n">
        <x:f>IF(MAX(Z410:AC410)&gt;=1000,"範囲内なし",MAX(1,MAX(Z410:AC410)+1))</x:f>
        <x:v>32</x:v>
      </x:c>
      <x:c r="L410" s="7" t="n">
        <x:f>10*I410-R410</x:f>
        <x:v>-37108.199270193756</x:v>
      </x:c>
      <x:c r="M410" s="7" t="n">
        <x:f>30*I410-S410</x:f>
        <x:v>-8065.411049360002</x:v>
      </x:c>
      <x:c r="N410" s="7" t="n">
        <x:f>50*I410-S410</x:f>
        <x:v>83236.56393269502</x:v>
      </x:c>
      <x:c r="O410" s="7" t="n">
        <x:f>100*I410-S410</x:f>
        <x:v>311491.50138783257</x:v>
      </x:c>
      <x:c r="P410" s="7" t="n">
        <x:f>300*I410-T410</x:f>
        <x:v>1192511.2512083827</x:v>
      </x:c>
      <x:c r="Q410" s="7" t="n">
        <x:f>1000*I410-U410</x:f>
        <x:v>4319200.782199698</x:v>
      </x:c>
      <x:c r="R410" s="7" t="n">
        <x:f>'損益分岐設定'!$B$18+'損益分岐設定'!$B$19+'損益分岐設定'!$B$20+'損益分岐設定'!E37+('損益分岐設定'!F37+2*'損益分岐設定'!G37+AM410)*('損益分岐設定'!$B$15+'損益分岐設定'!$B$16)+'損益分岐設定'!$B$17+'損益分岐設定'!$B$21+E410*'損益分岐設定'!H37*'損益分岐設定'!$B$11</x:f>
        <x:v>82759.18676122127</x:v>
      </x:c>
      <x:c r="S410" s="7" t="n">
        <x:f>'損益分岐設定'!$B$18+'損益分岐設定'!$B$19+'損益分岐設定'!$B$20+'損益分岐設定'!E38+('損益分岐設定'!F38+2*'損益分岐設定'!G38+AN410)*('損益分岐設定'!$B$15+'損益分岐設定'!$B$16)+'損益分岐設定'!$B$17+'損益分岐設定'!$B$21+E410*'損益分岐設定'!H38*'損益分岐設定'!$B$11</x:f>
        <x:v>145018.37352244253</x:v>
      </x:c>
      <x:c r="T410" s="7" t="n">
        <x:f>'損益分岐設定'!$B$18+'損益分岐設定'!$B$19+'損益分岐設定'!$B$20+'損益分岐設定'!E39+('損益分岐設定'!F39+2*'損益分岐設定'!G39+AO410)*('損益分岐設定'!$B$15+'損益分岐設定'!$B$16)+'損益分岐設定'!$B$17+'損益分岐設定'!$B$21+E410*'損益分岐設定'!H39*'損益分岐設定'!$B$11</x:f>
        <x:v>177018.37352244253</x:v>
      </x:c>
      <x:c r="U410" s="7" t="n">
        <x:f>'損益分岐設定'!$B$18+'損益分岐設定'!$B$19+'損益分岐設定'!$B$20+'損益分岐設定'!E40+('損益分岐設定'!F40+2*'損益分岐設定'!G40+AP410)*('損益分岐設定'!$B$15+'損益分岐設定'!$B$16)+'損益分岐設定'!$B$17+'損益分岐設定'!$B$21+E410*'損益分岐設定'!H40*'損益分岐設定'!$B$11</x:f>
        <x:v>245897.96690305317</x:v>
      </x:c>
      <x:c r="V410" s="1" t="n">
        <x:f>IF(I410&lt;=0,1001,IF(MAX('損益分岐設定'!B37,ROUNDUP(R410/I410,0))&lt;='損益分岐設定'!C37,MAX('損益分岐設定'!B37,ROUNDUP(R410/I410,0)),1001))</x:f>
        <x:v>1001</x:v>
      </x:c>
      <x:c r="W410" s="1" t="n">
        <x:f>IF(I410&lt;=0,1001,IF(MAX('損益分岐設定'!B38,ROUNDUP(S410/I410,0))&lt;='損益分岐設定'!C38,MAX('損益分岐設定'!B38,ROUNDUP(S410/I410,0)),1001))</x:f>
        <x:v>32</x:v>
      </x:c>
      <x:c r="X410" s="1" t="n">
        <x:f>IF(I410&lt;=0,1001,IF(MAX('損益分岐設定'!B39,ROUNDUP(T410/I410,0))&lt;='損益分岐設定'!C39,MAX('損益分岐設定'!B39,ROUNDUP(T410/I410,0)),1001))</x:f>
        <x:v>101</x:v>
      </x:c>
      <x:c r="Y410" s="1" t="n">
        <x:f>IF(I410&lt;=0,1001,IF(MAX('損益分岐設定'!B40,ROUNDUP(U410/I410,0))&lt;='損益分岐設定'!C40,MAX('損益分岐設定'!B40,ROUNDUP(U410/I410,0)),1001))</x:f>
        <x:v>501</x:v>
      </x:c>
      <x:c r="Z410" s="1" t="n">
        <x:f>IF(I410&lt;=0,'損益分岐設定'!C37,IF('損益分岐設定'!C37*I410-R410&lt;0,'損益分岐設定'!C37,IF('損益分岐設定'!B37*I410-R410&gt;=0,0,ROUNDUP(R410/I410,0)-1)))</x:f>
        <x:v>10</x:v>
      </x:c>
      <x:c r="AA410" s="1" t="n">
        <x:f>IF(I410&lt;=0,'損益分岐設定'!C38,IF('損益分岐設定'!C38*I410-S410&lt;0,'損益分岐設定'!C38,IF('損益分岐設定'!B38*I410-S410&gt;=0,0,ROUNDUP(S410/I410,0)-1)))</x:f>
        <x:v>31</x:v>
      </x:c>
      <x:c r="AB410" s="1" t="n">
        <x:f>IF(I410&lt;=0,'損益分岐設定'!C39,IF('損益分岐設定'!C39*I410-T410&lt;0,'損益分岐設定'!C39,IF('損益分岐設定'!B39*I410-T410&gt;=0,0,ROUNDUP(T410/I410,0)-1)))</x:f>
        <x:v>0</x:v>
      </x:c>
      <x:c r="AC410" s="1" t="n">
        <x:f>IF(I410&lt;=0,'損益分岐設定'!C40,IF('損益分岐設定'!C40*I410-U410&lt;0,'損益分岐設定'!C40,IF('損益分岐設定'!B40*I410-U410&gt;=0,0,ROUNDUP(U410/I410,0)-1)))</x:f>
        <x:v>0</x:v>
      </x:c>
      <x:c r="AD410" s="1" t="n">
        <x:v>0</x:v>
      </x:c>
      <x:c r="AE410" s="1" t="n">
        <x:v>0</x:v>
      </x:c>
      <x:c r="AF410" s="1" t="n">
        <x:v>1</x:v>
      </x:c>
      <x:c r="AG410" s="1" t="n">
        <x:f>AD410*'損益分岐設定'!$C$56+AE410*'損益分岐設定'!$C$59+AF410*'損益分岐設定'!$C$62</x:f>
        <x:v>213.56512359619143</x:v>
      </x:c>
      <x:c r="AH410" s="1" t="n">
        <x:f>AD410*'損益分岐設定'!$D$56+AE410*'損益分岐設定'!$D$59+AF410*'損益分岐設定'!$D$62</x:f>
        <x:v>75</x:v>
      </x:c>
      <x:c r="AI410" s="1" t="n">
        <x:f>AD410*'損益分岐設定'!$E$56+AE410*'損益分岐設定'!$E$59+AF410*'損益分岐設定'!$E$62</x:f>
        <x:v>50</x:v>
      </x:c>
      <x:c r="AJ410" s="1" t="n">
        <x:f>(AD410*'損益分岐設定'!$F$56+AE410*'損益分岐設定'!$F$59+AF410*'損益分岐設定'!$F$62*1)*'損益分岐設定'!$B$22</x:f>
        <x:v>75</x:v>
      </x:c>
      <x:c r="AK410" s="1" t="n">
        <x:f>AD410*'損益分岐設定'!$G$56+AE410*'損益分岐設定'!$G$59+AF410*'損益分岐設定'!$G$62</x:f>
        <x:v>250</x:v>
      </x:c>
      <x:c r="AL410" s="1" t="n">
        <x:f>AD410*'損益分岐設定'!$H$56+AE410*'損益分岐設定'!$H$59+AF410*'損益分岐設定'!$H$62</x:f>
        <x:v>533.3333333333334</x:v>
      </x:c>
      <x:c r="AM410" s="1" t="n">
        <x:f>MAX(1,ROUNDUP('損益分岐設定'!C37*AJ410/('損益分岐設定'!$B$23*'損益分岐設定'!$B$24*3600*'損益分岐設定'!$B$25),0))</x:f>
        <x:v>1</x:v>
      </x:c>
      <x:c r="AN410" s="1" t="n">
        <x:f>MAX(2,ROUNDUP('損益分岐設定'!C38*AJ410/('損益分岐設定'!$B$23*'損益分岐設定'!$B$24*3600*'損益分岐設定'!$B$25),0))</x:f>
        <x:v>2</x:v>
      </x:c>
      <x:c r="AO410" s="1" t="n">
        <x:f>MAX(2,ROUNDUP('損益分岐設定'!C39*AJ410/('損益分岐設定'!$B$23*'損益分岐設定'!$B$24*3600*'損益分岐設定'!$B$25),0))</x:f>
        <x:v>2</x:v>
      </x:c>
      <x:c r="AP410" s="1" t="n">
        <x:f>MAX(2,ROUNDUP('損益分岐設定'!C40*AJ410/('損益分岐設定'!$B$23*'損益分岐設定'!$B$24*3600*'損益分岐設定'!$B$25),0))</x:f>
        <x:v>2</x:v>
      </x:c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 ht="23" customHeight="1">
      <x:c r="A411" s="1" t="str">
        <x:v>VM</x:v>
      </x:c>
      <x:c r="B411" s="1" t="str">
        <x:v>Business Plus</x:v>
      </x:c>
      <x:c r="C411" s="1" t="str">
        <x:v>低位</x:v>
      </x:c>
      <x:c r="D411" s="21" t="n">
        <x:v>0.4</x:v>
      </x:c>
      <x:c r="E411" s="1" t="n">
        <x:v>0</x:v>
      </x:c>
      <x:c r="F411" s="7" t="n">
        <x:f>AD411*'損益分岐設定'!$B$5+AE411*'損益分岐設定'!$B$6+AF411*'損益分岐設定'!$B$7</x:f>
        <x:v>8000</x:v>
      </x:c>
      <x:c r="G411" s="7" t="n">
        <x:f>AG411+0+AK411*'損益分岐設定'!$B$33</x:f>
        <x:v>213.56791756391527</x:v>
      </x:c>
      <x:c r="H411" s="7" t="n">
        <x:f>AL411*E411</x:f>
        <x:v>0</x:v>
      </x:c>
      <x:c r="I411" s="7" t="n">
        <x:f>F411*(1-D411-'損益分岐設定'!$B$10)-G411-H411</x:f>
        <x:v>4298.432082436085</x:v>
      </x:c>
      <x:c r="J411" s="1" t="n">
        <x:f>IF(MIN(V411:Y411)&gt;1000,"範囲内なし",MIN(V411:Y411))</x:f>
        <x:v>23</x:v>
      </x:c>
      <x:c r="K411" s="1" t="n">
        <x:f>IF(MAX(Z411:AC411)&gt;=1000,"範囲内なし",MAX(1,MAX(Z411:AC411)+1))</x:f>
        <x:v>23</x:v>
      </x:c>
      <x:c r="L411" s="7" t="n">
        <x:f>10*I411-R411</x:f>
        <x:v>-7774.865936860428</x:v>
      </x:c>
      <x:c r="M411" s="7" t="n">
        <x:f>30*I411-S411</x:f>
        <x:v>31934.588950639998</x:v>
      </x:c>
      <x:c r="N411" s="7" t="n">
        <x:f>50*I411-S411</x:f>
        <x:v>117903.23059936169</x:v>
      </x:c>
      <x:c r="O411" s="7" t="n">
        <x:f>100*I411-S411</x:f>
        <x:v>332824.83472116594</x:v>
      </x:c>
      <x:c r="P411" s="7" t="n">
        <x:f>300*I411-T411</x:f>
        <x:v>1192511.251208383</x:v>
      </x:c>
      <x:c r="Q411" s="7" t="n">
        <x:f>1000*I411-U411</x:f>
        <x:v>4180534.1155330315</x:v>
      </x:c>
      <x:c r="R411" s="7" t="n">
        <x:f>'損益分岐設定'!$B$18+'損益分岐設定'!$B$19+'損益分岐設定'!$B$20+'損益分岐設定'!E37+('損益分岐設定'!F37+2*'損益分岐設定'!G37+AM411)*('損益分岐設定'!$B$15+'損益分岐設定'!$B$16)+'損益分岐設定'!$B$17+'損益分岐設定'!$B$21+E411*'損益分岐設定'!H37*'損益分岐設定'!$B$11</x:f>
        <x:v>50759.18676122127</x:v>
      </x:c>
      <x:c r="S411" s="7" t="n">
        <x:f>'損益分岐設定'!$B$18+'損益分岐設定'!$B$19+'損益分岐設定'!$B$20+'損益分岐設定'!E38+('損益分岐設定'!F38+2*'損益分岐設定'!G38+AN411)*('損益分岐設定'!$B$15+'損益分岐設定'!$B$16)+'損益分岐設定'!$B$17+'損益分岐設定'!$B$21+E411*'損益分岐設定'!H38*'損益分岐設定'!$B$11</x:f>
        <x:v>97018.37352244255</x:v>
      </x:c>
      <x:c r="T411" s="7" t="n">
        <x:f>'損益分岐設定'!$B$18+'損益分岐設定'!$B$19+'損益分岐設定'!$B$20+'損益分岐設定'!E39+('損益分岐設定'!F39+2*'損益分岐設定'!G39+AO411)*('損益分岐設定'!$B$15+'損益分岐設定'!$B$16)+'損益分岐設定'!$B$17+'損益分岐設定'!$B$21+E411*'損益分岐設定'!H39*'損益分岐設定'!$B$11</x:f>
        <x:v>97018.37352244255</x:v>
      </x:c>
      <x:c r="U411" s="7" t="n">
        <x:f>'損益分岐設定'!$B$18+'損益分岐設定'!$B$19+'損益分岐設定'!$B$20+'損益分岐設定'!E40+('損益分岐設定'!F40+2*'損益分岐設定'!G40+AP411)*('損益分岐設定'!$B$15+'損益分岐設定'!$B$16)+'損益分岐設定'!$B$17+'損益分岐設定'!$B$21+E411*'損益分岐設定'!H40*'損益分岐設定'!$B$11</x:f>
        <x:v>117897.96690305318</x:v>
      </x:c>
      <x:c r="V411" s="1" t="n">
        <x:f>IF(I411&lt;=0,1001,IF(MAX('損益分岐設定'!B37,ROUNDUP(R411/I411,0))&lt;='損益分岐設定'!C37,MAX('損益分岐設定'!B37,ROUNDUP(R411/I411,0)),1001))</x:f>
        <x:v>1001</x:v>
      </x:c>
      <x:c r="W411" s="1" t="n">
        <x:f>IF(I411&lt;=0,1001,IF(MAX('損益分岐設定'!B38,ROUNDUP(S411/I411,0))&lt;='損益分岐設定'!C38,MAX('損益分岐設定'!B38,ROUNDUP(S411/I411,0)),1001))</x:f>
        <x:v>23</x:v>
      </x:c>
      <x:c r="X411" s="1" t="n">
        <x:f>IF(I411&lt;=0,1001,IF(MAX('損益分岐設定'!B39,ROUNDUP(T411/I411,0))&lt;='損益分岐設定'!C39,MAX('損益分岐設定'!B39,ROUNDUP(T411/I411,0)),1001))</x:f>
        <x:v>101</x:v>
      </x:c>
      <x:c r="Y411" s="1" t="n">
        <x:f>IF(I411&lt;=0,1001,IF(MAX('損益分岐設定'!B40,ROUNDUP(U411/I411,0))&lt;='損益分岐設定'!C40,MAX('損益分岐設定'!B40,ROUNDUP(U411/I411,0)),1001))</x:f>
        <x:v>501</x:v>
      </x:c>
      <x:c r="Z411" s="1" t="n">
        <x:f>IF(I411&lt;=0,'損益分岐設定'!C37,IF('損益分岐設定'!C37*I411-R411&lt;0,'損益分岐設定'!C37,IF('損益分岐設定'!B37*I411-R411&gt;=0,0,ROUNDUP(R411/I411,0)-1)))</x:f>
        <x:v>10</x:v>
      </x:c>
      <x:c r="AA411" s="1" t="n">
        <x:f>IF(I411&lt;=0,'損益分岐設定'!C38,IF('損益分岐設定'!C38*I411-S411&lt;0,'損益分岐設定'!C38,IF('損益分岐設定'!B38*I411-S411&gt;=0,0,ROUNDUP(S411/I411,0)-1)))</x:f>
        <x:v>22</x:v>
      </x:c>
      <x:c r="AB411" s="1" t="n">
        <x:f>IF(I411&lt;=0,'損益分岐設定'!C39,IF('損益分岐設定'!C39*I411-T411&lt;0,'損益分岐設定'!C39,IF('損益分岐設定'!B39*I411-T411&gt;=0,0,ROUNDUP(T411/I411,0)-1)))</x:f>
        <x:v>0</x:v>
      </x:c>
      <x:c r="AC411" s="1" t="n">
        <x:f>IF(I411&lt;=0,'損益分岐設定'!C40,IF('損益分岐設定'!C40*I411-U411&lt;0,'損益分岐設定'!C40,IF('損益分岐設定'!B40*I411-U411&gt;=0,0,ROUNDUP(U411/I411,0)-1)))</x:f>
        <x:v>0</x:v>
      </x:c>
      <x:c r="AD411" s="1" t="n">
        <x:v>0</x:v>
      </x:c>
      <x:c r="AE411" s="1" t="n">
        <x:v>0</x:v>
      </x:c>
      <x:c r="AF411" s="1" t="n">
        <x:v>1</x:v>
      </x:c>
      <x:c r="AG411" s="1" t="n">
        <x:f>AD411*'損益分岐設定'!$C$56+AE411*'損益分岐設定'!$C$59+AF411*'損益分岐設定'!$C$62</x:f>
        <x:v>213.56512359619143</x:v>
      </x:c>
      <x:c r="AH411" s="1" t="n">
        <x:f>AD411*'損益分岐設定'!$D$56+AE411*'損益分岐設定'!$D$59+AF411*'損益分岐設定'!$D$62</x:f>
        <x:v>75</x:v>
      </x:c>
      <x:c r="AI411" s="1" t="n">
        <x:f>AD411*'損益分岐設定'!$E$56+AE411*'損益分岐設定'!$E$59+AF411*'損益分岐設定'!$E$62</x:f>
        <x:v>50</x:v>
      </x:c>
      <x:c r="AJ411" s="1" t="n">
        <x:f>(AD411*'損益分岐設定'!$F$56+AE411*'損益分岐設定'!$F$59+AF411*'損益分岐設定'!$F$62*1)*'損益分岐設定'!$B$22</x:f>
        <x:v>75</x:v>
      </x:c>
      <x:c r="AK411" s="1" t="n">
        <x:f>AD411*'損益分岐設定'!$G$56+AE411*'損益分岐設定'!$G$59+AF411*'損益分岐設定'!$G$62</x:f>
        <x:v>250</x:v>
      </x:c>
      <x:c r="AL411" s="1" t="n">
        <x:f>AD411*'損益分岐設定'!$H$56+AE411*'損益分岐設定'!$H$59+AF411*'損益分岐設定'!$H$62</x:f>
        <x:v>533.3333333333334</x:v>
      </x:c>
      <x:c r="AM411" s="1" t="n">
        <x:f>MAX(1,ROUNDUP('損益分岐設定'!C37*AJ411/('損益分岐設定'!$B$23*'損益分岐設定'!$B$24*3600*'損益分岐設定'!$B$25),0))</x:f>
        <x:v>1</x:v>
      </x:c>
      <x:c r="AN411" s="1" t="n">
        <x:f>MAX(2,ROUNDUP('損益分岐設定'!C38*AJ411/('損益分岐設定'!$B$23*'損益分岐設定'!$B$24*3600*'損益分岐設定'!$B$25),0))</x:f>
        <x:v>2</x:v>
      </x:c>
      <x:c r="AO411" s="1" t="n">
        <x:f>MAX(2,ROUNDUP('損益分岐設定'!C39*AJ411/('損益分岐設定'!$B$23*'損益分岐設定'!$B$24*3600*'損益分岐設定'!$B$25),0))</x:f>
        <x:v>2</x:v>
      </x:c>
      <x:c r="AP411" s="1" t="n">
        <x:f>MAX(2,ROUNDUP('損益分岐設定'!C40*AJ411/('損益分岐設定'!$B$23*'損益分岐設定'!$B$24*3600*'損益分岐設定'!$B$25),0))</x:f>
        <x:v>2</x:v>
      </x:c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 ht="23" customHeight="1">
      <x:c r="A412" s="1" t="str">
        <x:v>VM</x:v>
      </x:c>
      <x:c r="B412" s="1" t="str">
        <x:v>Business Plus</x:v>
      </x:c>
      <x:c r="C412" s="1" t="str">
        <x:v>低位</x:v>
      </x:c>
      <x:c r="D412" s="21" t="n">
        <x:v>0.4</x:v>
      </x:c>
      <x:c r="E412" s="1" t="n">
        <x:v>1</x:v>
      </x:c>
      <x:c r="F412" s="7" t="n">
        <x:f>AD412*'損益分岐設定'!$B$5+AE412*'損益分岐設定'!$B$6+AF412*'損益分岐設定'!$B$7</x:f>
        <x:v>8000</x:v>
      </x:c>
      <x:c r="G412" s="7" t="n">
        <x:f>AG412+0+AK412*'損益分岐設定'!$B$33</x:f>
        <x:v>213.56791756391527</x:v>
      </x:c>
      <x:c r="H412" s="7" t="n">
        <x:f>AL412*E412</x:f>
        <x:v>533.3333333333334</x:v>
      </x:c>
      <x:c r="I412" s="7" t="n">
        <x:f>F412*(1-D412-'損益分岐設定'!$B$10)-G412-H412</x:f>
        <x:v>3765.0987491027513</x:v>
      </x:c>
      <x:c r="J412" s="1" t="n">
        <x:f>IF(MIN(V412:Y412)&gt;1000,"範囲内なし",MIN(V412:Y412))</x:f>
        <x:v>39</x:v>
      </x:c>
      <x:c r="K412" s="1" t="n">
        <x:f>IF(MAX(Z412:AC412)&gt;=1000,"範囲内なし",MAX(1,MAX(Z412:AC412)+1))</x:f>
        <x:v>39</x:v>
      </x:c>
      <x:c r="L412" s="7" t="n">
        <x:f>10*I412-R412</x:f>
        <x:v>-45108.199270193756</x:v>
      </x:c>
      <x:c r="M412" s="7" t="n">
        <x:f>30*I412-S412</x:f>
        <x:v>-32065.411049359987</x:v>
      </x:c>
      <x:c r="N412" s="7" t="n">
        <x:f>50*I412-S412</x:f>
        <x:v>43236.56393269502</x:v>
      </x:c>
      <x:c r="O412" s="7" t="n">
        <x:f>100*I412-S412</x:f>
        <x:v>231491.50138783257</x:v>
      </x:c>
      <x:c r="P412" s="7" t="n">
        <x:f>300*I412-T412</x:f>
        <x:v>952511.2512083829</x:v>
      </x:c>
      <x:c r="Q412" s="7" t="n">
        <x:f>1000*I412-U412</x:f>
        <x:v>3519200.782199698</x:v>
      </x:c>
      <x:c r="R412" s="7" t="n">
        <x:f>'損益分岐設定'!$B$18+'損益分岐設定'!$B$19+'損益分岐設定'!$B$20+'損益分岐設定'!E37+('損益分岐設定'!F37+2*'損益分岐設定'!G37+AM412)*('損益分岐設定'!$B$15+'損益分岐設定'!$B$16)+'損益分岐設定'!$B$17+'損益分岐設定'!$B$21+E412*'損益分岐設定'!H37*'損益分岐設定'!$B$11</x:f>
        <x:v>82759.18676122127</x:v>
      </x:c>
      <x:c r="S412" s="7" t="n">
        <x:f>'損益分岐設定'!$B$18+'損益分岐設定'!$B$19+'損益分岐設定'!$B$20+'損益分岐設定'!E38+('損益分岐設定'!F38+2*'損益分岐設定'!G38+AN412)*('損益分岐設定'!$B$15+'損益分岐設定'!$B$16)+'損益分岐設定'!$B$17+'損益分岐設定'!$B$21+E412*'損益分岐設定'!H38*'損益分岐設定'!$B$11</x:f>
        <x:v>145018.37352244253</x:v>
      </x:c>
      <x:c r="T412" s="7" t="n">
        <x:f>'損益分岐設定'!$B$18+'損益分岐設定'!$B$19+'損益分岐設定'!$B$20+'損益分岐設定'!E39+('損益分岐設定'!F39+2*'損益分岐設定'!G39+AO412)*('損益分岐設定'!$B$15+'損益分岐設定'!$B$16)+'損益分岐設定'!$B$17+'損益分岐設定'!$B$21+E412*'損益分岐設定'!H39*'損益分岐設定'!$B$11</x:f>
        <x:v>177018.37352244253</x:v>
      </x:c>
      <x:c r="U412" s="7" t="n">
        <x:f>'損益分岐設定'!$B$18+'損益分岐設定'!$B$19+'損益分岐設定'!$B$20+'損益分岐設定'!E40+('損益分岐設定'!F40+2*'損益分岐設定'!G40+AP412)*('損益分岐設定'!$B$15+'損益分岐設定'!$B$16)+'損益分岐設定'!$B$17+'損益分岐設定'!$B$21+E412*'損益分岐設定'!H40*'損益分岐設定'!$B$11</x:f>
        <x:v>245897.96690305317</x:v>
      </x:c>
      <x:c r="V412" s="1" t="n">
        <x:f>IF(I412&lt;=0,1001,IF(MAX('損益分岐設定'!B37,ROUNDUP(R412/I412,0))&lt;='損益分岐設定'!C37,MAX('損益分岐設定'!B37,ROUNDUP(R412/I412,0)),1001))</x:f>
        <x:v>1001</x:v>
      </x:c>
      <x:c r="W412" s="1" t="n">
        <x:f>IF(I412&lt;=0,1001,IF(MAX('損益分岐設定'!B38,ROUNDUP(S412/I412,0))&lt;='損益分岐設定'!C38,MAX('損益分岐設定'!B38,ROUNDUP(S412/I412,0)),1001))</x:f>
        <x:v>39</x:v>
      </x:c>
      <x:c r="X412" s="1" t="n">
        <x:f>IF(I412&lt;=0,1001,IF(MAX('損益分岐設定'!B39,ROUNDUP(T412/I412,0))&lt;='損益分岐設定'!C39,MAX('損益分岐設定'!B39,ROUNDUP(T412/I412,0)),1001))</x:f>
        <x:v>101</x:v>
      </x:c>
      <x:c r="Y412" s="1" t="n">
        <x:f>IF(I412&lt;=0,1001,IF(MAX('損益分岐設定'!B40,ROUNDUP(U412/I412,0))&lt;='損益分岐設定'!C40,MAX('損益分岐設定'!B40,ROUNDUP(U412/I412,0)),1001))</x:f>
        <x:v>501</x:v>
      </x:c>
      <x:c r="Z412" s="1" t="n">
        <x:f>IF(I412&lt;=0,'損益分岐設定'!C37,IF('損益分岐設定'!C37*I412-R412&lt;0,'損益分岐設定'!C37,IF('損益分岐設定'!B37*I412-R412&gt;=0,0,ROUNDUP(R412/I412,0)-1)))</x:f>
        <x:v>10</x:v>
      </x:c>
      <x:c r="AA412" s="1" t="n">
        <x:f>IF(I412&lt;=0,'損益分岐設定'!C38,IF('損益分岐設定'!C38*I412-S412&lt;0,'損益分岐設定'!C38,IF('損益分岐設定'!B38*I412-S412&gt;=0,0,ROUNDUP(S412/I412,0)-1)))</x:f>
        <x:v>38</x:v>
      </x:c>
      <x:c r="AB412" s="1" t="n">
        <x:f>IF(I412&lt;=0,'損益分岐設定'!C39,IF('損益分岐設定'!C39*I412-T412&lt;0,'損益分岐設定'!C39,IF('損益分岐設定'!B39*I412-T412&gt;=0,0,ROUNDUP(T412/I412,0)-1)))</x:f>
        <x:v>0</x:v>
      </x:c>
      <x:c r="AC412" s="1" t="n">
        <x:f>IF(I412&lt;=0,'損益分岐設定'!C40,IF('損益分岐設定'!C40*I412-U412&lt;0,'損益分岐設定'!C40,IF('損益分岐設定'!B40*I412-U412&gt;=0,0,ROUNDUP(U412/I412,0)-1)))</x:f>
        <x:v>0</x:v>
      </x:c>
      <x:c r="AD412" s="1" t="n">
        <x:v>0</x:v>
      </x:c>
      <x:c r="AE412" s="1" t="n">
        <x:v>0</x:v>
      </x:c>
      <x:c r="AF412" s="1" t="n">
        <x:v>1</x:v>
      </x:c>
      <x:c r="AG412" s="1" t="n">
        <x:f>AD412*'損益分岐設定'!$C$56+AE412*'損益分岐設定'!$C$59+AF412*'損益分岐設定'!$C$62</x:f>
        <x:v>213.56512359619143</x:v>
      </x:c>
      <x:c r="AH412" s="1" t="n">
        <x:f>AD412*'損益分岐設定'!$D$56+AE412*'損益分岐設定'!$D$59+AF412*'損益分岐設定'!$D$62</x:f>
        <x:v>75</x:v>
      </x:c>
      <x:c r="AI412" s="1" t="n">
        <x:f>AD412*'損益分岐設定'!$E$56+AE412*'損益分岐設定'!$E$59+AF412*'損益分岐設定'!$E$62</x:f>
        <x:v>50</x:v>
      </x:c>
      <x:c r="AJ412" s="1" t="n">
        <x:f>(AD412*'損益分岐設定'!$F$56+AE412*'損益分岐設定'!$F$59+AF412*'損益分岐設定'!$F$62*1)*'損益分岐設定'!$B$22</x:f>
        <x:v>75</x:v>
      </x:c>
      <x:c r="AK412" s="1" t="n">
        <x:f>AD412*'損益分岐設定'!$G$56+AE412*'損益分岐設定'!$G$59+AF412*'損益分岐設定'!$G$62</x:f>
        <x:v>250</x:v>
      </x:c>
      <x:c r="AL412" s="1" t="n">
        <x:f>AD412*'損益分岐設定'!$H$56+AE412*'損益分岐設定'!$H$59+AF412*'損益分岐設定'!$H$62</x:f>
        <x:v>533.3333333333334</x:v>
      </x:c>
      <x:c r="AM412" s="1" t="n">
        <x:f>MAX(1,ROUNDUP('損益分岐設定'!C37*AJ412/('損益分岐設定'!$B$23*'損益分岐設定'!$B$24*3600*'損益分岐設定'!$B$25),0))</x:f>
        <x:v>1</x:v>
      </x:c>
      <x:c r="AN412" s="1" t="n">
        <x:f>MAX(2,ROUNDUP('損益分岐設定'!C38*AJ412/('損益分岐設定'!$B$23*'損益分岐設定'!$B$24*3600*'損益分岐設定'!$B$25),0))</x:f>
        <x:v>2</x:v>
      </x:c>
      <x:c r="AO412" s="1" t="n">
        <x:f>MAX(2,ROUNDUP('損益分岐設定'!C39*AJ412/('損益分岐設定'!$B$23*'損益分岐設定'!$B$24*3600*'損益分岐設定'!$B$25),0))</x:f>
        <x:v>2</x:v>
      </x:c>
      <x:c r="AP412" s="1" t="n">
        <x:f>MAX(2,ROUNDUP('損益分岐設定'!C40*AJ412/('損益分岐設定'!$B$23*'損益分岐設定'!$B$24*3600*'損益分岐設定'!$B$25),0))</x:f>
        <x:v>2</x:v>
      </x:c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 ht="23" customHeight="1">
      <x:c r="A413" s="1" t="str">
        <x:v>VM</x:v>
      </x:c>
      <x:c r="B413" s="1" t="str">
        <x:v>Business Plus</x:v>
      </x:c>
      <x:c r="C413" s="1" t="str">
        <x:v>低位</x:v>
      </x:c>
      <x:c r="D413" s="21" t="n">
        <x:v>0.5</x:v>
      </x:c>
      <x:c r="E413" s="1" t="n">
        <x:v>0</x:v>
      </x:c>
      <x:c r="F413" s="7" t="n">
        <x:f>AD413*'損益分岐設定'!$B$5+AE413*'損益分岐設定'!$B$6+AF413*'損益分岐設定'!$B$7</x:f>
        <x:v>8000</x:v>
      </x:c>
      <x:c r="G413" s="7" t="n">
        <x:f>AG413+0+AK413*'損益分岐設定'!$B$33</x:f>
        <x:v>213.56791756391527</x:v>
      </x:c>
      <x:c r="H413" s="7" t="n">
        <x:f>AL413*E413</x:f>
        <x:v>0</x:v>
      </x:c>
      <x:c r="I413" s="7" t="n">
        <x:f>F413*(1-D413-'損益分岐設定'!$B$10)-G413-H413</x:f>
        <x:v>3498.432082436085</x:v>
      </x:c>
      <x:c r="J413" s="1" t="n">
        <x:f>IF(MIN(V413:Y413)&gt;1000,"範囲内なし",MIN(V413:Y413))</x:f>
        <x:v>28</x:v>
      </x:c>
      <x:c r="K413" s="1" t="n">
        <x:f>IF(MAX(Z413:AC413)&gt;=1000,"範囲内なし",MAX(1,MAX(Z413:AC413)+1))</x:f>
        <x:v>28</x:v>
      </x:c>
      <x:c r="L413" s="7" t="n">
        <x:f>10*I413-R413</x:f>
        <x:v>-15774.865936860428</x:v>
      </x:c>
      <x:c r="M413" s="7" t="n">
        <x:f>30*I413-S413</x:f>
        <x:v>7934.588950639998</x:v>
      </x:c>
      <x:c r="N413" s="7" t="n">
        <x:f>50*I413-S413</x:f>
        <x:v>77903.23059936169</x:v>
      </x:c>
      <x:c r="O413" s="7" t="n">
        <x:f>100*I413-S413</x:f>
        <x:v>252824.83472116594</x:v>
      </x:c>
      <x:c r="P413" s="7" t="n">
        <x:f>300*I413-T413</x:f>
        <x:v>952511.2512083829</x:v>
      </x:c>
      <x:c r="Q413" s="7" t="n">
        <x:f>1000*I413-U413</x:f>
        <x:v>3380534.1155330315</x:v>
      </x:c>
      <x:c r="R413" s="7" t="n">
        <x:f>'損益分岐設定'!$B$18+'損益分岐設定'!$B$19+'損益分岐設定'!$B$20+'損益分岐設定'!E37+('損益分岐設定'!F37+2*'損益分岐設定'!G37+AM413)*('損益分岐設定'!$B$15+'損益分岐設定'!$B$16)+'損益分岐設定'!$B$17+'損益分岐設定'!$B$21+E413*'損益分岐設定'!H37*'損益分岐設定'!$B$11</x:f>
        <x:v>50759.18676122127</x:v>
      </x:c>
      <x:c r="S413" s="7" t="n">
        <x:f>'損益分岐設定'!$B$18+'損益分岐設定'!$B$19+'損益分岐設定'!$B$20+'損益分岐設定'!E38+('損益分岐設定'!F38+2*'損益分岐設定'!G38+AN413)*('損益分岐設定'!$B$15+'損益分岐設定'!$B$16)+'損益分岐設定'!$B$17+'損益分岐設定'!$B$21+E413*'損益分岐設定'!H38*'損益分岐設定'!$B$11</x:f>
        <x:v>97018.37352244255</x:v>
      </x:c>
      <x:c r="T413" s="7" t="n">
        <x:f>'損益分岐設定'!$B$18+'損益分岐設定'!$B$19+'損益分岐設定'!$B$20+'損益分岐設定'!E39+('損益分岐設定'!F39+2*'損益分岐設定'!G39+AO413)*('損益分岐設定'!$B$15+'損益分岐設定'!$B$16)+'損益分岐設定'!$B$17+'損益分岐設定'!$B$21+E413*'損益分岐設定'!H39*'損益分岐設定'!$B$11</x:f>
        <x:v>97018.37352244255</x:v>
      </x:c>
      <x:c r="U413" s="7" t="n">
        <x:f>'損益分岐設定'!$B$18+'損益分岐設定'!$B$19+'損益分岐設定'!$B$20+'損益分岐設定'!E40+('損益分岐設定'!F40+2*'損益分岐設定'!G40+AP413)*('損益分岐設定'!$B$15+'損益分岐設定'!$B$16)+'損益分岐設定'!$B$17+'損益分岐設定'!$B$21+E413*'損益分岐設定'!H40*'損益分岐設定'!$B$11</x:f>
        <x:v>117897.96690305318</x:v>
      </x:c>
      <x:c r="V413" s="1" t="n">
        <x:f>IF(I413&lt;=0,1001,IF(MAX('損益分岐設定'!B37,ROUNDUP(R413/I413,0))&lt;='損益分岐設定'!C37,MAX('損益分岐設定'!B37,ROUNDUP(R413/I413,0)),1001))</x:f>
        <x:v>1001</x:v>
      </x:c>
      <x:c r="W413" s="1" t="n">
        <x:f>IF(I413&lt;=0,1001,IF(MAX('損益分岐設定'!B38,ROUNDUP(S413/I413,0))&lt;='損益分岐設定'!C38,MAX('損益分岐設定'!B38,ROUNDUP(S413/I413,0)),1001))</x:f>
        <x:v>28</x:v>
      </x:c>
      <x:c r="X413" s="1" t="n">
        <x:f>IF(I413&lt;=0,1001,IF(MAX('損益分岐設定'!B39,ROUNDUP(T413/I413,0))&lt;='損益分岐設定'!C39,MAX('損益分岐設定'!B39,ROUNDUP(T413/I413,0)),1001))</x:f>
        <x:v>101</x:v>
      </x:c>
      <x:c r="Y413" s="1" t="n">
        <x:f>IF(I413&lt;=0,1001,IF(MAX('損益分岐設定'!B40,ROUNDUP(U413/I413,0))&lt;='損益分岐設定'!C40,MAX('損益分岐設定'!B40,ROUNDUP(U413/I413,0)),1001))</x:f>
        <x:v>501</x:v>
      </x:c>
      <x:c r="Z413" s="1" t="n">
        <x:f>IF(I413&lt;=0,'損益分岐設定'!C37,IF('損益分岐設定'!C37*I413-R413&lt;0,'損益分岐設定'!C37,IF('損益分岐設定'!B37*I413-R413&gt;=0,0,ROUNDUP(R413/I413,0)-1)))</x:f>
        <x:v>10</x:v>
      </x:c>
      <x:c r="AA413" s="1" t="n">
        <x:f>IF(I413&lt;=0,'損益分岐設定'!C38,IF('損益分岐設定'!C38*I413-S413&lt;0,'損益分岐設定'!C38,IF('損益分岐設定'!B38*I413-S413&gt;=0,0,ROUNDUP(S413/I413,0)-1)))</x:f>
        <x:v>27</x:v>
      </x:c>
      <x:c r="AB413" s="1" t="n">
        <x:f>IF(I413&lt;=0,'損益分岐設定'!C39,IF('損益分岐設定'!C39*I413-T413&lt;0,'損益分岐設定'!C39,IF('損益分岐設定'!B39*I413-T413&gt;=0,0,ROUNDUP(T413/I413,0)-1)))</x:f>
        <x:v>0</x:v>
      </x:c>
      <x:c r="AC413" s="1" t="n">
        <x:f>IF(I413&lt;=0,'損益分岐設定'!C40,IF('損益分岐設定'!C40*I413-U413&lt;0,'損益分岐設定'!C40,IF('損益分岐設定'!B40*I413-U413&gt;=0,0,ROUNDUP(U413/I413,0)-1)))</x:f>
        <x:v>0</x:v>
      </x:c>
      <x:c r="AD413" s="1" t="n">
        <x:v>0</x:v>
      </x:c>
      <x:c r="AE413" s="1" t="n">
        <x:v>0</x:v>
      </x:c>
      <x:c r="AF413" s="1" t="n">
        <x:v>1</x:v>
      </x:c>
      <x:c r="AG413" s="1" t="n">
        <x:f>AD413*'損益分岐設定'!$C$56+AE413*'損益分岐設定'!$C$59+AF413*'損益分岐設定'!$C$62</x:f>
        <x:v>213.56512359619143</x:v>
      </x:c>
      <x:c r="AH413" s="1" t="n">
        <x:f>AD413*'損益分岐設定'!$D$56+AE413*'損益分岐設定'!$D$59+AF413*'損益分岐設定'!$D$62</x:f>
        <x:v>75</x:v>
      </x:c>
      <x:c r="AI413" s="1" t="n">
        <x:f>AD413*'損益分岐設定'!$E$56+AE413*'損益分岐設定'!$E$59+AF413*'損益分岐設定'!$E$62</x:f>
        <x:v>50</x:v>
      </x:c>
      <x:c r="AJ413" s="1" t="n">
        <x:f>(AD413*'損益分岐設定'!$F$56+AE413*'損益分岐設定'!$F$59+AF413*'損益分岐設定'!$F$62*1)*'損益分岐設定'!$B$22</x:f>
        <x:v>75</x:v>
      </x:c>
      <x:c r="AK413" s="1" t="n">
        <x:f>AD413*'損益分岐設定'!$G$56+AE413*'損益分岐設定'!$G$59+AF413*'損益分岐設定'!$G$62</x:f>
        <x:v>250</x:v>
      </x:c>
      <x:c r="AL413" s="1" t="n">
        <x:f>AD413*'損益分岐設定'!$H$56+AE413*'損益分岐設定'!$H$59+AF413*'損益分岐設定'!$H$62</x:f>
        <x:v>533.3333333333334</x:v>
      </x:c>
      <x:c r="AM413" s="1" t="n">
        <x:f>MAX(1,ROUNDUP('損益分岐設定'!C37*AJ413/('損益分岐設定'!$B$23*'損益分岐設定'!$B$24*3600*'損益分岐設定'!$B$25),0))</x:f>
        <x:v>1</x:v>
      </x:c>
      <x:c r="AN413" s="1" t="n">
        <x:f>MAX(2,ROUNDUP('損益分岐設定'!C38*AJ413/('損益分岐設定'!$B$23*'損益分岐設定'!$B$24*3600*'損益分岐設定'!$B$25),0))</x:f>
        <x:v>2</x:v>
      </x:c>
      <x:c r="AO413" s="1" t="n">
        <x:f>MAX(2,ROUNDUP('損益分岐設定'!C39*AJ413/('損益分岐設定'!$B$23*'損益分岐設定'!$B$24*3600*'損益分岐設定'!$B$25),0))</x:f>
        <x:v>2</x:v>
      </x:c>
      <x:c r="AP413" s="1" t="n">
        <x:f>MAX(2,ROUNDUP('損益分岐設定'!C40*AJ413/('損益分岐設定'!$B$23*'損益分岐設定'!$B$24*3600*'損益分岐設定'!$B$25),0))</x:f>
        <x:v>2</x:v>
      </x:c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 ht="23" customHeight="1">
      <x:c r="A414" s="1" t="str">
        <x:v>VM</x:v>
      </x:c>
      <x:c r="B414" s="1" t="str">
        <x:v>Business Plus</x:v>
      </x:c>
      <x:c r="C414" s="1" t="str">
        <x:v>低位</x:v>
      </x:c>
      <x:c r="D414" s="21" t="n">
        <x:v>0.5</x:v>
      </x:c>
      <x:c r="E414" s="1" t="n">
        <x:v>1</x:v>
      </x:c>
      <x:c r="F414" s="7" t="n">
        <x:f>AD414*'損益分岐設定'!$B$5+AE414*'損益分岐設定'!$B$6+AF414*'損益分岐設定'!$B$7</x:f>
        <x:v>8000</x:v>
      </x:c>
      <x:c r="G414" s="7" t="n">
        <x:f>AG414+0+AK414*'損益分岐設定'!$B$33</x:f>
        <x:v>213.56791756391527</x:v>
      </x:c>
      <x:c r="H414" s="7" t="n">
        <x:f>AL414*E414</x:f>
        <x:v>533.3333333333334</x:v>
      </x:c>
      <x:c r="I414" s="7" t="n">
        <x:f>F414*(1-D414-'損益分岐設定'!$B$10)-G414-H414</x:f>
        <x:v>2965.0987491027513</x:v>
      </x:c>
      <x:c r="J414" s="1" t="n">
        <x:f>IF(MIN(V414:Y414)&gt;1000,"範囲内なし",MIN(V414:Y414))</x:f>
        <x:v>49</x:v>
      </x:c>
      <x:c r="K414" s="1" t="n">
        <x:f>IF(MAX(Z414:AC414)&gt;=1000,"範囲内なし",MAX(1,MAX(Z414:AC414)+1))</x:f>
        <x:v>49</x:v>
      </x:c>
      <x:c r="L414" s="7" t="n">
        <x:f>10*I414-R414</x:f>
        <x:v>-53108.199270193756</x:v>
      </x:c>
      <x:c r="M414" s="7" t="n">
        <x:f>30*I414-S414</x:f>
        <x:v>-56065.41104935999</x:v>
      </x:c>
      <x:c r="N414" s="7" t="n">
        <x:f>50*I414-S414</x:f>
        <x:v>3236.5639326950186</x:v>
      </x:c>
      <x:c r="O414" s="7" t="n">
        <x:f>100*I414-S414</x:f>
        <x:v>151491.50138783257</x:v>
      </x:c>
      <x:c r="P414" s="7" t="n">
        <x:f>300*I414-T414</x:f>
        <x:v>712511.2512083829</x:v>
      </x:c>
      <x:c r="Q414" s="7" t="n">
        <x:f>1000*I414-U414</x:f>
        <x:v>2719200.782199698</x:v>
      </x:c>
      <x:c r="R414" s="7" t="n">
        <x:f>'損益分岐設定'!$B$18+'損益分岐設定'!$B$19+'損益分岐設定'!$B$20+'損益分岐設定'!E37+('損益分岐設定'!F37+2*'損益分岐設定'!G37+AM414)*('損益分岐設定'!$B$15+'損益分岐設定'!$B$16)+'損益分岐設定'!$B$17+'損益分岐設定'!$B$21+E414*'損益分岐設定'!H37*'損益分岐設定'!$B$11</x:f>
        <x:v>82759.18676122127</x:v>
      </x:c>
      <x:c r="S414" s="7" t="n">
        <x:f>'損益分岐設定'!$B$18+'損益分岐設定'!$B$19+'損益分岐設定'!$B$20+'損益分岐設定'!E38+('損益分岐設定'!F38+2*'損益分岐設定'!G38+AN414)*('損益分岐設定'!$B$15+'損益分岐設定'!$B$16)+'損益分岐設定'!$B$17+'損益分岐設定'!$B$21+E414*'損益分岐設定'!H38*'損益分岐設定'!$B$11</x:f>
        <x:v>145018.37352244253</x:v>
      </x:c>
      <x:c r="T414" s="7" t="n">
        <x:f>'損益分岐設定'!$B$18+'損益分岐設定'!$B$19+'損益分岐設定'!$B$20+'損益分岐設定'!E39+('損益分岐設定'!F39+2*'損益分岐設定'!G39+AO414)*('損益分岐設定'!$B$15+'損益分岐設定'!$B$16)+'損益分岐設定'!$B$17+'損益分岐設定'!$B$21+E414*'損益分岐設定'!H39*'損益分岐設定'!$B$11</x:f>
        <x:v>177018.37352244253</x:v>
      </x:c>
      <x:c r="U414" s="7" t="n">
        <x:f>'損益分岐設定'!$B$18+'損益分岐設定'!$B$19+'損益分岐設定'!$B$20+'損益分岐設定'!E40+('損益分岐設定'!F40+2*'損益分岐設定'!G40+AP414)*('損益分岐設定'!$B$15+'損益分岐設定'!$B$16)+'損益分岐設定'!$B$17+'損益分岐設定'!$B$21+E414*'損益分岐設定'!H40*'損益分岐設定'!$B$11</x:f>
        <x:v>245897.96690305317</x:v>
      </x:c>
      <x:c r="V414" s="1" t="n">
        <x:f>IF(I414&lt;=0,1001,IF(MAX('損益分岐設定'!B37,ROUNDUP(R414/I414,0))&lt;='損益分岐設定'!C37,MAX('損益分岐設定'!B37,ROUNDUP(R414/I414,0)),1001))</x:f>
        <x:v>1001</x:v>
      </x:c>
      <x:c r="W414" s="1" t="n">
        <x:f>IF(I414&lt;=0,1001,IF(MAX('損益分岐設定'!B38,ROUNDUP(S414/I414,0))&lt;='損益分岐設定'!C38,MAX('損益分岐設定'!B38,ROUNDUP(S414/I414,0)),1001))</x:f>
        <x:v>49</x:v>
      </x:c>
      <x:c r="X414" s="1" t="n">
        <x:f>IF(I414&lt;=0,1001,IF(MAX('損益分岐設定'!B39,ROUNDUP(T414/I414,0))&lt;='損益分岐設定'!C39,MAX('損益分岐設定'!B39,ROUNDUP(T414/I414,0)),1001))</x:f>
        <x:v>101</x:v>
      </x:c>
      <x:c r="Y414" s="1" t="n">
        <x:f>IF(I414&lt;=0,1001,IF(MAX('損益分岐設定'!B40,ROUNDUP(U414/I414,0))&lt;='損益分岐設定'!C40,MAX('損益分岐設定'!B40,ROUNDUP(U414/I414,0)),1001))</x:f>
        <x:v>501</x:v>
      </x:c>
      <x:c r="Z414" s="1" t="n">
        <x:f>IF(I414&lt;=0,'損益分岐設定'!C37,IF('損益分岐設定'!C37*I414-R414&lt;0,'損益分岐設定'!C37,IF('損益分岐設定'!B37*I414-R414&gt;=0,0,ROUNDUP(R414/I414,0)-1)))</x:f>
        <x:v>10</x:v>
      </x:c>
      <x:c r="AA414" s="1" t="n">
        <x:f>IF(I414&lt;=0,'損益分岐設定'!C38,IF('損益分岐設定'!C38*I414-S414&lt;0,'損益分岐設定'!C38,IF('損益分岐設定'!B38*I414-S414&gt;=0,0,ROUNDUP(S414/I414,0)-1)))</x:f>
        <x:v>48</x:v>
      </x:c>
      <x:c r="AB414" s="1" t="n">
        <x:f>IF(I414&lt;=0,'損益分岐設定'!C39,IF('損益分岐設定'!C39*I414-T414&lt;0,'損益分岐設定'!C39,IF('損益分岐設定'!B39*I414-T414&gt;=0,0,ROUNDUP(T414/I414,0)-1)))</x:f>
        <x:v>0</x:v>
      </x:c>
      <x:c r="AC414" s="1" t="n">
        <x:f>IF(I414&lt;=0,'損益分岐設定'!C40,IF('損益分岐設定'!C40*I414-U414&lt;0,'損益分岐設定'!C40,IF('損益分岐設定'!B40*I414-U414&gt;=0,0,ROUNDUP(U414/I414,0)-1)))</x:f>
        <x:v>0</x:v>
      </x:c>
      <x:c r="AD414" s="1" t="n">
        <x:v>0</x:v>
      </x:c>
      <x:c r="AE414" s="1" t="n">
        <x:v>0</x:v>
      </x:c>
      <x:c r="AF414" s="1" t="n">
        <x:v>1</x:v>
      </x:c>
      <x:c r="AG414" s="1" t="n">
        <x:f>AD414*'損益分岐設定'!$C$56+AE414*'損益分岐設定'!$C$59+AF414*'損益分岐設定'!$C$62</x:f>
        <x:v>213.56512359619143</x:v>
      </x:c>
      <x:c r="AH414" s="1" t="n">
        <x:f>AD414*'損益分岐設定'!$D$56+AE414*'損益分岐設定'!$D$59+AF414*'損益分岐設定'!$D$62</x:f>
        <x:v>75</x:v>
      </x:c>
      <x:c r="AI414" s="1" t="n">
        <x:f>AD414*'損益分岐設定'!$E$56+AE414*'損益分岐設定'!$E$59+AF414*'損益分岐設定'!$E$62</x:f>
        <x:v>50</x:v>
      </x:c>
      <x:c r="AJ414" s="1" t="n">
        <x:f>(AD414*'損益分岐設定'!$F$56+AE414*'損益分岐設定'!$F$59+AF414*'損益分岐設定'!$F$62*1)*'損益分岐設定'!$B$22</x:f>
        <x:v>75</x:v>
      </x:c>
      <x:c r="AK414" s="1" t="n">
        <x:f>AD414*'損益分岐設定'!$G$56+AE414*'損益分岐設定'!$G$59+AF414*'損益分岐設定'!$G$62</x:f>
        <x:v>250</x:v>
      </x:c>
      <x:c r="AL414" s="1" t="n">
        <x:f>AD414*'損益分岐設定'!$H$56+AE414*'損益分岐設定'!$H$59+AF414*'損益分岐設定'!$H$62</x:f>
        <x:v>533.3333333333334</x:v>
      </x:c>
      <x:c r="AM414" s="1" t="n">
        <x:f>MAX(1,ROUNDUP('損益分岐設定'!C37*AJ414/('損益分岐設定'!$B$23*'損益分岐設定'!$B$24*3600*'損益分岐設定'!$B$25),0))</x:f>
        <x:v>1</x:v>
      </x:c>
      <x:c r="AN414" s="1" t="n">
        <x:f>MAX(2,ROUNDUP('損益分岐設定'!C38*AJ414/('損益分岐設定'!$B$23*'損益分岐設定'!$B$24*3600*'損益分岐設定'!$B$25),0))</x:f>
        <x:v>2</x:v>
      </x:c>
      <x:c r="AO414" s="1" t="n">
        <x:f>MAX(2,ROUNDUP('損益分岐設定'!C39*AJ414/('損益分岐設定'!$B$23*'損益分岐設定'!$B$24*3600*'損益分岐設定'!$B$25),0))</x:f>
        <x:v>2</x:v>
      </x:c>
      <x:c r="AP414" s="1" t="n">
        <x:f>MAX(2,ROUNDUP('損益分岐設定'!C40*AJ414/('損益分岐設定'!$B$23*'損益分岐設定'!$B$24*3600*'損益分岐設定'!$B$25),0))</x:f>
        <x:v>2</x:v>
      </x:c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 ht="23" customHeight="1">
      <x:c r="A415" s="1" t="str">
        <x:v>VM</x:v>
      </x:c>
      <x:c r="B415" s="1" t="str">
        <x:v>Business Plus</x:v>
      </x:c>
      <x:c r="C415" s="1" t="str">
        <x:v>標準</x:v>
      </x:c>
      <x:c r="D415" s="21" t="n">
        <x:v>0</x:v>
      </x:c>
      <x:c r="E415" s="1" t="n">
        <x:v>0</x:v>
      </x:c>
      <x:c r="F415" s="7" t="n">
        <x:f>AD415*'損益分岐設定'!$B$5+AE415*'損益分岐設定'!$B$6+AF415*'損益分岐設定'!$B$7</x:f>
        <x:v>8000</x:v>
      </x:c>
      <x:c r="G415" s="7" t="n">
        <x:f>AG415+0+AK415*'損益分岐設定'!$B$33</x:f>
        <x:v>1028.9837836265563</x:v>
      </x:c>
      <x:c r="H415" s="7" t="n">
        <x:f>AL415*E415</x:f>
        <x:v>0</x:v>
      </x:c>
      <x:c r="I415" s="7" t="n">
        <x:f>F415*(1-D415-'損益分岐設定'!$B$10)-G415-H415</x:f>
        <x:v>6683.016216373444</x:v>
      </x:c>
      <x:c r="J415" s="1" t="n">
        <x:f>IF(MIN(V415:Y415)&gt;1000,"範囲内なし",MIN(V415:Y415))</x:f>
        <x:v>8</x:v>
      </x:c>
      <x:c r="K415" s="1" t="n">
        <x:f>IF(MAX(Z415:AC415)&gt;=1000,"範囲内なし",MAX(1,MAX(Z415:AC415)+1))</x:f>
        <x:v>15</x:v>
      </x:c>
      <x:c r="L415" s="7" t="n">
        <x:f>10*I415-R415</x:f>
        <x:v>16070.975402513162</x:v>
      </x:c>
      <x:c r="M415" s="7" t="n">
        <x:f>30*I415-S415</x:f>
        <x:v>103472.11296876076</x:v>
      </x:c>
      <x:c r="N415" s="7" t="n">
        <x:f>50*I415-S415</x:f>
        <x:v>237132.43729622965</x:v>
      </x:c>
      <x:c r="O415" s="7" t="n">
        <x:f>100*I415-S415</x:f>
        <x:v>571283.2481149018</x:v>
      </x:c>
      <x:c r="P415" s="7" t="n">
        <x:f>300*I415-T415</x:f>
        <x:v>1907886.4913895905</x:v>
      </x:c>
      <x:c r="Q415" s="7" t="n">
        <x:f>1000*I415-U415</x:f>
        <x:v>6554678.452780085</x:v>
      </x:c>
      <x:c r="R415" s="7" t="n">
        <x:f>'損益分岐設定'!$B$18+'損益分岐設定'!$B$19+'損益分岐設定'!$B$20+'損益分岐設定'!E37+('損益分岐設定'!F37+2*'損益分岐設定'!G37+AM415)*('損益分岐設定'!$B$15+'損益分岐設定'!$B$16)+'損益分岐設定'!$B$17+'損益分岐設定'!$B$21+E415*'損益分岐設定'!H37*'損益分岐設定'!$B$11</x:f>
        <x:v>50759.18676122127</x:v>
      </x:c>
      <x:c r="S415" s="7" t="n">
        <x:f>'損益分岐設定'!$B$18+'損益分岐設定'!$B$19+'損益分岐設定'!$B$20+'損益分岐設定'!E38+('損益分岐設定'!F38+2*'損益分岐設定'!G38+AN415)*('損益分岐設定'!$B$15+'損益分岐設定'!$B$16)+'損益分岐設定'!$B$17+'損益分岐設定'!$B$21+E415*'損益分岐設定'!H38*'損益分岐設定'!$B$11</x:f>
        <x:v>97018.37352244255</x:v>
      </x:c>
      <x:c r="T415" s="7" t="n">
        <x:f>'損益分岐設定'!$B$18+'損益分岐設定'!$B$19+'損益分岐設定'!$B$20+'損益分岐設定'!E39+('損益分岐設定'!F39+2*'損益分岐設定'!G39+AO415)*('損益分岐設定'!$B$15+'損益分岐設定'!$B$16)+'損益分岐設定'!$B$17+'損益分岐設定'!$B$21+E415*'損益分岐設定'!H39*'損益分岐設定'!$B$11</x:f>
        <x:v>97018.37352244255</x:v>
      </x:c>
      <x:c r="U415" s="7" t="n">
        <x:f>'損益分岐設定'!$B$18+'損益分岐設定'!$B$19+'損益分岐設定'!$B$20+'損益分岐設定'!E40+('損益分岐設定'!F40+2*'損益分岐設定'!G40+AP415)*('損益分岐設定'!$B$15+'損益分岐設定'!$B$16)+'損益分岐設定'!$B$17+'損益分岐設定'!$B$21+E415*'損益分岐設定'!H40*'損益分岐設定'!$B$11</x:f>
        <x:v>128337.7635933585</x:v>
      </x:c>
      <x:c r="V415" s="1" t="n">
        <x:f>IF(I415&lt;=0,1001,IF(MAX('損益分岐設定'!B37,ROUNDUP(R415/I415,0))&lt;='損益分岐設定'!C37,MAX('損益分岐設定'!B37,ROUNDUP(R415/I415,0)),1001))</x:f>
        <x:v>8</x:v>
      </x:c>
      <x:c r="W415" s="1" t="n">
        <x:f>IF(I415&lt;=0,1001,IF(MAX('損益分岐設定'!B38,ROUNDUP(S415/I415,0))&lt;='損益分岐設定'!C38,MAX('損益分岐設定'!B38,ROUNDUP(S415/I415,0)),1001))</x:f>
        <x:v>15</x:v>
      </x:c>
      <x:c r="X415" s="1" t="n">
        <x:f>IF(I415&lt;=0,1001,IF(MAX('損益分岐設定'!B39,ROUNDUP(T415/I415,0))&lt;='損益分岐設定'!C39,MAX('損益分岐設定'!B39,ROUNDUP(T415/I415,0)),1001))</x:f>
        <x:v>101</x:v>
      </x:c>
      <x:c r="Y415" s="1" t="n">
        <x:f>IF(I415&lt;=0,1001,IF(MAX('損益分岐設定'!B40,ROUNDUP(U415/I415,0))&lt;='損益分岐設定'!C40,MAX('損益分岐設定'!B40,ROUNDUP(U415/I415,0)),1001))</x:f>
        <x:v>501</x:v>
      </x:c>
      <x:c r="Z415" s="1" t="n">
        <x:f>IF(I415&lt;=0,'損益分岐設定'!C37,IF('損益分岐設定'!C37*I415-R415&lt;0,'損益分岐設定'!C37,IF('損益分岐設定'!B37*I415-R415&gt;=0,0,ROUNDUP(R415/I415,0)-1)))</x:f>
        <x:v>7</x:v>
      </x:c>
      <x:c r="AA415" s="1" t="n">
        <x:f>IF(I415&lt;=0,'損益分岐設定'!C38,IF('損益分岐設定'!C38*I415-S415&lt;0,'損益分岐設定'!C38,IF('損益分岐設定'!B38*I415-S415&gt;=0,0,ROUNDUP(S415/I415,0)-1)))</x:f>
        <x:v>14</x:v>
      </x:c>
      <x:c r="AB415" s="1" t="n">
        <x:f>IF(I415&lt;=0,'損益分岐設定'!C39,IF('損益分岐設定'!C39*I415-T415&lt;0,'損益分岐設定'!C39,IF('損益分岐設定'!B39*I415-T415&gt;=0,0,ROUNDUP(T415/I415,0)-1)))</x:f>
        <x:v>0</x:v>
      </x:c>
      <x:c r="AC415" s="1" t="n">
        <x:f>IF(I415&lt;=0,'損益分岐設定'!C40,IF('損益分岐設定'!C40*I415-U415&lt;0,'損益分岐設定'!C40,IF('損益分岐設定'!B40*I415-U415&gt;=0,0,ROUNDUP(U415/I415,0)-1)))</x:f>
        <x:v>0</x:v>
      </x:c>
      <x:c r="AD415" s="1" t="n">
        <x:v>0</x:v>
      </x:c>
      <x:c r="AE415" s="1" t="n">
        <x:v>0</x:v>
      </x:c>
      <x:c r="AF415" s="1" t="n">
        <x:v>1</x:v>
      </x:c>
      <x:c r="AG415" s="1" t="n">
        <x:f>AD415*'損益分岐設定'!$C$57+AE415*'損益分岐設定'!$C$60+AF415*'損益分岐設定'!$C$63</x:f>
        <x:v>1028.9614318847655</x:v>
      </x:c>
      <x:c r="AH415" s="1" t="n">
        <x:f>AD415*'損益分岐設定'!$D$57+AE415*'損益分岐設定'!$D$60+AF415*'損益分岐設定'!$D$63</x:f>
        <x:v>300</x:v>
      </x:c>
      <x:c r="AI415" s="1" t="n">
        <x:f>AD415*'損益分岐設定'!$E$57+AE415*'損益分岐設定'!$E$60+AF415*'損益分岐設定'!$E$63</x:f>
        <x:v>300</x:v>
      </x:c>
      <x:c r="AJ415" s="1" t="n">
        <x:f>(AD415*'損益分岐設定'!$F$57+AE415*'損益分岐設定'!$F$60+AF415*'損益分岐設定'!$F$63*1)*'損益分岐設定'!$B$22</x:f>
        <x:v>1200</x:v>
      </x:c>
      <x:c r="AK415" s="1" t="n">
        <x:f>AD415*'損益分岐設定'!$G$57+AE415*'損益分岐設定'!$G$60+AF415*'損益分岐設定'!$G$63</x:f>
        <x:v>2000</x:v>
      </x:c>
      <x:c r="AL415" s="1" t="n">
        <x:f>AD415*'損益分岐設定'!$H$57+AE415*'損益分岐設定'!$H$60+AF415*'損益分岐設定'!$H$63</x:f>
        <x:v>866.6666666666667</x:v>
      </x:c>
      <x:c r="AM415" s="1" t="n">
        <x:f>MAX(1,ROUNDUP('損益分岐設定'!C37*AJ415/('損益分岐設定'!$B$23*'損益分岐設定'!$B$24*3600*'損益分岐設定'!$B$25),0))</x:f>
        <x:v>1</x:v>
      </x:c>
      <x:c r="AN415" s="1" t="n">
        <x:f>MAX(2,ROUNDUP('損益分岐設定'!C38*AJ415/('損益分岐設定'!$B$23*'損益分岐設定'!$B$24*3600*'損益分岐設定'!$B$25),0))</x:f>
        <x:v>2</x:v>
      </x:c>
      <x:c r="AO415" s="1" t="n">
        <x:f>MAX(2,ROUNDUP('損益分岐設定'!C39*AJ415/('損益分岐設定'!$B$23*'損益分岐設定'!$B$24*3600*'損益分岐設定'!$B$25),0))</x:f>
        <x:v>2</x:v>
      </x:c>
      <x:c r="AP415" s="1" t="n">
        <x:f>MAX(2,ROUNDUP('損益分岐設定'!C40*AJ415/('損益分岐設定'!$B$23*'損益分岐設定'!$B$24*3600*'損益分岐設定'!$B$25),0))</x:f>
        <x:v>3</x:v>
      </x:c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 ht="23" customHeight="1">
      <x:c r="A416" s="1" t="str">
        <x:v>VM</x:v>
      </x:c>
      <x:c r="B416" s="1" t="str">
        <x:v>Business Plus</x:v>
      </x:c>
      <x:c r="C416" s="1" t="str">
        <x:v>標準</x:v>
      </x:c>
      <x:c r="D416" s="21" t="n">
        <x:v>0</x:v>
      </x:c>
      <x:c r="E416" s="1" t="n">
        <x:v>1</x:v>
      </x:c>
      <x:c r="F416" s="7" t="n">
        <x:f>AD416*'損益分岐設定'!$B$5+AE416*'損益分岐設定'!$B$6+AF416*'損益分岐設定'!$B$7</x:f>
        <x:v>8000</x:v>
      </x:c>
      <x:c r="G416" s="7" t="n">
        <x:f>AG416+0+AK416*'損益分岐設定'!$B$33</x:f>
        <x:v>1028.9837836265563</x:v>
      </x:c>
      <x:c r="H416" s="7" t="n">
        <x:f>AL416*E416</x:f>
        <x:v>866.6666666666667</x:v>
      </x:c>
      <x:c r="I416" s="7" t="n">
        <x:f>F416*(1-D416-'損益分岐設定'!$B$10)-G416-H416</x:f>
        <x:v>5816.349549706777</x:v>
      </x:c>
      <x:c r="J416" s="1" t="n">
        <x:f>IF(MIN(V416:Y416)&gt;1000,"範囲内なし",MIN(V416:Y416))</x:f>
        <x:v>25</x:v>
      </x:c>
      <x:c r="K416" s="1" t="n">
        <x:f>IF(MAX(Z416:AC416)&gt;=1000,"範囲内なし",MAX(1,MAX(Z416:AC416)+1))</x:f>
        <x:v>25</x:v>
      </x:c>
      <x:c r="L416" s="7" t="n">
        <x:f>10*I416-R416</x:f>
        <x:v>-24595.691264153495</x:v>
      </x:c>
      <x:c r="M416" s="7" t="n">
        <x:f>30*I416-S416</x:f>
        <x:v>29472.112968760775</x:v>
      </x:c>
      <x:c r="N416" s="7" t="n">
        <x:f>50*I416-S416</x:f>
        <x:v>145799.10396289633</x:v>
      </x:c>
      <x:c r="O416" s="7" t="n">
        <x:f>100*I416-S416</x:f>
        <x:v>436616.5814482352</x:v>
      </x:c>
      <x:c r="P416" s="7" t="n">
        <x:f>300*I416-T416</x:f>
        <x:v>1567886.4913895905</x:v>
      </x:c>
      <x:c r="Q416" s="7" t="n">
        <x:f>1000*I416-U416</x:f>
        <x:v>5560011.786113418</x:v>
      </x:c>
      <x:c r="R416" s="7" t="n">
        <x:f>'損益分岐設定'!$B$18+'損益分岐設定'!$B$19+'損益分岐設定'!$B$20+'損益分岐設定'!E37+('損益分岐設定'!F37+2*'損益分岐設定'!G37+AM416)*('損益分岐設定'!$B$15+'損益分岐設定'!$B$16)+'損益分岐設定'!$B$17+'損益分岐設定'!$B$21+E416*'損益分岐設定'!H37*'損益分岐設定'!$B$11</x:f>
        <x:v>82759.18676122127</x:v>
      </x:c>
      <x:c r="S416" s="7" t="n">
        <x:f>'損益分岐設定'!$B$18+'損益分岐設定'!$B$19+'損益分岐設定'!$B$20+'損益分岐設定'!E38+('損益分岐設定'!F38+2*'損益分岐設定'!G38+AN416)*('損益分岐設定'!$B$15+'損益分岐設定'!$B$16)+'損益分岐設定'!$B$17+'損益分岐設定'!$B$21+E416*'損益分岐設定'!H38*'損益分岐設定'!$B$11</x:f>
        <x:v>145018.37352244253</x:v>
      </x:c>
      <x:c r="T416" s="7" t="n">
        <x:f>'損益分岐設定'!$B$18+'損益分岐設定'!$B$19+'損益分岐設定'!$B$20+'損益分岐設定'!E39+('損益分岐設定'!F39+2*'損益分岐設定'!G39+AO416)*('損益分岐設定'!$B$15+'損益分岐設定'!$B$16)+'損益分岐設定'!$B$17+'損益分岐設定'!$B$21+E416*'損益分岐設定'!H39*'損益分岐設定'!$B$11</x:f>
        <x:v>177018.37352244253</x:v>
      </x:c>
      <x:c r="U416" s="7" t="n">
        <x:f>'損益分岐設定'!$B$18+'損益分岐設定'!$B$19+'損益分岐設定'!$B$20+'損益分岐設定'!E40+('損益分岐設定'!F40+2*'損益分岐設定'!G40+AP416)*('損益分岐設定'!$B$15+'損益分岐設定'!$B$16)+'損益分岐設定'!$B$17+'損益分岐設定'!$B$21+E416*'損益分岐設定'!H40*'損益分岐設定'!$B$11</x:f>
        <x:v>256337.7635933585</x:v>
      </x:c>
      <x:c r="V416" s="1" t="n">
        <x:f>IF(I416&lt;=0,1001,IF(MAX('損益分岐設定'!B37,ROUNDUP(R416/I416,0))&lt;='損益分岐設定'!C37,MAX('損益分岐設定'!B37,ROUNDUP(R416/I416,0)),1001))</x:f>
        <x:v>1001</x:v>
      </x:c>
      <x:c r="W416" s="1" t="n">
        <x:f>IF(I416&lt;=0,1001,IF(MAX('損益分岐設定'!B38,ROUNDUP(S416/I416,0))&lt;='損益分岐設定'!C38,MAX('損益分岐設定'!B38,ROUNDUP(S416/I416,0)),1001))</x:f>
        <x:v>25</x:v>
      </x:c>
      <x:c r="X416" s="1" t="n">
        <x:f>IF(I416&lt;=0,1001,IF(MAX('損益分岐設定'!B39,ROUNDUP(T416/I416,0))&lt;='損益分岐設定'!C39,MAX('損益分岐設定'!B39,ROUNDUP(T416/I416,0)),1001))</x:f>
        <x:v>101</x:v>
      </x:c>
      <x:c r="Y416" s="1" t="n">
        <x:f>IF(I416&lt;=0,1001,IF(MAX('損益分岐設定'!B40,ROUNDUP(U416/I416,0))&lt;='損益分岐設定'!C40,MAX('損益分岐設定'!B40,ROUNDUP(U416/I416,0)),1001))</x:f>
        <x:v>501</x:v>
      </x:c>
      <x:c r="Z416" s="1" t="n">
        <x:f>IF(I416&lt;=0,'損益分岐設定'!C37,IF('損益分岐設定'!C37*I416-R416&lt;0,'損益分岐設定'!C37,IF('損益分岐設定'!B37*I416-R416&gt;=0,0,ROUNDUP(R416/I416,0)-1)))</x:f>
        <x:v>10</x:v>
      </x:c>
      <x:c r="AA416" s="1" t="n">
        <x:f>IF(I416&lt;=0,'損益分岐設定'!C38,IF('損益分岐設定'!C38*I416-S416&lt;0,'損益分岐設定'!C38,IF('損益分岐設定'!B38*I416-S416&gt;=0,0,ROUNDUP(S416/I416,0)-1)))</x:f>
        <x:v>24</x:v>
      </x:c>
      <x:c r="AB416" s="1" t="n">
        <x:f>IF(I416&lt;=0,'損益分岐設定'!C39,IF('損益分岐設定'!C39*I416-T416&lt;0,'損益分岐設定'!C39,IF('損益分岐設定'!B39*I416-T416&gt;=0,0,ROUNDUP(T416/I416,0)-1)))</x:f>
        <x:v>0</x:v>
      </x:c>
      <x:c r="AC416" s="1" t="n">
        <x:f>IF(I416&lt;=0,'損益分岐設定'!C40,IF('損益分岐設定'!C40*I416-U416&lt;0,'損益分岐設定'!C40,IF('損益分岐設定'!B40*I416-U416&gt;=0,0,ROUNDUP(U416/I416,0)-1)))</x:f>
        <x:v>0</x:v>
      </x:c>
      <x:c r="AD416" s="1" t="n">
        <x:v>0</x:v>
      </x:c>
      <x:c r="AE416" s="1" t="n">
        <x:v>0</x:v>
      </x:c>
      <x:c r="AF416" s="1" t="n">
        <x:v>1</x:v>
      </x:c>
      <x:c r="AG416" s="1" t="n">
        <x:f>AD416*'損益分岐設定'!$C$57+AE416*'損益分岐設定'!$C$60+AF416*'損益分岐設定'!$C$63</x:f>
        <x:v>1028.9614318847655</x:v>
      </x:c>
      <x:c r="AH416" s="1" t="n">
        <x:f>AD416*'損益分岐設定'!$D$57+AE416*'損益分岐設定'!$D$60+AF416*'損益分岐設定'!$D$63</x:f>
        <x:v>300</x:v>
      </x:c>
      <x:c r="AI416" s="1" t="n">
        <x:f>AD416*'損益分岐設定'!$E$57+AE416*'損益分岐設定'!$E$60+AF416*'損益分岐設定'!$E$63</x:f>
        <x:v>300</x:v>
      </x:c>
      <x:c r="AJ416" s="1" t="n">
        <x:f>(AD416*'損益分岐設定'!$F$57+AE416*'損益分岐設定'!$F$60+AF416*'損益分岐設定'!$F$63*1)*'損益分岐設定'!$B$22</x:f>
        <x:v>1200</x:v>
      </x:c>
      <x:c r="AK416" s="1" t="n">
        <x:f>AD416*'損益分岐設定'!$G$57+AE416*'損益分岐設定'!$G$60+AF416*'損益分岐設定'!$G$63</x:f>
        <x:v>2000</x:v>
      </x:c>
      <x:c r="AL416" s="1" t="n">
        <x:f>AD416*'損益分岐設定'!$H$57+AE416*'損益分岐設定'!$H$60+AF416*'損益分岐設定'!$H$63</x:f>
        <x:v>866.6666666666667</x:v>
      </x:c>
      <x:c r="AM416" s="1" t="n">
        <x:f>MAX(1,ROUNDUP('損益分岐設定'!C37*AJ416/('損益分岐設定'!$B$23*'損益分岐設定'!$B$24*3600*'損益分岐設定'!$B$25),0))</x:f>
        <x:v>1</x:v>
      </x:c>
      <x:c r="AN416" s="1" t="n">
        <x:f>MAX(2,ROUNDUP('損益分岐設定'!C38*AJ416/('損益分岐設定'!$B$23*'損益分岐設定'!$B$24*3600*'損益分岐設定'!$B$25),0))</x:f>
        <x:v>2</x:v>
      </x:c>
      <x:c r="AO416" s="1" t="n">
        <x:f>MAX(2,ROUNDUP('損益分岐設定'!C39*AJ416/('損益分岐設定'!$B$23*'損益分岐設定'!$B$24*3600*'損益分岐設定'!$B$25),0))</x:f>
        <x:v>2</x:v>
      </x:c>
      <x:c r="AP416" s="1" t="n">
        <x:f>MAX(2,ROUNDUP('損益分岐設定'!C40*AJ416/('損益分岐設定'!$B$23*'損益分岐設定'!$B$24*3600*'損益分岐設定'!$B$25),0))</x:f>
        <x:v>3</x:v>
      </x:c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 ht="23" customHeight="1">
      <x:c r="A417" s="1" t="str">
        <x:v>VM</x:v>
      </x:c>
      <x:c r="B417" s="1" t="str">
        <x:v>Business Plus</x:v>
      </x:c>
      <x:c r="C417" s="1" t="str">
        <x:v>標準</x:v>
      </x:c>
      <x:c r="D417" s="21" t="n">
        <x:v>0.2</x:v>
      </x:c>
      <x:c r="E417" s="1" t="n">
        <x:v>0</x:v>
      </x:c>
      <x:c r="F417" s="7" t="n">
        <x:f>AD417*'損益分岐設定'!$B$5+AE417*'損益分岐設定'!$B$6+AF417*'損益分岐設定'!$B$7</x:f>
        <x:v>8000</x:v>
      </x:c>
      <x:c r="G417" s="7" t="n">
        <x:f>AG417+0+AK417*'損益分岐設定'!$B$33</x:f>
        <x:v>1028.9837836265563</x:v>
      </x:c>
      <x:c r="H417" s="7" t="n">
        <x:f>AL417*E417</x:f>
        <x:v>0</x:v>
      </x:c>
      <x:c r="I417" s="7" t="n">
        <x:f>F417*(1-D417-'損益分岐設定'!$B$10)-G417-H417</x:f>
        <x:v>5083.016216373444</x:v>
      </x:c>
      <x:c r="J417" s="1" t="n">
        <x:f>IF(MIN(V417:Y417)&gt;1000,"範囲内なし",MIN(V417:Y417))</x:f>
        <x:v>10</x:v>
      </x:c>
      <x:c r="K417" s="1" t="n">
        <x:f>IF(MAX(Z417:AC417)&gt;=1000,"範囲内なし",MAX(1,MAX(Z417:AC417)+1))</x:f>
        <x:v>20</x:v>
      </x:c>
      <x:c r="L417" s="7" t="n">
        <x:f>10*I417-R417</x:f>
        <x:v>70.97540251316241</x:v>
      </x:c>
      <x:c r="M417" s="7" t="n">
        <x:f>30*I417-S417</x:f>
        <x:v>55472.11296876076</x:v>
      </x:c>
      <x:c r="N417" s="7" t="n">
        <x:f>50*I417-S417</x:f>
        <x:v>157132.43729622965</x:v>
      </x:c>
      <x:c r="O417" s="7" t="n">
        <x:f>100*I417-S417</x:f>
        <x:v>411283.2481149019</x:v>
      </x:c>
      <x:c r="P417" s="7" t="n">
        <x:f>300*I417-T417</x:f>
        <x:v>1427886.4913895905</x:v>
      </x:c>
      <x:c r="Q417" s="7" t="n">
        <x:f>1000*I417-U417</x:f>
        <x:v>4954678.452780085</x:v>
      </x:c>
      <x:c r="R417" s="7" t="n">
        <x:f>'損益分岐設定'!$B$18+'損益分岐設定'!$B$19+'損益分岐設定'!$B$20+'損益分岐設定'!E37+('損益分岐設定'!F37+2*'損益分岐設定'!G37+AM417)*('損益分岐設定'!$B$15+'損益分岐設定'!$B$16)+'損益分岐設定'!$B$17+'損益分岐設定'!$B$21+E417*'損益分岐設定'!H37*'損益分岐設定'!$B$11</x:f>
        <x:v>50759.18676122127</x:v>
      </x:c>
      <x:c r="S417" s="7" t="n">
        <x:f>'損益分岐設定'!$B$18+'損益分岐設定'!$B$19+'損益分岐設定'!$B$20+'損益分岐設定'!E38+('損益分岐設定'!F38+2*'損益分岐設定'!G38+AN417)*('損益分岐設定'!$B$15+'損益分岐設定'!$B$16)+'損益分岐設定'!$B$17+'損益分岐設定'!$B$21+E417*'損益分岐設定'!H38*'損益分岐設定'!$B$11</x:f>
        <x:v>97018.37352244255</x:v>
      </x:c>
      <x:c r="T417" s="7" t="n">
        <x:f>'損益分岐設定'!$B$18+'損益分岐設定'!$B$19+'損益分岐設定'!$B$20+'損益分岐設定'!E39+('損益分岐設定'!F39+2*'損益分岐設定'!G39+AO417)*('損益分岐設定'!$B$15+'損益分岐設定'!$B$16)+'損益分岐設定'!$B$17+'損益分岐設定'!$B$21+E417*'損益分岐設定'!H39*'損益分岐設定'!$B$11</x:f>
        <x:v>97018.37352244255</x:v>
      </x:c>
      <x:c r="U417" s="7" t="n">
        <x:f>'損益分岐設定'!$B$18+'損益分岐設定'!$B$19+'損益分岐設定'!$B$20+'損益分岐設定'!E40+('損益分岐設定'!F40+2*'損益分岐設定'!G40+AP417)*('損益分岐設定'!$B$15+'損益分岐設定'!$B$16)+'損益分岐設定'!$B$17+'損益分岐設定'!$B$21+E417*'損益分岐設定'!H40*'損益分岐設定'!$B$11</x:f>
        <x:v>128337.7635933585</x:v>
      </x:c>
      <x:c r="V417" s="1" t="n">
        <x:f>IF(I417&lt;=0,1001,IF(MAX('損益分岐設定'!B37,ROUNDUP(R417/I417,0))&lt;='損益分岐設定'!C37,MAX('損益分岐設定'!B37,ROUNDUP(R417/I417,0)),1001))</x:f>
        <x:v>10</x:v>
      </x:c>
      <x:c r="W417" s="1" t="n">
        <x:f>IF(I417&lt;=0,1001,IF(MAX('損益分岐設定'!B38,ROUNDUP(S417/I417,0))&lt;='損益分岐設定'!C38,MAX('損益分岐設定'!B38,ROUNDUP(S417/I417,0)),1001))</x:f>
        <x:v>20</x:v>
      </x:c>
      <x:c r="X417" s="1" t="n">
        <x:f>IF(I417&lt;=0,1001,IF(MAX('損益分岐設定'!B39,ROUNDUP(T417/I417,0))&lt;='損益分岐設定'!C39,MAX('損益分岐設定'!B39,ROUNDUP(T417/I417,0)),1001))</x:f>
        <x:v>101</x:v>
      </x:c>
      <x:c r="Y417" s="1" t="n">
        <x:f>IF(I417&lt;=0,1001,IF(MAX('損益分岐設定'!B40,ROUNDUP(U417/I417,0))&lt;='損益分岐設定'!C40,MAX('損益分岐設定'!B40,ROUNDUP(U417/I417,0)),1001))</x:f>
        <x:v>501</x:v>
      </x:c>
      <x:c r="Z417" s="1" t="n">
        <x:f>IF(I417&lt;=0,'損益分岐設定'!C37,IF('損益分岐設定'!C37*I417-R417&lt;0,'損益分岐設定'!C37,IF('損益分岐設定'!B37*I417-R417&gt;=0,0,ROUNDUP(R417/I417,0)-1)))</x:f>
        <x:v>9</x:v>
      </x:c>
      <x:c r="AA417" s="1" t="n">
        <x:f>IF(I417&lt;=0,'損益分岐設定'!C38,IF('損益分岐設定'!C38*I417-S417&lt;0,'損益分岐設定'!C38,IF('損益分岐設定'!B38*I417-S417&gt;=0,0,ROUNDUP(S417/I417,0)-1)))</x:f>
        <x:v>19</x:v>
      </x:c>
      <x:c r="AB417" s="1" t="n">
        <x:f>IF(I417&lt;=0,'損益分岐設定'!C39,IF('損益分岐設定'!C39*I417-T417&lt;0,'損益分岐設定'!C39,IF('損益分岐設定'!B39*I417-T417&gt;=0,0,ROUNDUP(T417/I417,0)-1)))</x:f>
        <x:v>0</x:v>
      </x:c>
      <x:c r="AC417" s="1" t="n">
        <x:f>IF(I417&lt;=0,'損益分岐設定'!C40,IF('損益分岐設定'!C40*I417-U417&lt;0,'損益分岐設定'!C40,IF('損益分岐設定'!B40*I417-U417&gt;=0,0,ROUNDUP(U417/I417,0)-1)))</x:f>
        <x:v>0</x:v>
      </x:c>
      <x:c r="AD417" s="1" t="n">
        <x:v>0</x:v>
      </x:c>
      <x:c r="AE417" s="1" t="n">
        <x:v>0</x:v>
      </x:c>
      <x:c r="AF417" s="1" t="n">
        <x:v>1</x:v>
      </x:c>
      <x:c r="AG417" s="1" t="n">
        <x:f>AD417*'損益分岐設定'!$C$57+AE417*'損益分岐設定'!$C$60+AF417*'損益分岐設定'!$C$63</x:f>
        <x:v>1028.9614318847655</x:v>
      </x:c>
      <x:c r="AH417" s="1" t="n">
        <x:f>AD417*'損益分岐設定'!$D$57+AE417*'損益分岐設定'!$D$60+AF417*'損益分岐設定'!$D$63</x:f>
        <x:v>300</x:v>
      </x:c>
      <x:c r="AI417" s="1" t="n">
        <x:f>AD417*'損益分岐設定'!$E$57+AE417*'損益分岐設定'!$E$60+AF417*'損益分岐設定'!$E$63</x:f>
        <x:v>300</x:v>
      </x:c>
      <x:c r="AJ417" s="1" t="n">
        <x:f>(AD417*'損益分岐設定'!$F$57+AE417*'損益分岐設定'!$F$60+AF417*'損益分岐設定'!$F$63*1)*'損益分岐設定'!$B$22</x:f>
        <x:v>1200</x:v>
      </x:c>
      <x:c r="AK417" s="1" t="n">
        <x:f>AD417*'損益分岐設定'!$G$57+AE417*'損益分岐設定'!$G$60+AF417*'損益分岐設定'!$G$63</x:f>
        <x:v>2000</x:v>
      </x:c>
      <x:c r="AL417" s="1" t="n">
        <x:f>AD417*'損益分岐設定'!$H$57+AE417*'損益分岐設定'!$H$60+AF417*'損益分岐設定'!$H$63</x:f>
        <x:v>866.6666666666667</x:v>
      </x:c>
      <x:c r="AM417" s="1" t="n">
        <x:f>MAX(1,ROUNDUP('損益分岐設定'!C37*AJ417/('損益分岐設定'!$B$23*'損益分岐設定'!$B$24*3600*'損益分岐設定'!$B$25),0))</x:f>
        <x:v>1</x:v>
      </x:c>
      <x:c r="AN417" s="1" t="n">
        <x:f>MAX(2,ROUNDUP('損益分岐設定'!C38*AJ417/('損益分岐設定'!$B$23*'損益分岐設定'!$B$24*3600*'損益分岐設定'!$B$25),0))</x:f>
        <x:v>2</x:v>
      </x:c>
      <x:c r="AO417" s="1" t="n">
        <x:f>MAX(2,ROUNDUP('損益分岐設定'!C39*AJ417/('損益分岐設定'!$B$23*'損益分岐設定'!$B$24*3600*'損益分岐設定'!$B$25),0))</x:f>
        <x:v>2</x:v>
      </x:c>
      <x:c r="AP417" s="1" t="n">
        <x:f>MAX(2,ROUNDUP('損益分岐設定'!C40*AJ417/('損益分岐設定'!$B$23*'損益分岐設定'!$B$24*3600*'損益分岐設定'!$B$25),0))</x:f>
        <x:v>3</x:v>
      </x:c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 ht="23" customHeight="1">
      <x:c r="A418" s="1" t="str">
        <x:v>VM</x:v>
      </x:c>
      <x:c r="B418" s="1" t="str">
        <x:v>Business Plus</x:v>
      </x:c>
      <x:c r="C418" s="1" t="str">
        <x:v>標準</x:v>
      </x:c>
      <x:c r="D418" s="21" t="n">
        <x:v>0.2</x:v>
      </x:c>
      <x:c r="E418" s="1" t="n">
        <x:v>1</x:v>
      </x:c>
      <x:c r="F418" s="7" t="n">
        <x:f>AD418*'損益分岐設定'!$B$5+AE418*'損益分岐設定'!$B$6+AF418*'損益分岐設定'!$B$7</x:f>
        <x:v>8000</x:v>
      </x:c>
      <x:c r="G418" s="7" t="n">
        <x:f>AG418+0+AK418*'損益分岐設定'!$B$33</x:f>
        <x:v>1028.9837836265563</x:v>
      </x:c>
      <x:c r="H418" s="7" t="n">
        <x:f>AL418*E418</x:f>
        <x:v>866.6666666666667</x:v>
      </x:c>
      <x:c r="I418" s="7" t="n">
        <x:f>F418*(1-D418-'損益分岐設定'!$B$10)-G418-H418</x:f>
        <x:v>4216.349549706777</x:v>
      </x:c>
      <x:c r="J418" s="1" t="n">
        <x:f>IF(MIN(V418:Y418)&gt;1000,"範囲内なし",MIN(V418:Y418))</x:f>
        <x:v>35</x:v>
      </x:c>
      <x:c r="K418" s="1" t="n">
        <x:f>IF(MAX(Z418:AC418)&gt;=1000,"範囲内なし",MAX(1,MAX(Z418:AC418)+1))</x:f>
        <x:v>35</x:v>
      </x:c>
      <x:c r="L418" s="7" t="n">
        <x:f>10*I418-R418</x:f>
        <x:v>-40595.691264153495</x:v>
      </x:c>
      <x:c r="M418" s="7" t="n">
        <x:f>30*I418-S418</x:f>
        <x:v>-18527.887031239225</x:v>
      </x:c>
      <x:c r="N418" s="7" t="n">
        <x:f>50*I418-S418</x:f>
        <x:v>65799.1039628963</x:v>
      </x:c>
      <x:c r="O418" s="7" t="n">
        <x:f>100*I418-S418</x:f>
        <x:v>276616.58144823514</x:v>
      </x:c>
      <x:c r="P418" s="7" t="n">
        <x:f>300*I418-T418</x:f>
        <x:v>1087886.4913895905</x:v>
      </x:c>
      <x:c r="Q418" s="7" t="n">
        <x:f>1000*I418-U418</x:f>
        <x:v>3960011.786113418</x:v>
      </x:c>
      <x:c r="R418" s="7" t="n">
        <x:f>'損益分岐設定'!$B$18+'損益分岐設定'!$B$19+'損益分岐設定'!$B$20+'損益分岐設定'!E37+('損益分岐設定'!F37+2*'損益分岐設定'!G37+AM418)*('損益分岐設定'!$B$15+'損益分岐設定'!$B$16)+'損益分岐設定'!$B$17+'損益分岐設定'!$B$21+E418*'損益分岐設定'!H37*'損益分岐設定'!$B$11</x:f>
        <x:v>82759.18676122127</x:v>
      </x:c>
      <x:c r="S418" s="7" t="n">
        <x:f>'損益分岐設定'!$B$18+'損益分岐設定'!$B$19+'損益分岐設定'!$B$20+'損益分岐設定'!E38+('損益分岐設定'!F38+2*'損益分岐設定'!G38+AN418)*('損益分岐設定'!$B$15+'損益分岐設定'!$B$16)+'損益分岐設定'!$B$17+'損益分岐設定'!$B$21+E418*'損益分岐設定'!H38*'損益分岐設定'!$B$11</x:f>
        <x:v>145018.37352244253</x:v>
      </x:c>
      <x:c r="T418" s="7" t="n">
        <x:f>'損益分岐設定'!$B$18+'損益分岐設定'!$B$19+'損益分岐設定'!$B$20+'損益分岐設定'!E39+('損益分岐設定'!F39+2*'損益分岐設定'!G39+AO418)*('損益分岐設定'!$B$15+'損益分岐設定'!$B$16)+'損益分岐設定'!$B$17+'損益分岐設定'!$B$21+E418*'損益分岐設定'!H39*'損益分岐設定'!$B$11</x:f>
        <x:v>177018.37352244253</x:v>
      </x:c>
      <x:c r="U418" s="7" t="n">
        <x:f>'損益分岐設定'!$B$18+'損益分岐設定'!$B$19+'損益分岐設定'!$B$20+'損益分岐設定'!E40+('損益分岐設定'!F40+2*'損益分岐設定'!G40+AP418)*('損益分岐設定'!$B$15+'損益分岐設定'!$B$16)+'損益分岐設定'!$B$17+'損益分岐設定'!$B$21+E418*'損益分岐設定'!H40*'損益分岐設定'!$B$11</x:f>
        <x:v>256337.7635933585</x:v>
      </x:c>
      <x:c r="V418" s="1" t="n">
        <x:f>IF(I418&lt;=0,1001,IF(MAX('損益分岐設定'!B37,ROUNDUP(R418/I418,0))&lt;='損益分岐設定'!C37,MAX('損益分岐設定'!B37,ROUNDUP(R418/I418,0)),1001))</x:f>
        <x:v>1001</x:v>
      </x:c>
      <x:c r="W418" s="1" t="n">
        <x:f>IF(I418&lt;=0,1001,IF(MAX('損益分岐設定'!B38,ROUNDUP(S418/I418,0))&lt;='損益分岐設定'!C38,MAX('損益分岐設定'!B38,ROUNDUP(S418/I418,0)),1001))</x:f>
        <x:v>35</x:v>
      </x:c>
      <x:c r="X418" s="1" t="n">
        <x:f>IF(I418&lt;=0,1001,IF(MAX('損益分岐設定'!B39,ROUNDUP(T418/I418,0))&lt;='損益分岐設定'!C39,MAX('損益分岐設定'!B39,ROUNDUP(T418/I418,0)),1001))</x:f>
        <x:v>101</x:v>
      </x:c>
      <x:c r="Y418" s="1" t="n">
        <x:f>IF(I418&lt;=0,1001,IF(MAX('損益分岐設定'!B40,ROUNDUP(U418/I418,0))&lt;='損益分岐設定'!C40,MAX('損益分岐設定'!B40,ROUNDUP(U418/I418,0)),1001))</x:f>
        <x:v>501</x:v>
      </x:c>
      <x:c r="Z418" s="1" t="n">
        <x:f>IF(I418&lt;=0,'損益分岐設定'!C37,IF('損益分岐設定'!C37*I418-R418&lt;0,'損益分岐設定'!C37,IF('損益分岐設定'!B37*I418-R418&gt;=0,0,ROUNDUP(R418/I418,0)-1)))</x:f>
        <x:v>10</x:v>
      </x:c>
      <x:c r="AA418" s="1" t="n">
        <x:f>IF(I418&lt;=0,'損益分岐設定'!C38,IF('損益分岐設定'!C38*I418-S418&lt;0,'損益分岐設定'!C38,IF('損益分岐設定'!B38*I418-S418&gt;=0,0,ROUNDUP(S418/I418,0)-1)))</x:f>
        <x:v>34</x:v>
      </x:c>
      <x:c r="AB418" s="1" t="n">
        <x:f>IF(I418&lt;=0,'損益分岐設定'!C39,IF('損益分岐設定'!C39*I418-T418&lt;0,'損益分岐設定'!C39,IF('損益分岐設定'!B39*I418-T418&gt;=0,0,ROUNDUP(T418/I418,0)-1)))</x:f>
        <x:v>0</x:v>
      </x:c>
      <x:c r="AC418" s="1" t="n">
        <x:f>IF(I418&lt;=0,'損益分岐設定'!C40,IF('損益分岐設定'!C40*I418-U418&lt;0,'損益分岐設定'!C40,IF('損益分岐設定'!B40*I418-U418&gt;=0,0,ROUNDUP(U418/I418,0)-1)))</x:f>
        <x:v>0</x:v>
      </x:c>
      <x:c r="AD418" s="1" t="n">
        <x:v>0</x:v>
      </x:c>
      <x:c r="AE418" s="1" t="n">
        <x:v>0</x:v>
      </x:c>
      <x:c r="AF418" s="1" t="n">
        <x:v>1</x:v>
      </x:c>
      <x:c r="AG418" s="1" t="n">
        <x:f>AD418*'損益分岐設定'!$C$57+AE418*'損益分岐設定'!$C$60+AF418*'損益分岐設定'!$C$63</x:f>
        <x:v>1028.9614318847655</x:v>
      </x:c>
      <x:c r="AH418" s="1" t="n">
        <x:f>AD418*'損益分岐設定'!$D$57+AE418*'損益分岐設定'!$D$60+AF418*'損益分岐設定'!$D$63</x:f>
        <x:v>300</x:v>
      </x:c>
      <x:c r="AI418" s="1" t="n">
        <x:f>AD418*'損益分岐設定'!$E$57+AE418*'損益分岐設定'!$E$60+AF418*'損益分岐設定'!$E$63</x:f>
        <x:v>300</x:v>
      </x:c>
      <x:c r="AJ418" s="1" t="n">
        <x:f>(AD418*'損益分岐設定'!$F$57+AE418*'損益分岐設定'!$F$60+AF418*'損益分岐設定'!$F$63*1)*'損益分岐設定'!$B$22</x:f>
        <x:v>1200</x:v>
      </x:c>
      <x:c r="AK418" s="1" t="n">
        <x:f>AD418*'損益分岐設定'!$G$57+AE418*'損益分岐設定'!$G$60+AF418*'損益分岐設定'!$G$63</x:f>
        <x:v>2000</x:v>
      </x:c>
      <x:c r="AL418" s="1" t="n">
        <x:f>AD418*'損益分岐設定'!$H$57+AE418*'損益分岐設定'!$H$60+AF418*'損益分岐設定'!$H$63</x:f>
        <x:v>866.6666666666667</x:v>
      </x:c>
      <x:c r="AM418" s="1" t="n">
        <x:f>MAX(1,ROUNDUP('損益分岐設定'!C37*AJ418/('損益分岐設定'!$B$23*'損益分岐設定'!$B$24*3600*'損益分岐設定'!$B$25),0))</x:f>
        <x:v>1</x:v>
      </x:c>
      <x:c r="AN418" s="1" t="n">
        <x:f>MAX(2,ROUNDUP('損益分岐設定'!C38*AJ418/('損益分岐設定'!$B$23*'損益分岐設定'!$B$24*3600*'損益分岐設定'!$B$25),0))</x:f>
        <x:v>2</x:v>
      </x:c>
      <x:c r="AO418" s="1" t="n">
        <x:f>MAX(2,ROUNDUP('損益分岐設定'!C39*AJ418/('損益分岐設定'!$B$23*'損益分岐設定'!$B$24*3600*'損益分岐設定'!$B$25),0))</x:f>
        <x:v>2</x:v>
      </x:c>
      <x:c r="AP418" s="1" t="n">
        <x:f>MAX(2,ROUNDUP('損益分岐設定'!C40*AJ418/('損益分岐設定'!$B$23*'損益分岐設定'!$B$24*3600*'損益分岐設定'!$B$25),0))</x:f>
        <x:v>3</x:v>
      </x:c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 ht="23" customHeight="1">
      <x:c r="A419" s="1" t="str">
        <x:v>VM</x:v>
      </x:c>
      <x:c r="B419" s="1" t="str">
        <x:v>Business Plus</x:v>
      </x:c>
      <x:c r="C419" s="1" t="str">
        <x:v>標準</x:v>
      </x:c>
      <x:c r="D419" s="21" t="n">
        <x:v>0.3</x:v>
      </x:c>
      <x:c r="E419" s="1" t="n">
        <x:v>0</x:v>
      </x:c>
      <x:c r="F419" s="7" t="n">
        <x:f>AD419*'損益分岐設定'!$B$5+AE419*'損益分岐設定'!$B$6+AF419*'損益分岐設定'!$B$7</x:f>
        <x:v>8000</x:v>
      </x:c>
      <x:c r="G419" s="7" t="n">
        <x:f>AG419+0+AK419*'損益分岐設定'!$B$33</x:f>
        <x:v>1028.9837836265563</x:v>
      </x:c>
      <x:c r="H419" s="7" t="n">
        <x:f>AL419*E419</x:f>
        <x:v>0</x:v>
      </x:c>
      <x:c r="I419" s="7" t="n">
        <x:f>F419*(1-D419-'損益分岐設定'!$B$10)-G419-H419</x:f>
        <x:v>4283.016216373443</x:v>
      </x:c>
      <x:c r="J419" s="1" t="n">
        <x:f>IF(MIN(V419:Y419)&gt;1000,"範囲内なし",MIN(V419:Y419))</x:f>
        <x:v>23</x:v>
      </x:c>
      <x:c r="K419" s="1" t="n">
        <x:f>IF(MAX(Z419:AC419)&gt;=1000,"範囲内なし",MAX(1,MAX(Z419:AC419)+1))</x:f>
        <x:v>23</x:v>
      </x:c>
      <x:c r="L419" s="7" t="n">
        <x:f>10*I419-R419</x:f>
        <x:v>-7929.024597486845</x:v>
      </x:c>
      <x:c r="M419" s="7" t="n">
        <x:f>30*I419-S419</x:f>
        <x:v>31472.112968760746</x:v>
      </x:c>
      <x:c r="N419" s="7" t="n">
        <x:f>50*I419-S419</x:f>
        <x:v>117132.4372962296</x:v>
      </x:c>
      <x:c r="O419" s="7" t="n">
        <x:f>100*I419-S419</x:f>
        <x:v>331283.24811490177</x:v>
      </x:c>
      <x:c r="P419" s="7" t="n">
        <x:f>300*I419-T419</x:f>
        <x:v>1187886.4913895903</x:v>
      </x:c>
      <x:c r="Q419" s="7" t="n">
        <x:f>1000*I419-U419</x:f>
        <x:v>4154678.452780084</x:v>
      </x:c>
      <x:c r="R419" s="7" t="n">
        <x:f>'損益分岐設定'!$B$18+'損益分岐設定'!$B$19+'損益分岐設定'!$B$20+'損益分岐設定'!E37+('損益分岐設定'!F37+2*'損益分岐設定'!G37+AM419)*('損益分岐設定'!$B$15+'損益分岐設定'!$B$16)+'損益分岐設定'!$B$17+'損益分岐設定'!$B$21+E419*'損益分岐設定'!H37*'損益分岐設定'!$B$11</x:f>
        <x:v>50759.18676122127</x:v>
      </x:c>
      <x:c r="S419" s="7" t="n">
        <x:f>'損益分岐設定'!$B$18+'損益分岐設定'!$B$19+'損益分岐設定'!$B$20+'損益分岐設定'!E38+('損益分岐設定'!F38+2*'損益分岐設定'!G38+AN419)*('損益分岐設定'!$B$15+'損益分岐設定'!$B$16)+'損益分岐設定'!$B$17+'損益分岐設定'!$B$21+E419*'損益分岐設定'!H38*'損益分岐設定'!$B$11</x:f>
        <x:v>97018.37352244255</x:v>
      </x:c>
      <x:c r="T419" s="7" t="n">
        <x:f>'損益分岐設定'!$B$18+'損益分岐設定'!$B$19+'損益分岐設定'!$B$20+'損益分岐設定'!E39+('損益分岐設定'!F39+2*'損益分岐設定'!G39+AO419)*('損益分岐設定'!$B$15+'損益分岐設定'!$B$16)+'損益分岐設定'!$B$17+'損益分岐設定'!$B$21+E419*'損益分岐設定'!H39*'損益分岐設定'!$B$11</x:f>
        <x:v>97018.37352244255</x:v>
      </x:c>
      <x:c r="U419" s="7" t="n">
        <x:f>'損益分岐設定'!$B$18+'損益分岐設定'!$B$19+'損益分岐設定'!$B$20+'損益分岐設定'!E40+('損益分岐設定'!F40+2*'損益分岐設定'!G40+AP419)*('損益分岐設定'!$B$15+'損益分岐設定'!$B$16)+'損益分岐設定'!$B$17+'損益分岐設定'!$B$21+E419*'損益分岐設定'!H40*'損益分岐設定'!$B$11</x:f>
        <x:v>128337.7635933585</x:v>
      </x:c>
      <x:c r="V419" s="1" t="n">
        <x:f>IF(I419&lt;=0,1001,IF(MAX('損益分岐設定'!B37,ROUNDUP(R419/I419,0))&lt;='損益分岐設定'!C37,MAX('損益分岐設定'!B37,ROUNDUP(R419/I419,0)),1001))</x:f>
        <x:v>1001</x:v>
      </x:c>
      <x:c r="W419" s="1" t="n">
        <x:f>IF(I419&lt;=0,1001,IF(MAX('損益分岐設定'!B38,ROUNDUP(S419/I419,0))&lt;='損益分岐設定'!C38,MAX('損益分岐設定'!B38,ROUNDUP(S419/I419,0)),1001))</x:f>
        <x:v>23</x:v>
      </x:c>
      <x:c r="X419" s="1" t="n">
        <x:f>IF(I419&lt;=0,1001,IF(MAX('損益分岐設定'!B39,ROUNDUP(T419/I419,0))&lt;='損益分岐設定'!C39,MAX('損益分岐設定'!B39,ROUNDUP(T419/I419,0)),1001))</x:f>
        <x:v>101</x:v>
      </x:c>
      <x:c r="Y419" s="1" t="n">
        <x:f>IF(I419&lt;=0,1001,IF(MAX('損益分岐設定'!B40,ROUNDUP(U419/I419,0))&lt;='損益分岐設定'!C40,MAX('損益分岐設定'!B40,ROUNDUP(U419/I419,0)),1001))</x:f>
        <x:v>501</x:v>
      </x:c>
      <x:c r="Z419" s="1" t="n">
        <x:f>IF(I419&lt;=0,'損益分岐設定'!C37,IF('損益分岐設定'!C37*I419-R419&lt;0,'損益分岐設定'!C37,IF('損益分岐設定'!B37*I419-R419&gt;=0,0,ROUNDUP(R419/I419,0)-1)))</x:f>
        <x:v>10</x:v>
      </x:c>
      <x:c r="AA419" s="1" t="n">
        <x:f>IF(I419&lt;=0,'損益分岐設定'!C38,IF('損益分岐設定'!C38*I419-S419&lt;0,'損益分岐設定'!C38,IF('損益分岐設定'!B38*I419-S419&gt;=0,0,ROUNDUP(S419/I419,0)-1)))</x:f>
        <x:v>22</x:v>
      </x:c>
      <x:c r="AB419" s="1" t="n">
        <x:f>IF(I419&lt;=0,'損益分岐設定'!C39,IF('損益分岐設定'!C39*I419-T419&lt;0,'損益分岐設定'!C39,IF('損益分岐設定'!B39*I419-T419&gt;=0,0,ROUNDUP(T419/I419,0)-1)))</x:f>
        <x:v>0</x:v>
      </x:c>
      <x:c r="AC419" s="1" t="n">
        <x:f>IF(I419&lt;=0,'損益分岐設定'!C40,IF('損益分岐設定'!C40*I419-U419&lt;0,'損益分岐設定'!C40,IF('損益分岐設定'!B40*I419-U419&gt;=0,0,ROUNDUP(U419/I419,0)-1)))</x:f>
        <x:v>0</x:v>
      </x:c>
      <x:c r="AD419" s="1" t="n">
        <x:v>0</x:v>
      </x:c>
      <x:c r="AE419" s="1" t="n">
        <x:v>0</x:v>
      </x:c>
      <x:c r="AF419" s="1" t="n">
        <x:v>1</x:v>
      </x:c>
      <x:c r="AG419" s="1" t="n">
        <x:f>AD419*'損益分岐設定'!$C$57+AE419*'損益分岐設定'!$C$60+AF419*'損益分岐設定'!$C$63</x:f>
        <x:v>1028.9614318847655</x:v>
      </x:c>
      <x:c r="AH419" s="1" t="n">
        <x:f>AD419*'損益分岐設定'!$D$57+AE419*'損益分岐設定'!$D$60+AF419*'損益分岐設定'!$D$63</x:f>
        <x:v>300</x:v>
      </x:c>
      <x:c r="AI419" s="1" t="n">
        <x:f>AD419*'損益分岐設定'!$E$57+AE419*'損益分岐設定'!$E$60+AF419*'損益分岐設定'!$E$63</x:f>
        <x:v>300</x:v>
      </x:c>
      <x:c r="AJ419" s="1" t="n">
        <x:f>(AD419*'損益分岐設定'!$F$57+AE419*'損益分岐設定'!$F$60+AF419*'損益分岐設定'!$F$63*1)*'損益分岐設定'!$B$22</x:f>
        <x:v>1200</x:v>
      </x:c>
      <x:c r="AK419" s="1" t="n">
        <x:f>AD419*'損益分岐設定'!$G$57+AE419*'損益分岐設定'!$G$60+AF419*'損益分岐設定'!$G$63</x:f>
        <x:v>2000</x:v>
      </x:c>
      <x:c r="AL419" s="1" t="n">
        <x:f>AD419*'損益分岐設定'!$H$57+AE419*'損益分岐設定'!$H$60+AF419*'損益分岐設定'!$H$63</x:f>
        <x:v>866.6666666666667</x:v>
      </x:c>
      <x:c r="AM419" s="1" t="n">
        <x:f>MAX(1,ROUNDUP('損益分岐設定'!C37*AJ419/('損益分岐設定'!$B$23*'損益分岐設定'!$B$24*3600*'損益分岐設定'!$B$25),0))</x:f>
        <x:v>1</x:v>
      </x:c>
      <x:c r="AN419" s="1" t="n">
        <x:f>MAX(2,ROUNDUP('損益分岐設定'!C38*AJ419/('損益分岐設定'!$B$23*'損益分岐設定'!$B$24*3600*'損益分岐設定'!$B$25),0))</x:f>
        <x:v>2</x:v>
      </x:c>
      <x:c r="AO419" s="1" t="n">
        <x:f>MAX(2,ROUNDUP('損益分岐設定'!C39*AJ419/('損益分岐設定'!$B$23*'損益分岐設定'!$B$24*3600*'損益分岐設定'!$B$25),0))</x:f>
        <x:v>2</x:v>
      </x:c>
      <x:c r="AP419" s="1" t="n">
        <x:f>MAX(2,ROUNDUP('損益分岐設定'!C40*AJ419/('損益分岐設定'!$B$23*'損益分岐設定'!$B$24*3600*'損益分岐設定'!$B$25),0))</x:f>
        <x:v>3</x:v>
      </x:c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 ht="23" customHeight="1">
      <x:c r="A420" s="1" t="str">
        <x:v>VM</x:v>
      </x:c>
      <x:c r="B420" s="1" t="str">
        <x:v>Business Plus</x:v>
      </x:c>
      <x:c r="C420" s="1" t="str">
        <x:v>標準</x:v>
      </x:c>
      <x:c r="D420" s="21" t="n">
        <x:v>0.3</x:v>
      </x:c>
      <x:c r="E420" s="1" t="n">
        <x:v>1</x:v>
      </x:c>
      <x:c r="F420" s="7" t="n">
        <x:f>AD420*'損益分岐設定'!$B$5+AE420*'損益分岐設定'!$B$6+AF420*'損益分岐設定'!$B$7</x:f>
        <x:v>8000</x:v>
      </x:c>
      <x:c r="G420" s="7" t="n">
        <x:f>AG420+0+AK420*'損益分岐設定'!$B$33</x:f>
        <x:v>1028.9837836265563</x:v>
      </x:c>
      <x:c r="H420" s="7" t="n">
        <x:f>AL420*E420</x:f>
        <x:v>866.6666666666667</x:v>
      </x:c>
      <x:c r="I420" s="7" t="n">
        <x:f>F420*(1-D420-'損益分岐設定'!$B$10)-G420-H420</x:f>
        <x:v>3416.349549706776</x:v>
      </x:c>
      <x:c r="J420" s="1" t="n">
        <x:f>IF(MIN(V420:Y420)&gt;1000,"範囲内なし",MIN(V420:Y420))</x:f>
        <x:v>43</x:v>
      </x:c>
      <x:c r="K420" s="1" t="n">
        <x:f>IF(MAX(Z420:AC420)&gt;=1000,"範囲内なし",MAX(1,MAX(Z420:AC420)+1))</x:f>
        <x:v>43</x:v>
      </x:c>
      <x:c r="L420" s="7" t="n">
        <x:f>10*I420-R420</x:f>
        <x:v>-48595.6912641535</x:v>
      </x:c>
      <x:c r="M420" s="7" t="n">
        <x:f>30*I420-S420</x:f>
        <x:v>-42527.887031239254</x:v>
      </x:c>
      <x:c r="N420" s="7" t="n">
        <x:f>50*I420-S420</x:f>
        <x:v>25799.103962896275</x:v>
      </x:c>
      <x:c r="O420" s="7" t="n">
        <x:f>100*I420-S420</x:f>
        <x:v>196616.58144823508</x:v>
      </x:c>
      <x:c r="P420" s="7" t="n">
        <x:f>300*I420-T420</x:f>
        <x:v>847886.4913895903</x:v>
      </x:c>
      <x:c r="Q420" s="7" t="n">
        <x:f>1000*I420-U420</x:f>
        <x:v>3160011.7861134177</x:v>
      </x:c>
      <x:c r="R420" s="7" t="n">
        <x:f>'損益分岐設定'!$B$18+'損益分岐設定'!$B$19+'損益分岐設定'!$B$20+'損益分岐設定'!E37+('損益分岐設定'!F37+2*'損益分岐設定'!G37+AM420)*('損益分岐設定'!$B$15+'損益分岐設定'!$B$16)+'損益分岐設定'!$B$17+'損益分岐設定'!$B$21+E420*'損益分岐設定'!H37*'損益分岐設定'!$B$11</x:f>
        <x:v>82759.18676122127</x:v>
      </x:c>
      <x:c r="S420" s="7" t="n">
        <x:f>'損益分岐設定'!$B$18+'損益分岐設定'!$B$19+'損益分岐設定'!$B$20+'損益分岐設定'!E38+('損益分岐設定'!F38+2*'損益分岐設定'!G38+AN420)*('損益分岐設定'!$B$15+'損益分岐設定'!$B$16)+'損益分岐設定'!$B$17+'損益分岐設定'!$B$21+E420*'損益分岐設定'!H38*'損益分岐設定'!$B$11</x:f>
        <x:v>145018.37352244253</x:v>
      </x:c>
      <x:c r="T420" s="7" t="n">
        <x:f>'損益分岐設定'!$B$18+'損益分岐設定'!$B$19+'損益分岐設定'!$B$20+'損益分岐設定'!E39+('損益分岐設定'!F39+2*'損益分岐設定'!G39+AO420)*('損益分岐設定'!$B$15+'損益分岐設定'!$B$16)+'損益分岐設定'!$B$17+'損益分岐設定'!$B$21+E420*'損益分岐設定'!H39*'損益分岐設定'!$B$11</x:f>
        <x:v>177018.37352244253</x:v>
      </x:c>
      <x:c r="U420" s="7" t="n">
        <x:f>'損益分岐設定'!$B$18+'損益分岐設定'!$B$19+'損益分岐設定'!$B$20+'損益分岐設定'!E40+('損益分岐設定'!F40+2*'損益分岐設定'!G40+AP420)*('損益分岐設定'!$B$15+'損益分岐設定'!$B$16)+'損益分岐設定'!$B$17+'損益分岐設定'!$B$21+E420*'損益分岐設定'!H40*'損益分岐設定'!$B$11</x:f>
        <x:v>256337.7635933585</x:v>
      </x:c>
      <x:c r="V420" s="1" t="n">
        <x:f>IF(I420&lt;=0,1001,IF(MAX('損益分岐設定'!B37,ROUNDUP(R420/I420,0))&lt;='損益分岐設定'!C37,MAX('損益分岐設定'!B37,ROUNDUP(R420/I420,0)),1001))</x:f>
        <x:v>1001</x:v>
      </x:c>
      <x:c r="W420" s="1" t="n">
        <x:f>IF(I420&lt;=0,1001,IF(MAX('損益分岐設定'!B38,ROUNDUP(S420/I420,0))&lt;='損益分岐設定'!C38,MAX('損益分岐設定'!B38,ROUNDUP(S420/I420,0)),1001))</x:f>
        <x:v>43</x:v>
      </x:c>
      <x:c r="X420" s="1" t="n">
        <x:f>IF(I420&lt;=0,1001,IF(MAX('損益分岐設定'!B39,ROUNDUP(T420/I420,0))&lt;='損益分岐設定'!C39,MAX('損益分岐設定'!B39,ROUNDUP(T420/I420,0)),1001))</x:f>
        <x:v>101</x:v>
      </x:c>
      <x:c r="Y420" s="1" t="n">
        <x:f>IF(I420&lt;=0,1001,IF(MAX('損益分岐設定'!B40,ROUNDUP(U420/I420,0))&lt;='損益分岐設定'!C40,MAX('損益分岐設定'!B40,ROUNDUP(U420/I420,0)),1001))</x:f>
        <x:v>501</x:v>
      </x:c>
      <x:c r="Z420" s="1" t="n">
        <x:f>IF(I420&lt;=0,'損益分岐設定'!C37,IF('損益分岐設定'!C37*I420-R420&lt;0,'損益分岐設定'!C37,IF('損益分岐設定'!B37*I420-R420&gt;=0,0,ROUNDUP(R420/I420,0)-1)))</x:f>
        <x:v>10</x:v>
      </x:c>
      <x:c r="AA420" s="1" t="n">
        <x:f>IF(I420&lt;=0,'損益分岐設定'!C38,IF('損益分岐設定'!C38*I420-S420&lt;0,'損益分岐設定'!C38,IF('損益分岐設定'!B38*I420-S420&gt;=0,0,ROUNDUP(S420/I420,0)-1)))</x:f>
        <x:v>42</x:v>
      </x:c>
      <x:c r="AB420" s="1" t="n">
        <x:f>IF(I420&lt;=0,'損益分岐設定'!C39,IF('損益分岐設定'!C39*I420-T420&lt;0,'損益分岐設定'!C39,IF('損益分岐設定'!B39*I420-T420&gt;=0,0,ROUNDUP(T420/I420,0)-1)))</x:f>
        <x:v>0</x:v>
      </x:c>
      <x:c r="AC420" s="1" t="n">
        <x:f>IF(I420&lt;=0,'損益分岐設定'!C40,IF('損益分岐設定'!C40*I420-U420&lt;0,'損益分岐設定'!C40,IF('損益分岐設定'!B40*I420-U420&gt;=0,0,ROUNDUP(U420/I420,0)-1)))</x:f>
        <x:v>0</x:v>
      </x:c>
      <x:c r="AD420" s="1" t="n">
        <x:v>0</x:v>
      </x:c>
      <x:c r="AE420" s="1" t="n">
        <x:v>0</x:v>
      </x:c>
      <x:c r="AF420" s="1" t="n">
        <x:v>1</x:v>
      </x:c>
      <x:c r="AG420" s="1" t="n">
        <x:f>AD420*'損益分岐設定'!$C$57+AE420*'損益分岐設定'!$C$60+AF420*'損益分岐設定'!$C$63</x:f>
        <x:v>1028.9614318847655</x:v>
      </x:c>
      <x:c r="AH420" s="1" t="n">
        <x:f>AD420*'損益分岐設定'!$D$57+AE420*'損益分岐設定'!$D$60+AF420*'損益分岐設定'!$D$63</x:f>
        <x:v>300</x:v>
      </x:c>
      <x:c r="AI420" s="1" t="n">
        <x:f>AD420*'損益分岐設定'!$E$57+AE420*'損益分岐設定'!$E$60+AF420*'損益分岐設定'!$E$63</x:f>
        <x:v>300</x:v>
      </x:c>
      <x:c r="AJ420" s="1" t="n">
        <x:f>(AD420*'損益分岐設定'!$F$57+AE420*'損益分岐設定'!$F$60+AF420*'損益分岐設定'!$F$63*1)*'損益分岐設定'!$B$22</x:f>
        <x:v>1200</x:v>
      </x:c>
      <x:c r="AK420" s="1" t="n">
        <x:f>AD420*'損益分岐設定'!$G$57+AE420*'損益分岐設定'!$G$60+AF420*'損益分岐設定'!$G$63</x:f>
        <x:v>2000</x:v>
      </x:c>
      <x:c r="AL420" s="1" t="n">
        <x:f>AD420*'損益分岐設定'!$H$57+AE420*'損益分岐設定'!$H$60+AF420*'損益分岐設定'!$H$63</x:f>
        <x:v>866.6666666666667</x:v>
      </x:c>
      <x:c r="AM420" s="1" t="n">
        <x:f>MAX(1,ROUNDUP('損益分岐設定'!C37*AJ420/('損益分岐設定'!$B$23*'損益分岐設定'!$B$24*3600*'損益分岐設定'!$B$25),0))</x:f>
        <x:v>1</x:v>
      </x:c>
      <x:c r="AN420" s="1" t="n">
        <x:f>MAX(2,ROUNDUP('損益分岐設定'!C38*AJ420/('損益分岐設定'!$B$23*'損益分岐設定'!$B$24*3600*'損益分岐設定'!$B$25),0))</x:f>
        <x:v>2</x:v>
      </x:c>
      <x:c r="AO420" s="1" t="n">
        <x:f>MAX(2,ROUNDUP('損益分岐設定'!C39*AJ420/('損益分岐設定'!$B$23*'損益分岐設定'!$B$24*3600*'損益分岐設定'!$B$25),0))</x:f>
        <x:v>2</x:v>
      </x:c>
      <x:c r="AP420" s="1" t="n">
        <x:f>MAX(2,ROUNDUP('損益分岐設定'!C40*AJ420/('損益分岐設定'!$B$23*'損益分岐設定'!$B$24*3600*'損益分岐設定'!$B$25),0))</x:f>
        <x:v>3</x:v>
      </x:c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 ht="23" customHeight="1">
      <x:c r="A421" s="1" t="str">
        <x:v>VM</x:v>
      </x:c>
      <x:c r="B421" s="1" t="str">
        <x:v>Business Plus</x:v>
      </x:c>
      <x:c r="C421" s="1" t="str">
        <x:v>標準</x:v>
      </x:c>
      <x:c r="D421" s="21" t="n">
        <x:v>0.4</x:v>
      </x:c>
      <x:c r="E421" s="1" t="n">
        <x:v>0</x:v>
      </x:c>
      <x:c r="F421" s="7" t="n">
        <x:f>AD421*'損益分岐設定'!$B$5+AE421*'損益分岐設定'!$B$6+AF421*'損益分岐設定'!$B$7</x:f>
        <x:v>8000</x:v>
      </x:c>
      <x:c r="G421" s="7" t="n">
        <x:f>AG421+0+AK421*'損益分岐設定'!$B$33</x:f>
        <x:v>1028.9837836265563</x:v>
      </x:c>
      <x:c r="H421" s="7" t="n">
        <x:f>AL421*E421</x:f>
        <x:v>0</x:v>
      </x:c>
      <x:c r="I421" s="7" t="n">
        <x:f>F421*(1-D421-'損益分岐設定'!$B$10)-G421-H421</x:f>
        <x:v>3483.016216373444</x:v>
      </x:c>
      <x:c r="J421" s="1" t="n">
        <x:f>IF(MIN(V421:Y421)&gt;1000,"範囲内なし",MIN(V421:Y421))</x:f>
        <x:v>28</x:v>
      </x:c>
      <x:c r="K421" s="1" t="n">
        <x:f>IF(MAX(Z421:AC421)&gt;=1000,"範囲内なし",MAX(1,MAX(Z421:AC421)+1))</x:f>
        <x:v>28</x:v>
      </x:c>
      <x:c r="L421" s="7" t="n">
        <x:f>10*I421-R421</x:f>
        <x:v>-15929.024597486838</x:v>
      </x:c>
      <x:c r="M421" s="7" t="n">
        <x:f>30*I421-S421</x:f>
        <x:v>7472.112968760775</x:v>
      </x:c>
      <x:c r="N421" s="7" t="n">
        <x:f>50*I421-S421</x:f>
        <x:v>77132.43729622966</x:v>
      </x:c>
      <x:c r="O421" s="7" t="n">
        <x:f>100*I421-S421</x:f>
        <x:v>251283.2481149019</x:v>
      </x:c>
      <x:c r="P421" s="7" t="n">
        <x:f>300*I421-T421</x:f>
        <x:v>947886.4913895907</x:v>
      </x:c>
      <x:c r="Q421" s="7" t="n">
        <x:f>1000*I421-U421</x:f>
        <x:v>3354678.4527800856</x:v>
      </x:c>
      <x:c r="R421" s="7" t="n">
        <x:f>'損益分岐設定'!$B$18+'損益分岐設定'!$B$19+'損益分岐設定'!$B$20+'損益分岐設定'!E37+('損益分岐設定'!F37+2*'損益分岐設定'!G37+AM421)*('損益分岐設定'!$B$15+'損益分岐設定'!$B$16)+'損益分岐設定'!$B$17+'損益分岐設定'!$B$21+E421*'損益分岐設定'!H37*'損益分岐設定'!$B$11</x:f>
        <x:v>50759.18676122127</x:v>
      </x:c>
      <x:c r="S421" s="7" t="n">
        <x:f>'損益分岐設定'!$B$18+'損益分岐設定'!$B$19+'損益分岐設定'!$B$20+'損益分岐設定'!E38+('損益分岐設定'!F38+2*'損益分岐設定'!G38+AN421)*('損益分岐設定'!$B$15+'損益分岐設定'!$B$16)+'損益分岐設定'!$B$17+'損益分岐設定'!$B$21+E421*'損益分岐設定'!H38*'損益分岐設定'!$B$11</x:f>
        <x:v>97018.37352244255</x:v>
      </x:c>
      <x:c r="T421" s="7" t="n">
        <x:f>'損益分岐設定'!$B$18+'損益分岐設定'!$B$19+'損益分岐設定'!$B$20+'損益分岐設定'!E39+('損益分岐設定'!F39+2*'損益分岐設定'!G39+AO421)*('損益分岐設定'!$B$15+'損益分岐設定'!$B$16)+'損益分岐設定'!$B$17+'損益分岐設定'!$B$21+E421*'損益分岐設定'!H39*'損益分岐設定'!$B$11</x:f>
        <x:v>97018.37352244255</x:v>
      </x:c>
      <x:c r="U421" s="7" t="n">
        <x:f>'損益分岐設定'!$B$18+'損益分岐設定'!$B$19+'損益分岐設定'!$B$20+'損益分岐設定'!E40+('損益分岐設定'!F40+2*'損益分岐設定'!G40+AP421)*('損益分岐設定'!$B$15+'損益分岐設定'!$B$16)+'損益分岐設定'!$B$17+'損益分岐設定'!$B$21+E421*'損益分岐設定'!H40*'損益分岐設定'!$B$11</x:f>
        <x:v>128337.7635933585</x:v>
      </x:c>
      <x:c r="V421" s="1" t="n">
        <x:f>IF(I421&lt;=0,1001,IF(MAX('損益分岐設定'!B37,ROUNDUP(R421/I421,0))&lt;='損益分岐設定'!C37,MAX('損益分岐設定'!B37,ROUNDUP(R421/I421,0)),1001))</x:f>
        <x:v>1001</x:v>
      </x:c>
      <x:c r="W421" s="1" t="n">
        <x:f>IF(I421&lt;=0,1001,IF(MAX('損益分岐設定'!B38,ROUNDUP(S421/I421,0))&lt;='損益分岐設定'!C38,MAX('損益分岐設定'!B38,ROUNDUP(S421/I421,0)),1001))</x:f>
        <x:v>28</x:v>
      </x:c>
      <x:c r="X421" s="1" t="n">
        <x:f>IF(I421&lt;=0,1001,IF(MAX('損益分岐設定'!B39,ROUNDUP(T421/I421,0))&lt;='損益分岐設定'!C39,MAX('損益分岐設定'!B39,ROUNDUP(T421/I421,0)),1001))</x:f>
        <x:v>101</x:v>
      </x:c>
      <x:c r="Y421" s="1" t="n">
        <x:f>IF(I421&lt;=0,1001,IF(MAX('損益分岐設定'!B40,ROUNDUP(U421/I421,0))&lt;='損益分岐設定'!C40,MAX('損益分岐設定'!B40,ROUNDUP(U421/I421,0)),1001))</x:f>
        <x:v>501</x:v>
      </x:c>
      <x:c r="Z421" s="1" t="n">
        <x:f>IF(I421&lt;=0,'損益分岐設定'!C37,IF('損益分岐設定'!C37*I421-R421&lt;0,'損益分岐設定'!C37,IF('損益分岐設定'!B37*I421-R421&gt;=0,0,ROUNDUP(R421/I421,0)-1)))</x:f>
        <x:v>10</x:v>
      </x:c>
      <x:c r="AA421" s="1" t="n">
        <x:f>IF(I421&lt;=0,'損益分岐設定'!C38,IF('損益分岐設定'!C38*I421-S421&lt;0,'損益分岐設定'!C38,IF('損益分岐設定'!B38*I421-S421&gt;=0,0,ROUNDUP(S421/I421,0)-1)))</x:f>
        <x:v>27</x:v>
      </x:c>
      <x:c r="AB421" s="1" t="n">
        <x:f>IF(I421&lt;=0,'損益分岐設定'!C39,IF('損益分岐設定'!C39*I421-T421&lt;0,'損益分岐設定'!C39,IF('損益分岐設定'!B39*I421-T421&gt;=0,0,ROUNDUP(T421/I421,0)-1)))</x:f>
        <x:v>0</x:v>
      </x:c>
      <x:c r="AC421" s="1" t="n">
        <x:f>IF(I421&lt;=0,'損益分岐設定'!C40,IF('損益分岐設定'!C40*I421-U421&lt;0,'損益分岐設定'!C40,IF('損益分岐設定'!B40*I421-U421&gt;=0,0,ROUNDUP(U421/I421,0)-1)))</x:f>
        <x:v>0</x:v>
      </x:c>
      <x:c r="AD421" s="1" t="n">
        <x:v>0</x:v>
      </x:c>
      <x:c r="AE421" s="1" t="n">
        <x:v>0</x:v>
      </x:c>
      <x:c r="AF421" s="1" t="n">
        <x:v>1</x:v>
      </x:c>
      <x:c r="AG421" s="1" t="n">
        <x:f>AD421*'損益分岐設定'!$C$57+AE421*'損益分岐設定'!$C$60+AF421*'損益分岐設定'!$C$63</x:f>
        <x:v>1028.9614318847655</x:v>
      </x:c>
      <x:c r="AH421" s="1" t="n">
        <x:f>AD421*'損益分岐設定'!$D$57+AE421*'損益分岐設定'!$D$60+AF421*'損益分岐設定'!$D$63</x:f>
        <x:v>300</x:v>
      </x:c>
      <x:c r="AI421" s="1" t="n">
        <x:f>AD421*'損益分岐設定'!$E$57+AE421*'損益分岐設定'!$E$60+AF421*'損益分岐設定'!$E$63</x:f>
        <x:v>300</x:v>
      </x:c>
      <x:c r="AJ421" s="1" t="n">
        <x:f>(AD421*'損益分岐設定'!$F$57+AE421*'損益分岐設定'!$F$60+AF421*'損益分岐設定'!$F$63*1)*'損益分岐設定'!$B$22</x:f>
        <x:v>1200</x:v>
      </x:c>
      <x:c r="AK421" s="1" t="n">
        <x:f>AD421*'損益分岐設定'!$G$57+AE421*'損益分岐設定'!$G$60+AF421*'損益分岐設定'!$G$63</x:f>
        <x:v>2000</x:v>
      </x:c>
      <x:c r="AL421" s="1" t="n">
        <x:f>AD421*'損益分岐設定'!$H$57+AE421*'損益分岐設定'!$H$60+AF421*'損益分岐設定'!$H$63</x:f>
        <x:v>866.6666666666667</x:v>
      </x:c>
      <x:c r="AM421" s="1" t="n">
        <x:f>MAX(1,ROUNDUP('損益分岐設定'!C37*AJ421/('損益分岐設定'!$B$23*'損益分岐設定'!$B$24*3600*'損益分岐設定'!$B$25),0))</x:f>
        <x:v>1</x:v>
      </x:c>
      <x:c r="AN421" s="1" t="n">
        <x:f>MAX(2,ROUNDUP('損益分岐設定'!C38*AJ421/('損益分岐設定'!$B$23*'損益分岐設定'!$B$24*3600*'損益分岐設定'!$B$25),0))</x:f>
        <x:v>2</x:v>
      </x:c>
      <x:c r="AO421" s="1" t="n">
        <x:f>MAX(2,ROUNDUP('損益分岐設定'!C39*AJ421/('損益分岐設定'!$B$23*'損益分岐設定'!$B$24*3600*'損益分岐設定'!$B$25),0))</x:f>
        <x:v>2</x:v>
      </x:c>
      <x:c r="AP421" s="1" t="n">
        <x:f>MAX(2,ROUNDUP('損益分岐設定'!C40*AJ421/('損益分岐設定'!$B$23*'損益分岐設定'!$B$24*3600*'損益分岐設定'!$B$25),0))</x:f>
        <x:v>3</x:v>
      </x:c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 ht="23" customHeight="1">
      <x:c r="A422" s="1" t="str">
        <x:v>VM</x:v>
      </x:c>
      <x:c r="B422" s="1" t="str">
        <x:v>Business Plus</x:v>
      </x:c>
      <x:c r="C422" s="1" t="str">
        <x:v>標準</x:v>
      </x:c>
      <x:c r="D422" s="21" t="n">
        <x:v>0.4</x:v>
      </x:c>
      <x:c r="E422" s="1" t="n">
        <x:v>1</x:v>
      </x:c>
      <x:c r="F422" s="7" t="n">
        <x:f>AD422*'損益分岐設定'!$B$5+AE422*'損益分岐設定'!$B$6+AF422*'損益分岐設定'!$B$7</x:f>
        <x:v>8000</x:v>
      </x:c>
      <x:c r="G422" s="7" t="n">
        <x:f>AG422+0+AK422*'損益分岐設定'!$B$33</x:f>
        <x:v>1028.9837836265563</x:v>
      </x:c>
      <x:c r="H422" s="7" t="n">
        <x:f>AL422*E422</x:f>
        <x:v>866.6666666666667</x:v>
      </x:c>
      <x:c r="I422" s="7" t="n">
        <x:f>F422*(1-D422-'損益分岐設定'!$B$10)-G422-H422</x:f>
        <x:v>2616.349549706777</x:v>
      </x:c>
      <x:c r="J422" s="1" t="n">
        <x:f>IF(MIN(V422:Y422)&gt;1000,"範囲内なし",MIN(V422:Y422))</x:f>
        <x:v>56</x:v>
      </x:c>
      <x:c r="K422" s="1" t="n">
        <x:f>IF(MAX(Z422:AC422)&gt;=1000,"範囲内なし",MAX(1,MAX(Z422:AC422)+1))</x:f>
        <x:v>56</x:v>
      </x:c>
      <x:c r="L422" s="7" t="n">
        <x:f>10*I422-R422</x:f>
        <x:v>-56595.691264153495</x:v>
      </x:c>
      <x:c r="M422" s="7" t="n">
        <x:f>30*I422-S422</x:f>
        <x:v>-66527.88703123922</x:v>
      </x:c>
      <x:c r="N422" s="7" t="n">
        <x:f>50*I422-S422</x:f>
        <x:v>-14200.896037103681</x:v>
      </x:c>
      <x:c r="O422" s="7" t="n">
        <x:f>100*I422-S422</x:f>
        <x:v>116616.58144823517</x:v>
      </x:c>
      <x:c r="P422" s="7" t="n">
        <x:f>300*I422-T422</x:f>
        <x:v>607886.4913895905</x:v>
      </x:c>
      <x:c r="Q422" s="7" t="n">
        <x:f>1000*I422-U422</x:f>
        <x:v>2360011.7861134186</x:v>
      </x:c>
      <x:c r="R422" s="7" t="n">
        <x:f>'損益分岐設定'!$B$18+'損益分岐設定'!$B$19+'損益分岐設定'!$B$20+'損益分岐設定'!E37+('損益分岐設定'!F37+2*'損益分岐設定'!G37+AM422)*('損益分岐設定'!$B$15+'損益分岐設定'!$B$16)+'損益分岐設定'!$B$17+'損益分岐設定'!$B$21+E422*'損益分岐設定'!H37*'損益分岐設定'!$B$11</x:f>
        <x:v>82759.18676122127</x:v>
      </x:c>
      <x:c r="S422" s="7" t="n">
        <x:f>'損益分岐設定'!$B$18+'損益分岐設定'!$B$19+'損益分岐設定'!$B$20+'損益分岐設定'!E38+('損益分岐設定'!F38+2*'損益分岐設定'!G38+AN422)*('損益分岐設定'!$B$15+'損益分岐設定'!$B$16)+'損益分岐設定'!$B$17+'損益分岐設定'!$B$21+E422*'損益分岐設定'!H38*'損益分岐設定'!$B$11</x:f>
        <x:v>145018.37352244253</x:v>
      </x:c>
      <x:c r="T422" s="7" t="n">
        <x:f>'損益分岐設定'!$B$18+'損益分岐設定'!$B$19+'損益分岐設定'!$B$20+'損益分岐設定'!E39+('損益分岐設定'!F39+2*'損益分岐設定'!G39+AO422)*('損益分岐設定'!$B$15+'損益分岐設定'!$B$16)+'損益分岐設定'!$B$17+'損益分岐設定'!$B$21+E422*'損益分岐設定'!H39*'損益分岐設定'!$B$11</x:f>
        <x:v>177018.37352244253</x:v>
      </x:c>
      <x:c r="U422" s="7" t="n">
        <x:f>'損益分岐設定'!$B$18+'損益分岐設定'!$B$19+'損益分岐設定'!$B$20+'損益分岐設定'!E40+('損益分岐設定'!F40+2*'損益分岐設定'!G40+AP422)*('損益分岐設定'!$B$15+'損益分岐設定'!$B$16)+'損益分岐設定'!$B$17+'損益分岐設定'!$B$21+E422*'損益分岐設定'!H40*'損益分岐設定'!$B$11</x:f>
        <x:v>256337.7635933585</x:v>
      </x:c>
      <x:c r="V422" s="1" t="n">
        <x:f>IF(I422&lt;=0,1001,IF(MAX('損益分岐設定'!B37,ROUNDUP(R422/I422,0))&lt;='損益分岐設定'!C37,MAX('損益分岐設定'!B37,ROUNDUP(R422/I422,0)),1001))</x:f>
        <x:v>1001</x:v>
      </x:c>
      <x:c r="W422" s="1" t="n">
        <x:f>IF(I422&lt;=0,1001,IF(MAX('損益分岐設定'!B38,ROUNDUP(S422/I422,0))&lt;='損益分岐設定'!C38,MAX('損益分岐設定'!B38,ROUNDUP(S422/I422,0)),1001))</x:f>
        <x:v>56</x:v>
      </x:c>
      <x:c r="X422" s="1" t="n">
        <x:f>IF(I422&lt;=0,1001,IF(MAX('損益分岐設定'!B39,ROUNDUP(T422/I422,0))&lt;='損益分岐設定'!C39,MAX('損益分岐設定'!B39,ROUNDUP(T422/I422,0)),1001))</x:f>
        <x:v>101</x:v>
      </x:c>
      <x:c r="Y422" s="1" t="n">
        <x:f>IF(I422&lt;=0,1001,IF(MAX('損益分岐設定'!B40,ROUNDUP(U422/I422,0))&lt;='損益分岐設定'!C40,MAX('損益分岐設定'!B40,ROUNDUP(U422/I422,0)),1001))</x:f>
        <x:v>501</x:v>
      </x:c>
      <x:c r="Z422" s="1" t="n">
        <x:f>IF(I422&lt;=0,'損益分岐設定'!C37,IF('損益分岐設定'!C37*I422-R422&lt;0,'損益分岐設定'!C37,IF('損益分岐設定'!B37*I422-R422&gt;=0,0,ROUNDUP(R422/I422,0)-1)))</x:f>
        <x:v>10</x:v>
      </x:c>
      <x:c r="AA422" s="1" t="n">
        <x:f>IF(I422&lt;=0,'損益分岐設定'!C38,IF('損益分岐設定'!C38*I422-S422&lt;0,'損益分岐設定'!C38,IF('損益分岐設定'!B38*I422-S422&gt;=0,0,ROUNDUP(S422/I422,0)-1)))</x:f>
        <x:v>55</x:v>
      </x:c>
      <x:c r="AB422" s="1" t="n">
        <x:f>IF(I422&lt;=0,'損益分岐設定'!C39,IF('損益分岐設定'!C39*I422-T422&lt;0,'損益分岐設定'!C39,IF('損益分岐設定'!B39*I422-T422&gt;=0,0,ROUNDUP(T422/I422,0)-1)))</x:f>
        <x:v>0</x:v>
      </x:c>
      <x:c r="AC422" s="1" t="n">
        <x:f>IF(I422&lt;=0,'損益分岐設定'!C40,IF('損益分岐設定'!C40*I422-U422&lt;0,'損益分岐設定'!C40,IF('損益分岐設定'!B40*I422-U422&gt;=0,0,ROUNDUP(U422/I422,0)-1)))</x:f>
        <x:v>0</x:v>
      </x:c>
      <x:c r="AD422" s="1" t="n">
        <x:v>0</x:v>
      </x:c>
      <x:c r="AE422" s="1" t="n">
        <x:v>0</x:v>
      </x:c>
      <x:c r="AF422" s="1" t="n">
        <x:v>1</x:v>
      </x:c>
      <x:c r="AG422" s="1" t="n">
        <x:f>AD422*'損益分岐設定'!$C$57+AE422*'損益分岐設定'!$C$60+AF422*'損益分岐設定'!$C$63</x:f>
        <x:v>1028.9614318847655</x:v>
      </x:c>
      <x:c r="AH422" s="1" t="n">
        <x:f>AD422*'損益分岐設定'!$D$57+AE422*'損益分岐設定'!$D$60+AF422*'損益分岐設定'!$D$63</x:f>
        <x:v>300</x:v>
      </x:c>
      <x:c r="AI422" s="1" t="n">
        <x:f>AD422*'損益分岐設定'!$E$57+AE422*'損益分岐設定'!$E$60+AF422*'損益分岐設定'!$E$63</x:f>
        <x:v>300</x:v>
      </x:c>
      <x:c r="AJ422" s="1" t="n">
        <x:f>(AD422*'損益分岐設定'!$F$57+AE422*'損益分岐設定'!$F$60+AF422*'損益分岐設定'!$F$63*1)*'損益分岐設定'!$B$22</x:f>
        <x:v>1200</x:v>
      </x:c>
      <x:c r="AK422" s="1" t="n">
        <x:f>AD422*'損益分岐設定'!$G$57+AE422*'損益分岐設定'!$G$60+AF422*'損益分岐設定'!$G$63</x:f>
        <x:v>2000</x:v>
      </x:c>
      <x:c r="AL422" s="1" t="n">
        <x:f>AD422*'損益分岐設定'!$H$57+AE422*'損益分岐設定'!$H$60+AF422*'損益分岐設定'!$H$63</x:f>
        <x:v>866.6666666666667</x:v>
      </x:c>
      <x:c r="AM422" s="1" t="n">
        <x:f>MAX(1,ROUNDUP('損益分岐設定'!C37*AJ422/('損益分岐設定'!$B$23*'損益分岐設定'!$B$24*3600*'損益分岐設定'!$B$25),0))</x:f>
        <x:v>1</x:v>
      </x:c>
      <x:c r="AN422" s="1" t="n">
        <x:f>MAX(2,ROUNDUP('損益分岐設定'!C38*AJ422/('損益分岐設定'!$B$23*'損益分岐設定'!$B$24*3600*'損益分岐設定'!$B$25),0))</x:f>
        <x:v>2</x:v>
      </x:c>
      <x:c r="AO422" s="1" t="n">
        <x:f>MAX(2,ROUNDUP('損益分岐設定'!C39*AJ422/('損益分岐設定'!$B$23*'損益分岐設定'!$B$24*3600*'損益分岐設定'!$B$25),0))</x:f>
        <x:v>2</x:v>
      </x:c>
      <x:c r="AP422" s="1" t="n">
        <x:f>MAX(2,ROUNDUP('損益分岐設定'!C40*AJ422/('損益分岐設定'!$B$23*'損益分岐設定'!$B$24*3600*'損益分岐設定'!$B$25),0))</x:f>
        <x:v>3</x:v>
      </x:c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 ht="23" customHeight="1">
      <x:c r="A423" s="1" t="str">
        <x:v>VM</x:v>
      </x:c>
      <x:c r="B423" s="1" t="str">
        <x:v>Business Plus</x:v>
      </x:c>
      <x:c r="C423" s="1" t="str">
        <x:v>標準</x:v>
      </x:c>
      <x:c r="D423" s="21" t="n">
        <x:v>0.5</x:v>
      </x:c>
      <x:c r="E423" s="1" t="n">
        <x:v>0</x:v>
      </x:c>
      <x:c r="F423" s="7" t="n">
        <x:f>AD423*'損益分岐設定'!$B$5+AE423*'損益分岐設定'!$B$6+AF423*'損益分岐設定'!$B$7</x:f>
        <x:v>8000</x:v>
      </x:c>
      <x:c r="G423" s="7" t="n">
        <x:f>AG423+0+AK423*'損益分岐設定'!$B$33</x:f>
        <x:v>1028.9837836265563</x:v>
      </x:c>
      <x:c r="H423" s="7" t="n">
        <x:f>AL423*E423</x:f>
        <x:v>0</x:v>
      </x:c>
      <x:c r="I423" s="7" t="n">
        <x:f>F423*(1-D423-'損益分岐設定'!$B$10)-G423-H423</x:f>
        <x:v>2683.016216373444</x:v>
      </x:c>
      <x:c r="J423" s="1" t="n">
        <x:f>IF(MIN(V423:Y423)&gt;1000,"範囲内なし",MIN(V423:Y423))</x:f>
        <x:v>37</x:v>
      </x:c>
      <x:c r="K423" s="1" t="n">
        <x:f>IF(MAX(Z423:AC423)&gt;=1000,"範囲内なし",MAX(1,MAX(Z423:AC423)+1))</x:f>
        <x:v>37</x:v>
      </x:c>
      <x:c r="L423" s="7" t="n">
        <x:f>10*I423-R423</x:f>
        <x:v>-23929.024597486834</x:v>
      </x:c>
      <x:c r="M423" s="7" t="n">
        <x:f>30*I423-S423</x:f>
        <x:v>-16527.887031239225</x:v>
      </x:c>
      <x:c r="N423" s="7" t="n">
        <x:f>50*I423-S423</x:f>
        <x:v>37132.43729622966</x:v>
      </x:c>
      <x:c r="O423" s="7" t="n">
        <x:f>100*I423-S423</x:f>
        <x:v>171283.2481149019</x:v>
      </x:c>
      <x:c r="P423" s="7" t="n">
        <x:f>300*I423-T423</x:f>
        <x:v>707886.4913895907</x:v>
      </x:c>
      <x:c r="Q423" s="7" t="n">
        <x:f>1000*I423-U423</x:f>
        <x:v>2554678.4527800856</x:v>
      </x:c>
      <x:c r="R423" s="7" t="n">
        <x:f>'損益分岐設定'!$B$18+'損益分岐設定'!$B$19+'損益分岐設定'!$B$20+'損益分岐設定'!E37+('損益分岐設定'!F37+2*'損益分岐設定'!G37+AM423)*('損益分岐設定'!$B$15+'損益分岐設定'!$B$16)+'損益分岐設定'!$B$17+'損益分岐設定'!$B$21+E423*'損益分岐設定'!H37*'損益分岐設定'!$B$11</x:f>
        <x:v>50759.18676122127</x:v>
      </x:c>
      <x:c r="S423" s="7" t="n">
        <x:f>'損益分岐設定'!$B$18+'損益分岐設定'!$B$19+'損益分岐設定'!$B$20+'損益分岐設定'!E38+('損益分岐設定'!F38+2*'損益分岐設定'!G38+AN423)*('損益分岐設定'!$B$15+'損益分岐設定'!$B$16)+'損益分岐設定'!$B$17+'損益分岐設定'!$B$21+E423*'損益分岐設定'!H38*'損益分岐設定'!$B$11</x:f>
        <x:v>97018.37352244255</x:v>
      </x:c>
      <x:c r="T423" s="7" t="n">
        <x:f>'損益分岐設定'!$B$18+'損益分岐設定'!$B$19+'損益分岐設定'!$B$20+'損益分岐設定'!E39+('損益分岐設定'!F39+2*'損益分岐設定'!G39+AO423)*('損益分岐設定'!$B$15+'損益分岐設定'!$B$16)+'損益分岐設定'!$B$17+'損益分岐設定'!$B$21+E423*'損益分岐設定'!H39*'損益分岐設定'!$B$11</x:f>
        <x:v>97018.37352244255</x:v>
      </x:c>
      <x:c r="U423" s="7" t="n">
        <x:f>'損益分岐設定'!$B$18+'損益分岐設定'!$B$19+'損益分岐設定'!$B$20+'損益分岐設定'!E40+('損益分岐設定'!F40+2*'損益分岐設定'!G40+AP423)*('損益分岐設定'!$B$15+'損益分岐設定'!$B$16)+'損益分岐設定'!$B$17+'損益分岐設定'!$B$21+E423*'損益分岐設定'!H40*'損益分岐設定'!$B$11</x:f>
        <x:v>128337.7635933585</x:v>
      </x:c>
      <x:c r="V423" s="1" t="n">
        <x:f>IF(I423&lt;=0,1001,IF(MAX('損益分岐設定'!B37,ROUNDUP(R423/I423,0))&lt;='損益分岐設定'!C37,MAX('損益分岐設定'!B37,ROUNDUP(R423/I423,0)),1001))</x:f>
        <x:v>1001</x:v>
      </x:c>
      <x:c r="W423" s="1" t="n">
        <x:f>IF(I423&lt;=0,1001,IF(MAX('損益分岐設定'!B38,ROUNDUP(S423/I423,0))&lt;='損益分岐設定'!C38,MAX('損益分岐設定'!B38,ROUNDUP(S423/I423,0)),1001))</x:f>
        <x:v>37</x:v>
      </x:c>
      <x:c r="X423" s="1" t="n">
        <x:f>IF(I423&lt;=0,1001,IF(MAX('損益分岐設定'!B39,ROUNDUP(T423/I423,0))&lt;='損益分岐設定'!C39,MAX('損益分岐設定'!B39,ROUNDUP(T423/I423,0)),1001))</x:f>
        <x:v>101</x:v>
      </x:c>
      <x:c r="Y423" s="1" t="n">
        <x:f>IF(I423&lt;=0,1001,IF(MAX('損益分岐設定'!B40,ROUNDUP(U423/I423,0))&lt;='損益分岐設定'!C40,MAX('損益分岐設定'!B40,ROUNDUP(U423/I423,0)),1001))</x:f>
        <x:v>501</x:v>
      </x:c>
      <x:c r="Z423" s="1" t="n">
        <x:f>IF(I423&lt;=0,'損益分岐設定'!C37,IF('損益分岐設定'!C37*I423-R423&lt;0,'損益分岐設定'!C37,IF('損益分岐設定'!B37*I423-R423&gt;=0,0,ROUNDUP(R423/I423,0)-1)))</x:f>
        <x:v>10</x:v>
      </x:c>
      <x:c r="AA423" s="1" t="n">
        <x:f>IF(I423&lt;=0,'損益分岐設定'!C38,IF('損益分岐設定'!C38*I423-S423&lt;0,'損益分岐設定'!C38,IF('損益分岐設定'!B38*I423-S423&gt;=0,0,ROUNDUP(S423/I423,0)-1)))</x:f>
        <x:v>36</x:v>
      </x:c>
      <x:c r="AB423" s="1" t="n">
        <x:f>IF(I423&lt;=0,'損益分岐設定'!C39,IF('損益分岐設定'!C39*I423-T423&lt;0,'損益分岐設定'!C39,IF('損益分岐設定'!B39*I423-T423&gt;=0,0,ROUNDUP(T423/I423,0)-1)))</x:f>
        <x:v>0</x:v>
      </x:c>
      <x:c r="AC423" s="1" t="n">
        <x:f>IF(I423&lt;=0,'損益分岐設定'!C40,IF('損益分岐設定'!C40*I423-U423&lt;0,'損益分岐設定'!C40,IF('損益分岐設定'!B40*I423-U423&gt;=0,0,ROUNDUP(U423/I423,0)-1)))</x:f>
        <x:v>0</x:v>
      </x:c>
      <x:c r="AD423" s="1" t="n">
        <x:v>0</x:v>
      </x:c>
      <x:c r="AE423" s="1" t="n">
        <x:v>0</x:v>
      </x:c>
      <x:c r="AF423" s="1" t="n">
        <x:v>1</x:v>
      </x:c>
      <x:c r="AG423" s="1" t="n">
        <x:f>AD423*'損益分岐設定'!$C$57+AE423*'損益分岐設定'!$C$60+AF423*'損益分岐設定'!$C$63</x:f>
        <x:v>1028.9614318847655</x:v>
      </x:c>
      <x:c r="AH423" s="1" t="n">
        <x:f>AD423*'損益分岐設定'!$D$57+AE423*'損益分岐設定'!$D$60+AF423*'損益分岐設定'!$D$63</x:f>
        <x:v>300</x:v>
      </x:c>
      <x:c r="AI423" s="1" t="n">
        <x:f>AD423*'損益分岐設定'!$E$57+AE423*'損益分岐設定'!$E$60+AF423*'損益分岐設定'!$E$63</x:f>
        <x:v>300</x:v>
      </x:c>
      <x:c r="AJ423" s="1" t="n">
        <x:f>(AD423*'損益分岐設定'!$F$57+AE423*'損益分岐設定'!$F$60+AF423*'損益分岐設定'!$F$63*1)*'損益分岐設定'!$B$22</x:f>
        <x:v>1200</x:v>
      </x:c>
      <x:c r="AK423" s="1" t="n">
        <x:f>AD423*'損益分岐設定'!$G$57+AE423*'損益分岐設定'!$G$60+AF423*'損益分岐設定'!$G$63</x:f>
        <x:v>2000</x:v>
      </x:c>
      <x:c r="AL423" s="1" t="n">
        <x:f>AD423*'損益分岐設定'!$H$57+AE423*'損益分岐設定'!$H$60+AF423*'損益分岐設定'!$H$63</x:f>
        <x:v>866.6666666666667</x:v>
      </x:c>
      <x:c r="AM423" s="1" t="n">
        <x:f>MAX(1,ROUNDUP('損益分岐設定'!C37*AJ423/('損益分岐設定'!$B$23*'損益分岐設定'!$B$24*3600*'損益分岐設定'!$B$25),0))</x:f>
        <x:v>1</x:v>
      </x:c>
      <x:c r="AN423" s="1" t="n">
        <x:f>MAX(2,ROUNDUP('損益分岐設定'!C38*AJ423/('損益分岐設定'!$B$23*'損益分岐設定'!$B$24*3600*'損益分岐設定'!$B$25),0))</x:f>
        <x:v>2</x:v>
      </x:c>
      <x:c r="AO423" s="1" t="n">
        <x:f>MAX(2,ROUNDUP('損益分岐設定'!C39*AJ423/('損益分岐設定'!$B$23*'損益分岐設定'!$B$24*3600*'損益分岐設定'!$B$25),0))</x:f>
        <x:v>2</x:v>
      </x:c>
      <x:c r="AP423" s="1" t="n">
        <x:f>MAX(2,ROUNDUP('損益分岐設定'!C40*AJ423/('損益分岐設定'!$B$23*'損益分岐設定'!$B$24*3600*'損益分岐設定'!$B$25),0))</x:f>
        <x:v>3</x:v>
      </x:c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 ht="23" customHeight="1">
      <x:c r="A424" s="1" t="str">
        <x:v>VM</x:v>
      </x:c>
      <x:c r="B424" s="1" t="str">
        <x:v>Business Plus</x:v>
      </x:c>
      <x:c r="C424" s="1" t="str">
        <x:v>標準</x:v>
      </x:c>
      <x:c r="D424" s="21" t="n">
        <x:v>0.5</x:v>
      </x:c>
      <x:c r="E424" s="1" t="n">
        <x:v>1</x:v>
      </x:c>
      <x:c r="F424" s="7" t="n">
        <x:f>AD424*'損益分岐設定'!$B$5+AE424*'損益分岐設定'!$B$6+AF424*'損益分岐設定'!$B$7</x:f>
        <x:v>8000</x:v>
      </x:c>
      <x:c r="G424" s="7" t="n">
        <x:f>AG424+0+AK424*'損益分岐設定'!$B$33</x:f>
        <x:v>1028.9837836265563</x:v>
      </x:c>
      <x:c r="H424" s="7" t="n">
        <x:f>AL424*E424</x:f>
        <x:v>866.6666666666667</x:v>
      </x:c>
      <x:c r="I424" s="7" t="n">
        <x:f>F424*(1-D424-'損益分岐設定'!$B$10)-G424-H424</x:f>
        <x:v>1816.3495497067772</x:v>
      </x:c>
      <x:c r="J424" s="1" t="n">
        <x:f>IF(MIN(V424:Y424)&gt;1000,"範囲内なし",MIN(V424:Y424))</x:f>
        <x:v>80</x:v>
      </x:c>
      <x:c r="K424" s="1" t="n">
        <x:f>IF(MAX(Z424:AC424)&gt;=1000,"範囲内なし",MAX(1,MAX(Z424:AC424)+1))</x:f>
        <x:v>80</x:v>
      </x:c>
      <x:c r="L424" s="7" t="n">
        <x:f>10*I424-R424</x:f>
        <x:v>-64595.691264153495</x:v>
      </x:c>
      <x:c r="M424" s="7" t="n">
        <x:f>30*I424-S424</x:f>
        <x:v>-90527.88703123922</x:v>
      </x:c>
      <x:c r="N424" s="7" t="n">
        <x:f>50*I424-S424</x:f>
        <x:v>-54200.89603710367</x:v>
      </x:c>
      <x:c r="O424" s="7" t="n">
        <x:f>100*I424-S424</x:f>
        <x:v>36616.5814482352</x:v>
      </x:c>
      <x:c r="P424" s="7" t="n">
        <x:f>300*I424-T424</x:f>
        <x:v>367886.49138959066</x:v>
      </x:c>
      <x:c r="Q424" s="7" t="n">
        <x:f>1000*I424-U424</x:f>
        <x:v>1560011.7861134189</x:v>
      </x:c>
      <x:c r="R424" s="7" t="n">
        <x:f>'損益分岐設定'!$B$18+'損益分岐設定'!$B$19+'損益分岐設定'!$B$20+'損益分岐設定'!E37+('損益分岐設定'!F37+2*'損益分岐設定'!G37+AM424)*('損益分岐設定'!$B$15+'損益分岐設定'!$B$16)+'損益分岐設定'!$B$17+'損益分岐設定'!$B$21+E424*'損益分岐設定'!H37*'損益分岐設定'!$B$11</x:f>
        <x:v>82759.18676122127</x:v>
      </x:c>
      <x:c r="S424" s="7" t="n">
        <x:f>'損益分岐設定'!$B$18+'損益分岐設定'!$B$19+'損益分岐設定'!$B$20+'損益分岐設定'!E38+('損益分岐設定'!F38+2*'損益分岐設定'!G38+AN424)*('損益分岐設定'!$B$15+'損益分岐設定'!$B$16)+'損益分岐設定'!$B$17+'損益分岐設定'!$B$21+E424*'損益分岐設定'!H38*'損益分岐設定'!$B$11</x:f>
        <x:v>145018.37352244253</x:v>
      </x:c>
      <x:c r="T424" s="7" t="n">
        <x:f>'損益分岐設定'!$B$18+'損益分岐設定'!$B$19+'損益分岐設定'!$B$20+'損益分岐設定'!E39+('損益分岐設定'!F39+2*'損益分岐設定'!G39+AO424)*('損益分岐設定'!$B$15+'損益分岐設定'!$B$16)+'損益分岐設定'!$B$17+'損益分岐設定'!$B$21+E424*'損益分岐設定'!H39*'損益分岐設定'!$B$11</x:f>
        <x:v>177018.37352244253</x:v>
      </x:c>
      <x:c r="U424" s="7" t="n">
        <x:f>'損益分岐設定'!$B$18+'損益分岐設定'!$B$19+'損益分岐設定'!$B$20+'損益分岐設定'!E40+('損益分岐設定'!F40+2*'損益分岐設定'!G40+AP424)*('損益分岐設定'!$B$15+'損益分岐設定'!$B$16)+'損益分岐設定'!$B$17+'損益分岐設定'!$B$21+E424*'損益分岐設定'!H40*'損益分岐設定'!$B$11</x:f>
        <x:v>256337.7635933585</x:v>
      </x:c>
      <x:c r="V424" s="1" t="n">
        <x:f>IF(I424&lt;=0,1001,IF(MAX('損益分岐設定'!B37,ROUNDUP(R424/I424,0))&lt;='損益分岐設定'!C37,MAX('損益分岐設定'!B37,ROUNDUP(R424/I424,0)),1001))</x:f>
        <x:v>1001</x:v>
      </x:c>
      <x:c r="W424" s="1" t="n">
        <x:f>IF(I424&lt;=0,1001,IF(MAX('損益分岐設定'!B38,ROUNDUP(S424/I424,0))&lt;='損益分岐設定'!C38,MAX('損益分岐設定'!B38,ROUNDUP(S424/I424,0)),1001))</x:f>
        <x:v>80</x:v>
      </x:c>
      <x:c r="X424" s="1" t="n">
        <x:f>IF(I424&lt;=0,1001,IF(MAX('損益分岐設定'!B39,ROUNDUP(T424/I424,0))&lt;='損益分岐設定'!C39,MAX('損益分岐設定'!B39,ROUNDUP(T424/I424,0)),1001))</x:f>
        <x:v>101</x:v>
      </x:c>
      <x:c r="Y424" s="1" t="n">
        <x:f>IF(I424&lt;=0,1001,IF(MAX('損益分岐設定'!B40,ROUNDUP(U424/I424,0))&lt;='損益分岐設定'!C40,MAX('損益分岐設定'!B40,ROUNDUP(U424/I424,0)),1001))</x:f>
        <x:v>501</x:v>
      </x:c>
      <x:c r="Z424" s="1" t="n">
        <x:f>IF(I424&lt;=0,'損益分岐設定'!C37,IF('損益分岐設定'!C37*I424-R424&lt;0,'損益分岐設定'!C37,IF('損益分岐設定'!B37*I424-R424&gt;=0,0,ROUNDUP(R424/I424,0)-1)))</x:f>
        <x:v>10</x:v>
      </x:c>
      <x:c r="AA424" s="1" t="n">
        <x:f>IF(I424&lt;=0,'損益分岐設定'!C38,IF('損益分岐設定'!C38*I424-S424&lt;0,'損益分岐設定'!C38,IF('損益分岐設定'!B38*I424-S424&gt;=0,0,ROUNDUP(S424/I424,0)-1)))</x:f>
        <x:v>79</x:v>
      </x:c>
      <x:c r="AB424" s="1" t="n">
        <x:f>IF(I424&lt;=0,'損益分岐設定'!C39,IF('損益分岐設定'!C39*I424-T424&lt;0,'損益分岐設定'!C39,IF('損益分岐設定'!B39*I424-T424&gt;=0,0,ROUNDUP(T424/I424,0)-1)))</x:f>
        <x:v>0</x:v>
      </x:c>
      <x:c r="AC424" s="1" t="n">
        <x:f>IF(I424&lt;=0,'損益分岐設定'!C40,IF('損益分岐設定'!C40*I424-U424&lt;0,'損益分岐設定'!C40,IF('損益分岐設定'!B40*I424-U424&gt;=0,0,ROUNDUP(U424/I424,0)-1)))</x:f>
        <x:v>0</x:v>
      </x:c>
      <x:c r="AD424" s="1" t="n">
        <x:v>0</x:v>
      </x:c>
      <x:c r="AE424" s="1" t="n">
        <x:v>0</x:v>
      </x:c>
      <x:c r="AF424" s="1" t="n">
        <x:v>1</x:v>
      </x:c>
      <x:c r="AG424" s="1" t="n">
        <x:f>AD424*'損益分岐設定'!$C$57+AE424*'損益分岐設定'!$C$60+AF424*'損益分岐設定'!$C$63</x:f>
        <x:v>1028.9614318847655</x:v>
      </x:c>
      <x:c r="AH424" s="1" t="n">
        <x:f>AD424*'損益分岐設定'!$D$57+AE424*'損益分岐設定'!$D$60+AF424*'損益分岐設定'!$D$63</x:f>
        <x:v>300</x:v>
      </x:c>
      <x:c r="AI424" s="1" t="n">
        <x:f>AD424*'損益分岐設定'!$E$57+AE424*'損益分岐設定'!$E$60+AF424*'損益分岐設定'!$E$63</x:f>
        <x:v>300</x:v>
      </x:c>
      <x:c r="AJ424" s="1" t="n">
        <x:f>(AD424*'損益分岐設定'!$F$57+AE424*'損益分岐設定'!$F$60+AF424*'損益分岐設定'!$F$63*1)*'損益分岐設定'!$B$22</x:f>
        <x:v>1200</x:v>
      </x:c>
      <x:c r="AK424" s="1" t="n">
        <x:f>AD424*'損益分岐設定'!$G$57+AE424*'損益分岐設定'!$G$60+AF424*'損益分岐設定'!$G$63</x:f>
        <x:v>2000</x:v>
      </x:c>
      <x:c r="AL424" s="1" t="n">
        <x:f>AD424*'損益分岐設定'!$H$57+AE424*'損益分岐設定'!$H$60+AF424*'損益分岐設定'!$H$63</x:f>
        <x:v>866.6666666666667</x:v>
      </x:c>
      <x:c r="AM424" s="1" t="n">
        <x:f>MAX(1,ROUNDUP('損益分岐設定'!C37*AJ424/('損益分岐設定'!$B$23*'損益分岐設定'!$B$24*3600*'損益分岐設定'!$B$25),0))</x:f>
        <x:v>1</x:v>
      </x:c>
      <x:c r="AN424" s="1" t="n">
        <x:f>MAX(2,ROUNDUP('損益分岐設定'!C38*AJ424/('損益分岐設定'!$B$23*'損益分岐設定'!$B$24*3600*'損益分岐設定'!$B$25),0))</x:f>
        <x:v>2</x:v>
      </x:c>
      <x:c r="AO424" s="1" t="n">
        <x:f>MAX(2,ROUNDUP('損益分岐設定'!C39*AJ424/('損益分岐設定'!$B$23*'損益分岐設定'!$B$24*3600*'損益分岐設定'!$B$25),0))</x:f>
        <x:v>2</x:v>
      </x:c>
      <x:c r="AP424" s="1" t="n">
        <x:f>MAX(2,ROUNDUP('損益分岐設定'!C40*AJ424/('損益分岐設定'!$B$23*'損益分岐設定'!$B$24*3600*'損益分岐設定'!$B$25),0))</x:f>
        <x:v>3</x:v>
      </x:c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 ht="23" customHeight="1">
      <x:c r="A425" s="1" t="str">
        <x:v>VM</x:v>
      </x:c>
      <x:c r="B425" s="1" t="str">
        <x:v>Business Plus</x:v>
      </x:c>
      <x:c r="C425" s="1" t="str">
        <x:v>高位</x:v>
      </x:c>
      <x:c r="D425" s="21" t="n">
        <x:v>0</x:v>
      </x:c>
      <x:c r="E425" s="1" t="n">
        <x:v>0</x:v>
      </x:c>
      <x:c r="F425" s="7" t="n">
        <x:f>AD425*'損益分岐設定'!$B$5+AE425*'損益分岐設定'!$B$6+AF425*'損益分岐設定'!$B$7</x:f>
        <x:v>8000</x:v>
      </x:c>
      <x:c r="G425" s="7" t="n">
        <x:f>AG425+0+AK425*'損益分岐設定'!$B$33</x:f>
        <x:v>24711.898587989806</x:v>
      </x:c>
      <x:c r="H425" s="7" t="n">
        <x:f>AL425*E425</x:f>
        <x:v>0</x:v>
      </x:c>
      <x:c r="I425" s="7" t="n">
        <x:f>F425*(1-D425-'損益分岐設定'!$B$10)-G425-H425</x:f>
        <x:v>-16999.898587989806</x:v>
      </x:c>
      <x:c r="J425" s="1" t="str">
        <x:f>IF(MIN(V425:Y425)&gt;1000,"範囲内なし",MIN(V425:Y425))</x:f>
        <x:v>範囲内なし</x:v>
      </x:c>
      <x:c r="K425" s="1" t="str">
        <x:f>IF(MAX(Z425:AC425)&gt;=1000,"範囲内なし",MAX(1,MAX(Z425:AC425)+1))</x:f>
        <x:v>範囲内なし</x:v>
      </x:c>
      <x:c r="L425" s="7" t="n">
        <x:f>10*I425-R425</x:f>
        <x:v>-220758.17264111934</x:v>
      </x:c>
      <x:c r="M425" s="7" t="n">
        <x:f>30*I425-S425</x:f>
        <x:v>-627894.9245427474</x:v>
      </x:c>
      <x:c r="N425" s="7" t="n">
        <x:f>50*I425-S425</x:f>
        <x:v>-967892.8963025436</x:v>
      </x:c>
      <x:c r="O425" s="7" t="n">
        <x:f>100*I425-S425</x:f>
        <x:v>-1817887.825702034</x:v>
      </x:c>
      <x:c r="P425" s="7" t="n">
        <x:f>300*I425-T425</x:f>
        <x:v>-5364024.6969642695</x:v>
      </x:c>
      <x:c r="Q425" s="7" t="n">
        <x:f>1000*I425-U425</x:f>
        <x:v>-17472749.642363243</x:v>
      </x:c>
      <x:c r="R425" s="7" t="n">
        <x:f>'損益分岐設定'!$B$18+'損益分岐設定'!$B$19+'損益分岐設定'!$B$20+'損益分岐設定'!E37+('損益分岐設定'!F37+2*'損益分岐設定'!G37+AM425)*('損益分岐設定'!$B$15+'損益分岐設定'!$B$16)+'損益分岐設定'!$B$17+'損益分岐設定'!$B$21+E425*'損益分岐設定'!H37*'損益分岐設定'!$B$11</x:f>
        <x:v>50759.18676122127</x:v>
      </x:c>
      <x:c r="S425" s="7" t="n">
        <x:f>'損益分岐設定'!$B$18+'損益分岐設定'!$B$19+'損益分岐設定'!$B$20+'損益分岐設定'!E38+('損益分岐設定'!F38+2*'損益分岐設定'!G38+AN425)*('損益分岐設定'!$B$15+'損益分岐設定'!$B$16)+'損益分岐設定'!$B$17+'損益分岐設定'!$B$21+E425*'損益分岐設定'!H38*'損益分岐設定'!$B$11</x:f>
        <x:v>117897.96690305318</x:v>
      </x:c>
      <x:c r="T425" s="7" t="n">
        <x:f>'損益分岐設定'!$B$18+'損益分岐設定'!$B$19+'損益分岐設定'!$B$20+'損益分岐設定'!E39+('損益分岐設定'!F39+2*'損益分岐設定'!G39+AO425)*('損益分岐設定'!$B$15+'損益分岐設定'!$B$16)+'損益分岐設定'!$B$17+'損益分岐設定'!$B$21+E425*'損益分岐設定'!H39*'損益分岐設定'!$B$11</x:f>
        <x:v>264055.12056732766</x:v>
      </x:c>
      <x:c r="U425" s="7" t="n">
        <x:f>'損益分岐設定'!$B$18+'損益分岐設定'!$B$19+'損益分岐設定'!$B$20+'損益分岐設定'!E40+('損益分岐設定'!F40+2*'損益分岐設定'!G40+AP425)*('損益分岐設定'!$B$15+'損益分岐設定'!$B$16)+'損益分岐設定'!$B$17+'損益分岐設定'!$B$21+E425*'損益分岐設定'!H40*'損益分岐設定'!$B$11</x:f>
        <x:v>472851.054373434</x:v>
      </x:c>
      <x:c r="V425" s="1" t="n">
        <x:f>IF(I425&lt;=0,1001,IF(MAX('損益分岐設定'!B37,ROUNDUP(R425/I425,0))&lt;='損益分岐設定'!C37,MAX('損益分岐設定'!B37,ROUNDUP(R425/I425,0)),1001))</x:f>
        <x:v>1001</x:v>
      </x:c>
      <x:c r="W425" s="1" t="n">
        <x:f>IF(I425&lt;=0,1001,IF(MAX('損益分岐設定'!B38,ROUNDUP(S425/I425,0))&lt;='損益分岐設定'!C38,MAX('損益分岐設定'!B38,ROUNDUP(S425/I425,0)),1001))</x:f>
        <x:v>1001</x:v>
      </x:c>
      <x:c r="X425" s="1" t="n">
        <x:f>IF(I425&lt;=0,1001,IF(MAX('損益分岐設定'!B39,ROUNDUP(T425/I425,0))&lt;='損益分岐設定'!C39,MAX('損益分岐設定'!B39,ROUNDUP(T425/I425,0)),1001))</x:f>
        <x:v>1001</x:v>
      </x:c>
      <x:c r="Y425" s="1" t="n">
        <x:f>IF(I425&lt;=0,1001,IF(MAX('損益分岐設定'!B40,ROUNDUP(U425/I425,0))&lt;='損益分岐設定'!C40,MAX('損益分岐設定'!B40,ROUNDUP(U425/I425,0)),1001))</x:f>
        <x:v>1001</x:v>
      </x:c>
      <x:c r="Z425" s="1" t="n">
        <x:f>IF(I425&lt;=0,'損益分岐設定'!C37,IF('損益分岐設定'!C37*I425-R425&lt;0,'損益分岐設定'!C37,IF('損益分岐設定'!B37*I425-R425&gt;=0,0,ROUNDUP(R425/I425,0)-1)))</x:f>
        <x:v>10</x:v>
      </x:c>
      <x:c r="AA425" s="1" t="n">
        <x:f>IF(I425&lt;=0,'損益分岐設定'!C38,IF('損益分岐設定'!C38*I425-S425&lt;0,'損益分岐設定'!C38,IF('損益分岐設定'!B38*I425-S425&gt;=0,0,ROUNDUP(S425/I425,0)-1)))</x:f>
        <x:v>100</x:v>
      </x:c>
      <x:c r="AB425" s="1" t="n">
        <x:f>IF(I425&lt;=0,'損益分岐設定'!C39,IF('損益分岐設定'!C39*I425-T425&lt;0,'損益分岐設定'!C39,IF('損益分岐設定'!B39*I425-T425&gt;=0,0,ROUNDUP(T425/I425,0)-1)))</x:f>
        <x:v>500</x:v>
      </x:c>
      <x:c r="AC425" s="1" t="n">
        <x:f>IF(I425&lt;=0,'損益分岐設定'!C40,IF('損益分岐設定'!C40*I425-U425&lt;0,'損益分岐設定'!C40,IF('損益分岐設定'!B40*I425-U425&gt;=0,0,ROUNDUP(U425/I425,0)-1)))</x:f>
        <x:v>1000</x:v>
      </x:c>
      <x:c r="AD425" s="1" t="n">
        <x:v>0</x:v>
      </x:c>
      <x:c r="AE425" s="1" t="n">
        <x:v>0</x:v>
      </x:c>
      <x:c r="AF425" s="1" t="n">
        <x:v>1</x:v>
      </x:c>
      <x:c r="AG425" s="1" t="n">
        <x:f>AD425*'損益分岐設定'!$C$58+AE425*'損益分岐設定'!$C$61+AF425*'損益分岐設定'!$C$64</x:f>
        <x:v>24711.76447753906</x:v>
      </x:c>
      <x:c r="AH425" s="1" t="n">
        <x:f>AD425*'損益分岐設定'!$D$58+AE425*'損益分岐設定'!$D$61+AF425*'損益分岐設定'!$D$64</x:f>
        <x:v>1200</x:v>
      </x:c>
      <x:c r="AI425" s="1" t="n">
        <x:f>AD425*'損益分岐設定'!$E$58+AE425*'損益分岐設定'!$E$61+AF425*'損益分岐設定'!$E$64</x:f>
        <x:v>1600</x:v>
      </x:c>
      <x:c r="AJ425" s="1" t="n">
        <x:f>(AD425*'損益分岐設定'!$F$58+AE425*'損益分岐設定'!$F$61+AF425*'損益分岐設定'!$F$64*1)*'損益分岐設定'!$B$22</x:f>
        <x:v>18000</x:v>
      </x:c>
      <x:c r="AK425" s="1" t="n">
        <x:f>AD425*'損益分岐設定'!$G$58+AE425*'損益分岐設定'!$G$61+AF425*'損益分岐設定'!$G$64</x:f>
        <x:v>12000</x:v>
      </x:c>
      <x:c r="AL425" s="1" t="n">
        <x:f>AD425*'損益分岐設定'!$H$58+AE425*'損益分岐設定'!$H$61+AF425*'損益分岐設定'!$H$64</x:f>
        <x:v>1666.6666666666667</x:v>
      </x:c>
      <x:c r="AM425" s="1" t="n">
        <x:f>MAX(1,ROUNDUP('損益分岐設定'!C37*AJ425/('損益分岐設定'!$B$23*'損益分岐設定'!$B$24*3600*'損益分岐設定'!$B$25),0))</x:f>
        <x:v>1</x:v>
      </x:c>
      <x:c r="AN425" s="1" t="n">
        <x:f>MAX(2,ROUNDUP('損益分岐設定'!C38*AJ425/('損益分岐設定'!$B$23*'損益分岐設定'!$B$24*3600*'損益分岐設定'!$B$25),0))</x:f>
        <x:v>4</x:v>
      </x:c>
      <x:c r="AO425" s="1" t="n">
        <x:f>MAX(2,ROUNDUP('損益分岐設定'!C39*AJ425/('損益分岐設定'!$B$23*'損益分岐設定'!$B$24*3600*'損益分岐設定'!$B$25),0))</x:f>
        <x:v>18</x:v>
      </x:c>
      <x:c r="AP425" s="1" t="n">
        <x:f>MAX(2,ROUNDUP('損益分岐設定'!C40*AJ425/('損益分岐設定'!$B$23*'損益分岐設定'!$B$24*3600*'損益分岐設定'!$B$25),0))</x:f>
        <x:v>36</x:v>
      </x:c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 ht="23" customHeight="1">
      <x:c r="A426" s="1" t="str">
        <x:v>VM</x:v>
      </x:c>
      <x:c r="B426" s="1" t="str">
        <x:v>Business Plus</x:v>
      </x:c>
      <x:c r="C426" s="1" t="str">
        <x:v>高位</x:v>
      </x:c>
      <x:c r="D426" s="21" t="n">
        <x:v>0</x:v>
      </x:c>
      <x:c r="E426" s="1" t="n">
        <x:v>1</x:v>
      </x:c>
      <x:c r="F426" s="7" t="n">
        <x:f>AD426*'損益分岐設定'!$B$5+AE426*'損益分岐設定'!$B$6+AF426*'損益分岐設定'!$B$7</x:f>
        <x:v>8000</x:v>
      </x:c>
      <x:c r="G426" s="7" t="n">
        <x:f>AG426+0+AK426*'損益分岐設定'!$B$33</x:f>
        <x:v>24711.898587989806</x:v>
      </x:c>
      <x:c r="H426" s="7" t="n">
        <x:f>AL426*E426</x:f>
        <x:v>1666.6666666666667</x:v>
      </x:c>
      <x:c r="I426" s="7" t="n">
        <x:f>F426*(1-D426-'損益分岐設定'!$B$10)-G426-H426</x:f>
        <x:v>-18666.565254656474</x:v>
      </x:c>
      <x:c r="J426" s="1" t="str">
        <x:f>IF(MIN(V426:Y426)&gt;1000,"範囲内なし",MIN(V426:Y426))</x:f>
        <x:v>範囲内なし</x:v>
      </x:c>
      <x:c r="K426" s="1" t="str">
        <x:f>IF(MAX(Z426:AC426)&gt;=1000,"範囲内なし",MAX(1,MAX(Z426:AC426)+1))</x:f>
        <x:v>範囲内なし</x:v>
      </x:c>
      <x:c r="L426" s="7" t="n">
        <x:f>10*I426-R426</x:f>
        <x:v>-269424.839307786</x:v>
      </x:c>
      <x:c r="M426" s="7" t="n">
        <x:f>30*I426-S426</x:f>
        <x:v>-725894.9245427474</x:v>
      </x:c>
      <x:c r="N426" s="7" t="n">
        <x:f>50*I426-S426</x:f>
        <x:v>-1099226.2296358768</x:v>
      </x:c>
      <x:c r="O426" s="7" t="n">
        <x:f>100*I426-S426</x:f>
        <x:v>-2032554.4923687007</x:v>
      </x:c>
      <x:c r="P426" s="7" t="n">
        <x:f>300*I426-T426</x:f>
        <x:v>-5944024.6969642695</x:v>
      </x:c>
      <x:c r="Q426" s="7" t="n">
        <x:f>1000*I426-U426</x:f>
        <x:v>-19267416.30902991</x:v>
      </x:c>
      <x:c r="R426" s="7" t="n">
        <x:f>'損益分岐設定'!$B$18+'損益分岐設定'!$B$19+'損益分岐設定'!$B$20+'損益分岐設定'!E37+('損益分岐設定'!F37+2*'損益分岐設定'!G37+AM426)*('損益分岐設定'!$B$15+'損益分岐設定'!$B$16)+'損益分岐設定'!$B$17+'損益分岐設定'!$B$21+E426*'損益分岐設定'!H37*'損益分岐設定'!$B$11</x:f>
        <x:v>82759.18676122127</x:v>
      </x:c>
      <x:c r="S426" s="7" t="n">
        <x:f>'損益分岐設定'!$B$18+'損益分岐設定'!$B$19+'損益分岐設定'!$B$20+'損益分岐設定'!E38+('損益分岐設定'!F38+2*'損益分岐設定'!G38+AN426)*('損益分岐設定'!$B$15+'損益分岐設定'!$B$16)+'損益分岐設定'!$B$17+'損益分岐設定'!$B$21+E426*'損益分岐設定'!H38*'損益分岐設定'!$B$11</x:f>
        <x:v>165897.96690305317</x:v>
      </x:c>
      <x:c r="T426" s="7" t="n">
        <x:f>'損益分岐設定'!$B$18+'損益分岐設定'!$B$19+'損益分岐設定'!$B$20+'損益分岐設定'!E39+('損益分岐設定'!F39+2*'損益分岐設定'!G39+AO426)*('損益分岐設定'!$B$15+'損益分岐設定'!$B$16)+'損益分岐設定'!$B$17+'損益分岐設定'!$B$21+E426*'損益分岐設定'!H39*'損益分岐設定'!$B$11</x:f>
        <x:v>344055.12056732766</x:v>
      </x:c>
      <x:c r="U426" s="7" t="n">
        <x:f>'損益分岐設定'!$B$18+'損益分岐設定'!$B$19+'損益分岐設定'!$B$20+'損益分岐設定'!E40+('損益分岐設定'!F40+2*'損益分岐設定'!G40+AP426)*('損益分岐設定'!$B$15+'損益分岐設定'!$B$16)+'損益分岐設定'!$B$17+'損益分岐設定'!$B$21+E426*'損益分岐設定'!H40*'損益分岐設定'!$B$11</x:f>
        <x:v>600851.054373434</x:v>
      </x:c>
      <x:c r="V426" s="1" t="n">
        <x:f>IF(I426&lt;=0,1001,IF(MAX('損益分岐設定'!B37,ROUNDUP(R426/I426,0))&lt;='損益分岐設定'!C37,MAX('損益分岐設定'!B37,ROUNDUP(R426/I426,0)),1001))</x:f>
        <x:v>1001</x:v>
      </x:c>
      <x:c r="W426" s="1" t="n">
        <x:f>IF(I426&lt;=0,1001,IF(MAX('損益分岐設定'!B38,ROUNDUP(S426/I426,0))&lt;='損益分岐設定'!C38,MAX('損益分岐設定'!B38,ROUNDUP(S426/I426,0)),1001))</x:f>
        <x:v>1001</x:v>
      </x:c>
      <x:c r="X426" s="1" t="n">
        <x:f>IF(I426&lt;=0,1001,IF(MAX('損益分岐設定'!B39,ROUNDUP(T426/I426,0))&lt;='損益分岐設定'!C39,MAX('損益分岐設定'!B39,ROUNDUP(T426/I426,0)),1001))</x:f>
        <x:v>1001</x:v>
      </x:c>
      <x:c r="Y426" s="1" t="n">
        <x:f>IF(I426&lt;=0,1001,IF(MAX('損益分岐設定'!B40,ROUNDUP(U426/I426,0))&lt;='損益分岐設定'!C40,MAX('損益分岐設定'!B40,ROUNDUP(U426/I426,0)),1001))</x:f>
        <x:v>1001</x:v>
      </x:c>
      <x:c r="Z426" s="1" t="n">
        <x:f>IF(I426&lt;=0,'損益分岐設定'!C37,IF('損益分岐設定'!C37*I426-R426&lt;0,'損益分岐設定'!C37,IF('損益分岐設定'!B37*I426-R426&gt;=0,0,ROUNDUP(R426/I426,0)-1)))</x:f>
        <x:v>10</x:v>
      </x:c>
      <x:c r="AA426" s="1" t="n">
        <x:f>IF(I426&lt;=0,'損益分岐設定'!C38,IF('損益分岐設定'!C38*I426-S426&lt;0,'損益分岐設定'!C38,IF('損益分岐設定'!B38*I426-S426&gt;=0,0,ROUNDUP(S426/I426,0)-1)))</x:f>
        <x:v>100</x:v>
      </x:c>
      <x:c r="AB426" s="1" t="n">
        <x:f>IF(I426&lt;=0,'損益分岐設定'!C39,IF('損益分岐設定'!C39*I426-T426&lt;0,'損益分岐設定'!C39,IF('損益分岐設定'!B39*I426-T426&gt;=0,0,ROUNDUP(T426/I426,0)-1)))</x:f>
        <x:v>500</x:v>
      </x:c>
      <x:c r="AC426" s="1" t="n">
        <x:f>IF(I426&lt;=0,'損益分岐設定'!C40,IF('損益分岐設定'!C40*I426-U426&lt;0,'損益分岐設定'!C40,IF('損益分岐設定'!B40*I426-U426&gt;=0,0,ROUNDUP(U426/I426,0)-1)))</x:f>
        <x:v>1000</x:v>
      </x:c>
      <x:c r="AD426" s="1" t="n">
        <x:v>0</x:v>
      </x:c>
      <x:c r="AE426" s="1" t="n">
        <x:v>0</x:v>
      </x:c>
      <x:c r="AF426" s="1" t="n">
        <x:v>1</x:v>
      </x:c>
      <x:c r="AG426" s="1" t="n">
        <x:f>AD426*'損益分岐設定'!$C$58+AE426*'損益分岐設定'!$C$61+AF426*'損益分岐設定'!$C$64</x:f>
        <x:v>24711.76447753906</x:v>
      </x:c>
      <x:c r="AH426" s="1" t="n">
        <x:f>AD426*'損益分岐設定'!$D$58+AE426*'損益分岐設定'!$D$61+AF426*'損益分岐設定'!$D$64</x:f>
        <x:v>1200</x:v>
      </x:c>
      <x:c r="AI426" s="1" t="n">
        <x:f>AD426*'損益分岐設定'!$E$58+AE426*'損益分岐設定'!$E$61+AF426*'損益分岐設定'!$E$64</x:f>
        <x:v>1600</x:v>
      </x:c>
      <x:c r="AJ426" s="1" t="n">
        <x:f>(AD426*'損益分岐設定'!$F$58+AE426*'損益分岐設定'!$F$61+AF426*'損益分岐設定'!$F$64*1)*'損益分岐設定'!$B$22</x:f>
        <x:v>18000</x:v>
      </x:c>
      <x:c r="AK426" s="1" t="n">
        <x:f>AD426*'損益分岐設定'!$G$58+AE426*'損益分岐設定'!$G$61+AF426*'損益分岐設定'!$G$64</x:f>
        <x:v>12000</x:v>
      </x:c>
      <x:c r="AL426" s="1" t="n">
        <x:f>AD426*'損益分岐設定'!$H$58+AE426*'損益分岐設定'!$H$61+AF426*'損益分岐設定'!$H$64</x:f>
        <x:v>1666.6666666666667</x:v>
      </x:c>
      <x:c r="AM426" s="1" t="n">
        <x:f>MAX(1,ROUNDUP('損益分岐設定'!C37*AJ426/('損益分岐設定'!$B$23*'損益分岐設定'!$B$24*3600*'損益分岐設定'!$B$25),0))</x:f>
        <x:v>1</x:v>
      </x:c>
      <x:c r="AN426" s="1" t="n">
        <x:f>MAX(2,ROUNDUP('損益分岐設定'!C38*AJ426/('損益分岐設定'!$B$23*'損益分岐設定'!$B$24*3600*'損益分岐設定'!$B$25),0))</x:f>
        <x:v>4</x:v>
      </x:c>
      <x:c r="AO426" s="1" t="n">
        <x:f>MAX(2,ROUNDUP('損益分岐設定'!C39*AJ426/('損益分岐設定'!$B$23*'損益分岐設定'!$B$24*3600*'損益分岐設定'!$B$25),0))</x:f>
        <x:v>18</x:v>
      </x:c>
      <x:c r="AP426" s="1" t="n">
        <x:f>MAX(2,ROUNDUP('損益分岐設定'!C40*AJ426/('損益分岐設定'!$B$23*'損益分岐設定'!$B$24*3600*'損益分岐設定'!$B$25),0))</x:f>
        <x:v>36</x:v>
      </x:c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 ht="23" customHeight="1">
      <x:c r="A427" s="1" t="str">
        <x:v>VM</x:v>
      </x:c>
      <x:c r="B427" s="1" t="str">
        <x:v>Business Plus</x:v>
      </x:c>
      <x:c r="C427" s="1" t="str">
        <x:v>高位</x:v>
      </x:c>
      <x:c r="D427" s="21" t="n">
        <x:v>0.2</x:v>
      </x:c>
      <x:c r="E427" s="1" t="n">
        <x:v>0</x:v>
      </x:c>
      <x:c r="F427" s="7" t="n">
        <x:f>AD427*'損益分岐設定'!$B$5+AE427*'損益分岐設定'!$B$6+AF427*'損益分岐設定'!$B$7</x:f>
        <x:v>8000</x:v>
      </x:c>
      <x:c r="G427" s="7" t="n">
        <x:f>AG427+0+AK427*'損益分岐設定'!$B$33</x:f>
        <x:v>24711.898587989806</x:v>
      </x:c>
      <x:c r="H427" s="7" t="n">
        <x:f>AL427*E427</x:f>
        <x:v>0</x:v>
      </x:c>
      <x:c r="I427" s="7" t="n">
        <x:f>F427*(1-D427-'損益分岐設定'!$B$10)-G427-H427</x:f>
        <x:v>-18599.898587989806</x:v>
      </x:c>
      <x:c r="J427" s="1" t="str">
        <x:f>IF(MIN(V427:Y427)&gt;1000,"範囲内なし",MIN(V427:Y427))</x:f>
        <x:v>範囲内なし</x:v>
      </x:c>
      <x:c r="K427" s="1" t="str">
        <x:f>IF(MAX(Z427:AC427)&gt;=1000,"範囲内なし",MAX(1,MAX(Z427:AC427)+1))</x:f>
        <x:v>範囲内なし</x:v>
      </x:c>
      <x:c r="L427" s="7" t="n">
        <x:f>10*I427-R427</x:f>
        <x:v>-236758.17264111934</x:v>
      </x:c>
      <x:c r="M427" s="7" t="n">
        <x:f>30*I427-S427</x:f>
        <x:v>-675894.9245427474</x:v>
      </x:c>
      <x:c r="N427" s="7" t="n">
        <x:f>50*I427-S427</x:f>
        <x:v>-1047892.8963025436</x:v>
      </x:c>
      <x:c r="O427" s="7" t="n">
        <x:f>100*I427-S427</x:f>
        <x:v>-1977887.825702034</x:v>
      </x:c>
      <x:c r="P427" s="7" t="n">
        <x:f>300*I427-T427</x:f>
        <x:v>-5844024.6969642695</x:v>
      </x:c>
      <x:c r="Q427" s="7" t="n">
        <x:f>1000*I427-U427</x:f>
        <x:v>-19072749.642363243</x:v>
      </x:c>
      <x:c r="R427" s="7" t="n">
        <x:f>'損益分岐設定'!$B$18+'損益分岐設定'!$B$19+'損益分岐設定'!$B$20+'損益分岐設定'!E37+('損益分岐設定'!F37+2*'損益分岐設定'!G37+AM427)*('損益分岐設定'!$B$15+'損益分岐設定'!$B$16)+'損益分岐設定'!$B$17+'損益分岐設定'!$B$21+E427*'損益分岐設定'!H37*'損益分岐設定'!$B$11</x:f>
        <x:v>50759.18676122127</x:v>
      </x:c>
      <x:c r="S427" s="7" t="n">
        <x:f>'損益分岐設定'!$B$18+'損益分岐設定'!$B$19+'損益分岐設定'!$B$20+'損益分岐設定'!E38+('損益分岐設定'!F38+2*'損益分岐設定'!G38+AN427)*('損益分岐設定'!$B$15+'損益分岐設定'!$B$16)+'損益分岐設定'!$B$17+'損益分岐設定'!$B$21+E427*'損益分岐設定'!H38*'損益分岐設定'!$B$11</x:f>
        <x:v>117897.96690305318</x:v>
      </x:c>
      <x:c r="T427" s="7" t="n">
        <x:f>'損益分岐設定'!$B$18+'損益分岐設定'!$B$19+'損益分岐設定'!$B$20+'損益分岐設定'!E39+('損益分岐設定'!F39+2*'損益分岐設定'!G39+AO427)*('損益分岐設定'!$B$15+'損益分岐設定'!$B$16)+'損益分岐設定'!$B$17+'損益分岐設定'!$B$21+E427*'損益分岐設定'!H39*'損益分岐設定'!$B$11</x:f>
        <x:v>264055.12056732766</x:v>
      </x:c>
      <x:c r="U427" s="7" t="n">
        <x:f>'損益分岐設定'!$B$18+'損益分岐設定'!$B$19+'損益分岐設定'!$B$20+'損益分岐設定'!E40+('損益分岐設定'!F40+2*'損益分岐設定'!G40+AP427)*('損益分岐設定'!$B$15+'損益分岐設定'!$B$16)+'損益分岐設定'!$B$17+'損益分岐設定'!$B$21+E427*'損益分岐設定'!H40*'損益分岐設定'!$B$11</x:f>
        <x:v>472851.054373434</x:v>
      </x:c>
      <x:c r="V427" s="1" t="n">
        <x:f>IF(I427&lt;=0,1001,IF(MAX('損益分岐設定'!B37,ROUNDUP(R427/I427,0))&lt;='損益分岐設定'!C37,MAX('損益分岐設定'!B37,ROUNDUP(R427/I427,0)),1001))</x:f>
        <x:v>1001</x:v>
      </x:c>
      <x:c r="W427" s="1" t="n">
        <x:f>IF(I427&lt;=0,1001,IF(MAX('損益分岐設定'!B38,ROUNDUP(S427/I427,0))&lt;='損益分岐設定'!C38,MAX('損益分岐設定'!B38,ROUNDUP(S427/I427,0)),1001))</x:f>
        <x:v>1001</x:v>
      </x:c>
      <x:c r="X427" s="1" t="n">
        <x:f>IF(I427&lt;=0,1001,IF(MAX('損益分岐設定'!B39,ROUNDUP(T427/I427,0))&lt;='損益分岐設定'!C39,MAX('損益分岐設定'!B39,ROUNDUP(T427/I427,0)),1001))</x:f>
        <x:v>1001</x:v>
      </x:c>
      <x:c r="Y427" s="1" t="n">
        <x:f>IF(I427&lt;=0,1001,IF(MAX('損益分岐設定'!B40,ROUNDUP(U427/I427,0))&lt;='損益分岐設定'!C40,MAX('損益分岐設定'!B40,ROUNDUP(U427/I427,0)),1001))</x:f>
        <x:v>1001</x:v>
      </x:c>
      <x:c r="Z427" s="1" t="n">
        <x:f>IF(I427&lt;=0,'損益分岐設定'!C37,IF('損益分岐設定'!C37*I427-R427&lt;0,'損益分岐設定'!C37,IF('損益分岐設定'!B37*I427-R427&gt;=0,0,ROUNDUP(R427/I427,0)-1)))</x:f>
        <x:v>10</x:v>
      </x:c>
      <x:c r="AA427" s="1" t="n">
        <x:f>IF(I427&lt;=0,'損益分岐設定'!C38,IF('損益分岐設定'!C38*I427-S427&lt;0,'損益分岐設定'!C38,IF('損益分岐設定'!B38*I427-S427&gt;=0,0,ROUNDUP(S427/I427,0)-1)))</x:f>
        <x:v>100</x:v>
      </x:c>
      <x:c r="AB427" s="1" t="n">
        <x:f>IF(I427&lt;=0,'損益分岐設定'!C39,IF('損益分岐設定'!C39*I427-T427&lt;0,'損益分岐設定'!C39,IF('損益分岐設定'!B39*I427-T427&gt;=0,0,ROUNDUP(T427/I427,0)-1)))</x:f>
        <x:v>500</x:v>
      </x:c>
      <x:c r="AC427" s="1" t="n">
        <x:f>IF(I427&lt;=0,'損益分岐設定'!C40,IF('損益分岐設定'!C40*I427-U427&lt;0,'損益分岐設定'!C40,IF('損益分岐設定'!B40*I427-U427&gt;=0,0,ROUNDUP(U427/I427,0)-1)))</x:f>
        <x:v>1000</x:v>
      </x:c>
      <x:c r="AD427" s="1" t="n">
        <x:v>0</x:v>
      </x:c>
      <x:c r="AE427" s="1" t="n">
        <x:v>0</x:v>
      </x:c>
      <x:c r="AF427" s="1" t="n">
        <x:v>1</x:v>
      </x:c>
      <x:c r="AG427" s="1" t="n">
        <x:f>AD427*'損益分岐設定'!$C$58+AE427*'損益分岐設定'!$C$61+AF427*'損益分岐設定'!$C$64</x:f>
        <x:v>24711.76447753906</x:v>
      </x:c>
      <x:c r="AH427" s="1" t="n">
        <x:f>AD427*'損益分岐設定'!$D$58+AE427*'損益分岐設定'!$D$61+AF427*'損益分岐設定'!$D$64</x:f>
        <x:v>1200</x:v>
      </x:c>
      <x:c r="AI427" s="1" t="n">
        <x:f>AD427*'損益分岐設定'!$E$58+AE427*'損益分岐設定'!$E$61+AF427*'損益分岐設定'!$E$64</x:f>
        <x:v>1600</x:v>
      </x:c>
      <x:c r="AJ427" s="1" t="n">
        <x:f>(AD427*'損益分岐設定'!$F$58+AE427*'損益分岐設定'!$F$61+AF427*'損益分岐設定'!$F$64*1)*'損益分岐設定'!$B$22</x:f>
        <x:v>18000</x:v>
      </x:c>
      <x:c r="AK427" s="1" t="n">
        <x:f>AD427*'損益分岐設定'!$G$58+AE427*'損益分岐設定'!$G$61+AF427*'損益分岐設定'!$G$64</x:f>
        <x:v>12000</x:v>
      </x:c>
      <x:c r="AL427" s="1" t="n">
        <x:f>AD427*'損益分岐設定'!$H$58+AE427*'損益分岐設定'!$H$61+AF427*'損益分岐設定'!$H$64</x:f>
        <x:v>1666.6666666666667</x:v>
      </x:c>
      <x:c r="AM427" s="1" t="n">
        <x:f>MAX(1,ROUNDUP('損益分岐設定'!C37*AJ427/('損益分岐設定'!$B$23*'損益分岐設定'!$B$24*3600*'損益分岐設定'!$B$25),0))</x:f>
        <x:v>1</x:v>
      </x:c>
      <x:c r="AN427" s="1" t="n">
        <x:f>MAX(2,ROUNDUP('損益分岐設定'!C38*AJ427/('損益分岐設定'!$B$23*'損益分岐設定'!$B$24*3600*'損益分岐設定'!$B$25),0))</x:f>
        <x:v>4</x:v>
      </x:c>
      <x:c r="AO427" s="1" t="n">
        <x:f>MAX(2,ROUNDUP('損益分岐設定'!C39*AJ427/('損益分岐設定'!$B$23*'損益分岐設定'!$B$24*3600*'損益分岐設定'!$B$25),0))</x:f>
        <x:v>18</x:v>
      </x:c>
      <x:c r="AP427" s="1" t="n">
        <x:f>MAX(2,ROUNDUP('損益分岐設定'!C40*AJ427/('損益分岐設定'!$B$23*'損益分岐設定'!$B$24*3600*'損益分岐設定'!$B$25),0))</x:f>
        <x:v>36</x:v>
      </x:c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 ht="23" customHeight="1">
      <x:c r="A428" s="1" t="str">
        <x:v>VM</x:v>
      </x:c>
      <x:c r="B428" s="1" t="str">
        <x:v>Business Plus</x:v>
      </x:c>
      <x:c r="C428" s="1" t="str">
        <x:v>高位</x:v>
      </x:c>
      <x:c r="D428" s="21" t="n">
        <x:v>0.2</x:v>
      </x:c>
      <x:c r="E428" s="1" t="n">
        <x:v>1</x:v>
      </x:c>
      <x:c r="F428" s="7" t="n">
        <x:f>AD428*'損益分岐設定'!$B$5+AE428*'損益分岐設定'!$B$6+AF428*'損益分岐設定'!$B$7</x:f>
        <x:v>8000</x:v>
      </x:c>
      <x:c r="G428" s="7" t="n">
        <x:f>AG428+0+AK428*'損益分岐設定'!$B$33</x:f>
        <x:v>24711.898587989806</x:v>
      </x:c>
      <x:c r="H428" s="7" t="n">
        <x:f>AL428*E428</x:f>
        <x:v>1666.6666666666667</x:v>
      </x:c>
      <x:c r="I428" s="7" t="n">
        <x:f>F428*(1-D428-'損益分岐設定'!$B$10)-G428-H428</x:f>
        <x:v>-20266.565254656474</x:v>
      </x:c>
      <x:c r="J428" s="1" t="str">
        <x:f>IF(MIN(V428:Y428)&gt;1000,"範囲内なし",MIN(V428:Y428))</x:f>
        <x:v>範囲内なし</x:v>
      </x:c>
      <x:c r="K428" s="1" t="str">
        <x:f>IF(MAX(Z428:AC428)&gt;=1000,"範囲内なし",MAX(1,MAX(Z428:AC428)+1))</x:f>
        <x:v>範囲内なし</x:v>
      </x:c>
      <x:c r="L428" s="7" t="n">
        <x:f>10*I428-R428</x:f>
        <x:v>-285424.839307786</x:v>
      </x:c>
      <x:c r="M428" s="7" t="n">
        <x:f>30*I428-S428</x:f>
        <x:v>-773894.9245427474</x:v>
      </x:c>
      <x:c r="N428" s="7" t="n">
        <x:f>50*I428-S428</x:f>
        <x:v>-1179226.2296358768</x:v>
      </x:c>
      <x:c r="O428" s="7" t="n">
        <x:f>100*I428-S428</x:f>
        <x:v>-2192554.4923687004</x:v>
      </x:c>
      <x:c r="P428" s="7" t="n">
        <x:f>300*I428-T428</x:f>
        <x:v>-6424024.6969642695</x:v>
      </x:c>
      <x:c r="Q428" s="7" t="n">
        <x:f>1000*I428-U428</x:f>
        <x:v>-20867416.30902991</x:v>
      </x:c>
      <x:c r="R428" s="7" t="n">
        <x:f>'損益分岐設定'!$B$18+'損益分岐設定'!$B$19+'損益分岐設定'!$B$20+'損益分岐設定'!E37+('損益分岐設定'!F37+2*'損益分岐設定'!G37+AM428)*('損益分岐設定'!$B$15+'損益分岐設定'!$B$16)+'損益分岐設定'!$B$17+'損益分岐設定'!$B$21+E428*'損益分岐設定'!H37*'損益分岐設定'!$B$11</x:f>
        <x:v>82759.18676122127</x:v>
      </x:c>
      <x:c r="S428" s="7" t="n">
        <x:f>'損益分岐設定'!$B$18+'損益分岐設定'!$B$19+'損益分岐設定'!$B$20+'損益分岐設定'!E38+('損益分岐設定'!F38+2*'損益分岐設定'!G38+AN428)*('損益分岐設定'!$B$15+'損益分岐設定'!$B$16)+'損益分岐設定'!$B$17+'損益分岐設定'!$B$21+E428*'損益分岐設定'!H38*'損益分岐設定'!$B$11</x:f>
        <x:v>165897.96690305317</x:v>
      </x:c>
      <x:c r="T428" s="7" t="n">
        <x:f>'損益分岐設定'!$B$18+'損益分岐設定'!$B$19+'損益分岐設定'!$B$20+'損益分岐設定'!E39+('損益分岐設定'!F39+2*'損益分岐設定'!G39+AO428)*('損益分岐設定'!$B$15+'損益分岐設定'!$B$16)+'損益分岐設定'!$B$17+'損益分岐設定'!$B$21+E428*'損益分岐設定'!H39*'損益分岐設定'!$B$11</x:f>
        <x:v>344055.12056732766</x:v>
      </x:c>
      <x:c r="U428" s="7" t="n">
        <x:f>'損益分岐設定'!$B$18+'損益分岐設定'!$B$19+'損益分岐設定'!$B$20+'損益分岐設定'!E40+('損益分岐設定'!F40+2*'損益分岐設定'!G40+AP428)*('損益分岐設定'!$B$15+'損益分岐設定'!$B$16)+'損益分岐設定'!$B$17+'損益分岐設定'!$B$21+E428*'損益分岐設定'!H40*'損益分岐設定'!$B$11</x:f>
        <x:v>600851.054373434</x:v>
      </x:c>
      <x:c r="V428" s="1" t="n">
        <x:f>IF(I428&lt;=0,1001,IF(MAX('損益分岐設定'!B37,ROUNDUP(R428/I428,0))&lt;='損益分岐設定'!C37,MAX('損益分岐設定'!B37,ROUNDUP(R428/I428,0)),1001))</x:f>
        <x:v>1001</x:v>
      </x:c>
      <x:c r="W428" s="1" t="n">
        <x:f>IF(I428&lt;=0,1001,IF(MAX('損益分岐設定'!B38,ROUNDUP(S428/I428,0))&lt;='損益分岐設定'!C38,MAX('損益分岐設定'!B38,ROUNDUP(S428/I428,0)),1001))</x:f>
        <x:v>1001</x:v>
      </x:c>
      <x:c r="X428" s="1" t="n">
        <x:f>IF(I428&lt;=0,1001,IF(MAX('損益分岐設定'!B39,ROUNDUP(T428/I428,0))&lt;='損益分岐設定'!C39,MAX('損益分岐設定'!B39,ROUNDUP(T428/I428,0)),1001))</x:f>
        <x:v>1001</x:v>
      </x:c>
      <x:c r="Y428" s="1" t="n">
        <x:f>IF(I428&lt;=0,1001,IF(MAX('損益分岐設定'!B40,ROUNDUP(U428/I428,0))&lt;='損益分岐設定'!C40,MAX('損益分岐設定'!B40,ROUNDUP(U428/I428,0)),1001))</x:f>
        <x:v>1001</x:v>
      </x:c>
      <x:c r="Z428" s="1" t="n">
        <x:f>IF(I428&lt;=0,'損益分岐設定'!C37,IF('損益分岐設定'!C37*I428-R428&lt;0,'損益分岐設定'!C37,IF('損益分岐設定'!B37*I428-R428&gt;=0,0,ROUNDUP(R428/I428,0)-1)))</x:f>
        <x:v>10</x:v>
      </x:c>
      <x:c r="AA428" s="1" t="n">
        <x:f>IF(I428&lt;=0,'損益分岐設定'!C38,IF('損益分岐設定'!C38*I428-S428&lt;0,'損益分岐設定'!C38,IF('損益分岐設定'!B38*I428-S428&gt;=0,0,ROUNDUP(S428/I428,0)-1)))</x:f>
        <x:v>100</x:v>
      </x:c>
      <x:c r="AB428" s="1" t="n">
        <x:f>IF(I428&lt;=0,'損益分岐設定'!C39,IF('損益分岐設定'!C39*I428-T428&lt;0,'損益分岐設定'!C39,IF('損益分岐設定'!B39*I428-T428&gt;=0,0,ROUNDUP(T428/I428,0)-1)))</x:f>
        <x:v>500</x:v>
      </x:c>
      <x:c r="AC428" s="1" t="n">
        <x:f>IF(I428&lt;=0,'損益分岐設定'!C40,IF('損益分岐設定'!C40*I428-U428&lt;0,'損益分岐設定'!C40,IF('損益分岐設定'!B40*I428-U428&gt;=0,0,ROUNDUP(U428/I428,0)-1)))</x:f>
        <x:v>1000</x:v>
      </x:c>
      <x:c r="AD428" s="1" t="n">
        <x:v>0</x:v>
      </x:c>
      <x:c r="AE428" s="1" t="n">
        <x:v>0</x:v>
      </x:c>
      <x:c r="AF428" s="1" t="n">
        <x:v>1</x:v>
      </x:c>
      <x:c r="AG428" s="1" t="n">
        <x:f>AD428*'損益分岐設定'!$C$58+AE428*'損益分岐設定'!$C$61+AF428*'損益分岐設定'!$C$64</x:f>
        <x:v>24711.76447753906</x:v>
      </x:c>
      <x:c r="AH428" s="1" t="n">
        <x:f>AD428*'損益分岐設定'!$D$58+AE428*'損益分岐設定'!$D$61+AF428*'損益分岐設定'!$D$64</x:f>
        <x:v>1200</x:v>
      </x:c>
      <x:c r="AI428" s="1" t="n">
        <x:f>AD428*'損益分岐設定'!$E$58+AE428*'損益分岐設定'!$E$61+AF428*'損益分岐設定'!$E$64</x:f>
        <x:v>1600</x:v>
      </x:c>
      <x:c r="AJ428" s="1" t="n">
        <x:f>(AD428*'損益分岐設定'!$F$58+AE428*'損益分岐設定'!$F$61+AF428*'損益分岐設定'!$F$64*1)*'損益分岐設定'!$B$22</x:f>
        <x:v>18000</x:v>
      </x:c>
      <x:c r="AK428" s="1" t="n">
        <x:f>AD428*'損益分岐設定'!$G$58+AE428*'損益分岐設定'!$G$61+AF428*'損益分岐設定'!$G$64</x:f>
        <x:v>12000</x:v>
      </x:c>
      <x:c r="AL428" s="1" t="n">
        <x:f>AD428*'損益分岐設定'!$H$58+AE428*'損益分岐設定'!$H$61+AF428*'損益分岐設定'!$H$64</x:f>
        <x:v>1666.6666666666667</x:v>
      </x:c>
      <x:c r="AM428" s="1" t="n">
        <x:f>MAX(1,ROUNDUP('損益分岐設定'!C37*AJ428/('損益分岐設定'!$B$23*'損益分岐設定'!$B$24*3600*'損益分岐設定'!$B$25),0))</x:f>
        <x:v>1</x:v>
      </x:c>
      <x:c r="AN428" s="1" t="n">
        <x:f>MAX(2,ROUNDUP('損益分岐設定'!C38*AJ428/('損益分岐設定'!$B$23*'損益分岐設定'!$B$24*3600*'損益分岐設定'!$B$25),0))</x:f>
        <x:v>4</x:v>
      </x:c>
      <x:c r="AO428" s="1" t="n">
        <x:f>MAX(2,ROUNDUP('損益分岐設定'!C39*AJ428/('損益分岐設定'!$B$23*'損益分岐設定'!$B$24*3600*'損益分岐設定'!$B$25),0))</x:f>
        <x:v>18</x:v>
      </x:c>
      <x:c r="AP428" s="1" t="n">
        <x:f>MAX(2,ROUNDUP('損益分岐設定'!C40*AJ428/('損益分岐設定'!$B$23*'損益分岐設定'!$B$24*3600*'損益分岐設定'!$B$25),0))</x:f>
        <x:v>36</x:v>
      </x:c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 ht="23" customHeight="1">
      <x:c r="A429" s="1" t="str">
        <x:v>VM</x:v>
      </x:c>
      <x:c r="B429" s="1" t="str">
        <x:v>Business Plus</x:v>
      </x:c>
      <x:c r="C429" s="1" t="str">
        <x:v>高位</x:v>
      </x:c>
      <x:c r="D429" s="21" t="n">
        <x:v>0.3</x:v>
      </x:c>
      <x:c r="E429" s="1" t="n">
        <x:v>0</x:v>
      </x:c>
      <x:c r="F429" s="7" t="n">
        <x:f>AD429*'損益分岐設定'!$B$5+AE429*'損益分岐設定'!$B$6+AF429*'損益分岐設定'!$B$7</x:f>
        <x:v>8000</x:v>
      </x:c>
      <x:c r="G429" s="7" t="n">
        <x:f>AG429+0+AK429*'損益分岐設定'!$B$33</x:f>
        <x:v>24711.898587989806</x:v>
      </x:c>
      <x:c r="H429" s="7" t="n">
        <x:f>AL429*E429</x:f>
        <x:v>0</x:v>
      </x:c>
      <x:c r="I429" s="7" t="n">
        <x:f>F429*(1-D429-'損益分岐設定'!$B$10)-G429-H429</x:f>
        <x:v>-19399.898587989806</x:v>
      </x:c>
      <x:c r="J429" s="1" t="str">
        <x:f>IF(MIN(V429:Y429)&gt;1000,"範囲内なし",MIN(V429:Y429))</x:f>
        <x:v>範囲内なし</x:v>
      </x:c>
      <x:c r="K429" s="1" t="str">
        <x:f>IF(MAX(Z429:AC429)&gt;=1000,"範囲内なし",MAX(1,MAX(Z429:AC429)+1))</x:f>
        <x:v>範囲内なし</x:v>
      </x:c>
      <x:c r="L429" s="7" t="n">
        <x:f>10*I429-R429</x:f>
        <x:v>-244758.17264111934</x:v>
      </x:c>
      <x:c r="M429" s="7" t="n">
        <x:f>30*I429-S429</x:f>
        <x:v>-699894.9245427474</x:v>
      </x:c>
      <x:c r="N429" s="7" t="n">
        <x:f>50*I429-S429</x:f>
        <x:v>-1087892.8963025436</x:v>
      </x:c>
      <x:c r="O429" s="7" t="n">
        <x:f>100*I429-S429</x:f>
        <x:v>-2057887.825702034</x:v>
      </x:c>
      <x:c r="P429" s="7" t="n">
        <x:f>300*I429-T429</x:f>
        <x:v>-6084024.6969642695</x:v>
      </x:c>
      <x:c r="Q429" s="7" t="n">
        <x:f>1000*I429-U429</x:f>
        <x:v>-19872749.642363243</x:v>
      </x:c>
      <x:c r="R429" s="7" t="n">
        <x:f>'損益分岐設定'!$B$18+'損益分岐設定'!$B$19+'損益分岐設定'!$B$20+'損益分岐設定'!E37+('損益分岐設定'!F37+2*'損益分岐設定'!G37+AM429)*('損益分岐設定'!$B$15+'損益分岐設定'!$B$16)+'損益分岐設定'!$B$17+'損益分岐設定'!$B$21+E429*'損益分岐設定'!H37*'損益分岐設定'!$B$11</x:f>
        <x:v>50759.18676122127</x:v>
      </x:c>
      <x:c r="S429" s="7" t="n">
        <x:f>'損益分岐設定'!$B$18+'損益分岐設定'!$B$19+'損益分岐設定'!$B$20+'損益分岐設定'!E38+('損益分岐設定'!F38+2*'損益分岐設定'!G38+AN429)*('損益分岐設定'!$B$15+'損益分岐設定'!$B$16)+'損益分岐設定'!$B$17+'損益分岐設定'!$B$21+E429*'損益分岐設定'!H38*'損益分岐設定'!$B$11</x:f>
        <x:v>117897.96690305318</x:v>
      </x:c>
      <x:c r="T429" s="7" t="n">
        <x:f>'損益分岐設定'!$B$18+'損益分岐設定'!$B$19+'損益分岐設定'!$B$20+'損益分岐設定'!E39+('損益分岐設定'!F39+2*'損益分岐設定'!G39+AO429)*('損益分岐設定'!$B$15+'損益分岐設定'!$B$16)+'損益分岐設定'!$B$17+'損益分岐設定'!$B$21+E429*'損益分岐設定'!H39*'損益分岐設定'!$B$11</x:f>
        <x:v>264055.12056732766</x:v>
      </x:c>
      <x:c r="U429" s="7" t="n">
        <x:f>'損益分岐設定'!$B$18+'損益分岐設定'!$B$19+'損益分岐設定'!$B$20+'損益分岐設定'!E40+('損益分岐設定'!F40+2*'損益分岐設定'!G40+AP429)*('損益分岐設定'!$B$15+'損益分岐設定'!$B$16)+'損益分岐設定'!$B$17+'損益分岐設定'!$B$21+E429*'損益分岐設定'!H40*'損益分岐設定'!$B$11</x:f>
        <x:v>472851.054373434</x:v>
      </x:c>
      <x:c r="V429" s="1" t="n">
        <x:f>IF(I429&lt;=0,1001,IF(MAX('損益分岐設定'!B37,ROUNDUP(R429/I429,0))&lt;='損益分岐設定'!C37,MAX('損益分岐設定'!B37,ROUNDUP(R429/I429,0)),1001))</x:f>
        <x:v>1001</x:v>
      </x:c>
      <x:c r="W429" s="1" t="n">
        <x:f>IF(I429&lt;=0,1001,IF(MAX('損益分岐設定'!B38,ROUNDUP(S429/I429,0))&lt;='損益分岐設定'!C38,MAX('損益分岐設定'!B38,ROUNDUP(S429/I429,0)),1001))</x:f>
        <x:v>1001</x:v>
      </x:c>
      <x:c r="X429" s="1" t="n">
        <x:f>IF(I429&lt;=0,1001,IF(MAX('損益分岐設定'!B39,ROUNDUP(T429/I429,0))&lt;='損益分岐設定'!C39,MAX('損益分岐設定'!B39,ROUNDUP(T429/I429,0)),1001))</x:f>
        <x:v>1001</x:v>
      </x:c>
      <x:c r="Y429" s="1" t="n">
        <x:f>IF(I429&lt;=0,1001,IF(MAX('損益分岐設定'!B40,ROUNDUP(U429/I429,0))&lt;='損益分岐設定'!C40,MAX('損益分岐設定'!B40,ROUNDUP(U429/I429,0)),1001))</x:f>
        <x:v>1001</x:v>
      </x:c>
      <x:c r="Z429" s="1" t="n">
        <x:f>IF(I429&lt;=0,'損益分岐設定'!C37,IF('損益分岐設定'!C37*I429-R429&lt;0,'損益分岐設定'!C37,IF('損益分岐設定'!B37*I429-R429&gt;=0,0,ROUNDUP(R429/I429,0)-1)))</x:f>
        <x:v>10</x:v>
      </x:c>
      <x:c r="AA429" s="1" t="n">
        <x:f>IF(I429&lt;=0,'損益分岐設定'!C38,IF('損益分岐設定'!C38*I429-S429&lt;0,'損益分岐設定'!C38,IF('損益分岐設定'!B38*I429-S429&gt;=0,0,ROUNDUP(S429/I429,0)-1)))</x:f>
        <x:v>100</x:v>
      </x:c>
      <x:c r="AB429" s="1" t="n">
        <x:f>IF(I429&lt;=0,'損益分岐設定'!C39,IF('損益分岐設定'!C39*I429-T429&lt;0,'損益分岐設定'!C39,IF('損益分岐設定'!B39*I429-T429&gt;=0,0,ROUNDUP(T429/I429,0)-1)))</x:f>
        <x:v>500</x:v>
      </x:c>
      <x:c r="AC429" s="1" t="n">
        <x:f>IF(I429&lt;=0,'損益分岐設定'!C40,IF('損益分岐設定'!C40*I429-U429&lt;0,'損益分岐設定'!C40,IF('損益分岐設定'!B40*I429-U429&gt;=0,0,ROUNDUP(U429/I429,0)-1)))</x:f>
        <x:v>1000</x:v>
      </x:c>
      <x:c r="AD429" s="1" t="n">
        <x:v>0</x:v>
      </x:c>
      <x:c r="AE429" s="1" t="n">
        <x:v>0</x:v>
      </x:c>
      <x:c r="AF429" s="1" t="n">
        <x:v>1</x:v>
      </x:c>
      <x:c r="AG429" s="1" t="n">
        <x:f>AD429*'損益分岐設定'!$C$58+AE429*'損益分岐設定'!$C$61+AF429*'損益分岐設定'!$C$64</x:f>
        <x:v>24711.76447753906</x:v>
      </x:c>
      <x:c r="AH429" s="1" t="n">
        <x:f>AD429*'損益分岐設定'!$D$58+AE429*'損益分岐設定'!$D$61+AF429*'損益分岐設定'!$D$64</x:f>
        <x:v>1200</x:v>
      </x:c>
      <x:c r="AI429" s="1" t="n">
        <x:f>AD429*'損益分岐設定'!$E$58+AE429*'損益分岐設定'!$E$61+AF429*'損益分岐設定'!$E$64</x:f>
        <x:v>1600</x:v>
      </x:c>
      <x:c r="AJ429" s="1" t="n">
        <x:f>(AD429*'損益分岐設定'!$F$58+AE429*'損益分岐設定'!$F$61+AF429*'損益分岐設定'!$F$64*1)*'損益分岐設定'!$B$22</x:f>
        <x:v>18000</x:v>
      </x:c>
      <x:c r="AK429" s="1" t="n">
        <x:f>AD429*'損益分岐設定'!$G$58+AE429*'損益分岐設定'!$G$61+AF429*'損益分岐設定'!$G$64</x:f>
        <x:v>12000</x:v>
      </x:c>
      <x:c r="AL429" s="1" t="n">
        <x:f>AD429*'損益分岐設定'!$H$58+AE429*'損益分岐設定'!$H$61+AF429*'損益分岐設定'!$H$64</x:f>
        <x:v>1666.6666666666667</x:v>
      </x:c>
      <x:c r="AM429" s="1" t="n">
        <x:f>MAX(1,ROUNDUP('損益分岐設定'!C37*AJ429/('損益分岐設定'!$B$23*'損益分岐設定'!$B$24*3600*'損益分岐設定'!$B$25),0))</x:f>
        <x:v>1</x:v>
      </x:c>
      <x:c r="AN429" s="1" t="n">
        <x:f>MAX(2,ROUNDUP('損益分岐設定'!C38*AJ429/('損益分岐設定'!$B$23*'損益分岐設定'!$B$24*3600*'損益分岐設定'!$B$25),0))</x:f>
        <x:v>4</x:v>
      </x:c>
      <x:c r="AO429" s="1" t="n">
        <x:f>MAX(2,ROUNDUP('損益分岐設定'!C39*AJ429/('損益分岐設定'!$B$23*'損益分岐設定'!$B$24*3600*'損益分岐設定'!$B$25),0))</x:f>
        <x:v>18</x:v>
      </x:c>
      <x:c r="AP429" s="1" t="n">
        <x:f>MAX(2,ROUNDUP('損益分岐設定'!C40*AJ429/('損益分岐設定'!$B$23*'損益分岐設定'!$B$24*3600*'損益分岐設定'!$B$25),0))</x:f>
        <x:v>36</x:v>
      </x:c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 ht="23" customHeight="1">
      <x:c r="A430" s="1" t="str">
        <x:v>VM</x:v>
      </x:c>
      <x:c r="B430" s="1" t="str">
        <x:v>Business Plus</x:v>
      </x:c>
      <x:c r="C430" s="1" t="str">
        <x:v>高位</x:v>
      </x:c>
      <x:c r="D430" s="21" t="n">
        <x:v>0.3</x:v>
      </x:c>
      <x:c r="E430" s="1" t="n">
        <x:v>1</x:v>
      </x:c>
      <x:c r="F430" s="7" t="n">
        <x:f>AD430*'損益分岐設定'!$B$5+AE430*'損益分岐設定'!$B$6+AF430*'損益分岐設定'!$B$7</x:f>
        <x:v>8000</x:v>
      </x:c>
      <x:c r="G430" s="7" t="n">
        <x:f>AG430+0+AK430*'損益分岐設定'!$B$33</x:f>
        <x:v>24711.898587989806</x:v>
      </x:c>
      <x:c r="H430" s="7" t="n">
        <x:f>AL430*E430</x:f>
        <x:v>1666.6666666666667</x:v>
      </x:c>
      <x:c r="I430" s="7" t="n">
        <x:f>F430*(1-D430-'損益分岐設定'!$B$10)-G430-H430</x:f>
        <x:v>-21066.565254656474</x:v>
      </x:c>
      <x:c r="J430" s="1" t="str">
        <x:f>IF(MIN(V430:Y430)&gt;1000,"範囲内なし",MIN(V430:Y430))</x:f>
        <x:v>範囲内なし</x:v>
      </x:c>
      <x:c r="K430" s="1" t="str">
        <x:f>IF(MAX(Z430:AC430)&gt;=1000,"範囲内なし",MAX(1,MAX(Z430:AC430)+1))</x:f>
        <x:v>範囲内なし</x:v>
      </x:c>
      <x:c r="L430" s="7" t="n">
        <x:f>10*I430-R430</x:f>
        <x:v>-293424.839307786</x:v>
      </x:c>
      <x:c r="M430" s="7" t="n">
        <x:f>30*I430-S430</x:f>
        <x:v>-797894.9245427474</x:v>
      </x:c>
      <x:c r="N430" s="7" t="n">
        <x:f>50*I430-S430</x:f>
        <x:v>-1219226.2296358768</x:v>
      </x:c>
      <x:c r="O430" s="7" t="n">
        <x:f>100*I430-S430</x:f>
        <x:v>-2272554.4923687004</x:v>
      </x:c>
      <x:c r="P430" s="7" t="n">
        <x:f>300*I430-T430</x:f>
        <x:v>-6664024.6969642695</x:v>
      </x:c>
      <x:c r="Q430" s="7" t="n">
        <x:f>1000*I430-U430</x:f>
        <x:v>-21667416.30902991</x:v>
      </x:c>
      <x:c r="R430" s="7" t="n">
        <x:f>'損益分岐設定'!$B$18+'損益分岐設定'!$B$19+'損益分岐設定'!$B$20+'損益分岐設定'!E37+('損益分岐設定'!F37+2*'損益分岐設定'!G37+AM430)*('損益分岐設定'!$B$15+'損益分岐設定'!$B$16)+'損益分岐設定'!$B$17+'損益分岐設定'!$B$21+E430*'損益分岐設定'!H37*'損益分岐設定'!$B$11</x:f>
        <x:v>82759.18676122127</x:v>
      </x:c>
      <x:c r="S430" s="7" t="n">
        <x:f>'損益分岐設定'!$B$18+'損益分岐設定'!$B$19+'損益分岐設定'!$B$20+'損益分岐設定'!E38+('損益分岐設定'!F38+2*'損益分岐設定'!G38+AN430)*('損益分岐設定'!$B$15+'損益分岐設定'!$B$16)+'損益分岐設定'!$B$17+'損益分岐設定'!$B$21+E430*'損益分岐設定'!H38*'損益分岐設定'!$B$11</x:f>
        <x:v>165897.96690305317</x:v>
      </x:c>
      <x:c r="T430" s="7" t="n">
        <x:f>'損益分岐設定'!$B$18+'損益分岐設定'!$B$19+'損益分岐設定'!$B$20+'損益分岐設定'!E39+('損益分岐設定'!F39+2*'損益分岐設定'!G39+AO430)*('損益分岐設定'!$B$15+'損益分岐設定'!$B$16)+'損益分岐設定'!$B$17+'損益分岐設定'!$B$21+E430*'損益分岐設定'!H39*'損益分岐設定'!$B$11</x:f>
        <x:v>344055.12056732766</x:v>
      </x:c>
      <x:c r="U430" s="7" t="n">
        <x:f>'損益分岐設定'!$B$18+'損益分岐設定'!$B$19+'損益分岐設定'!$B$20+'損益分岐設定'!E40+('損益分岐設定'!F40+2*'損益分岐設定'!G40+AP430)*('損益分岐設定'!$B$15+'損益分岐設定'!$B$16)+'損益分岐設定'!$B$17+'損益分岐設定'!$B$21+E430*'損益分岐設定'!H40*'損益分岐設定'!$B$11</x:f>
        <x:v>600851.054373434</x:v>
      </x:c>
      <x:c r="V430" s="1" t="n">
        <x:f>IF(I430&lt;=0,1001,IF(MAX('損益分岐設定'!B37,ROUNDUP(R430/I430,0))&lt;='損益分岐設定'!C37,MAX('損益分岐設定'!B37,ROUNDUP(R430/I430,0)),1001))</x:f>
        <x:v>1001</x:v>
      </x:c>
      <x:c r="W430" s="1" t="n">
        <x:f>IF(I430&lt;=0,1001,IF(MAX('損益分岐設定'!B38,ROUNDUP(S430/I430,0))&lt;='損益分岐設定'!C38,MAX('損益分岐設定'!B38,ROUNDUP(S430/I430,0)),1001))</x:f>
        <x:v>1001</x:v>
      </x:c>
      <x:c r="X430" s="1" t="n">
        <x:f>IF(I430&lt;=0,1001,IF(MAX('損益分岐設定'!B39,ROUNDUP(T430/I430,0))&lt;='損益分岐設定'!C39,MAX('損益分岐設定'!B39,ROUNDUP(T430/I430,0)),1001))</x:f>
        <x:v>1001</x:v>
      </x:c>
      <x:c r="Y430" s="1" t="n">
        <x:f>IF(I430&lt;=0,1001,IF(MAX('損益分岐設定'!B40,ROUNDUP(U430/I430,0))&lt;='損益分岐設定'!C40,MAX('損益分岐設定'!B40,ROUNDUP(U430/I430,0)),1001))</x:f>
        <x:v>1001</x:v>
      </x:c>
      <x:c r="Z430" s="1" t="n">
        <x:f>IF(I430&lt;=0,'損益分岐設定'!C37,IF('損益分岐設定'!C37*I430-R430&lt;0,'損益分岐設定'!C37,IF('損益分岐設定'!B37*I430-R430&gt;=0,0,ROUNDUP(R430/I430,0)-1)))</x:f>
        <x:v>10</x:v>
      </x:c>
      <x:c r="AA430" s="1" t="n">
        <x:f>IF(I430&lt;=0,'損益分岐設定'!C38,IF('損益分岐設定'!C38*I430-S430&lt;0,'損益分岐設定'!C38,IF('損益分岐設定'!B38*I430-S430&gt;=0,0,ROUNDUP(S430/I430,0)-1)))</x:f>
        <x:v>100</x:v>
      </x:c>
      <x:c r="AB430" s="1" t="n">
        <x:f>IF(I430&lt;=0,'損益分岐設定'!C39,IF('損益分岐設定'!C39*I430-T430&lt;0,'損益分岐設定'!C39,IF('損益分岐設定'!B39*I430-T430&gt;=0,0,ROUNDUP(T430/I430,0)-1)))</x:f>
        <x:v>500</x:v>
      </x:c>
      <x:c r="AC430" s="1" t="n">
        <x:f>IF(I430&lt;=0,'損益分岐設定'!C40,IF('損益分岐設定'!C40*I430-U430&lt;0,'損益分岐設定'!C40,IF('損益分岐設定'!B40*I430-U430&gt;=0,0,ROUNDUP(U430/I430,0)-1)))</x:f>
        <x:v>1000</x:v>
      </x:c>
      <x:c r="AD430" s="1" t="n">
        <x:v>0</x:v>
      </x:c>
      <x:c r="AE430" s="1" t="n">
        <x:v>0</x:v>
      </x:c>
      <x:c r="AF430" s="1" t="n">
        <x:v>1</x:v>
      </x:c>
      <x:c r="AG430" s="1" t="n">
        <x:f>AD430*'損益分岐設定'!$C$58+AE430*'損益分岐設定'!$C$61+AF430*'損益分岐設定'!$C$64</x:f>
        <x:v>24711.76447753906</x:v>
      </x:c>
      <x:c r="AH430" s="1" t="n">
        <x:f>AD430*'損益分岐設定'!$D$58+AE430*'損益分岐設定'!$D$61+AF430*'損益分岐設定'!$D$64</x:f>
        <x:v>1200</x:v>
      </x:c>
      <x:c r="AI430" s="1" t="n">
        <x:f>AD430*'損益分岐設定'!$E$58+AE430*'損益分岐設定'!$E$61+AF430*'損益分岐設定'!$E$64</x:f>
        <x:v>1600</x:v>
      </x:c>
      <x:c r="AJ430" s="1" t="n">
        <x:f>(AD430*'損益分岐設定'!$F$58+AE430*'損益分岐設定'!$F$61+AF430*'損益分岐設定'!$F$64*1)*'損益分岐設定'!$B$22</x:f>
        <x:v>18000</x:v>
      </x:c>
      <x:c r="AK430" s="1" t="n">
        <x:f>AD430*'損益分岐設定'!$G$58+AE430*'損益分岐設定'!$G$61+AF430*'損益分岐設定'!$G$64</x:f>
        <x:v>12000</x:v>
      </x:c>
      <x:c r="AL430" s="1" t="n">
        <x:f>AD430*'損益分岐設定'!$H$58+AE430*'損益分岐設定'!$H$61+AF430*'損益分岐設定'!$H$64</x:f>
        <x:v>1666.6666666666667</x:v>
      </x:c>
      <x:c r="AM430" s="1" t="n">
        <x:f>MAX(1,ROUNDUP('損益分岐設定'!C37*AJ430/('損益分岐設定'!$B$23*'損益分岐設定'!$B$24*3600*'損益分岐設定'!$B$25),0))</x:f>
        <x:v>1</x:v>
      </x:c>
      <x:c r="AN430" s="1" t="n">
        <x:f>MAX(2,ROUNDUP('損益分岐設定'!C38*AJ430/('損益分岐設定'!$B$23*'損益分岐設定'!$B$24*3600*'損益分岐設定'!$B$25),0))</x:f>
        <x:v>4</x:v>
      </x:c>
      <x:c r="AO430" s="1" t="n">
        <x:f>MAX(2,ROUNDUP('損益分岐設定'!C39*AJ430/('損益分岐設定'!$B$23*'損益分岐設定'!$B$24*3600*'損益分岐設定'!$B$25),0))</x:f>
        <x:v>18</x:v>
      </x:c>
      <x:c r="AP430" s="1" t="n">
        <x:f>MAX(2,ROUNDUP('損益分岐設定'!C40*AJ430/('損益分岐設定'!$B$23*'損益分岐設定'!$B$24*3600*'損益分岐設定'!$B$25),0))</x:f>
        <x:v>36</x:v>
      </x:c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 ht="23" customHeight="1">
      <x:c r="A431" s="1" t="str">
        <x:v>VM</x:v>
      </x:c>
      <x:c r="B431" s="1" t="str">
        <x:v>Business Plus</x:v>
      </x:c>
      <x:c r="C431" s="1" t="str">
        <x:v>高位</x:v>
      </x:c>
      <x:c r="D431" s="21" t="n">
        <x:v>0.4</x:v>
      </x:c>
      <x:c r="E431" s="1" t="n">
        <x:v>0</x:v>
      </x:c>
      <x:c r="F431" s="7" t="n">
        <x:f>AD431*'損益分岐設定'!$B$5+AE431*'損益分岐設定'!$B$6+AF431*'損益分岐設定'!$B$7</x:f>
        <x:v>8000</x:v>
      </x:c>
      <x:c r="G431" s="7" t="n">
        <x:f>AG431+0+AK431*'損益分岐設定'!$B$33</x:f>
        <x:v>24711.898587989806</x:v>
      </x:c>
      <x:c r="H431" s="7" t="n">
        <x:f>AL431*E431</x:f>
        <x:v>0</x:v>
      </x:c>
      <x:c r="I431" s="7" t="n">
        <x:f>F431*(1-D431-'損益分岐設定'!$B$10)-G431-H431</x:f>
        <x:v>-20199.898587989806</x:v>
      </x:c>
      <x:c r="J431" s="1" t="str">
        <x:f>IF(MIN(V431:Y431)&gt;1000,"範囲内なし",MIN(V431:Y431))</x:f>
        <x:v>範囲内なし</x:v>
      </x:c>
      <x:c r="K431" s="1" t="str">
        <x:f>IF(MAX(Z431:AC431)&gt;=1000,"範囲内なし",MAX(1,MAX(Z431:AC431)+1))</x:f>
        <x:v>範囲内なし</x:v>
      </x:c>
      <x:c r="L431" s="7" t="n">
        <x:f>10*I431-R431</x:f>
        <x:v>-252758.17264111934</x:v>
      </x:c>
      <x:c r="M431" s="7" t="n">
        <x:f>30*I431-S431</x:f>
        <x:v>-723894.9245427474</x:v>
      </x:c>
      <x:c r="N431" s="7" t="n">
        <x:f>50*I431-S431</x:f>
        <x:v>-1127892.8963025436</x:v>
      </x:c>
      <x:c r="O431" s="7" t="n">
        <x:f>100*I431-S431</x:f>
        <x:v>-2137887.825702034</x:v>
      </x:c>
      <x:c r="P431" s="7" t="n">
        <x:f>300*I431-T431</x:f>
        <x:v>-6324024.6969642695</x:v>
      </x:c>
      <x:c r="Q431" s="7" t="n">
        <x:f>1000*I431-U431</x:f>
        <x:v>-20672749.642363243</x:v>
      </x:c>
      <x:c r="R431" s="7" t="n">
        <x:f>'損益分岐設定'!$B$18+'損益分岐設定'!$B$19+'損益分岐設定'!$B$20+'損益分岐設定'!E37+('損益分岐設定'!F37+2*'損益分岐設定'!G37+AM431)*('損益分岐設定'!$B$15+'損益分岐設定'!$B$16)+'損益分岐設定'!$B$17+'損益分岐設定'!$B$21+E431*'損益分岐設定'!H37*'損益分岐設定'!$B$11</x:f>
        <x:v>50759.18676122127</x:v>
      </x:c>
      <x:c r="S431" s="7" t="n">
        <x:f>'損益分岐設定'!$B$18+'損益分岐設定'!$B$19+'損益分岐設定'!$B$20+'損益分岐設定'!E38+('損益分岐設定'!F38+2*'損益分岐設定'!G38+AN431)*('損益分岐設定'!$B$15+'損益分岐設定'!$B$16)+'損益分岐設定'!$B$17+'損益分岐設定'!$B$21+E431*'損益分岐設定'!H38*'損益分岐設定'!$B$11</x:f>
        <x:v>117897.96690305318</x:v>
      </x:c>
      <x:c r="T431" s="7" t="n">
        <x:f>'損益分岐設定'!$B$18+'損益分岐設定'!$B$19+'損益分岐設定'!$B$20+'損益分岐設定'!E39+('損益分岐設定'!F39+2*'損益分岐設定'!G39+AO431)*('損益分岐設定'!$B$15+'損益分岐設定'!$B$16)+'損益分岐設定'!$B$17+'損益分岐設定'!$B$21+E431*'損益分岐設定'!H39*'損益分岐設定'!$B$11</x:f>
        <x:v>264055.12056732766</x:v>
      </x:c>
      <x:c r="U431" s="7" t="n">
        <x:f>'損益分岐設定'!$B$18+'損益分岐設定'!$B$19+'損益分岐設定'!$B$20+'損益分岐設定'!E40+('損益分岐設定'!F40+2*'損益分岐設定'!G40+AP431)*('損益分岐設定'!$B$15+'損益分岐設定'!$B$16)+'損益分岐設定'!$B$17+'損益分岐設定'!$B$21+E431*'損益分岐設定'!H40*'損益分岐設定'!$B$11</x:f>
        <x:v>472851.054373434</x:v>
      </x:c>
      <x:c r="V431" s="1" t="n">
        <x:f>IF(I431&lt;=0,1001,IF(MAX('損益分岐設定'!B37,ROUNDUP(R431/I431,0))&lt;='損益分岐設定'!C37,MAX('損益分岐設定'!B37,ROUNDUP(R431/I431,0)),1001))</x:f>
        <x:v>1001</x:v>
      </x:c>
      <x:c r="W431" s="1" t="n">
        <x:f>IF(I431&lt;=0,1001,IF(MAX('損益分岐設定'!B38,ROUNDUP(S431/I431,0))&lt;='損益分岐設定'!C38,MAX('損益分岐設定'!B38,ROUNDUP(S431/I431,0)),1001))</x:f>
        <x:v>1001</x:v>
      </x:c>
      <x:c r="X431" s="1" t="n">
        <x:f>IF(I431&lt;=0,1001,IF(MAX('損益分岐設定'!B39,ROUNDUP(T431/I431,0))&lt;='損益分岐設定'!C39,MAX('損益分岐設定'!B39,ROUNDUP(T431/I431,0)),1001))</x:f>
        <x:v>1001</x:v>
      </x:c>
      <x:c r="Y431" s="1" t="n">
        <x:f>IF(I431&lt;=0,1001,IF(MAX('損益分岐設定'!B40,ROUNDUP(U431/I431,0))&lt;='損益分岐設定'!C40,MAX('損益分岐設定'!B40,ROUNDUP(U431/I431,0)),1001))</x:f>
        <x:v>1001</x:v>
      </x:c>
      <x:c r="Z431" s="1" t="n">
        <x:f>IF(I431&lt;=0,'損益分岐設定'!C37,IF('損益分岐設定'!C37*I431-R431&lt;0,'損益分岐設定'!C37,IF('損益分岐設定'!B37*I431-R431&gt;=0,0,ROUNDUP(R431/I431,0)-1)))</x:f>
        <x:v>10</x:v>
      </x:c>
      <x:c r="AA431" s="1" t="n">
        <x:f>IF(I431&lt;=0,'損益分岐設定'!C38,IF('損益分岐設定'!C38*I431-S431&lt;0,'損益分岐設定'!C38,IF('損益分岐設定'!B38*I431-S431&gt;=0,0,ROUNDUP(S431/I431,0)-1)))</x:f>
        <x:v>100</x:v>
      </x:c>
      <x:c r="AB431" s="1" t="n">
        <x:f>IF(I431&lt;=0,'損益分岐設定'!C39,IF('損益分岐設定'!C39*I431-T431&lt;0,'損益分岐設定'!C39,IF('損益分岐設定'!B39*I431-T431&gt;=0,0,ROUNDUP(T431/I431,0)-1)))</x:f>
        <x:v>500</x:v>
      </x:c>
      <x:c r="AC431" s="1" t="n">
        <x:f>IF(I431&lt;=0,'損益分岐設定'!C40,IF('損益分岐設定'!C40*I431-U431&lt;0,'損益分岐設定'!C40,IF('損益分岐設定'!B40*I431-U431&gt;=0,0,ROUNDUP(U431/I431,0)-1)))</x:f>
        <x:v>1000</x:v>
      </x:c>
      <x:c r="AD431" s="1" t="n">
        <x:v>0</x:v>
      </x:c>
      <x:c r="AE431" s="1" t="n">
        <x:v>0</x:v>
      </x:c>
      <x:c r="AF431" s="1" t="n">
        <x:v>1</x:v>
      </x:c>
      <x:c r="AG431" s="1" t="n">
        <x:f>AD431*'損益分岐設定'!$C$58+AE431*'損益分岐設定'!$C$61+AF431*'損益分岐設定'!$C$64</x:f>
        <x:v>24711.76447753906</x:v>
      </x:c>
      <x:c r="AH431" s="1" t="n">
        <x:f>AD431*'損益分岐設定'!$D$58+AE431*'損益分岐設定'!$D$61+AF431*'損益分岐設定'!$D$64</x:f>
        <x:v>1200</x:v>
      </x:c>
      <x:c r="AI431" s="1" t="n">
        <x:f>AD431*'損益分岐設定'!$E$58+AE431*'損益分岐設定'!$E$61+AF431*'損益分岐設定'!$E$64</x:f>
        <x:v>1600</x:v>
      </x:c>
      <x:c r="AJ431" s="1" t="n">
        <x:f>(AD431*'損益分岐設定'!$F$58+AE431*'損益分岐設定'!$F$61+AF431*'損益分岐設定'!$F$64*1)*'損益分岐設定'!$B$22</x:f>
        <x:v>18000</x:v>
      </x:c>
      <x:c r="AK431" s="1" t="n">
        <x:f>AD431*'損益分岐設定'!$G$58+AE431*'損益分岐設定'!$G$61+AF431*'損益分岐設定'!$G$64</x:f>
        <x:v>12000</x:v>
      </x:c>
      <x:c r="AL431" s="1" t="n">
        <x:f>AD431*'損益分岐設定'!$H$58+AE431*'損益分岐設定'!$H$61+AF431*'損益分岐設定'!$H$64</x:f>
        <x:v>1666.6666666666667</x:v>
      </x:c>
      <x:c r="AM431" s="1" t="n">
        <x:f>MAX(1,ROUNDUP('損益分岐設定'!C37*AJ431/('損益分岐設定'!$B$23*'損益分岐設定'!$B$24*3600*'損益分岐設定'!$B$25),0))</x:f>
        <x:v>1</x:v>
      </x:c>
      <x:c r="AN431" s="1" t="n">
        <x:f>MAX(2,ROUNDUP('損益分岐設定'!C38*AJ431/('損益分岐設定'!$B$23*'損益分岐設定'!$B$24*3600*'損益分岐設定'!$B$25),0))</x:f>
        <x:v>4</x:v>
      </x:c>
      <x:c r="AO431" s="1" t="n">
        <x:f>MAX(2,ROUNDUP('損益分岐設定'!C39*AJ431/('損益分岐設定'!$B$23*'損益分岐設定'!$B$24*3600*'損益分岐設定'!$B$25),0))</x:f>
        <x:v>18</x:v>
      </x:c>
      <x:c r="AP431" s="1" t="n">
        <x:f>MAX(2,ROUNDUP('損益分岐設定'!C40*AJ431/('損益分岐設定'!$B$23*'損益分岐設定'!$B$24*3600*'損益分岐設定'!$B$25),0))</x:f>
        <x:v>36</x:v>
      </x:c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 ht="23" customHeight="1">
      <x:c r="A432" s="1" t="str">
        <x:v>VM</x:v>
      </x:c>
      <x:c r="B432" s="1" t="str">
        <x:v>Business Plus</x:v>
      </x:c>
      <x:c r="C432" s="1" t="str">
        <x:v>高位</x:v>
      </x:c>
      <x:c r="D432" s="21" t="n">
        <x:v>0.4</x:v>
      </x:c>
      <x:c r="E432" s="1" t="n">
        <x:v>1</x:v>
      </x:c>
      <x:c r="F432" s="7" t="n">
        <x:f>AD432*'損益分岐設定'!$B$5+AE432*'損益分岐設定'!$B$6+AF432*'損益分岐設定'!$B$7</x:f>
        <x:v>8000</x:v>
      </x:c>
      <x:c r="G432" s="7" t="n">
        <x:f>AG432+0+AK432*'損益分岐設定'!$B$33</x:f>
        <x:v>24711.898587989806</x:v>
      </x:c>
      <x:c r="H432" s="7" t="n">
        <x:f>AL432*E432</x:f>
        <x:v>1666.6666666666667</x:v>
      </x:c>
      <x:c r="I432" s="7" t="n">
        <x:f>F432*(1-D432-'損益分岐設定'!$B$10)-G432-H432</x:f>
        <x:v>-21866.565254656474</x:v>
      </x:c>
      <x:c r="J432" s="1" t="str">
        <x:f>IF(MIN(V432:Y432)&gt;1000,"範囲内なし",MIN(V432:Y432))</x:f>
        <x:v>範囲内なし</x:v>
      </x:c>
      <x:c r="K432" s="1" t="str">
        <x:f>IF(MAX(Z432:AC432)&gt;=1000,"範囲内なし",MAX(1,MAX(Z432:AC432)+1))</x:f>
        <x:v>範囲内なし</x:v>
      </x:c>
      <x:c r="L432" s="7" t="n">
        <x:f>10*I432-R432</x:f>
        <x:v>-301424.839307786</x:v>
      </x:c>
      <x:c r="M432" s="7" t="n">
        <x:f>30*I432-S432</x:f>
        <x:v>-821894.9245427474</x:v>
      </x:c>
      <x:c r="N432" s="7" t="n">
        <x:f>50*I432-S432</x:f>
        <x:v>-1259226.2296358768</x:v>
      </x:c>
      <x:c r="O432" s="7" t="n">
        <x:f>100*I432-S432</x:f>
        <x:v>-2352554.4923687004</x:v>
      </x:c>
      <x:c r="P432" s="7" t="n">
        <x:f>300*I432-T432</x:f>
        <x:v>-6904024.6969642695</x:v>
      </x:c>
      <x:c r="Q432" s="7" t="n">
        <x:f>1000*I432-U432</x:f>
        <x:v>-22467416.30902991</x:v>
      </x:c>
      <x:c r="R432" s="7" t="n">
        <x:f>'損益分岐設定'!$B$18+'損益分岐設定'!$B$19+'損益分岐設定'!$B$20+'損益分岐設定'!E37+('損益分岐設定'!F37+2*'損益分岐設定'!G37+AM432)*('損益分岐設定'!$B$15+'損益分岐設定'!$B$16)+'損益分岐設定'!$B$17+'損益分岐設定'!$B$21+E432*'損益分岐設定'!H37*'損益分岐設定'!$B$11</x:f>
        <x:v>82759.18676122127</x:v>
      </x:c>
      <x:c r="S432" s="7" t="n">
        <x:f>'損益分岐設定'!$B$18+'損益分岐設定'!$B$19+'損益分岐設定'!$B$20+'損益分岐設定'!E38+('損益分岐設定'!F38+2*'損益分岐設定'!G38+AN432)*('損益分岐設定'!$B$15+'損益分岐設定'!$B$16)+'損益分岐設定'!$B$17+'損益分岐設定'!$B$21+E432*'損益分岐設定'!H38*'損益分岐設定'!$B$11</x:f>
        <x:v>165897.96690305317</x:v>
      </x:c>
      <x:c r="T432" s="7" t="n">
        <x:f>'損益分岐設定'!$B$18+'損益分岐設定'!$B$19+'損益分岐設定'!$B$20+'損益分岐設定'!E39+('損益分岐設定'!F39+2*'損益分岐設定'!G39+AO432)*('損益分岐設定'!$B$15+'損益分岐設定'!$B$16)+'損益分岐設定'!$B$17+'損益分岐設定'!$B$21+E432*'損益分岐設定'!H39*'損益分岐設定'!$B$11</x:f>
        <x:v>344055.12056732766</x:v>
      </x:c>
      <x:c r="U432" s="7" t="n">
        <x:f>'損益分岐設定'!$B$18+'損益分岐設定'!$B$19+'損益分岐設定'!$B$20+'損益分岐設定'!E40+('損益分岐設定'!F40+2*'損益分岐設定'!G40+AP432)*('損益分岐設定'!$B$15+'損益分岐設定'!$B$16)+'損益分岐設定'!$B$17+'損益分岐設定'!$B$21+E432*'損益分岐設定'!H40*'損益分岐設定'!$B$11</x:f>
        <x:v>600851.054373434</x:v>
      </x:c>
      <x:c r="V432" s="1" t="n">
        <x:f>IF(I432&lt;=0,1001,IF(MAX('損益分岐設定'!B37,ROUNDUP(R432/I432,0))&lt;='損益分岐設定'!C37,MAX('損益分岐設定'!B37,ROUNDUP(R432/I432,0)),1001))</x:f>
        <x:v>1001</x:v>
      </x:c>
      <x:c r="W432" s="1" t="n">
        <x:f>IF(I432&lt;=0,1001,IF(MAX('損益分岐設定'!B38,ROUNDUP(S432/I432,0))&lt;='損益分岐設定'!C38,MAX('損益分岐設定'!B38,ROUNDUP(S432/I432,0)),1001))</x:f>
        <x:v>1001</x:v>
      </x:c>
      <x:c r="X432" s="1" t="n">
        <x:f>IF(I432&lt;=0,1001,IF(MAX('損益分岐設定'!B39,ROUNDUP(T432/I432,0))&lt;='損益分岐設定'!C39,MAX('損益分岐設定'!B39,ROUNDUP(T432/I432,0)),1001))</x:f>
        <x:v>1001</x:v>
      </x:c>
      <x:c r="Y432" s="1" t="n">
        <x:f>IF(I432&lt;=0,1001,IF(MAX('損益分岐設定'!B40,ROUNDUP(U432/I432,0))&lt;='損益分岐設定'!C40,MAX('損益分岐設定'!B40,ROUNDUP(U432/I432,0)),1001))</x:f>
        <x:v>1001</x:v>
      </x:c>
      <x:c r="Z432" s="1" t="n">
        <x:f>IF(I432&lt;=0,'損益分岐設定'!C37,IF('損益分岐設定'!C37*I432-R432&lt;0,'損益分岐設定'!C37,IF('損益分岐設定'!B37*I432-R432&gt;=0,0,ROUNDUP(R432/I432,0)-1)))</x:f>
        <x:v>10</x:v>
      </x:c>
      <x:c r="AA432" s="1" t="n">
        <x:f>IF(I432&lt;=0,'損益分岐設定'!C38,IF('損益分岐設定'!C38*I432-S432&lt;0,'損益分岐設定'!C38,IF('損益分岐設定'!B38*I432-S432&gt;=0,0,ROUNDUP(S432/I432,0)-1)))</x:f>
        <x:v>100</x:v>
      </x:c>
      <x:c r="AB432" s="1" t="n">
        <x:f>IF(I432&lt;=0,'損益分岐設定'!C39,IF('損益分岐設定'!C39*I432-T432&lt;0,'損益分岐設定'!C39,IF('損益分岐設定'!B39*I432-T432&gt;=0,0,ROUNDUP(T432/I432,0)-1)))</x:f>
        <x:v>500</x:v>
      </x:c>
      <x:c r="AC432" s="1" t="n">
        <x:f>IF(I432&lt;=0,'損益分岐設定'!C40,IF('損益分岐設定'!C40*I432-U432&lt;0,'損益分岐設定'!C40,IF('損益分岐設定'!B40*I432-U432&gt;=0,0,ROUNDUP(U432/I432,0)-1)))</x:f>
        <x:v>1000</x:v>
      </x:c>
      <x:c r="AD432" s="1" t="n">
        <x:v>0</x:v>
      </x:c>
      <x:c r="AE432" s="1" t="n">
        <x:v>0</x:v>
      </x:c>
      <x:c r="AF432" s="1" t="n">
        <x:v>1</x:v>
      </x:c>
      <x:c r="AG432" s="1" t="n">
        <x:f>AD432*'損益分岐設定'!$C$58+AE432*'損益分岐設定'!$C$61+AF432*'損益分岐設定'!$C$64</x:f>
        <x:v>24711.76447753906</x:v>
      </x:c>
      <x:c r="AH432" s="1" t="n">
        <x:f>AD432*'損益分岐設定'!$D$58+AE432*'損益分岐設定'!$D$61+AF432*'損益分岐設定'!$D$64</x:f>
        <x:v>1200</x:v>
      </x:c>
      <x:c r="AI432" s="1" t="n">
        <x:f>AD432*'損益分岐設定'!$E$58+AE432*'損益分岐設定'!$E$61+AF432*'損益分岐設定'!$E$64</x:f>
        <x:v>1600</x:v>
      </x:c>
      <x:c r="AJ432" s="1" t="n">
        <x:f>(AD432*'損益分岐設定'!$F$58+AE432*'損益分岐設定'!$F$61+AF432*'損益分岐設定'!$F$64*1)*'損益分岐設定'!$B$22</x:f>
        <x:v>18000</x:v>
      </x:c>
      <x:c r="AK432" s="1" t="n">
        <x:f>AD432*'損益分岐設定'!$G$58+AE432*'損益分岐設定'!$G$61+AF432*'損益分岐設定'!$G$64</x:f>
        <x:v>12000</x:v>
      </x:c>
      <x:c r="AL432" s="1" t="n">
        <x:f>AD432*'損益分岐設定'!$H$58+AE432*'損益分岐設定'!$H$61+AF432*'損益分岐設定'!$H$64</x:f>
        <x:v>1666.6666666666667</x:v>
      </x:c>
      <x:c r="AM432" s="1" t="n">
        <x:f>MAX(1,ROUNDUP('損益分岐設定'!C37*AJ432/('損益分岐設定'!$B$23*'損益分岐設定'!$B$24*3600*'損益分岐設定'!$B$25),0))</x:f>
        <x:v>1</x:v>
      </x:c>
      <x:c r="AN432" s="1" t="n">
        <x:f>MAX(2,ROUNDUP('損益分岐設定'!C38*AJ432/('損益分岐設定'!$B$23*'損益分岐設定'!$B$24*3600*'損益分岐設定'!$B$25),0))</x:f>
        <x:v>4</x:v>
      </x:c>
      <x:c r="AO432" s="1" t="n">
        <x:f>MAX(2,ROUNDUP('損益分岐設定'!C39*AJ432/('損益分岐設定'!$B$23*'損益分岐設定'!$B$24*3600*'損益分岐設定'!$B$25),0))</x:f>
        <x:v>18</x:v>
      </x:c>
      <x:c r="AP432" s="1" t="n">
        <x:f>MAX(2,ROUNDUP('損益分岐設定'!C40*AJ432/('損益分岐設定'!$B$23*'損益分岐設定'!$B$24*3600*'損益分岐設定'!$B$25),0))</x:f>
        <x:v>36</x:v>
      </x:c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 ht="23" customHeight="1">
      <x:c r="A433" s="1" t="str">
        <x:v>VM</x:v>
      </x:c>
      <x:c r="B433" s="1" t="str">
        <x:v>Business Plus</x:v>
      </x:c>
      <x:c r="C433" s="1" t="str">
        <x:v>高位</x:v>
      </x:c>
      <x:c r="D433" s="21" t="n">
        <x:v>0.5</x:v>
      </x:c>
      <x:c r="E433" s="1" t="n">
        <x:v>0</x:v>
      </x:c>
      <x:c r="F433" s="7" t="n">
        <x:f>AD433*'損益分岐設定'!$B$5+AE433*'損益分岐設定'!$B$6+AF433*'損益分岐設定'!$B$7</x:f>
        <x:v>8000</x:v>
      </x:c>
      <x:c r="G433" s="7" t="n">
        <x:f>AG433+0+AK433*'損益分岐設定'!$B$33</x:f>
        <x:v>24711.898587989806</x:v>
      </x:c>
      <x:c r="H433" s="7" t="n">
        <x:f>AL433*E433</x:f>
        <x:v>0</x:v>
      </x:c>
      <x:c r="I433" s="7" t="n">
        <x:f>F433*(1-D433-'損益分岐設定'!$B$10)-G433-H433</x:f>
        <x:v>-20999.898587989806</x:v>
      </x:c>
      <x:c r="J433" s="1" t="str">
        <x:f>IF(MIN(V433:Y433)&gt;1000,"範囲内なし",MIN(V433:Y433))</x:f>
        <x:v>範囲内なし</x:v>
      </x:c>
      <x:c r="K433" s="1" t="str">
        <x:f>IF(MAX(Z433:AC433)&gt;=1000,"範囲内なし",MAX(1,MAX(Z433:AC433)+1))</x:f>
        <x:v>範囲内なし</x:v>
      </x:c>
      <x:c r="L433" s="7" t="n">
        <x:f>10*I433-R433</x:f>
        <x:v>-260758.17264111934</x:v>
      </x:c>
      <x:c r="M433" s="7" t="n">
        <x:f>30*I433-S433</x:f>
        <x:v>-747894.9245427474</x:v>
      </x:c>
      <x:c r="N433" s="7" t="n">
        <x:f>50*I433-S433</x:f>
        <x:v>-1167892.8963025436</x:v>
      </x:c>
      <x:c r="O433" s="7" t="n">
        <x:f>100*I433-S433</x:f>
        <x:v>-2217887.825702034</x:v>
      </x:c>
      <x:c r="P433" s="7" t="n">
        <x:f>300*I433-T433</x:f>
        <x:v>-6564024.6969642695</x:v>
      </x:c>
      <x:c r="Q433" s="7" t="n">
        <x:f>1000*I433-U433</x:f>
        <x:v>-21472749.642363243</x:v>
      </x:c>
      <x:c r="R433" s="7" t="n">
        <x:f>'損益分岐設定'!$B$18+'損益分岐設定'!$B$19+'損益分岐設定'!$B$20+'損益分岐設定'!E37+('損益分岐設定'!F37+2*'損益分岐設定'!G37+AM433)*('損益分岐設定'!$B$15+'損益分岐設定'!$B$16)+'損益分岐設定'!$B$17+'損益分岐設定'!$B$21+E433*'損益分岐設定'!H37*'損益分岐設定'!$B$11</x:f>
        <x:v>50759.18676122127</x:v>
      </x:c>
      <x:c r="S433" s="7" t="n">
        <x:f>'損益分岐設定'!$B$18+'損益分岐設定'!$B$19+'損益分岐設定'!$B$20+'損益分岐設定'!E38+('損益分岐設定'!F38+2*'損益分岐設定'!G38+AN433)*('損益分岐設定'!$B$15+'損益分岐設定'!$B$16)+'損益分岐設定'!$B$17+'損益分岐設定'!$B$21+E433*'損益分岐設定'!H38*'損益分岐設定'!$B$11</x:f>
        <x:v>117897.96690305318</x:v>
      </x:c>
      <x:c r="T433" s="7" t="n">
        <x:f>'損益分岐設定'!$B$18+'損益分岐設定'!$B$19+'損益分岐設定'!$B$20+'損益分岐設定'!E39+('損益分岐設定'!F39+2*'損益分岐設定'!G39+AO433)*('損益分岐設定'!$B$15+'損益分岐設定'!$B$16)+'損益分岐設定'!$B$17+'損益分岐設定'!$B$21+E433*'損益分岐設定'!H39*'損益分岐設定'!$B$11</x:f>
        <x:v>264055.12056732766</x:v>
      </x:c>
      <x:c r="U433" s="7" t="n">
        <x:f>'損益分岐設定'!$B$18+'損益分岐設定'!$B$19+'損益分岐設定'!$B$20+'損益分岐設定'!E40+('損益分岐設定'!F40+2*'損益分岐設定'!G40+AP433)*('損益分岐設定'!$B$15+'損益分岐設定'!$B$16)+'損益分岐設定'!$B$17+'損益分岐設定'!$B$21+E433*'損益分岐設定'!H40*'損益分岐設定'!$B$11</x:f>
        <x:v>472851.054373434</x:v>
      </x:c>
      <x:c r="V433" s="1" t="n">
        <x:f>IF(I433&lt;=0,1001,IF(MAX('損益分岐設定'!B37,ROUNDUP(R433/I433,0))&lt;='損益分岐設定'!C37,MAX('損益分岐設定'!B37,ROUNDUP(R433/I433,0)),1001))</x:f>
        <x:v>1001</x:v>
      </x:c>
      <x:c r="W433" s="1" t="n">
        <x:f>IF(I433&lt;=0,1001,IF(MAX('損益分岐設定'!B38,ROUNDUP(S433/I433,0))&lt;='損益分岐設定'!C38,MAX('損益分岐設定'!B38,ROUNDUP(S433/I433,0)),1001))</x:f>
        <x:v>1001</x:v>
      </x:c>
      <x:c r="X433" s="1" t="n">
        <x:f>IF(I433&lt;=0,1001,IF(MAX('損益分岐設定'!B39,ROUNDUP(T433/I433,0))&lt;='損益分岐設定'!C39,MAX('損益分岐設定'!B39,ROUNDUP(T433/I433,0)),1001))</x:f>
        <x:v>1001</x:v>
      </x:c>
      <x:c r="Y433" s="1" t="n">
        <x:f>IF(I433&lt;=0,1001,IF(MAX('損益分岐設定'!B40,ROUNDUP(U433/I433,0))&lt;='損益分岐設定'!C40,MAX('損益分岐設定'!B40,ROUNDUP(U433/I433,0)),1001))</x:f>
        <x:v>1001</x:v>
      </x:c>
      <x:c r="Z433" s="1" t="n">
        <x:f>IF(I433&lt;=0,'損益分岐設定'!C37,IF('損益分岐設定'!C37*I433-R433&lt;0,'損益分岐設定'!C37,IF('損益分岐設定'!B37*I433-R433&gt;=0,0,ROUNDUP(R433/I433,0)-1)))</x:f>
        <x:v>10</x:v>
      </x:c>
      <x:c r="AA433" s="1" t="n">
        <x:f>IF(I433&lt;=0,'損益分岐設定'!C38,IF('損益分岐設定'!C38*I433-S433&lt;0,'損益分岐設定'!C38,IF('損益分岐設定'!B38*I433-S433&gt;=0,0,ROUNDUP(S433/I433,0)-1)))</x:f>
        <x:v>100</x:v>
      </x:c>
      <x:c r="AB433" s="1" t="n">
        <x:f>IF(I433&lt;=0,'損益分岐設定'!C39,IF('損益分岐設定'!C39*I433-T433&lt;0,'損益分岐設定'!C39,IF('損益分岐設定'!B39*I433-T433&gt;=0,0,ROUNDUP(T433/I433,0)-1)))</x:f>
        <x:v>500</x:v>
      </x:c>
      <x:c r="AC433" s="1" t="n">
        <x:f>IF(I433&lt;=0,'損益分岐設定'!C40,IF('損益分岐設定'!C40*I433-U433&lt;0,'損益分岐設定'!C40,IF('損益分岐設定'!B40*I433-U433&gt;=0,0,ROUNDUP(U433/I433,0)-1)))</x:f>
        <x:v>1000</x:v>
      </x:c>
      <x:c r="AD433" s="1" t="n">
        <x:v>0</x:v>
      </x:c>
      <x:c r="AE433" s="1" t="n">
        <x:v>0</x:v>
      </x:c>
      <x:c r="AF433" s="1" t="n">
        <x:v>1</x:v>
      </x:c>
      <x:c r="AG433" s="1" t="n">
        <x:f>AD433*'損益分岐設定'!$C$58+AE433*'損益分岐設定'!$C$61+AF433*'損益分岐設定'!$C$64</x:f>
        <x:v>24711.76447753906</x:v>
      </x:c>
      <x:c r="AH433" s="1" t="n">
        <x:f>AD433*'損益分岐設定'!$D$58+AE433*'損益分岐設定'!$D$61+AF433*'損益分岐設定'!$D$64</x:f>
        <x:v>1200</x:v>
      </x:c>
      <x:c r="AI433" s="1" t="n">
        <x:f>AD433*'損益分岐設定'!$E$58+AE433*'損益分岐設定'!$E$61+AF433*'損益分岐設定'!$E$64</x:f>
        <x:v>1600</x:v>
      </x:c>
      <x:c r="AJ433" s="1" t="n">
        <x:f>(AD433*'損益分岐設定'!$F$58+AE433*'損益分岐設定'!$F$61+AF433*'損益分岐設定'!$F$64*1)*'損益分岐設定'!$B$22</x:f>
        <x:v>18000</x:v>
      </x:c>
      <x:c r="AK433" s="1" t="n">
        <x:f>AD433*'損益分岐設定'!$G$58+AE433*'損益分岐設定'!$G$61+AF433*'損益分岐設定'!$G$64</x:f>
        <x:v>12000</x:v>
      </x:c>
      <x:c r="AL433" s="1" t="n">
        <x:f>AD433*'損益分岐設定'!$H$58+AE433*'損益分岐設定'!$H$61+AF433*'損益分岐設定'!$H$64</x:f>
        <x:v>1666.6666666666667</x:v>
      </x:c>
      <x:c r="AM433" s="1" t="n">
        <x:f>MAX(1,ROUNDUP('損益分岐設定'!C37*AJ433/('損益分岐設定'!$B$23*'損益分岐設定'!$B$24*3600*'損益分岐設定'!$B$25),0))</x:f>
        <x:v>1</x:v>
      </x:c>
      <x:c r="AN433" s="1" t="n">
        <x:f>MAX(2,ROUNDUP('損益分岐設定'!C38*AJ433/('損益分岐設定'!$B$23*'損益分岐設定'!$B$24*3600*'損益分岐設定'!$B$25),0))</x:f>
        <x:v>4</x:v>
      </x:c>
      <x:c r="AO433" s="1" t="n">
        <x:f>MAX(2,ROUNDUP('損益分岐設定'!C39*AJ433/('損益分岐設定'!$B$23*'損益分岐設定'!$B$24*3600*'損益分岐設定'!$B$25),0))</x:f>
        <x:v>18</x:v>
      </x:c>
      <x:c r="AP433" s="1" t="n">
        <x:f>MAX(2,ROUNDUP('損益分岐設定'!C40*AJ433/('損益分岐設定'!$B$23*'損益分岐設定'!$B$24*3600*'損益分岐設定'!$B$25),0))</x:f>
        <x:v>36</x:v>
      </x:c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 ht="23" customHeight="1">
      <x:c r="A434" s="1" t="str">
        <x:v>VM</x:v>
      </x:c>
      <x:c r="B434" s="1" t="str">
        <x:v>Business Plus</x:v>
      </x:c>
      <x:c r="C434" s="1" t="str">
        <x:v>高位</x:v>
      </x:c>
      <x:c r="D434" s="21" t="n">
        <x:v>0.5</x:v>
      </x:c>
      <x:c r="E434" s="1" t="n">
        <x:v>1</x:v>
      </x:c>
      <x:c r="F434" s="7" t="n">
        <x:f>AD434*'損益分岐設定'!$B$5+AE434*'損益分岐設定'!$B$6+AF434*'損益分岐設定'!$B$7</x:f>
        <x:v>8000</x:v>
      </x:c>
      <x:c r="G434" s="7" t="n">
        <x:f>AG434+0+AK434*'損益分岐設定'!$B$33</x:f>
        <x:v>24711.898587989806</x:v>
      </x:c>
      <x:c r="H434" s="7" t="n">
        <x:f>AL434*E434</x:f>
        <x:v>1666.6666666666667</x:v>
      </x:c>
      <x:c r="I434" s="7" t="n">
        <x:f>F434*(1-D434-'損益分岐設定'!$B$10)-G434-H434</x:f>
        <x:v>-22666.565254656474</x:v>
      </x:c>
      <x:c r="J434" s="1" t="str">
        <x:f>IF(MIN(V434:Y434)&gt;1000,"範囲内なし",MIN(V434:Y434))</x:f>
        <x:v>範囲内なし</x:v>
      </x:c>
      <x:c r="K434" s="1" t="str">
        <x:f>IF(MAX(Z434:AC434)&gt;=1000,"範囲内なし",MAX(1,MAX(Z434:AC434)+1))</x:f>
        <x:v>範囲内なし</x:v>
      </x:c>
      <x:c r="L434" s="7" t="n">
        <x:f>10*I434-R434</x:f>
        <x:v>-309424.839307786</x:v>
      </x:c>
      <x:c r="M434" s="7" t="n">
        <x:f>30*I434-S434</x:f>
        <x:v>-845894.9245427474</x:v>
      </x:c>
      <x:c r="N434" s="7" t="n">
        <x:f>50*I434-S434</x:f>
        <x:v>-1299226.2296358768</x:v>
      </x:c>
      <x:c r="O434" s="7" t="n">
        <x:f>100*I434-S434</x:f>
        <x:v>-2432554.4923687004</x:v>
      </x:c>
      <x:c r="P434" s="7" t="n">
        <x:f>300*I434-T434</x:f>
        <x:v>-7144024.6969642695</x:v>
      </x:c>
      <x:c r="Q434" s="7" t="n">
        <x:f>1000*I434-U434</x:f>
        <x:v>-23267416.30902991</x:v>
      </x:c>
      <x:c r="R434" s="7" t="n">
        <x:f>'損益分岐設定'!$B$18+'損益分岐設定'!$B$19+'損益分岐設定'!$B$20+'損益分岐設定'!E37+('損益分岐設定'!F37+2*'損益分岐設定'!G37+AM434)*('損益分岐設定'!$B$15+'損益分岐設定'!$B$16)+'損益分岐設定'!$B$17+'損益分岐設定'!$B$21+E434*'損益分岐設定'!H37*'損益分岐設定'!$B$11</x:f>
        <x:v>82759.18676122127</x:v>
      </x:c>
      <x:c r="S434" s="7" t="n">
        <x:f>'損益分岐設定'!$B$18+'損益分岐設定'!$B$19+'損益分岐設定'!$B$20+'損益分岐設定'!E38+('損益分岐設定'!F38+2*'損益分岐設定'!G38+AN434)*('損益分岐設定'!$B$15+'損益分岐設定'!$B$16)+'損益分岐設定'!$B$17+'損益分岐設定'!$B$21+E434*'損益分岐設定'!H38*'損益分岐設定'!$B$11</x:f>
        <x:v>165897.96690305317</x:v>
      </x:c>
      <x:c r="T434" s="7" t="n">
        <x:f>'損益分岐設定'!$B$18+'損益分岐設定'!$B$19+'損益分岐設定'!$B$20+'損益分岐設定'!E39+('損益分岐設定'!F39+2*'損益分岐設定'!G39+AO434)*('損益分岐設定'!$B$15+'損益分岐設定'!$B$16)+'損益分岐設定'!$B$17+'損益分岐設定'!$B$21+E434*'損益分岐設定'!H39*'損益分岐設定'!$B$11</x:f>
        <x:v>344055.12056732766</x:v>
      </x:c>
      <x:c r="U434" s="7" t="n">
        <x:f>'損益分岐設定'!$B$18+'損益分岐設定'!$B$19+'損益分岐設定'!$B$20+'損益分岐設定'!E40+('損益分岐設定'!F40+2*'損益分岐設定'!G40+AP434)*('損益分岐設定'!$B$15+'損益分岐設定'!$B$16)+'損益分岐設定'!$B$17+'損益分岐設定'!$B$21+E434*'損益分岐設定'!H40*'損益分岐設定'!$B$11</x:f>
        <x:v>600851.054373434</x:v>
      </x:c>
      <x:c r="V434" s="1" t="n">
        <x:f>IF(I434&lt;=0,1001,IF(MAX('損益分岐設定'!B37,ROUNDUP(R434/I434,0))&lt;='損益分岐設定'!C37,MAX('損益分岐設定'!B37,ROUNDUP(R434/I434,0)),1001))</x:f>
        <x:v>1001</x:v>
      </x:c>
      <x:c r="W434" s="1" t="n">
        <x:f>IF(I434&lt;=0,1001,IF(MAX('損益分岐設定'!B38,ROUNDUP(S434/I434,0))&lt;='損益分岐設定'!C38,MAX('損益分岐設定'!B38,ROUNDUP(S434/I434,0)),1001))</x:f>
        <x:v>1001</x:v>
      </x:c>
      <x:c r="X434" s="1" t="n">
        <x:f>IF(I434&lt;=0,1001,IF(MAX('損益分岐設定'!B39,ROUNDUP(T434/I434,0))&lt;='損益分岐設定'!C39,MAX('損益分岐設定'!B39,ROUNDUP(T434/I434,0)),1001))</x:f>
        <x:v>1001</x:v>
      </x:c>
      <x:c r="Y434" s="1" t="n">
        <x:f>IF(I434&lt;=0,1001,IF(MAX('損益分岐設定'!B40,ROUNDUP(U434/I434,0))&lt;='損益分岐設定'!C40,MAX('損益分岐設定'!B40,ROUNDUP(U434/I434,0)),1001))</x:f>
        <x:v>1001</x:v>
      </x:c>
      <x:c r="Z434" s="1" t="n">
        <x:f>IF(I434&lt;=0,'損益分岐設定'!C37,IF('損益分岐設定'!C37*I434-R434&lt;0,'損益分岐設定'!C37,IF('損益分岐設定'!B37*I434-R434&gt;=0,0,ROUNDUP(R434/I434,0)-1)))</x:f>
        <x:v>10</x:v>
      </x:c>
      <x:c r="AA434" s="1" t="n">
        <x:f>IF(I434&lt;=0,'損益分岐設定'!C38,IF('損益分岐設定'!C38*I434-S434&lt;0,'損益分岐設定'!C38,IF('損益分岐設定'!B38*I434-S434&gt;=0,0,ROUNDUP(S434/I434,0)-1)))</x:f>
        <x:v>100</x:v>
      </x:c>
      <x:c r="AB434" s="1" t="n">
        <x:f>IF(I434&lt;=0,'損益分岐設定'!C39,IF('損益分岐設定'!C39*I434-T434&lt;0,'損益分岐設定'!C39,IF('損益分岐設定'!B39*I434-T434&gt;=0,0,ROUNDUP(T434/I434,0)-1)))</x:f>
        <x:v>500</x:v>
      </x:c>
      <x:c r="AC434" s="1" t="n">
        <x:f>IF(I434&lt;=0,'損益分岐設定'!C40,IF('損益分岐設定'!C40*I434-U434&lt;0,'損益分岐設定'!C40,IF('損益分岐設定'!B40*I434-U434&gt;=0,0,ROUNDUP(U434/I434,0)-1)))</x:f>
        <x:v>1000</x:v>
      </x:c>
      <x:c r="AD434" s="1" t="n">
        <x:v>0</x:v>
      </x:c>
      <x:c r="AE434" s="1" t="n">
        <x:v>0</x:v>
      </x:c>
      <x:c r="AF434" s="1" t="n">
        <x:v>1</x:v>
      </x:c>
      <x:c r="AG434" s="1" t="n">
        <x:f>AD434*'損益分岐設定'!$C$58+AE434*'損益分岐設定'!$C$61+AF434*'損益分岐設定'!$C$64</x:f>
        <x:v>24711.76447753906</x:v>
      </x:c>
      <x:c r="AH434" s="1" t="n">
        <x:f>AD434*'損益分岐設定'!$D$58+AE434*'損益分岐設定'!$D$61+AF434*'損益分岐設定'!$D$64</x:f>
        <x:v>1200</x:v>
      </x:c>
      <x:c r="AI434" s="1" t="n">
        <x:f>AD434*'損益分岐設定'!$E$58+AE434*'損益分岐設定'!$E$61+AF434*'損益分岐設定'!$E$64</x:f>
        <x:v>1600</x:v>
      </x:c>
      <x:c r="AJ434" s="1" t="n">
        <x:f>(AD434*'損益分岐設定'!$F$58+AE434*'損益分岐設定'!$F$61+AF434*'損益分岐設定'!$F$64*1)*'損益分岐設定'!$B$22</x:f>
        <x:v>18000</x:v>
      </x:c>
      <x:c r="AK434" s="1" t="n">
        <x:f>AD434*'損益分岐設定'!$G$58+AE434*'損益分岐設定'!$G$61+AF434*'損益分岐設定'!$G$64</x:f>
        <x:v>12000</x:v>
      </x:c>
      <x:c r="AL434" s="1" t="n">
        <x:f>AD434*'損益分岐設定'!$H$58+AE434*'損益分岐設定'!$H$61+AF434*'損益分岐設定'!$H$64</x:f>
        <x:v>1666.6666666666667</x:v>
      </x:c>
      <x:c r="AM434" s="1" t="n">
        <x:f>MAX(1,ROUNDUP('損益分岐設定'!C37*AJ434/('損益分岐設定'!$B$23*'損益分岐設定'!$B$24*3600*'損益分岐設定'!$B$25),0))</x:f>
        <x:v>1</x:v>
      </x:c>
      <x:c r="AN434" s="1" t="n">
        <x:f>MAX(2,ROUNDUP('損益分岐設定'!C38*AJ434/('損益分岐設定'!$B$23*'損益分岐設定'!$B$24*3600*'損益分岐設定'!$B$25),0))</x:f>
        <x:v>4</x:v>
      </x:c>
      <x:c r="AO434" s="1" t="n">
        <x:f>MAX(2,ROUNDUP('損益分岐設定'!C39*AJ434/('損益分岐設定'!$B$23*'損益分岐設定'!$B$24*3600*'損益分岐設定'!$B$25),0))</x:f>
        <x:v>18</x:v>
      </x:c>
      <x:c r="AP434" s="1" t="n">
        <x:f>MAX(2,ROUNDUP('損益分岐設定'!C40*AJ434/('損益分岐設定'!$B$23*'損益分岐設定'!$B$24*3600*'損益分岐設定'!$B$25),0))</x:f>
        <x:v>36</x:v>
      </x:c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 ht="23" customHeight="1">
      <x:c r="A435" s="1" t="str">
        <x:v>VM</x:v>
      </x:c>
      <x:c r="B435" s="1" t="str">
        <x:v>Business Plus</x:v>
      </x:c>
      <x:c r="C435" s="1" t="str">
        <x:v>標準+高位混在</x:v>
      </x:c>
      <x:c r="D435" s="21" t="n">
        <x:v>0</x:v>
      </x:c>
      <x:c r="E435" s="1" t="n">
        <x:v>0</x:v>
      </x:c>
      <x:c r="F435" s="7" t="n">
        <x:f>AD435*'損益分岐設定'!$B$5+AE435*'損益分岐設定'!$B$6+AF435*'損益分岐設定'!$B$7</x:f>
        <x:v>8000</x:v>
      </x:c>
      <x:c r="G435" s="7" t="n">
        <x:f>AG435+0+AK435*'損益分岐設定'!$B$33</x:f>
        <x:v>5765.566744499207</x:v>
      </x:c>
      <x:c r="H435" s="7" t="n">
        <x:f>AL435*E435</x:f>
        <x:v>0</x:v>
      </x:c>
      <x:c r="I435" s="7" t="n">
        <x:f>F435*(1-D435-'損益分岐設定'!$B$10)-G435-H435</x:f>
        <x:v>1946.4332555007932</x:v>
      </x:c>
      <x:c r="J435" s="1" t="n">
        <x:f>IF(MIN(V435:Y435)&gt;1000,"範囲内なし",MIN(V435:Y435))</x:f>
        <x:v>50</x:v>
      </x:c>
      <x:c r="K435" s="1" t="n">
        <x:f>IF(MAX(Z435:AC435)&gt;=1000,"範囲内なし",MAX(1,MAX(Z435:AC435)+1))</x:f>
        <x:v>50</x:v>
      </x:c>
      <x:c r="L435" s="7" t="n">
        <x:f>10*I435-R435</x:f>
        <x:v>-31294.854206213342</x:v>
      </x:c>
      <x:c r="M435" s="7" t="n">
        <x:f>30*I435-S435</x:f>
        <x:v>-38625.37585741875</x:v>
      </x:c>
      <x:c r="N435" s="7" t="n">
        <x:f>50*I435-S435</x:f>
        <x:v>303.28925259711104</x:v>
      </x:c>
      <x:c r="O435" s="7" t="n">
        <x:f>100*I435-S435</x:f>
        <x:v>97624.95202763677</x:v>
      </x:c>
      <x:c r="P435" s="7" t="n">
        <x:f>300*I435-T435</x:f>
        <x:v>455592.2130568794</x:v>
      </x:c>
      <x:c r="Q435" s="7" t="n">
        <x:f>1000*I435-U435</x:f>
        <x:v>1755456.7117656027</x:v>
      </x:c>
      <x:c r="R435" s="7" t="n">
        <x:f>'損益分岐設定'!$B$18+'損益分岐設定'!$B$19+'損益分岐設定'!$B$20+'損益分岐設定'!E37+('損益分岐設定'!F37+2*'損益分岐設定'!G37+AM435)*('損益分岐設定'!$B$15+'損益分岐設定'!$B$16)+'損益分岐設定'!$B$17+'損益分岐設定'!$B$21+E435*'損益分岐設定'!H37*'損益分岐設定'!$B$11</x:f>
        <x:v>50759.18676122127</x:v>
      </x:c>
      <x:c r="S435" s="7" t="n">
        <x:f>'損益分岐設定'!$B$18+'損益分岐設定'!$B$19+'損益分岐設定'!$B$20+'損益分岐設定'!E38+('損益分岐設定'!F38+2*'損益分岐設定'!G38+AN435)*('損益分岐設定'!$B$15+'損益分岐設定'!$B$16)+'損益分岐設定'!$B$17+'損益分岐設定'!$B$21+E435*'損益分岐設定'!H38*'損益分岐設定'!$B$11</x:f>
        <x:v>97018.37352244255</x:v>
      </x:c>
      <x:c r="T435" s="7" t="n">
        <x:f>'損益分岐設定'!$B$18+'損益分岐設定'!$B$19+'損益分岐設定'!$B$20+'損益分岐設定'!E39+('損益分岐設定'!F39+2*'損益分岐設定'!G39+AO435)*('損益分岐設定'!$B$15+'損益分岐設定'!$B$16)+'損益分岐設定'!$B$17+'損益分岐設定'!$B$21+E435*'損益分岐設定'!H39*'損益分岐設定'!$B$11</x:f>
        <x:v>128337.7635933585</x:v>
      </x:c>
      <x:c r="U435" s="7" t="n">
        <x:f>'損益分岐設定'!$B$18+'損益分岐設定'!$B$19+'損益分岐設定'!$B$20+'損益分岐設定'!E40+('損益分岐設定'!F40+2*'損益分岐設定'!G40+AP435)*('損益分岐設定'!$B$15+'損益分岐設定'!$B$16)+'損益分岐設定'!$B$17+'損益分岐設定'!$B$21+E435*'損益分岐設定'!H40*'損益分岐設定'!$B$11</x:f>
        <x:v>190976.5437351904</x:v>
      </x:c>
      <x:c r="V435" s="1" t="n">
        <x:f>IF(I435&lt;=0,1001,IF(MAX('損益分岐設定'!B37,ROUNDUP(R435/I435,0))&lt;='損益分岐設定'!C37,MAX('損益分岐設定'!B37,ROUNDUP(R435/I435,0)),1001))</x:f>
        <x:v>1001</x:v>
      </x:c>
      <x:c r="W435" s="1" t="n">
        <x:f>IF(I435&lt;=0,1001,IF(MAX('損益分岐設定'!B38,ROUNDUP(S435/I435,0))&lt;='損益分岐設定'!C38,MAX('損益分岐設定'!B38,ROUNDUP(S435/I435,0)),1001))</x:f>
        <x:v>50</x:v>
      </x:c>
      <x:c r="X435" s="1" t="n">
        <x:f>IF(I435&lt;=0,1001,IF(MAX('損益分岐設定'!B39,ROUNDUP(T435/I435,0))&lt;='損益分岐設定'!C39,MAX('損益分岐設定'!B39,ROUNDUP(T435/I435,0)),1001))</x:f>
        <x:v>101</x:v>
      </x:c>
      <x:c r="Y435" s="1" t="n">
        <x:f>IF(I435&lt;=0,1001,IF(MAX('損益分岐設定'!B40,ROUNDUP(U435/I435,0))&lt;='損益分岐設定'!C40,MAX('損益分岐設定'!B40,ROUNDUP(U435/I435,0)),1001))</x:f>
        <x:v>501</x:v>
      </x:c>
      <x:c r="Z435" s="1" t="n">
        <x:f>IF(I435&lt;=0,'損益分岐設定'!C37,IF('損益分岐設定'!C37*I435-R435&lt;0,'損益分岐設定'!C37,IF('損益分岐設定'!B37*I435-R435&gt;=0,0,ROUNDUP(R435/I435,0)-1)))</x:f>
        <x:v>10</x:v>
      </x:c>
      <x:c r="AA435" s="1" t="n">
        <x:f>IF(I435&lt;=0,'損益分岐設定'!C38,IF('損益分岐設定'!C38*I435-S435&lt;0,'損益分岐設定'!C38,IF('損益分岐設定'!B38*I435-S435&gt;=0,0,ROUNDUP(S435/I435,0)-1)))</x:f>
        <x:v>49</x:v>
      </x:c>
      <x:c r="AB435" s="1" t="n">
        <x:f>IF(I435&lt;=0,'損益分岐設定'!C39,IF('損益分岐設定'!C39*I435-T435&lt;0,'損益分岐設定'!C39,IF('損益分岐設定'!B39*I435-T435&gt;=0,0,ROUNDUP(T435/I435,0)-1)))</x:f>
        <x:v>0</x:v>
      </x:c>
      <x:c r="AC435" s="1" t="n">
        <x:f>IF(I435&lt;=0,'損益分岐設定'!C40,IF('損益分岐設定'!C40*I435-U435&lt;0,'損益分岐設定'!C40,IF('損益分岐設定'!B40*I435-U435&gt;=0,0,ROUNDUP(U435/I435,0)-1)))</x:f>
        <x:v>0</x:v>
      </x:c>
      <x:c r="AD435" s="1" t="n">
        <x:v>0</x:v>
      </x:c>
      <x:c r="AE435" s="1" t="n">
        <x:v>0</x:v>
      </x:c>
      <x:c r="AF435" s="1" t="n">
        <x:v>1</x:v>
      </x:c>
      <x:c r="AG435" s="1" t="n">
        <x:f>AD435*('損益分岐設定'!$C$57*(1-'損益分岐設定'!$B$51)+'損益分岐設定'!$C$58*'損益分岐設定'!$B$51)+AE435*('損益分岐設定'!$C$60*(1-'損益分岐設定'!$B$51)+'損益分岐設定'!$C$61*'損益分岐設定'!$B$51)+AF435*('損益分岐設定'!$C$63*(1-'損益分岐設定'!$B$51)+'損益分岐設定'!$C$64*'損益分岐設定'!$B$51)</x:f>
        <x:v>5765.522041015625</x:v>
      </x:c>
      <x:c r="AH435" s="1" t="n">
        <x:f>AD435*('損益分岐設定'!$D$57*(1-'損益分岐設定'!$B$51)+'損益分岐設定'!$D$58*'損益分岐設定'!$B$51)+AE435*('損益分岐設定'!$D$60*(1-'損益分岐設定'!$B$51)+'損益分岐設定'!$D$61*'損益分岐設定'!$B$51)+AF435*('損益分岐設定'!$D$63*(1-'損益分岐設定'!$B$51)+'損益分岐設定'!$D$64*'損益分岐設定'!$B$51)</x:f>
        <x:v>480</x:v>
      </x:c>
      <x:c r="AI435" s="1" t="n">
        <x:f>AD435*('損益分岐設定'!$E$57*(1-'損益分岐設定'!$B$51)+'損益分岐設定'!$E$58*'損益分岐設定'!$B$51)+AE435*('損益分岐設定'!$E$60*(1-'損益分岐設定'!$B$51)+'損益分岐設定'!$E$61*'損益分岐設定'!$B$51)+AF435*('損益分岐設定'!$E$63*(1-'損益分岐設定'!$B$51)+'損益分岐設定'!$E$64*'損益分岐設定'!$B$51)</x:f>
        <x:v>560</x:v>
      </x:c>
      <x:c r="AJ435" s="1" t="n">
        <x:f>(AD435*('損益分岐設定'!$F$57*(1-'損益分岐設定'!$B$51)+'損益分岐設定'!$F$58*'損益分岐設定'!$B$51)+AE435*('損益分岐設定'!$F$60*(1-'損益分岐設定'!$B$51)+'損益分岐設定'!$F$61*'損益分岐設定'!$B$51)+AF435*('損益分岐設定'!$F$63*(1-'損益分岐設定'!$B$51)+'損益分岐設定'!$F$64*'損益分岐設定'!$B$51)*1)*'損益分岐設定'!$B$22</x:f>
        <x:v>4560</x:v>
      </x:c>
      <x:c r="AK435" s="1" t="n">
        <x:f>AD435*('損益分岐設定'!$G$57*(1-'損益分岐設定'!$B$51)+'損益分岐設定'!$G$58*'損益分岐設定'!$B$51)+AE435*('損益分岐設定'!$G$60*(1-'損益分岐設定'!$B$51)+'損益分岐設定'!$G$61*'損益分岐設定'!$B$51)+AF435*('損益分岐設定'!$G$63*(1-'損益分岐設定'!$B$51)+'損益分岐設定'!$G$64*'損益分岐設定'!$B$51)</x:f>
        <x:v>4000</x:v>
      </x:c>
      <x:c r="AL435" s="1" t="n">
        <x:f>AD435*('損益分岐設定'!$H$57*(1-'損益分岐設定'!$B$51)+'損益分岐設定'!$H$58*'損益分岐設定'!$B$51)+AE435*('損益分岐設定'!$H$60*(1-'損益分岐設定'!$B$51)+'損益分岐設定'!$H$61*'損益分岐設定'!$B$51)+AF435*('損益分岐設定'!$H$63*(1-'損益分岐設定'!$B$51)+'損益分岐設定'!$H$64*'損益分岐設定'!$B$51)</x:f>
        <x:v>1026.666666666667</x:v>
      </x:c>
      <x:c r="AM435" s="1" t="n">
        <x:f>MAX(1,ROUNDUP('損益分岐設定'!C37*AJ435/('損益分岐設定'!$B$23*'損益分岐設定'!$B$24*3600*'損益分岐設定'!$B$25),0))</x:f>
        <x:v>1</x:v>
      </x:c>
      <x:c r="AN435" s="1" t="n">
        <x:f>MAX(2,ROUNDUP('損益分岐設定'!C38*AJ435/('損益分岐設定'!$B$23*'損益分岐設定'!$B$24*3600*'損益分岐設定'!$B$25),0))</x:f>
        <x:v>2</x:v>
      </x:c>
      <x:c r="AO435" s="1" t="n">
        <x:f>MAX(2,ROUNDUP('損益分岐設定'!C39*AJ435/('損益分岐設定'!$B$23*'損益分岐設定'!$B$24*3600*'損益分岐設定'!$B$25),0))</x:f>
        <x:v>5</x:v>
      </x:c>
      <x:c r="AP435" s="1" t="n">
        <x:f>MAX(2,ROUNDUP('損益分岐設定'!C40*AJ435/('損益分岐設定'!$B$23*'損益分岐設定'!$B$24*3600*'損益分岐設定'!$B$25),0))</x:f>
        <x:v>9</x:v>
      </x:c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 ht="23" customHeight="1">
      <x:c r="A436" s="1" t="str">
        <x:v>VM</x:v>
      </x:c>
      <x:c r="B436" s="1" t="str">
        <x:v>Business Plus</x:v>
      </x:c>
      <x:c r="C436" s="1" t="str">
        <x:v>標準+高位混在</x:v>
      </x:c>
      <x:c r="D436" s="21" t="n">
        <x:v>0</x:v>
      </x:c>
      <x:c r="E436" s="1" t="n">
        <x:v>1</x:v>
      </x:c>
      <x:c r="F436" s="7" t="n">
        <x:f>AD436*'損益分岐設定'!$B$5+AE436*'損益分岐設定'!$B$6+AF436*'損益分岐設定'!$B$7</x:f>
        <x:v>8000</x:v>
      </x:c>
      <x:c r="G436" s="7" t="n">
        <x:f>AG436+0+AK436*'損益分岐設定'!$B$33</x:f>
        <x:v>5765.566744499207</x:v>
      </x:c>
      <x:c r="H436" s="7" t="n">
        <x:f>AL436*E436</x:f>
        <x:v>1026.666666666667</x:v>
      </x:c>
      <x:c r="I436" s="7" t="n">
        <x:f>F436*(1-D436-'損益分岐設定'!$B$10)-G436-H436</x:f>
        <x:v>919.7665888341262</x:v>
      </x:c>
      <x:c r="J436" s="1" t="n">
        <x:f>IF(MIN(V436:Y436)&gt;1000,"範囲内なし",MIN(V436:Y436))</x:f>
        <x:v>227</x:v>
      </x:c>
      <x:c r="K436" s="1" t="n">
        <x:f>IF(MAX(Z436:AC436)&gt;=1000,"範囲内なし",MAX(1,MAX(Z436:AC436)+1))</x:f>
        <x:v>227</x:v>
      </x:c>
      <x:c r="L436" s="7" t="n">
        <x:f>10*I436-R436</x:f>
        <x:v>-73561.52087288</x:v>
      </x:c>
      <x:c r="M436" s="7" t="n">
        <x:f>30*I436-S436</x:f>
        <x:v>-117425.37585741875</x:v>
      </x:c>
      <x:c r="N436" s="7" t="n">
        <x:f>50*I436-S436</x:f>
        <x:v>-99030.04408073623</x:v>
      </x:c>
      <x:c r="O436" s="7" t="n">
        <x:f>100*I436-S436</x:f>
        <x:v>-53041.71463902992</x:v>
      </x:c>
      <x:c r="P436" s="7" t="n">
        <x:f>300*I436-T436</x:f>
        <x:v>67592.21305687935</x:v>
      </x:c>
      <x:c r="Q436" s="7" t="n">
        <x:f>1000*I436-U436</x:f>
        <x:v>600790.0450989358</x:v>
      </x:c>
      <x:c r="R436" s="7" t="n">
        <x:f>'損益分岐設定'!$B$18+'損益分岐設定'!$B$19+'損益分岐設定'!$B$20+'損益分岐設定'!E37+('損益分岐設定'!F37+2*'損益分岐設定'!G37+AM436)*('損益分岐設定'!$B$15+'損益分岐設定'!$B$16)+'損益分岐設定'!$B$17+'損益分岐設定'!$B$21+E436*'損益分岐設定'!H37*'損益分岐設定'!$B$11</x:f>
        <x:v>82759.18676122127</x:v>
      </x:c>
      <x:c r="S436" s="7" t="n">
        <x:f>'損益分岐設定'!$B$18+'損益分岐設定'!$B$19+'損益分岐設定'!$B$20+'損益分岐設定'!E38+('損益分岐設定'!F38+2*'損益分岐設定'!G38+AN436)*('損益分岐設定'!$B$15+'損益分岐設定'!$B$16)+'損益分岐設定'!$B$17+'損益分岐設定'!$B$21+E436*'損益分岐設定'!H38*'損益分岐設定'!$B$11</x:f>
        <x:v>145018.37352244253</x:v>
      </x:c>
      <x:c r="T436" s="7" t="n">
        <x:f>'損益分岐設定'!$B$18+'損益分岐設定'!$B$19+'損益分岐設定'!$B$20+'損益分岐設定'!E39+('損益分岐設定'!F39+2*'損益分岐設定'!G39+AO436)*('損益分岐設定'!$B$15+'損益分岐設定'!$B$16)+'損益分岐設定'!$B$17+'損益分岐設定'!$B$21+E436*'損益分岐設定'!H39*'損益分岐設定'!$B$11</x:f>
        <x:v>208337.7635933585</x:v>
      </x:c>
      <x:c r="U436" s="7" t="n">
        <x:f>'損益分岐設定'!$B$18+'損益分岐設定'!$B$19+'損益分岐設定'!$B$20+'損益分岐設定'!E40+('損益分岐設定'!F40+2*'損益分岐設定'!G40+AP436)*('損益分岐設定'!$B$15+'損益分岐設定'!$B$16)+'損益分岐設定'!$B$17+'損益分岐設定'!$B$21+E436*'損益分岐設定'!H40*'損益分岐設定'!$B$11</x:f>
        <x:v>318976.5437351904</x:v>
      </x:c>
      <x:c r="V436" s="1" t="n">
        <x:f>IF(I436&lt;=0,1001,IF(MAX('損益分岐設定'!B37,ROUNDUP(R436/I436,0))&lt;='損益分岐設定'!C37,MAX('損益分岐設定'!B37,ROUNDUP(R436/I436,0)),1001))</x:f>
        <x:v>1001</x:v>
      </x:c>
      <x:c r="W436" s="1" t="n">
        <x:f>IF(I436&lt;=0,1001,IF(MAX('損益分岐設定'!B38,ROUNDUP(S436/I436,0))&lt;='損益分岐設定'!C38,MAX('損益分岐設定'!B38,ROUNDUP(S436/I436,0)),1001))</x:f>
        <x:v>1001</x:v>
      </x:c>
      <x:c r="X436" s="1" t="n">
        <x:f>IF(I436&lt;=0,1001,IF(MAX('損益分岐設定'!B39,ROUNDUP(T436/I436,0))&lt;='損益分岐設定'!C39,MAX('損益分岐設定'!B39,ROUNDUP(T436/I436,0)),1001))</x:f>
        <x:v>227</x:v>
      </x:c>
      <x:c r="Y436" s="1" t="n">
        <x:f>IF(I436&lt;=0,1001,IF(MAX('損益分岐設定'!B40,ROUNDUP(U436/I436,0))&lt;='損益分岐設定'!C40,MAX('損益分岐設定'!B40,ROUNDUP(U436/I436,0)),1001))</x:f>
        <x:v>501</x:v>
      </x:c>
      <x:c r="Z436" s="1" t="n">
        <x:f>IF(I436&lt;=0,'損益分岐設定'!C37,IF('損益分岐設定'!C37*I436-R436&lt;0,'損益分岐設定'!C37,IF('損益分岐設定'!B37*I436-R436&gt;=0,0,ROUNDUP(R436/I436,0)-1)))</x:f>
        <x:v>10</x:v>
      </x:c>
      <x:c r="AA436" s="1" t="n">
        <x:f>IF(I436&lt;=0,'損益分岐設定'!C38,IF('損益分岐設定'!C38*I436-S436&lt;0,'損益分岐設定'!C38,IF('損益分岐設定'!B38*I436-S436&gt;=0,0,ROUNDUP(S436/I436,0)-1)))</x:f>
        <x:v>100</x:v>
      </x:c>
      <x:c r="AB436" s="1" t="n">
        <x:f>IF(I436&lt;=0,'損益分岐設定'!C39,IF('損益分岐設定'!C39*I436-T436&lt;0,'損益分岐設定'!C39,IF('損益分岐設定'!B39*I436-T436&gt;=0,0,ROUNDUP(T436/I436,0)-1)))</x:f>
        <x:v>226</x:v>
      </x:c>
      <x:c r="AC436" s="1" t="n">
        <x:f>IF(I436&lt;=0,'損益分岐設定'!C40,IF('損益分岐設定'!C40*I436-U436&lt;0,'損益分岐設定'!C40,IF('損益分岐設定'!B40*I436-U436&gt;=0,0,ROUNDUP(U436/I436,0)-1)))</x:f>
        <x:v>0</x:v>
      </x:c>
      <x:c r="AD436" s="1" t="n">
        <x:v>0</x:v>
      </x:c>
      <x:c r="AE436" s="1" t="n">
        <x:v>0</x:v>
      </x:c>
      <x:c r="AF436" s="1" t="n">
        <x:v>1</x:v>
      </x:c>
      <x:c r="AG436" s="1" t="n">
        <x:f>AD436*('損益分岐設定'!$C$57*(1-'損益分岐設定'!$B$51)+'損益分岐設定'!$C$58*'損益分岐設定'!$B$51)+AE436*('損益分岐設定'!$C$60*(1-'損益分岐設定'!$B$51)+'損益分岐設定'!$C$61*'損益分岐設定'!$B$51)+AF436*('損益分岐設定'!$C$63*(1-'損益分岐設定'!$B$51)+'損益分岐設定'!$C$64*'損益分岐設定'!$B$51)</x:f>
        <x:v>5765.522041015625</x:v>
      </x:c>
      <x:c r="AH436" s="1" t="n">
        <x:f>AD436*('損益分岐設定'!$D$57*(1-'損益分岐設定'!$B$51)+'損益分岐設定'!$D$58*'損益分岐設定'!$B$51)+AE436*('損益分岐設定'!$D$60*(1-'損益分岐設定'!$B$51)+'損益分岐設定'!$D$61*'損益分岐設定'!$B$51)+AF436*('損益分岐設定'!$D$63*(1-'損益分岐設定'!$B$51)+'損益分岐設定'!$D$64*'損益分岐設定'!$B$51)</x:f>
        <x:v>480</x:v>
      </x:c>
      <x:c r="AI436" s="1" t="n">
        <x:f>AD436*('損益分岐設定'!$E$57*(1-'損益分岐設定'!$B$51)+'損益分岐設定'!$E$58*'損益分岐設定'!$B$51)+AE436*('損益分岐設定'!$E$60*(1-'損益分岐設定'!$B$51)+'損益分岐設定'!$E$61*'損益分岐設定'!$B$51)+AF436*('損益分岐設定'!$E$63*(1-'損益分岐設定'!$B$51)+'損益分岐設定'!$E$64*'損益分岐設定'!$B$51)</x:f>
        <x:v>560</x:v>
      </x:c>
      <x:c r="AJ436" s="1" t="n">
        <x:f>(AD436*('損益分岐設定'!$F$57*(1-'損益分岐設定'!$B$51)+'損益分岐設定'!$F$58*'損益分岐設定'!$B$51)+AE436*('損益分岐設定'!$F$60*(1-'損益分岐設定'!$B$51)+'損益分岐設定'!$F$61*'損益分岐設定'!$B$51)+AF436*('損益分岐設定'!$F$63*(1-'損益分岐設定'!$B$51)+'損益分岐設定'!$F$64*'損益分岐設定'!$B$51)*1)*'損益分岐設定'!$B$22</x:f>
        <x:v>4560</x:v>
      </x:c>
      <x:c r="AK436" s="1" t="n">
        <x:f>AD436*('損益分岐設定'!$G$57*(1-'損益分岐設定'!$B$51)+'損益分岐設定'!$G$58*'損益分岐設定'!$B$51)+AE436*('損益分岐設定'!$G$60*(1-'損益分岐設定'!$B$51)+'損益分岐設定'!$G$61*'損益分岐設定'!$B$51)+AF436*('損益分岐設定'!$G$63*(1-'損益分岐設定'!$B$51)+'損益分岐設定'!$G$64*'損益分岐設定'!$B$51)</x:f>
        <x:v>4000</x:v>
      </x:c>
      <x:c r="AL436" s="1" t="n">
        <x:f>AD436*('損益分岐設定'!$H$57*(1-'損益分岐設定'!$B$51)+'損益分岐設定'!$H$58*'損益分岐設定'!$B$51)+AE436*('損益分岐設定'!$H$60*(1-'損益分岐設定'!$B$51)+'損益分岐設定'!$H$61*'損益分岐設定'!$B$51)+AF436*('損益分岐設定'!$H$63*(1-'損益分岐設定'!$B$51)+'損益分岐設定'!$H$64*'損益分岐設定'!$B$51)</x:f>
        <x:v>1026.666666666667</x:v>
      </x:c>
      <x:c r="AM436" s="1" t="n">
        <x:f>MAX(1,ROUNDUP('損益分岐設定'!C37*AJ436/('損益分岐設定'!$B$23*'損益分岐設定'!$B$24*3600*'損益分岐設定'!$B$25),0))</x:f>
        <x:v>1</x:v>
      </x:c>
      <x:c r="AN436" s="1" t="n">
        <x:f>MAX(2,ROUNDUP('損益分岐設定'!C38*AJ436/('損益分岐設定'!$B$23*'損益分岐設定'!$B$24*3600*'損益分岐設定'!$B$25),0))</x:f>
        <x:v>2</x:v>
      </x:c>
      <x:c r="AO436" s="1" t="n">
        <x:f>MAX(2,ROUNDUP('損益分岐設定'!C39*AJ436/('損益分岐設定'!$B$23*'損益分岐設定'!$B$24*3600*'損益分岐設定'!$B$25),0))</x:f>
        <x:v>5</x:v>
      </x:c>
      <x:c r="AP436" s="1" t="n">
        <x:f>MAX(2,ROUNDUP('損益分岐設定'!C40*AJ436/('損益分岐設定'!$B$23*'損益分岐設定'!$B$24*3600*'損益分岐設定'!$B$25),0))</x:f>
        <x:v>9</x:v>
      </x:c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 ht="23" customHeight="1">
      <x:c r="A437" s="1" t="str">
        <x:v>VM</x:v>
      </x:c>
      <x:c r="B437" s="1" t="str">
        <x:v>Business Plus</x:v>
      </x:c>
      <x:c r="C437" s="1" t="str">
        <x:v>標準+高位混在</x:v>
      </x:c>
      <x:c r="D437" s="21" t="n">
        <x:v>0.2</x:v>
      </x:c>
      <x:c r="E437" s="1" t="n">
        <x:v>0</x:v>
      </x:c>
      <x:c r="F437" s="7" t="n">
        <x:f>AD437*'損益分岐設定'!$B$5+AE437*'損益分岐設定'!$B$6+AF437*'損益分岐設定'!$B$7</x:f>
        <x:v>8000</x:v>
      </x:c>
      <x:c r="G437" s="7" t="n">
        <x:f>AG437+0+AK437*'損益分岐設定'!$B$33</x:f>
        <x:v>5765.566744499207</x:v>
      </x:c>
      <x:c r="H437" s="7" t="n">
        <x:f>AL437*E437</x:f>
        <x:v>0</x:v>
      </x:c>
      <x:c r="I437" s="7" t="n">
        <x:f>F437*(1-D437-'損益分岐設定'!$B$10)-G437-H437</x:f>
        <x:v>346.43325550079317</x:v>
      </x:c>
      <x:c r="J437" s="1" t="n">
        <x:f>IF(MIN(V437:Y437)&gt;1000,"範囲内なし",MIN(V437:Y437))</x:f>
        <x:v>371</x:v>
      </x:c>
      <x:c r="K437" s="1" t="n">
        <x:f>IF(MAX(Z437:AC437)&gt;=1000,"範囲内なし",MAX(1,MAX(Z437:AC437)+1))</x:f>
        <x:v>552</x:v>
      </x:c>
      <x:c r="L437" s="7" t="n">
        <x:f>10*I437-R437</x:f>
        <x:v>-47294.85420621334</x:v>
      </x:c>
      <x:c r="M437" s="7" t="n">
        <x:f>30*I437-S437</x:f>
        <x:v>-86625.37585741875</x:v>
      </x:c>
      <x:c r="N437" s="7" t="n">
        <x:f>50*I437-S437</x:f>
        <x:v>-79696.71074740289</x:v>
      </x:c>
      <x:c r="O437" s="7" t="n">
        <x:f>100*I437-S437</x:f>
        <x:v>-62375.04797236323</x:v>
      </x:c>
      <x:c r="P437" s="7" t="n">
        <x:f>300*I437-T437</x:f>
        <x:v>-24407.786943120547</x:v>
      </x:c>
      <x:c r="Q437" s="7" t="n">
        <x:f>1000*I437-U437</x:f>
        <x:v>155456.71176560275</x:v>
      </x:c>
      <x:c r="R437" s="7" t="n">
        <x:f>'損益分岐設定'!$B$18+'損益分岐設定'!$B$19+'損益分岐設定'!$B$20+'損益分岐設定'!E37+('損益分岐設定'!F37+2*'損益分岐設定'!G37+AM437)*('損益分岐設定'!$B$15+'損益分岐設定'!$B$16)+'損益分岐設定'!$B$17+'損益分岐設定'!$B$21+E437*'損益分岐設定'!H37*'損益分岐設定'!$B$11</x:f>
        <x:v>50759.18676122127</x:v>
      </x:c>
      <x:c r="S437" s="7" t="n">
        <x:f>'損益分岐設定'!$B$18+'損益分岐設定'!$B$19+'損益分岐設定'!$B$20+'損益分岐設定'!E38+('損益分岐設定'!F38+2*'損益分岐設定'!G38+AN437)*('損益分岐設定'!$B$15+'損益分岐設定'!$B$16)+'損益分岐設定'!$B$17+'損益分岐設定'!$B$21+E437*'損益分岐設定'!H38*'損益分岐設定'!$B$11</x:f>
        <x:v>97018.37352244255</x:v>
      </x:c>
      <x:c r="T437" s="7" t="n">
        <x:f>'損益分岐設定'!$B$18+'損益分岐設定'!$B$19+'損益分岐設定'!$B$20+'損益分岐設定'!E39+('損益分岐設定'!F39+2*'損益分岐設定'!G39+AO437)*('損益分岐設定'!$B$15+'損益分岐設定'!$B$16)+'損益分岐設定'!$B$17+'損益分岐設定'!$B$21+E437*'損益分岐設定'!H39*'損益分岐設定'!$B$11</x:f>
        <x:v>128337.7635933585</x:v>
      </x:c>
      <x:c r="U437" s="7" t="n">
        <x:f>'損益分岐設定'!$B$18+'損益分岐設定'!$B$19+'損益分岐設定'!$B$20+'損益分岐設定'!E40+('損益分岐設定'!F40+2*'損益分岐設定'!G40+AP437)*('損益分岐設定'!$B$15+'損益分岐設定'!$B$16)+'損益分岐設定'!$B$17+'損益分岐設定'!$B$21+E437*'損益分岐設定'!H40*'損益分岐設定'!$B$11</x:f>
        <x:v>190976.5437351904</x:v>
      </x:c>
      <x:c r="V437" s="1" t="n">
        <x:f>IF(I437&lt;=0,1001,IF(MAX('損益分岐設定'!B37,ROUNDUP(R437/I437,0))&lt;='損益分岐設定'!C37,MAX('損益分岐設定'!B37,ROUNDUP(R437/I437,0)),1001))</x:f>
        <x:v>1001</x:v>
      </x:c>
      <x:c r="W437" s="1" t="n">
        <x:f>IF(I437&lt;=0,1001,IF(MAX('損益分岐設定'!B38,ROUNDUP(S437/I437,0))&lt;='損益分岐設定'!C38,MAX('損益分岐設定'!B38,ROUNDUP(S437/I437,0)),1001))</x:f>
        <x:v>1001</x:v>
      </x:c>
      <x:c r="X437" s="1" t="n">
        <x:f>IF(I437&lt;=0,1001,IF(MAX('損益分岐設定'!B39,ROUNDUP(T437/I437,0))&lt;='損益分岐設定'!C39,MAX('損益分岐設定'!B39,ROUNDUP(T437/I437,0)),1001))</x:f>
        <x:v>371</x:v>
      </x:c>
      <x:c r="Y437" s="1" t="n">
        <x:f>IF(I437&lt;=0,1001,IF(MAX('損益分岐設定'!B40,ROUNDUP(U437/I437,0))&lt;='損益分岐設定'!C40,MAX('損益分岐設定'!B40,ROUNDUP(U437/I437,0)),1001))</x:f>
        <x:v>552</x:v>
      </x:c>
      <x:c r="Z437" s="1" t="n">
        <x:f>IF(I437&lt;=0,'損益分岐設定'!C37,IF('損益分岐設定'!C37*I437-R437&lt;0,'損益分岐設定'!C37,IF('損益分岐設定'!B37*I437-R437&gt;=0,0,ROUNDUP(R437/I437,0)-1)))</x:f>
        <x:v>10</x:v>
      </x:c>
      <x:c r="AA437" s="1" t="n">
        <x:f>IF(I437&lt;=0,'損益分岐設定'!C38,IF('損益分岐設定'!C38*I437-S437&lt;0,'損益分岐設定'!C38,IF('損益分岐設定'!B38*I437-S437&gt;=0,0,ROUNDUP(S437/I437,0)-1)))</x:f>
        <x:v>100</x:v>
      </x:c>
      <x:c r="AB437" s="1" t="n">
        <x:f>IF(I437&lt;=0,'損益分岐設定'!C39,IF('損益分岐設定'!C39*I437-T437&lt;0,'損益分岐設定'!C39,IF('損益分岐設定'!B39*I437-T437&gt;=0,0,ROUNDUP(T437/I437,0)-1)))</x:f>
        <x:v>370</x:v>
      </x:c>
      <x:c r="AC437" s="1" t="n">
        <x:f>IF(I437&lt;=0,'損益分岐設定'!C40,IF('損益分岐設定'!C40*I437-U437&lt;0,'損益分岐設定'!C40,IF('損益分岐設定'!B40*I437-U437&gt;=0,0,ROUNDUP(U437/I437,0)-1)))</x:f>
        <x:v>551</x:v>
      </x:c>
      <x:c r="AD437" s="1" t="n">
        <x:v>0</x:v>
      </x:c>
      <x:c r="AE437" s="1" t="n">
        <x:v>0</x:v>
      </x:c>
      <x:c r="AF437" s="1" t="n">
        <x:v>1</x:v>
      </x:c>
      <x:c r="AG437" s="1" t="n">
        <x:f>AD437*('損益分岐設定'!$C$57*(1-'損益分岐設定'!$B$51)+'損益分岐設定'!$C$58*'損益分岐設定'!$B$51)+AE437*('損益分岐設定'!$C$60*(1-'損益分岐設定'!$B$51)+'損益分岐設定'!$C$61*'損益分岐設定'!$B$51)+AF437*('損益分岐設定'!$C$63*(1-'損益分岐設定'!$B$51)+'損益分岐設定'!$C$64*'損益分岐設定'!$B$51)</x:f>
        <x:v>5765.522041015625</x:v>
      </x:c>
      <x:c r="AH437" s="1" t="n">
        <x:f>AD437*('損益分岐設定'!$D$57*(1-'損益分岐設定'!$B$51)+'損益分岐設定'!$D$58*'損益分岐設定'!$B$51)+AE437*('損益分岐設定'!$D$60*(1-'損益分岐設定'!$B$51)+'損益分岐設定'!$D$61*'損益分岐設定'!$B$51)+AF437*('損益分岐設定'!$D$63*(1-'損益分岐設定'!$B$51)+'損益分岐設定'!$D$64*'損益分岐設定'!$B$51)</x:f>
        <x:v>480</x:v>
      </x:c>
      <x:c r="AI437" s="1" t="n">
        <x:f>AD437*('損益分岐設定'!$E$57*(1-'損益分岐設定'!$B$51)+'損益分岐設定'!$E$58*'損益分岐設定'!$B$51)+AE437*('損益分岐設定'!$E$60*(1-'損益分岐設定'!$B$51)+'損益分岐設定'!$E$61*'損益分岐設定'!$B$51)+AF437*('損益分岐設定'!$E$63*(1-'損益分岐設定'!$B$51)+'損益分岐設定'!$E$64*'損益分岐設定'!$B$51)</x:f>
        <x:v>560</x:v>
      </x:c>
      <x:c r="AJ437" s="1" t="n">
        <x:f>(AD437*('損益分岐設定'!$F$57*(1-'損益分岐設定'!$B$51)+'損益分岐設定'!$F$58*'損益分岐設定'!$B$51)+AE437*('損益分岐設定'!$F$60*(1-'損益分岐設定'!$B$51)+'損益分岐設定'!$F$61*'損益分岐設定'!$B$51)+AF437*('損益分岐設定'!$F$63*(1-'損益分岐設定'!$B$51)+'損益分岐設定'!$F$64*'損益分岐設定'!$B$51)*1)*'損益分岐設定'!$B$22</x:f>
        <x:v>4560</x:v>
      </x:c>
      <x:c r="AK437" s="1" t="n">
        <x:f>AD437*('損益分岐設定'!$G$57*(1-'損益分岐設定'!$B$51)+'損益分岐設定'!$G$58*'損益分岐設定'!$B$51)+AE437*('損益分岐設定'!$G$60*(1-'損益分岐設定'!$B$51)+'損益分岐設定'!$G$61*'損益分岐設定'!$B$51)+AF437*('損益分岐設定'!$G$63*(1-'損益分岐設定'!$B$51)+'損益分岐設定'!$G$64*'損益分岐設定'!$B$51)</x:f>
        <x:v>4000</x:v>
      </x:c>
      <x:c r="AL437" s="1" t="n">
        <x:f>AD437*('損益分岐設定'!$H$57*(1-'損益分岐設定'!$B$51)+'損益分岐設定'!$H$58*'損益分岐設定'!$B$51)+AE437*('損益分岐設定'!$H$60*(1-'損益分岐設定'!$B$51)+'損益分岐設定'!$H$61*'損益分岐設定'!$B$51)+AF437*('損益分岐設定'!$H$63*(1-'損益分岐設定'!$B$51)+'損益分岐設定'!$H$64*'損益分岐設定'!$B$51)</x:f>
        <x:v>1026.666666666667</x:v>
      </x:c>
      <x:c r="AM437" s="1" t="n">
        <x:f>MAX(1,ROUNDUP('損益分岐設定'!C37*AJ437/('損益分岐設定'!$B$23*'損益分岐設定'!$B$24*3600*'損益分岐設定'!$B$25),0))</x:f>
        <x:v>1</x:v>
      </x:c>
      <x:c r="AN437" s="1" t="n">
        <x:f>MAX(2,ROUNDUP('損益分岐設定'!C38*AJ437/('損益分岐設定'!$B$23*'損益分岐設定'!$B$24*3600*'損益分岐設定'!$B$25),0))</x:f>
        <x:v>2</x:v>
      </x:c>
      <x:c r="AO437" s="1" t="n">
        <x:f>MAX(2,ROUNDUP('損益分岐設定'!C39*AJ437/('損益分岐設定'!$B$23*'損益分岐設定'!$B$24*3600*'損益分岐設定'!$B$25),0))</x:f>
        <x:v>5</x:v>
      </x:c>
      <x:c r="AP437" s="1" t="n">
        <x:f>MAX(2,ROUNDUP('損益分岐設定'!C40*AJ437/('損益分岐設定'!$B$23*'損益分岐設定'!$B$24*3600*'損益分岐設定'!$B$25),0))</x:f>
        <x:v>9</x:v>
      </x:c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 ht="23" customHeight="1">
      <x:c r="A438" s="1" t="str">
        <x:v>VM</x:v>
      </x:c>
      <x:c r="B438" s="1" t="str">
        <x:v>Business Plus</x:v>
      </x:c>
      <x:c r="C438" s="1" t="str">
        <x:v>標準+高位混在</x:v>
      </x:c>
      <x:c r="D438" s="21" t="n">
        <x:v>0.2</x:v>
      </x:c>
      <x:c r="E438" s="1" t="n">
        <x:v>1</x:v>
      </x:c>
      <x:c r="F438" s="7" t="n">
        <x:f>AD438*'損益分岐設定'!$B$5+AE438*'損益分岐設定'!$B$6+AF438*'損益分岐設定'!$B$7</x:f>
        <x:v>8000</x:v>
      </x:c>
      <x:c r="G438" s="7" t="n">
        <x:f>AG438+0+AK438*'損益分岐設定'!$B$33</x:f>
        <x:v>5765.566744499207</x:v>
      </x:c>
      <x:c r="H438" s="7" t="n">
        <x:f>AL438*E438</x:f>
        <x:v>1026.666666666667</x:v>
      </x:c>
      <x:c r="I438" s="7" t="n">
        <x:f>F438*(1-D438-'損益分岐設定'!$B$10)-G438-H438</x:f>
        <x:v>-680.2334111658738</x:v>
      </x:c>
      <x:c r="J438" s="1" t="str">
        <x:f>IF(MIN(V438:Y438)&gt;1000,"範囲内なし",MIN(V438:Y438))</x:f>
        <x:v>範囲内なし</x:v>
      </x:c>
      <x:c r="K438" s="1" t="str">
        <x:f>IF(MAX(Z438:AC438)&gt;=1000,"範囲内なし",MAX(1,MAX(Z438:AC438)+1))</x:f>
        <x:v>範囲内なし</x:v>
      </x:c>
      <x:c r="L438" s="7" t="n">
        <x:f>10*I438-R438</x:f>
        <x:v>-89561.52087288</x:v>
      </x:c>
      <x:c r="M438" s="7" t="n">
        <x:f>30*I438-S438</x:f>
        <x:v>-165425.37585741875</x:v>
      </x:c>
      <x:c r="N438" s="7" t="n">
        <x:f>50*I438-S438</x:f>
        <x:v>-179030.04408073623</x:v>
      </x:c>
      <x:c r="O438" s="7" t="n">
        <x:f>100*I438-S438</x:f>
        <x:v>-213041.71463902993</x:v>
      </x:c>
      <x:c r="P438" s="7" t="n">
        <x:f>300*I438-T438</x:f>
        <x:v>-412407.78694312065</x:v>
      </x:c>
      <x:c r="Q438" s="7" t="n">
        <x:f>1000*I438-U438</x:f>
        <x:v>-999209.9549010642</x:v>
      </x:c>
      <x:c r="R438" s="7" t="n">
        <x:f>'損益分岐設定'!$B$18+'損益分岐設定'!$B$19+'損益分岐設定'!$B$20+'損益分岐設定'!E37+('損益分岐設定'!F37+2*'損益分岐設定'!G37+AM438)*('損益分岐設定'!$B$15+'損益分岐設定'!$B$16)+'損益分岐設定'!$B$17+'損益分岐設定'!$B$21+E438*'損益分岐設定'!H37*'損益分岐設定'!$B$11</x:f>
        <x:v>82759.18676122127</x:v>
      </x:c>
      <x:c r="S438" s="7" t="n">
        <x:f>'損益分岐設定'!$B$18+'損益分岐設定'!$B$19+'損益分岐設定'!$B$20+'損益分岐設定'!E38+('損益分岐設定'!F38+2*'損益分岐設定'!G38+AN438)*('損益分岐設定'!$B$15+'損益分岐設定'!$B$16)+'損益分岐設定'!$B$17+'損益分岐設定'!$B$21+E438*'損益分岐設定'!H38*'損益分岐設定'!$B$11</x:f>
        <x:v>145018.37352244253</x:v>
      </x:c>
      <x:c r="T438" s="7" t="n">
        <x:f>'損益分岐設定'!$B$18+'損益分岐設定'!$B$19+'損益分岐設定'!$B$20+'損益分岐設定'!E39+('損益分岐設定'!F39+2*'損益分岐設定'!G39+AO438)*('損益分岐設定'!$B$15+'損益分岐設定'!$B$16)+'損益分岐設定'!$B$17+'損益分岐設定'!$B$21+E438*'損益分岐設定'!H39*'損益分岐設定'!$B$11</x:f>
        <x:v>208337.7635933585</x:v>
      </x:c>
      <x:c r="U438" s="7" t="n">
        <x:f>'損益分岐設定'!$B$18+'損益分岐設定'!$B$19+'損益分岐設定'!$B$20+'損益分岐設定'!E40+('損益分岐設定'!F40+2*'損益分岐設定'!G40+AP438)*('損益分岐設定'!$B$15+'損益分岐設定'!$B$16)+'損益分岐設定'!$B$17+'損益分岐設定'!$B$21+E438*'損益分岐設定'!H40*'損益分岐設定'!$B$11</x:f>
        <x:v>318976.5437351904</x:v>
      </x:c>
      <x:c r="V438" s="1" t="n">
        <x:f>IF(I438&lt;=0,1001,IF(MAX('損益分岐設定'!B37,ROUNDUP(R438/I438,0))&lt;='損益分岐設定'!C37,MAX('損益分岐設定'!B37,ROUNDUP(R438/I438,0)),1001))</x:f>
        <x:v>1001</x:v>
      </x:c>
      <x:c r="W438" s="1" t="n">
        <x:f>IF(I438&lt;=0,1001,IF(MAX('損益分岐設定'!B38,ROUNDUP(S438/I438,0))&lt;='損益分岐設定'!C38,MAX('損益分岐設定'!B38,ROUNDUP(S438/I438,0)),1001))</x:f>
        <x:v>1001</x:v>
      </x:c>
      <x:c r="X438" s="1" t="n">
        <x:f>IF(I438&lt;=0,1001,IF(MAX('損益分岐設定'!B39,ROUNDUP(T438/I438,0))&lt;='損益分岐設定'!C39,MAX('損益分岐設定'!B39,ROUNDUP(T438/I438,0)),1001))</x:f>
        <x:v>1001</x:v>
      </x:c>
      <x:c r="Y438" s="1" t="n">
        <x:f>IF(I438&lt;=0,1001,IF(MAX('損益分岐設定'!B40,ROUNDUP(U438/I438,0))&lt;='損益分岐設定'!C40,MAX('損益分岐設定'!B40,ROUNDUP(U438/I438,0)),1001))</x:f>
        <x:v>1001</x:v>
      </x:c>
      <x:c r="Z438" s="1" t="n">
        <x:f>IF(I438&lt;=0,'損益分岐設定'!C37,IF('損益分岐設定'!C37*I438-R438&lt;0,'損益分岐設定'!C37,IF('損益分岐設定'!B37*I438-R438&gt;=0,0,ROUNDUP(R438/I438,0)-1)))</x:f>
        <x:v>10</x:v>
      </x:c>
      <x:c r="AA438" s="1" t="n">
        <x:f>IF(I438&lt;=0,'損益分岐設定'!C38,IF('損益分岐設定'!C38*I438-S438&lt;0,'損益分岐設定'!C38,IF('損益分岐設定'!B38*I438-S438&gt;=0,0,ROUNDUP(S438/I438,0)-1)))</x:f>
        <x:v>100</x:v>
      </x:c>
      <x:c r="AB438" s="1" t="n">
        <x:f>IF(I438&lt;=0,'損益分岐設定'!C39,IF('損益分岐設定'!C39*I438-T438&lt;0,'損益分岐設定'!C39,IF('損益分岐設定'!B39*I438-T438&gt;=0,0,ROUNDUP(T438/I438,0)-1)))</x:f>
        <x:v>500</x:v>
      </x:c>
      <x:c r="AC438" s="1" t="n">
        <x:f>IF(I438&lt;=0,'損益分岐設定'!C40,IF('損益分岐設定'!C40*I438-U438&lt;0,'損益分岐設定'!C40,IF('損益分岐設定'!B40*I438-U438&gt;=0,0,ROUNDUP(U438/I438,0)-1)))</x:f>
        <x:v>1000</x:v>
      </x:c>
      <x:c r="AD438" s="1" t="n">
        <x:v>0</x:v>
      </x:c>
      <x:c r="AE438" s="1" t="n">
        <x:v>0</x:v>
      </x:c>
      <x:c r="AF438" s="1" t="n">
        <x:v>1</x:v>
      </x:c>
      <x:c r="AG438" s="1" t="n">
        <x:f>AD438*('損益分岐設定'!$C$57*(1-'損益分岐設定'!$B$51)+'損益分岐設定'!$C$58*'損益分岐設定'!$B$51)+AE438*('損益分岐設定'!$C$60*(1-'損益分岐設定'!$B$51)+'損益分岐設定'!$C$61*'損益分岐設定'!$B$51)+AF438*('損益分岐設定'!$C$63*(1-'損益分岐設定'!$B$51)+'損益分岐設定'!$C$64*'損益分岐設定'!$B$51)</x:f>
        <x:v>5765.522041015625</x:v>
      </x:c>
      <x:c r="AH438" s="1" t="n">
        <x:f>AD438*('損益分岐設定'!$D$57*(1-'損益分岐設定'!$B$51)+'損益分岐設定'!$D$58*'損益分岐設定'!$B$51)+AE438*('損益分岐設定'!$D$60*(1-'損益分岐設定'!$B$51)+'損益分岐設定'!$D$61*'損益分岐設定'!$B$51)+AF438*('損益分岐設定'!$D$63*(1-'損益分岐設定'!$B$51)+'損益分岐設定'!$D$64*'損益分岐設定'!$B$51)</x:f>
        <x:v>480</x:v>
      </x:c>
      <x:c r="AI438" s="1" t="n">
        <x:f>AD438*('損益分岐設定'!$E$57*(1-'損益分岐設定'!$B$51)+'損益分岐設定'!$E$58*'損益分岐設定'!$B$51)+AE438*('損益分岐設定'!$E$60*(1-'損益分岐設定'!$B$51)+'損益分岐設定'!$E$61*'損益分岐設定'!$B$51)+AF438*('損益分岐設定'!$E$63*(1-'損益分岐設定'!$B$51)+'損益分岐設定'!$E$64*'損益分岐設定'!$B$51)</x:f>
        <x:v>560</x:v>
      </x:c>
      <x:c r="AJ438" s="1" t="n">
        <x:f>(AD438*('損益分岐設定'!$F$57*(1-'損益分岐設定'!$B$51)+'損益分岐設定'!$F$58*'損益分岐設定'!$B$51)+AE438*('損益分岐設定'!$F$60*(1-'損益分岐設定'!$B$51)+'損益分岐設定'!$F$61*'損益分岐設定'!$B$51)+AF438*('損益分岐設定'!$F$63*(1-'損益分岐設定'!$B$51)+'損益分岐設定'!$F$64*'損益分岐設定'!$B$51)*1)*'損益分岐設定'!$B$22</x:f>
        <x:v>4560</x:v>
      </x:c>
      <x:c r="AK438" s="1" t="n">
        <x:f>AD438*('損益分岐設定'!$G$57*(1-'損益分岐設定'!$B$51)+'損益分岐設定'!$G$58*'損益分岐設定'!$B$51)+AE438*('損益分岐設定'!$G$60*(1-'損益分岐設定'!$B$51)+'損益分岐設定'!$G$61*'損益分岐設定'!$B$51)+AF438*('損益分岐設定'!$G$63*(1-'損益分岐設定'!$B$51)+'損益分岐設定'!$G$64*'損益分岐設定'!$B$51)</x:f>
        <x:v>4000</x:v>
      </x:c>
      <x:c r="AL438" s="1" t="n">
        <x:f>AD438*('損益分岐設定'!$H$57*(1-'損益分岐設定'!$B$51)+'損益分岐設定'!$H$58*'損益分岐設定'!$B$51)+AE438*('損益分岐設定'!$H$60*(1-'損益分岐設定'!$B$51)+'損益分岐設定'!$H$61*'損益分岐設定'!$B$51)+AF438*('損益分岐設定'!$H$63*(1-'損益分岐設定'!$B$51)+'損益分岐設定'!$H$64*'損益分岐設定'!$B$51)</x:f>
        <x:v>1026.666666666667</x:v>
      </x:c>
      <x:c r="AM438" s="1" t="n">
        <x:f>MAX(1,ROUNDUP('損益分岐設定'!C37*AJ438/('損益分岐設定'!$B$23*'損益分岐設定'!$B$24*3600*'損益分岐設定'!$B$25),0))</x:f>
        <x:v>1</x:v>
      </x:c>
      <x:c r="AN438" s="1" t="n">
        <x:f>MAX(2,ROUNDUP('損益分岐設定'!C38*AJ438/('損益分岐設定'!$B$23*'損益分岐設定'!$B$24*3600*'損益分岐設定'!$B$25),0))</x:f>
        <x:v>2</x:v>
      </x:c>
      <x:c r="AO438" s="1" t="n">
        <x:f>MAX(2,ROUNDUP('損益分岐設定'!C39*AJ438/('損益分岐設定'!$B$23*'損益分岐設定'!$B$24*3600*'損益分岐設定'!$B$25),0))</x:f>
        <x:v>5</x:v>
      </x:c>
      <x:c r="AP438" s="1" t="n">
        <x:f>MAX(2,ROUNDUP('損益分岐設定'!C40*AJ438/('損益分岐設定'!$B$23*'損益分岐設定'!$B$24*3600*'損益分岐設定'!$B$25),0))</x:f>
        <x:v>9</x:v>
      </x:c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 ht="23" customHeight="1">
      <x:c r="A439" s="1" t="str">
        <x:v>VM</x:v>
      </x:c>
      <x:c r="B439" s="1" t="str">
        <x:v>Business Plus</x:v>
      </x:c>
      <x:c r="C439" s="1" t="str">
        <x:v>標準+高位混在</x:v>
      </x:c>
      <x:c r="D439" s="21" t="n">
        <x:v>0.3</x:v>
      </x:c>
      <x:c r="E439" s="1" t="n">
        <x:v>0</x:v>
      </x:c>
      <x:c r="F439" s="7" t="n">
        <x:f>AD439*'損益分岐設定'!$B$5+AE439*'損益分岐設定'!$B$6+AF439*'損益分岐設定'!$B$7</x:f>
        <x:v>8000</x:v>
      </x:c>
      <x:c r="G439" s="7" t="n">
        <x:f>AG439+0+AK439*'損益分岐設定'!$B$33</x:f>
        <x:v>5765.566744499207</x:v>
      </x:c>
      <x:c r="H439" s="7" t="n">
        <x:f>AL439*E439</x:f>
        <x:v>0</x:v>
      </x:c>
      <x:c r="I439" s="7" t="n">
        <x:f>F439*(1-D439-'損益分岐設定'!$B$10)-G439-H439</x:f>
        <x:v>-453.56674449920774</x:v>
      </x:c>
      <x:c r="J439" s="1" t="str">
        <x:f>IF(MIN(V439:Y439)&gt;1000,"範囲内なし",MIN(V439:Y439))</x:f>
        <x:v>範囲内なし</x:v>
      </x:c>
      <x:c r="K439" s="1" t="str">
        <x:f>IF(MAX(Z439:AC439)&gt;=1000,"範囲内なし",MAX(1,MAX(Z439:AC439)+1))</x:f>
        <x:v>範囲内なし</x:v>
      </x:c>
      <x:c r="L439" s="7" t="n">
        <x:f>10*I439-R439</x:f>
        <x:v>-55294.85420621335</x:v>
      </x:c>
      <x:c r="M439" s="7" t="n">
        <x:f>30*I439-S439</x:f>
        <x:v>-110625.37585741878</x:v>
      </x:c>
      <x:c r="N439" s="7" t="n">
        <x:f>50*I439-S439</x:f>
        <x:v>-119696.71074740293</x:v>
      </x:c>
      <x:c r="O439" s="7" t="n">
        <x:f>100*I439-S439</x:f>
        <x:v>-142375.0479723633</x:v>
      </x:c>
      <x:c r="P439" s="7" t="n">
        <x:f>300*I439-T439</x:f>
        <x:v>-264407.7869431208</x:v>
      </x:c>
      <x:c r="Q439" s="7" t="n">
        <x:f>1000*I439-U439</x:f>
        <x:v>-644543.2882343982</x:v>
      </x:c>
      <x:c r="R439" s="7" t="n">
        <x:f>'損益分岐設定'!$B$18+'損益分岐設定'!$B$19+'損益分岐設定'!$B$20+'損益分岐設定'!E37+('損益分岐設定'!F37+2*'損益分岐設定'!G37+AM439)*('損益分岐設定'!$B$15+'損益分岐設定'!$B$16)+'損益分岐設定'!$B$17+'損益分岐設定'!$B$21+E439*'損益分岐設定'!H37*'損益分岐設定'!$B$11</x:f>
        <x:v>50759.18676122127</x:v>
      </x:c>
      <x:c r="S439" s="7" t="n">
        <x:f>'損益分岐設定'!$B$18+'損益分岐設定'!$B$19+'損益分岐設定'!$B$20+'損益分岐設定'!E38+('損益分岐設定'!F38+2*'損益分岐設定'!G38+AN439)*('損益分岐設定'!$B$15+'損益分岐設定'!$B$16)+'損益分岐設定'!$B$17+'損益分岐設定'!$B$21+E439*'損益分岐設定'!H38*'損益分岐設定'!$B$11</x:f>
        <x:v>97018.37352244255</x:v>
      </x:c>
      <x:c r="T439" s="7" t="n">
        <x:f>'損益分岐設定'!$B$18+'損益分岐設定'!$B$19+'損益分岐設定'!$B$20+'損益分岐設定'!E39+('損益分岐設定'!F39+2*'損益分岐設定'!G39+AO439)*('損益分岐設定'!$B$15+'損益分岐設定'!$B$16)+'損益分岐設定'!$B$17+'損益分岐設定'!$B$21+E439*'損益分岐設定'!H39*'損益分岐設定'!$B$11</x:f>
        <x:v>128337.7635933585</x:v>
      </x:c>
      <x:c r="U439" s="7" t="n">
        <x:f>'損益分岐設定'!$B$18+'損益分岐設定'!$B$19+'損益分岐設定'!$B$20+'損益分岐設定'!E40+('損益分岐設定'!F40+2*'損益分岐設定'!G40+AP439)*('損益分岐設定'!$B$15+'損益分岐設定'!$B$16)+'損益分岐設定'!$B$17+'損益分岐設定'!$B$21+E439*'損益分岐設定'!H40*'損益分岐設定'!$B$11</x:f>
        <x:v>190976.5437351904</x:v>
      </x:c>
      <x:c r="V439" s="1" t="n">
        <x:f>IF(I439&lt;=0,1001,IF(MAX('損益分岐設定'!B37,ROUNDUP(R439/I439,0))&lt;='損益分岐設定'!C37,MAX('損益分岐設定'!B37,ROUNDUP(R439/I439,0)),1001))</x:f>
        <x:v>1001</x:v>
      </x:c>
      <x:c r="W439" s="1" t="n">
        <x:f>IF(I439&lt;=0,1001,IF(MAX('損益分岐設定'!B38,ROUNDUP(S439/I439,0))&lt;='損益分岐設定'!C38,MAX('損益分岐設定'!B38,ROUNDUP(S439/I439,0)),1001))</x:f>
        <x:v>1001</x:v>
      </x:c>
      <x:c r="X439" s="1" t="n">
        <x:f>IF(I439&lt;=0,1001,IF(MAX('損益分岐設定'!B39,ROUNDUP(T439/I439,0))&lt;='損益分岐設定'!C39,MAX('損益分岐設定'!B39,ROUNDUP(T439/I439,0)),1001))</x:f>
        <x:v>1001</x:v>
      </x:c>
      <x:c r="Y439" s="1" t="n">
        <x:f>IF(I439&lt;=0,1001,IF(MAX('損益分岐設定'!B40,ROUNDUP(U439/I439,0))&lt;='損益分岐設定'!C40,MAX('損益分岐設定'!B40,ROUNDUP(U439/I439,0)),1001))</x:f>
        <x:v>1001</x:v>
      </x:c>
      <x:c r="Z439" s="1" t="n">
        <x:f>IF(I439&lt;=0,'損益分岐設定'!C37,IF('損益分岐設定'!C37*I439-R439&lt;0,'損益分岐設定'!C37,IF('損益分岐設定'!B37*I439-R439&gt;=0,0,ROUNDUP(R439/I439,0)-1)))</x:f>
        <x:v>10</x:v>
      </x:c>
      <x:c r="AA439" s="1" t="n">
        <x:f>IF(I439&lt;=0,'損益分岐設定'!C38,IF('損益分岐設定'!C38*I439-S439&lt;0,'損益分岐設定'!C38,IF('損益分岐設定'!B38*I439-S439&gt;=0,0,ROUNDUP(S439/I439,0)-1)))</x:f>
        <x:v>100</x:v>
      </x:c>
      <x:c r="AB439" s="1" t="n">
        <x:f>IF(I439&lt;=0,'損益分岐設定'!C39,IF('損益分岐設定'!C39*I439-T439&lt;0,'損益分岐設定'!C39,IF('損益分岐設定'!B39*I439-T439&gt;=0,0,ROUNDUP(T439/I439,0)-1)))</x:f>
        <x:v>500</x:v>
      </x:c>
      <x:c r="AC439" s="1" t="n">
        <x:f>IF(I439&lt;=0,'損益分岐設定'!C40,IF('損益分岐設定'!C40*I439-U439&lt;0,'損益分岐設定'!C40,IF('損益分岐設定'!B40*I439-U439&gt;=0,0,ROUNDUP(U439/I439,0)-1)))</x:f>
        <x:v>1000</x:v>
      </x:c>
      <x:c r="AD439" s="1" t="n">
        <x:v>0</x:v>
      </x:c>
      <x:c r="AE439" s="1" t="n">
        <x:v>0</x:v>
      </x:c>
      <x:c r="AF439" s="1" t="n">
        <x:v>1</x:v>
      </x:c>
      <x:c r="AG439" s="1" t="n">
        <x:f>AD439*('損益分岐設定'!$C$57*(1-'損益分岐設定'!$B$51)+'損益分岐設定'!$C$58*'損益分岐設定'!$B$51)+AE439*('損益分岐設定'!$C$60*(1-'損益分岐設定'!$B$51)+'損益分岐設定'!$C$61*'損益分岐設定'!$B$51)+AF439*('損益分岐設定'!$C$63*(1-'損益分岐設定'!$B$51)+'損益分岐設定'!$C$64*'損益分岐設定'!$B$51)</x:f>
        <x:v>5765.522041015625</x:v>
      </x:c>
      <x:c r="AH439" s="1" t="n">
        <x:f>AD439*('損益分岐設定'!$D$57*(1-'損益分岐設定'!$B$51)+'損益分岐設定'!$D$58*'損益分岐設定'!$B$51)+AE439*('損益分岐設定'!$D$60*(1-'損益分岐設定'!$B$51)+'損益分岐設定'!$D$61*'損益分岐設定'!$B$51)+AF439*('損益分岐設定'!$D$63*(1-'損益分岐設定'!$B$51)+'損益分岐設定'!$D$64*'損益分岐設定'!$B$51)</x:f>
        <x:v>480</x:v>
      </x:c>
      <x:c r="AI439" s="1" t="n">
        <x:f>AD439*('損益分岐設定'!$E$57*(1-'損益分岐設定'!$B$51)+'損益分岐設定'!$E$58*'損益分岐設定'!$B$51)+AE439*('損益分岐設定'!$E$60*(1-'損益分岐設定'!$B$51)+'損益分岐設定'!$E$61*'損益分岐設定'!$B$51)+AF439*('損益分岐設定'!$E$63*(1-'損益分岐設定'!$B$51)+'損益分岐設定'!$E$64*'損益分岐設定'!$B$51)</x:f>
        <x:v>560</x:v>
      </x:c>
      <x:c r="AJ439" s="1" t="n">
        <x:f>(AD439*('損益分岐設定'!$F$57*(1-'損益分岐設定'!$B$51)+'損益分岐設定'!$F$58*'損益分岐設定'!$B$51)+AE439*('損益分岐設定'!$F$60*(1-'損益分岐設定'!$B$51)+'損益分岐設定'!$F$61*'損益分岐設定'!$B$51)+AF439*('損益分岐設定'!$F$63*(1-'損益分岐設定'!$B$51)+'損益分岐設定'!$F$64*'損益分岐設定'!$B$51)*1)*'損益分岐設定'!$B$22</x:f>
        <x:v>4560</x:v>
      </x:c>
      <x:c r="AK439" s="1" t="n">
        <x:f>AD439*('損益分岐設定'!$G$57*(1-'損益分岐設定'!$B$51)+'損益分岐設定'!$G$58*'損益分岐設定'!$B$51)+AE439*('損益分岐設定'!$G$60*(1-'損益分岐設定'!$B$51)+'損益分岐設定'!$G$61*'損益分岐設定'!$B$51)+AF439*('損益分岐設定'!$G$63*(1-'損益分岐設定'!$B$51)+'損益分岐設定'!$G$64*'損益分岐設定'!$B$51)</x:f>
        <x:v>4000</x:v>
      </x:c>
      <x:c r="AL439" s="1" t="n">
        <x:f>AD439*('損益分岐設定'!$H$57*(1-'損益分岐設定'!$B$51)+'損益分岐設定'!$H$58*'損益分岐設定'!$B$51)+AE439*('損益分岐設定'!$H$60*(1-'損益分岐設定'!$B$51)+'損益分岐設定'!$H$61*'損益分岐設定'!$B$51)+AF439*('損益分岐設定'!$H$63*(1-'損益分岐設定'!$B$51)+'損益分岐設定'!$H$64*'損益分岐設定'!$B$51)</x:f>
        <x:v>1026.666666666667</x:v>
      </x:c>
      <x:c r="AM439" s="1" t="n">
        <x:f>MAX(1,ROUNDUP('損益分岐設定'!C37*AJ439/('損益分岐設定'!$B$23*'損益分岐設定'!$B$24*3600*'損益分岐設定'!$B$25),0))</x:f>
        <x:v>1</x:v>
      </x:c>
      <x:c r="AN439" s="1" t="n">
        <x:f>MAX(2,ROUNDUP('損益分岐設定'!C38*AJ439/('損益分岐設定'!$B$23*'損益分岐設定'!$B$24*3600*'損益分岐設定'!$B$25),0))</x:f>
        <x:v>2</x:v>
      </x:c>
      <x:c r="AO439" s="1" t="n">
        <x:f>MAX(2,ROUNDUP('損益分岐設定'!C39*AJ439/('損益分岐設定'!$B$23*'損益分岐設定'!$B$24*3600*'損益分岐設定'!$B$25),0))</x:f>
        <x:v>5</x:v>
      </x:c>
      <x:c r="AP439" s="1" t="n">
        <x:f>MAX(2,ROUNDUP('損益分岐設定'!C40*AJ439/('損益分岐設定'!$B$23*'損益分岐設定'!$B$24*3600*'損益分岐設定'!$B$25),0))</x:f>
        <x:v>9</x:v>
      </x:c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 ht="23" customHeight="1">
      <x:c r="A440" s="1" t="str">
        <x:v>VM</x:v>
      </x:c>
      <x:c r="B440" s="1" t="str">
        <x:v>Business Plus</x:v>
      </x:c>
      <x:c r="C440" s="1" t="str">
        <x:v>標準+高位混在</x:v>
      </x:c>
      <x:c r="D440" s="21" t="n">
        <x:v>0.3</x:v>
      </x:c>
      <x:c r="E440" s="1" t="n">
        <x:v>1</x:v>
      </x:c>
      <x:c r="F440" s="7" t="n">
        <x:f>AD440*'損益分岐設定'!$B$5+AE440*'損益分岐設定'!$B$6+AF440*'損益分岐設定'!$B$7</x:f>
        <x:v>8000</x:v>
      </x:c>
      <x:c r="G440" s="7" t="n">
        <x:f>AG440+0+AK440*'損益分岐設定'!$B$33</x:f>
        <x:v>5765.566744499207</x:v>
      </x:c>
      <x:c r="H440" s="7" t="n">
        <x:f>AL440*E440</x:f>
        <x:v>1026.666666666667</x:v>
      </x:c>
      <x:c r="I440" s="7" t="n">
        <x:f>F440*(1-D440-'損益分岐設定'!$B$10)-G440-H440</x:f>
        <x:v>-1480.2334111658747</x:v>
      </x:c>
      <x:c r="J440" s="1" t="str">
        <x:f>IF(MIN(V440:Y440)&gt;1000,"範囲内なし",MIN(V440:Y440))</x:f>
        <x:v>範囲内なし</x:v>
      </x:c>
      <x:c r="K440" s="1" t="str">
        <x:f>IF(MAX(Z440:AC440)&gt;=1000,"範囲内なし",MAX(1,MAX(Z440:AC440)+1))</x:f>
        <x:v>範囲内なし</x:v>
      </x:c>
      <x:c r="L440" s="7" t="n">
        <x:f>10*I440-R440</x:f>
        <x:v>-97561.52087288</x:v>
      </x:c>
      <x:c r="M440" s="7" t="n">
        <x:f>30*I440-S440</x:f>
        <x:v>-189425.37585741878</x:v>
      </x:c>
      <x:c r="N440" s="7" t="n">
        <x:f>50*I440-S440</x:f>
        <x:v>-219030.04408073626</x:v>
      </x:c>
      <x:c r="O440" s="7" t="n">
        <x:f>100*I440-S440</x:f>
        <x:v>-293041.71463903</x:v>
      </x:c>
      <x:c r="P440" s="7" t="n">
        <x:f>300*I440-T440</x:f>
        <x:v>-652407.7869431209</x:v>
      </x:c>
      <x:c r="Q440" s="7" t="n">
        <x:f>1000*I440-U440</x:f>
        <x:v>-1799209.9549010652</x:v>
      </x:c>
      <x:c r="R440" s="7" t="n">
        <x:f>'損益分岐設定'!$B$18+'損益分岐設定'!$B$19+'損益分岐設定'!$B$20+'損益分岐設定'!E37+('損益分岐設定'!F37+2*'損益分岐設定'!G37+AM440)*('損益分岐設定'!$B$15+'損益分岐設定'!$B$16)+'損益分岐設定'!$B$17+'損益分岐設定'!$B$21+E440*'損益分岐設定'!H37*'損益分岐設定'!$B$11</x:f>
        <x:v>82759.18676122127</x:v>
      </x:c>
      <x:c r="S440" s="7" t="n">
        <x:f>'損益分岐設定'!$B$18+'損益分岐設定'!$B$19+'損益分岐設定'!$B$20+'損益分岐設定'!E38+('損益分岐設定'!F38+2*'損益分岐設定'!G38+AN440)*('損益分岐設定'!$B$15+'損益分岐設定'!$B$16)+'損益分岐設定'!$B$17+'損益分岐設定'!$B$21+E440*'損益分岐設定'!H38*'損益分岐設定'!$B$11</x:f>
        <x:v>145018.37352244253</x:v>
      </x:c>
      <x:c r="T440" s="7" t="n">
        <x:f>'損益分岐設定'!$B$18+'損益分岐設定'!$B$19+'損益分岐設定'!$B$20+'損益分岐設定'!E39+('損益分岐設定'!F39+2*'損益分岐設定'!G39+AO440)*('損益分岐設定'!$B$15+'損益分岐設定'!$B$16)+'損益分岐設定'!$B$17+'損益分岐設定'!$B$21+E440*'損益分岐設定'!H39*'損益分岐設定'!$B$11</x:f>
        <x:v>208337.7635933585</x:v>
      </x:c>
      <x:c r="U440" s="7" t="n">
        <x:f>'損益分岐設定'!$B$18+'損益分岐設定'!$B$19+'損益分岐設定'!$B$20+'損益分岐設定'!E40+('損益分岐設定'!F40+2*'損益分岐設定'!G40+AP440)*('損益分岐設定'!$B$15+'損益分岐設定'!$B$16)+'損益分岐設定'!$B$17+'損益分岐設定'!$B$21+E440*'損益分岐設定'!H40*'損益分岐設定'!$B$11</x:f>
        <x:v>318976.5437351904</x:v>
      </x:c>
      <x:c r="V440" s="1" t="n">
        <x:f>IF(I440&lt;=0,1001,IF(MAX('損益分岐設定'!B37,ROUNDUP(R440/I440,0))&lt;='損益分岐設定'!C37,MAX('損益分岐設定'!B37,ROUNDUP(R440/I440,0)),1001))</x:f>
        <x:v>1001</x:v>
      </x:c>
      <x:c r="W440" s="1" t="n">
        <x:f>IF(I440&lt;=0,1001,IF(MAX('損益分岐設定'!B38,ROUNDUP(S440/I440,0))&lt;='損益分岐設定'!C38,MAX('損益分岐設定'!B38,ROUNDUP(S440/I440,0)),1001))</x:f>
        <x:v>1001</x:v>
      </x:c>
      <x:c r="X440" s="1" t="n">
        <x:f>IF(I440&lt;=0,1001,IF(MAX('損益分岐設定'!B39,ROUNDUP(T440/I440,0))&lt;='損益分岐設定'!C39,MAX('損益分岐設定'!B39,ROUNDUP(T440/I440,0)),1001))</x:f>
        <x:v>1001</x:v>
      </x:c>
      <x:c r="Y440" s="1" t="n">
        <x:f>IF(I440&lt;=0,1001,IF(MAX('損益分岐設定'!B40,ROUNDUP(U440/I440,0))&lt;='損益分岐設定'!C40,MAX('損益分岐設定'!B40,ROUNDUP(U440/I440,0)),1001))</x:f>
        <x:v>1001</x:v>
      </x:c>
      <x:c r="Z440" s="1" t="n">
        <x:f>IF(I440&lt;=0,'損益分岐設定'!C37,IF('損益分岐設定'!C37*I440-R440&lt;0,'損益分岐設定'!C37,IF('損益分岐設定'!B37*I440-R440&gt;=0,0,ROUNDUP(R440/I440,0)-1)))</x:f>
        <x:v>10</x:v>
      </x:c>
      <x:c r="AA440" s="1" t="n">
        <x:f>IF(I440&lt;=0,'損益分岐設定'!C38,IF('損益分岐設定'!C38*I440-S440&lt;0,'損益分岐設定'!C38,IF('損益分岐設定'!B38*I440-S440&gt;=0,0,ROUNDUP(S440/I440,0)-1)))</x:f>
        <x:v>100</x:v>
      </x:c>
      <x:c r="AB440" s="1" t="n">
        <x:f>IF(I440&lt;=0,'損益分岐設定'!C39,IF('損益分岐設定'!C39*I440-T440&lt;0,'損益分岐設定'!C39,IF('損益分岐設定'!B39*I440-T440&gt;=0,0,ROUNDUP(T440/I440,0)-1)))</x:f>
        <x:v>500</x:v>
      </x:c>
      <x:c r="AC440" s="1" t="n">
        <x:f>IF(I440&lt;=0,'損益分岐設定'!C40,IF('損益分岐設定'!C40*I440-U440&lt;0,'損益分岐設定'!C40,IF('損益分岐設定'!B40*I440-U440&gt;=0,0,ROUNDUP(U440/I440,0)-1)))</x:f>
        <x:v>1000</x:v>
      </x:c>
      <x:c r="AD440" s="1" t="n">
        <x:v>0</x:v>
      </x:c>
      <x:c r="AE440" s="1" t="n">
        <x:v>0</x:v>
      </x:c>
      <x:c r="AF440" s="1" t="n">
        <x:v>1</x:v>
      </x:c>
      <x:c r="AG440" s="1" t="n">
        <x:f>AD440*('損益分岐設定'!$C$57*(1-'損益分岐設定'!$B$51)+'損益分岐設定'!$C$58*'損益分岐設定'!$B$51)+AE440*('損益分岐設定'!$C$60*(1-'損益分岐設定'!$B$51)+'損益分岐設定'!$C$61*'損益分岐設定'!$B$51)+AF440*('損益分岐設定'!$C$63*(1-'損益分岐設定'!$B$51)+'損益分岐設定'!$C$64*'損益分岐設定'!$B$51)</x:f>
        <x:v>5765.522041015625</x:v>
      </x:c>
      <x:c r="AH440" s="1" t="n">
        <x:f>AD440*('損益分岐設定'!$D$57*(1-'損益分岐設定'!$B$51)+'損益分岐設定'!$D$58*'損益分岐設定'!$B$51)+AE440*('損益分岐設定'!$D$60*(1-'損益分岐設定'!$B$51)+'損益分岐設定'!$D$61*'損益分岐設定'!$B$51)+AF440*('損益分岐設定'!$D$63*(1-'損益分岐設定'!$B$51)+'損益分岐設定'!$D$64*'損益分岐設定'!$B$51)</x:f>
        <x:v>480</x:v>
      </x:c>
      <x:c r="AI440" s="1" t="n">
        <x:f>AD440*('損益分岐設定'!$E$57*(1-'損益分岐設定'!$B$51)+'損益分岐設定'!$E$58*'損益分岐設定'!$B$51)+AE440*('損益分岐設定'!$E$60*(1-'損益分岐設定'!$B$51)+'損益分岐設定'!$E$61*'損益分岐設定'!$B$51)+AF440*('損益分岐設定'!$E$63*(1-'損益分岐設定'!$B$51)+'損益分岐設定'!$E$64*'損益分岐設定'!$B$51)</x:f>
        <x:v>560</x:v>
      </x:c>
      <x:c r="AJ440" s="1" t="n">
        <x:f>(AD440*('損益分岐設定'!$F$57*(1-'損益分岐設定'!$B$51)+'損益分岐設定'!$F$58*'損益分岐設定'!$B$51)+AE440*('損益分岐設定'!$F$60*(1-'損益分岐設定'!$B$51)+'損益分岐設定'!$F$61*'損益分岐設定'!$B$51)+AF440*('損益分岐設定'!$F$63*(1-'損益分岐設定'!$B$51)+'損益分岐設定'!$F$64*'損益分岐設定'!$B$51)*1)*'損益分岐設定'!$B$22</x:f>
        <x:v>4560</x:v>
      </x:c>
      <x:c r="AK440" s="1" t="n">
        <x:f>AD440*('損益分岐設定'!$G$57*(1-'損益分岐設定'!$B$51)+'損益分岐設定'!$G$58*'損益分岐設定'!$B$51)+AE440*('損益分岐設定'!$G$60*(1-'損益分岐設定'!$B$51)+'損益分岐設定'!$G$61*'損益分岐設定'!$B$51)+AF440*('損益分岐設定'!$G$63*(1-'損益分岐設定'!$B$51)+'損益分岐設定'!$G$64*'損益分岐設定'!$B$51)</x:f>
        <x:v>4000</x:v>
      </x:c>
      <x:c r="AL440" s="1" t="n">
        <x:f>AD440*('損益分岐設定'!$H$57*(1-'損益分岐設定'!$B$51)+'損益分岐設定'!$H$58*'損益分岐設定'!$B$51)+AE440*('損益分岐設定'!$H$60*(1-'損益分岐設定'!$B$51)+'損益分岐設定'!$H$61*'損益分岐設定'!$B$51)+AF440*('損益分岐設定'!$H$63*(1-'損益分岐設定'!$B$51)+'損益分岐設定'!$H$64*'損益分岐設定'!$B$51)</x:f>
        <x:v>1026.666666666667</x:v>
      </x:c>
      <x:c r="AM440" s="1" t="n">
        <x:f>MAX(1,ROUNDUP('損益分岐設定'!C37*AJ440/('損益分岐設定'!$B$23*'損益分岐設定'!$B$24*3600*'損益分岐設定'!$B$25),0))</x:f>
        <x:v>1</x:v>
      </x:c>
      <x:c r="AN440" s="1" t="n">
        <x:f>MAX(2,ROUNDUP('損益分岐設定'!C38*AJ440/('損益分岐設定'!$B$23*'損益分岐設定'!$B$24*3600*'損益分岐設定'!$B$25),0))</x:f>
        <x:v>2</x:v>
      </x:c>
      <x:c r="AO440" s="1" t="n">
        <x:f>MAX(2,ROUNDUP('損益分岐設定'!C39*AJ440/('損益分岐設定'!$B$23*'損益分岐設定'!$B$24*3600*'損益分岐設定'!$B$25),0))</x:f>
        <x:v>5</x:v>
      </x:c>
      <x:c r="AP440" s="1" t="n">
        <x:f>MAX(2,ROUNDUP('損益分岐設定'!C40*AJ440/('損益分岐設定'!$B$23*'損益分岐設定'!$B$24*3600*'損益分岐設定'!$B$25),0))</x:f>
        <x:v>9</x:v>
      </x:c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 ht="23" customHeight="1">
      <x:c r="A441" s="1" t="str">
        <x:v>VM</x:v>
      </x:c>
      <x:c r="B441" s="1" t="str">
        <x:v>Business Plus</x:v>
      </x:c>
      <x:c r="C441" s="1" t="str">
        <x:v>標準+高位混在</x:v>
      </x:c>
      <x:c r="D441" s="21" t="n">
        <x:v>0.4</x:v>
      </x:c>
      <x:c r="E441" s="1" t="n">
        <x:v>0</x:v>
      </x:c>
      <x:c r="F441" s="7" t="n">
        <x:f>AD441*'損益分岐設定'!$B$5+AE441*'損益分岐設定'!$B$6+AF441*'損益分岐設定'!$B$7</x:f>
        <x:v>8000</x:v>
      </x:c>
      <x:c r="G441" s="7" t="n">
        <x:f>AG441+0+AK441*'損益分岐設定'!$B$33</x:f>
        <x:v>5765.566744499207</x:v>
      </x:c>
      <x:c r="H441" s="7" t="n">
        <x:f>AL441*E441</x:f>
        <x:v>0</x:v>
      </x:c>
      <x:c r="I441" s="7" t="n">
        <x:f>F441*(1-D441-'損益分岐設定'!$B$10)-G441-H441</x:f>
        <x:v>-1253.5667444992068</x:v>
      </x:c>
      <x:c r="J441" s="1" t="str">
        <x:f>IF(MIN(V441:Y441)&gt;1000,"範囲内なし",MIN(V441:Y441))</x:f>
        <x:v>範囲内なし</x:v>
      </x:c>
      <x:c r="K441" s="1" t="str">
        <x:f>IF(MAX(Z441:AC441)&gt;=1000,"範囲内なし",MAX(1,MAX(Z441:AC441)+1))</x:f>
        <x:v>範囲内なし</x:v>
      </x:c>
      <x:c r="L441" s="7" t="n">
        <x:f>10*I441-R441</x:f>
        <x:v>-63294.85420621334</x:v>
      </x:c>
      <x:c r="M441" s="7" t="n">
        <x:f>30*I441-S441</x:f>
        <x:v>-134625.37585741875</x:v>
      </x:c>
      <x:c r="N441" s="7" t="n">
        <x:f>50*I441-S441</x:f>
        <x:v>-159696.7107474029</x:v>
      </x:c>
      <x:c r="O441" s="7" t="n">
        <x:f>100*I441-S441</x:f>
        <x:v>-222375.04797236325</x:v>
      </x:c>
      <x:c r="P441" s="7" t="n">
        <x:f>300*I441-T441</x:f>
        <x:v>-504407.7869431206</x:v>
      </x:c>
      <x:c r="Q441" s="7" t="n">
        <x:f>1000*I441-U441</x:f>
        <x:v>-1444543.2882343973</x:v>
      </x:c>
      <x:c r="R441" s="7" t="n">
        <x:f>'損益分岐設定'!$B$18+'損益分岐設定'!$B$19+'損益分岐設定'!$B$20+'損益分岐設定'!E37+('損益分岐設定'!F37+2*'損益分岐設定'!G37+AM441)*('損益分岐設定'!$B$15+'損益分岐設定'!$B$16)+'損益分岐設定'!$B$17+'損益分岐設定'!$B$21+E441*'損益分岐設定'!H37*'損益分岐設定'!$B$11</x:f>
        <x:v>50759.18676122127</x:v>
      </x:c>
      <x:c r="S441" s="7" t="n">
        <x:f>'損益分岐設定'!$B$18+'損益分岐設定'!$B$19+'損益分岐設定'!$B$20+'損益分岐設定'!E38+('損益分岐設定'!F38+2*'損益分岐設定'!G38+AN441)*('損益分岐設定'!$B$15+'損益分岐設定'!$B$16)+'損益分岐設定'!$B$17+'損益分岐設定'!$B$21+E441*'損益分岐設定'!H38*'損益分岐設定'!$B$11</x:f>
        <x:v>97018.37352244255</x:v>
      </x:c>
      <x:c r="T441" s="7" t="n">
        <x:f>'損益分岐設定'!$B$18+'損益分岐設定'!$B$19+'損益分岐設定'!$B$20+'損益分岐設定'!E39+('損益分岐設定'!F39+2*'損益分岐設定'!G39+AO441)*('損益分岐設定'!$B$15+'損益分岐設定'!$B$16)+'損益分岐設定'!$B$17+'損益分岐設定'!$B$21+E441*'損益分岐設定'!H39*'損益分岐設定'!$B$11</x:f>
        <x:v>128337.7635933585</x:v>
      </x:c>
      <x:c r="U441" s="7" t="n">
        <x:f>'損益分岐設定'!$B$18+'損益分岐設定'!$B$19+'損益分岐設定'!$B$20+'損益分岐設定'!E40+('損益分岐設定'!F40+2*'損益分岐設定'!G40+AP441)*('損益分岐設定'!$B$15+'損益分岐設定'!$B$16)+'損益分岐設定'!$B$17+'損益分岐設定'!$B$21+E441*'損益分岐設定'!H40*'損益分岐設定'!$B$11</x:f>
        <x:v>190976.5437351904</x:v>
      </x:c>
      <x:c r="V441" s="1" t="n">
        <x:f>IF(I441&lt;=0,1001,IF(MAX('損益分岐設定'!B37,ROUNDUP(R441/I441,0))&lt;='損益分岐設定'!C37,MAX('損益分岐設定'!B37,ROUNDUP(R441/I441,0)),1001))</x:f>
        <x:v>1001</x:v>
      </x:c>
      <x:c r="W441" s="1" t="n">
        <x:f>IF(I441&lt;=0,1001,IF(MAX('損益分岐設定'!B38,ROUNDUP(S441/I441,0))&lt;='損益分岐設定'!C38,MAX('損益分岐設定'!B38,ROUNDUP(S441/I441,0)),1001))</x:f>
        <x:v>1001</x:v>
      </x:c>
      <x:c r="X441" s="1" t="n">
        <x:f>IF(I441&lt;=0,1001,IF(MAX('損益分岐設定'!B39,ROUNDUP(T441/I441,0))&lt;='損益分岐設定'!C39,MAX('損益分岐設定'!B39,ROUNDUP(T441/I441,0)),1001))</x:f>
        <x:v>1001</x:v>
      </x:c>
      <x:c r="Y441" s="1" t="n">
        <x:f>IF(I441&lt;=0,1001,IF(MAX('損益分岐設定'!B40,ROUNDUP(U441/I441,0))&lt;='損益分岐設定'!C40,MAX('損益分岐設定'!B40,ROUNDUP(U441/I441,0)),1001))</x:f>
        <x:v>1001</x:v>
      </x:c>
      <x:c r="Z441" s="1" t="n">
        <x:f>IF(I441&lt;=0,'損益分岐設定'!C37,IF('損益分岐設定'!C37*I441-R441&lt;0,'損益分岐設定'!C37,IF('損益分岐設定'!B37*I441-R441&gt;=0,0,ROUNDUP(R441/I441,0)-1)))</x:f>
        <x:v>10</x:v>
      </x:c>
      <x:c r="AA441" s="1" t="n">
        <x:f>IF(I441&lt;=0,'損益分岐設定'!C38,IF('損益分岐設定'!C38*I441-S441&lt;0,'損益分岐設定'!C38,IF('損益分岐設定'!B38*I441-S441&gt;=0,0,ROUNDUP(S441/I441,0)-1)))</x:f>
        <x:v>100</x:v>
      </x:c>
      <x:c r="AB441" s="1" t="n">
        <x:f>IF(I441&lt;=0,'損益分岐設定'!C39,IF('損益分岐設定'!C39*I441-T441&lt;0,'損益分岐設定'!C39,IF('損益分岐設定'!B39*I441-T441&gt;=0,0,ROUNDUP(T441/I441,0)-1)))</x:f>
        <x:v>500</x:v>
      </x:c>
      <x:c r="AC441" s="1" t="n">
        <x:f>IF(I441&lt;=0,'損益分岐設定'!C40,IF('損益分岐設定'!C40*I441-U441&lt;0,'損益分岐設定'!C40,IF('損益分岐設定'!B40*I441-U441&gt;=0,0,ROUNDUP(U441/I441,0)-1)))</x:f>
        <x:v>1000</x:v>
      </x:c>
      <x:c r="AD441" s="1" t="n">
        <x:v>0</x:v>
      </x:c>
      <x:c r="AE441" s="1" t="n">
        <x:v>0</x:v>
      </x:c>
      <x:c r="AF441" s="1" t="n">
        <x:v>1</x:v>
      </x:c>
      <x:c r="AG441" s="1" t="n">
        <x:f>AD441*('損益分岐設定'!$C$57*(1-'損益分岐設定'!$B$51)+'損益分岐設定'!$C$58*'損益分岐設定'!$B$51)+AE441*('損益分岐設定'!$C$60*(1-'損益分岐設定'!$B$51)+'損益分岐設定'!$C$61*'損益分岐設定'!$B$51)+AF441*('損益分岐設定'!$C$63*(1-'損益分岐設定'!$B$51)+'損益分岐設定'!$C$64*'損益分岐設定'!$B$51)</x:f>
        <x:v>5765.522041015625</x:v>
      </x:c>
      <x:c r="AH441" s="1" t="n">
        <x:f>AD441*('損益分岐設定'!$D$57*(1-'損益分岐設定'!$B$51)+'損益分岐設定'!$D$58*'損益分岐設定'!$B$51)+AE441*('損益分岐設定'!$D$60*(1-'損益分岐設定'!$B$51)+'損益分岐設定'!$D$61*'損益分岐設定'!$B$51)+AF441*('損益分岐設定'!$D$63*(1-'損益分岐設定'!$B$51)+'損益分岐設定'!$D$64*'損益分岐設定'!$B$51)</x:f>
        <x:v>480</x:v>
      </x:c>
      <x:c r="AI441" s="1" t="n">
        <x:f>AD441*('損益分岐設定'!$E$57*(1-'損益分岐設定'!$B$51)+'損益分岐設定'!$E$58*'損益分岐設定'!$B$51)+AE441*('損益分岐設定'!$E$60*(1-'損益分岐設定'!$B$51)+'損益分岐設定'!$E$61*'損益分岐設定'!$B$51)+AF441*('損益分岐設定'!$E$63*(1-'損益分岐設定'!$B$51)+'損益分岐設定'!$E$64*'損益分岐設定'!$B$51)</x:f>
        <x:v>560</x:v>
      </x:c>
      <x:c r="AJ441" s="1" t="n">
        <x:f>(AD441*('損益分岐設定'!$F$57*(1-'損益分岐設定'!$B$51)+'損益分岐設定'!$F$58*'損益分岐設定'!$B$51)+AE441*('損益分岐設定'!$F$60*(1-'損益分岐設定'!$B$51)+'損益分岐設定'!$F$61*'損益分岐設定'!$B$51)+AF441*('損益分岐設定'!$F$63*(1-'損益分岐設定'!$B$51)+'損益分岐設定'!$F$64*'損益分岐設定'!$B$51)*1)*'損益分岐設定'!$B$22</x:f>
        <x:v>4560</x:v>
      </x:c>
      <x:c r="AK441" s="1" t="n">
        <x:f>AD441*('損益分岐設定'!$G$57*(1-'損益分岐設定'!$B$51)+'損益分岐設定'!$G$58*'損益分岐設定'!$B$51)+AE441*('損益分岐設定'!$G$60*(1-'損益分岐設定'!$B$51)+'損益分岐設定'!$G$61*'損益分岐設定'!$B$51)+AF441*('損益分岐設定'!$G$63*(1-'損益分岐設定'!$B$51)+'損益分岐設定'!$G$64*'損益分岐設定'!$B$51)</x:f>
        <x:v>4000</x:v>
      </x:c>
      <x:c r="AL441" s="1" t="n">
        <x:f>AD441*('損益分岐設定'!$H$57*(1-'損益分岐設定'!$B$51)+'損益分岐設定'!$H$58*'損益分岐設定'!$B$51)+AE441*('損益分岐設定'!$H$60*(1-'損益分岐設定'!$B$51)+'損益分岐設定'!$H$61*'損益分岐設定'!$B$51)+AF441*('損益分岐設定'!$H$63*(1-'損益分岐設定'!$B$51)+'損益分岐設定'!$H$64*'損益分岐設定'!$B$51)</x:f>
        <x:v>1026.666666666667</x:v>
      </x:c>
      <x:c r="AM441" s="1" t="n">
        <x:f>MAX(1,ROUNDUP('損益分岐設定'!C37*AJ441/('損益分岐設定'!$B$23*'損益分岐設定'!$B$24*3600*'損益分岐設定'!$B$25),0))</x:f>
        <x:v>1</x:v>
      </x:c>
      <x:c r="AN441" s="1" t="n">
        <x:f>MAX(2,ROUNDUP('損益分岐設定'!C38*AJ441/('損益分岐設定'!$B$23*'損益分岐設定'!$B$24*3600*'損益分岐設定'!$B$25),0))</x:f>
        <x:v>2</x:v>
      </x:c>
      <x:c r="AO441" s="1" t="n">
        <x:f>MAX(2,ROUNDUP('損益分岐設定'!C39*AJ441/('損益分岐設定'!$B$23*'損益分岐設定'!$B$24*3600*'損益分岐設定'!$B$25),0))</x:f>
        <x:v>5</x:v>
      </x:c>
      <x:c r="AP441" s="1" t="n">
        <x:f>MAX(2,ROUNDUP('損益分岐設定'!C40*AJ441/('損益分岐設定'!$B$23*'損益分岐設定'!$B$24*3600*'損益分岐設定'!$B$25),0))</x:f>
        <x:v>9</x:v>
      </x:c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 ht="23" customHeight="1">
      <x:c r="A442" s="1" t="str">
        <x:v>VM</x:v>
      </x:c>
      <x:c r="B442" s="1" t="str">
        <x:v>Business Plus</x:v>
      </x:c>
      <x:c r="C442" s="1" t="str">
        <x:v>標準+高位混在</x:v>
      </x:c>
      <x:c r="D442" s="21" t="n">
        <x:v>0.4</x:v>
      </x:c>
      <x:c r="E442" s="1" t="n">
        <x:v>1</x:v>
      </x:c>
      <x:c r="F442" s="7" t="n">
        <x:f>AD442*'損益分岐設定'!$B$5+AE442*'損益分岐設定'!$B$6+AF442*'損益分岐設定'!$B$7</x:f>
        <x:v>8000</x:v>
      </x:c>
      <x:c r="G442" s="7" t="n">
        <x:f>AG442+0+AK442*'損益分岐設定'!$B$33</x:f>
        <x:v>5765.566744499207</x:v>
      </x:c>
      <x:c r="H442" s="7" t="n">
        <x:f>AL442*E442</x:f>
        <x:v>1026.666666666667</x:v>
      </x:c>
      <x:c r="I442" s="7" t="n">
        <x:f>F442*(1-D442-'損益分岐設定'!$B$10)-G442-H442</x:f>
        <x:v>-2280.233411165874</x:v>
      </x:c>
      <x:c r="J442" s="1" t="str">
        <x:f>IF(MIN(V442:Y442)&gt;1000,"範囲内なし",MIN(V442:Y442))</x:f>
        <x:v>範囲内なし</x:v>
      </x:c>
      <x:c r="K442" s="1" t="str">
        <x:f>IF(MAX(Z442:AC442)&gt;=1000,"範囲内なし",MAX(1,MAX(Z442:AC442)+1))</x:f>
        <x:v>範囲内なし</x:v>
      </x:c>
      <x:c r="L442" s="7" t="n">
        <x:f>10*I442-R442</x:f>
        <x:v>-105561.52087288</x:v>
      </x:c>
      <x:c r="M442" s="7" t="n">
        <x:f>30*I442-S442</x:f>
        <x:v>-213425.37585741875</x:v>
      </x:c>
      <x:c r="N442" s="7" t="n">
        <x:f>50*I442-S442</x:f>
        <x:v>-259030.04408073623</x:v>
      </x:c>
      <x:c r="O442" s="7" t="n">
        <x:f>100*I442-S442</x:f>
        <x:v>-373041.71463902993</x:v>
      </x:c>
      <x:c r="P442" s="7" t="n">
        <x:f>300*I442-T442</x:f>
        <x:v>-892407.7869431206</x:v>
      </x:c>
      <x:c r="Q442" s="7" t="n">
        <x:f>1000*I442-U442</x:f>
        <x:v>-2599209.9549010643</x:v>
      </x:c>
      <x:c r="R442" s="7" t="n">
        <x:f>'損益分岐設定'!$B$18+'損益分岐設定'!$B$19+'損益分岐設定'!$B$20+'損益分岐設定'!E37+('損益分岐設定'!F37+2*'損益分岐設定'!G37+AM442)*('損益分岐設定'!$B$15+'損益分岐設定'!$B$16)+'損益分岐設定'!$B$17+'損益分岐設定'!$B$21+E442*'損益分岐設定'!H37*'損益分岐設定'!$B$11</x:f>
        <x:v>82759.18676122127</x:v>
      </x:c>
      <x:c r="S442" s="7" t="n">
        <x:f>'損益分岐設定'!$B$18+'損益分岐設定'!$B$19+'損益分岐設定'!$B$20+'損益分岐設定'!E38+('損益分岐設定'!F38+2*'損益分岐設定'!G38+AN442)*('損益分岐設定'!$B$15+'損益分岐設定'!$B$16)+'損益分岐設定'!$B$17+'損益分岐設定'!$B$21+E442*'損益分岐設定'!H38*'損益分岐設定'!$B$11</x:f>
        <x:v>145018.37352244253</x:v>
      </x:c>
      <x:c r="T442" s="7" t="n">
        <x:f>'損益分岐設定'!$B$18+'損益分岐設定'!$B$19+'損益分岐設定'!$B$20+'損益分岐設定'!E39+('損益分岐設定'!F39+2*'損益分岐設定'!G39+AO442)*('損益分岐設定'!$B$15+'損益分岐設定'!$B$16)+'損益分岐設定'!$B$17+'損益分岐設定'!$B$21+E442*'損益分岐設定'!H39*'損益分岐設定'!$B$11</x:f>
        <x:v>208337.7635933585</x:v>
      </x:c>
      <x:c r="U442" s="7" t="n">
        <x:f>'損益分岐設定'!$B$18+'損益分岐設定'!$B$19+'損益分岐設定'!$B$20+'損益分岐設定'!E40+('損益分岐設定'!F40+2*'損益分岐設定'!G40+AP442)*('損益分岐設定'!$B$15+'損益分岐設定'!$B$16)+'損益分岐設定'!$B$17+'損益分岐設定'!$B$21+E442*'損益分岐設定'!H40*'損益分岐設定'!$B$11</x:f>
        <x:v>318976.5437351904</x:v>
      </x:c>
      <x:c r="V442" s="1" t="n">
        <x:f>IF(I442&lt;=0,1001,IF(MAX('損益分岐設定'!B37,ROUNDUP(R442/I442,0))&lt;='損益分岐設定'!C37,MAX('損益分岐設定'!B37,ROUNDUP(R442/I442,0)),1001))</x:f>
        <x:v>1001</x:v>
      </x:c>
      <x:c r="W442" s="1" t="n">
        <x:f>IF(I442&lt;=0,1001,IF(MAX('損益分岐設定'!B38,ROUNDUP(S442/I442,0))&lt;='損益分岐設定'!C38,MAX('損益分岐設定'!B38,ROUNDUP(S442/I442,0)),1001))</x:f>
        <x:v>1001</x:v>
      </x:c>
      <x:c r="X442" s="1" t="n">
        <x:f>IF(I442&lt;=0,1001,IF(MAX('損益分岐設定'!B39,ROUNDUP(T442/I442,0))&lt;='損益分岐設定'!C39,MAX('損益分岐設定'!B39,ROUNDUP(T442/I442,0)),1001))</x:f>
        <x:v>1001</x:v>
      </x:c>
      <x:c r="Y442" s="1" t="n">
        <x:f>IF(I442&lt;=0,1001,IF(MAX('損益分岐設定'!B40,ROUNDUP(U442/I442,0))&lt;='損益分岐設定'!C40,MAX('損益分岐設定'!B40,ROUNDUP(U442/I442,0)),1001))</x:f>
        <x:v>1001</x:v>
      </x:c>
      <x:c r="Z442" s="1" t="n">
        <x:f>IF(I442&lt;=0,'損益分岐設定'!C37,IF('損益分岐設定'!C37*I442-R442&lt;0,'損益分岐設定'!C37,IF('損益分岐設定'!B37*I442-R442&gt;=0,0,ROUNDUP(R442/I442,0)-1)))</x:f>
        <x:v>10</x:v>
      </x:c>
      <x:c r="AA442" s="1" t="n">
        <x:f>IF(I442&lt;=0,'損益分岐設定'!C38,IF('損益分岐設定'!C38*I442-S442&lt;0,'損益分岐設定'!C38,IF('損益分岐設定'!B38*I442-S442&gt;=0,0,ROUNDUP(S442/I442,0)-1)))</x:f>
        <x:v>100</x:v>
      </x:c>
      <x:c r="AB442" s="1" t="n">
        <x:f>IF(I442&lt;=0,'損益分岐設定'!C39,IF('損益分岐設定'!C39*I442-T442&lt;0,'損益分岐設定'!C39,IF('損益分岐設定'!B39*I442-T442&gt;=0,0,ROUNDUP(T442/I442,0)-1)))</x:f>
        <x:v>500</x:v>
      </x:c>
      <x:c r="AC442" s="1" t="n">
        <x:f>IF(I442&lt;=0,'損益分岐設定'!C40,IF('損益分岐設定'!C40*I442-U442&lt;0,'損益分岐設定'!C40,IF('損益分岐設定'!B40*I442-U442&gt;=0,0,ROUNDUP(U442/I442,0)-1)))</x:f>
        <x:v>1000</x:v>
      </x:c>
      <x:c r="AD442" s="1" t="n">
        <x:v>0</x:v>
      </x:c>
      <x:c r="AE442" s="1" t="n">
        <x:v>0</x:v>
      </x:c>
      <x:c r="AF442" s="1" t="n">
        <x:v>1</x:v>
      </x:c>
      <x:c r="AG442" s="1" t="n">
        <x:f>AD442*('損益分岐設定'!$C$57*(1-'損益分岐設定'!$B$51)+'損益分岐設定'!$C$58*'損益分岐設定'!$B$51)+AE442*('損益分岐設定'!$C$60*(1-'損益分岐設定'!$B$51)+'損益分岐設定'!$C$61*'損益分岐設定'!$B$51)+AF442*('損益分岐設定'!$C$63*(1-'損益分岐設定'!$B$51)+'損益分岐設定'!$C$64*'損益分岐設定'!$B$51)</x:f>
        <x:v>5765.522041015625</x:v>
      </x:c>
      <x:c r="AH442" s="1" t="n">
        <x:f>AD442*('損益分岐設定'!$D$57*(1-'損益分岐設定'!$B$51)+'損益分岐設定'!$D$58*'損益分岐設定'!$B$51)+AE442*('損益分岐設定'!$D$60*(1-'損益分岐設定'!$B$51)+'損益分岐設定'!$D$61*'損益分岐設定'!$B$51)+AF442*('損益分岐設定'!$D$63*(1-'損益分岐設定'!$B$51)+'損益分岐設定'!$D$64*'損益分岐設定'!$B$51)</x:f>
        <x:v>480</x:v>
      </x:c>
      <x:c r="AI442" s="1" t="n">
        <x:f>AD442*('損益分岐設定'!$E$57*(1-'損益分岐設定'!$B$51)+'損益分岐設定'!$E$58*'損益分岐設定'!$B$51)+AE442*('損益分岐設定'!$E$60*(1-'損益分岐設定'!$B$51)+'損益分岐設定'!$E$61*'損益分岐設定'!$B$51)+AF442*('損益分岐設定'!$E$63*(1-'損益分岐設定'!$B$51)+'損益分岐設定'!$E$64*'損益分岐設定'!$B$51)</x:f>
        <x:v>560</x:v>
      </x:c>
      <x:c r="AJ442" s="1" t="n">
        <x:f>(AD442*('損益分岐設定'!$F$57*(1-'損益分岐設定'!$B$51)+'損益分岐設定'!$F$58*'損益分岐設定'!$B$51)+AE442*('損益分岐設定'!$F$60*(1-'損益分岐設定'!$B$51)+'損益分岐設定'!$F$61*'損益分岐設定'!$B$51)+AF442*('損益分岐設定'!$F$63*(1-'損益分岐設定'!$B$51)+'損益分岐設定'!$F$64*'損益分岐設定'!$B$51)*1)*'損益分岐設定'!$B$22</x:f>
        <x:v>4560</x:v>
      </x:c>
      <x:c r="AK442" s="1" t="n">
        <x:f>AD442*('損益分岐設定'!$G$57*(1-'損益分岐設定'!$B$51)+'損益分岐設定'!$G$58*'損益分岐設定'!$B$51)+AE442*('損益分岐設定'!$G$60*(1-'損益分岐設定'!$B$51)+'損益分岐設定'!$G$61*'損益分岐設定'!$B$51)+AF442*('損益分岐設定'!$G$63*(1-'損益分岐設定'!$B$51)+'損益分岐設定'!$G$64*'損益分岐設定'!$B$51)</x:f>
        <x:v>4000</x:v>
      </x:c>
      <x:c r="AL442" s="1" t="n">
        <x:f>AD442*('損益分岐設定'!$H$57*(1-'損益分岐設定'!$B$51)+'損益分岐設定'!$H$58*'損益分岐設定'!$B$51)+AE442*('損益分岐設定'!$H$60*(1-'損益分岐設定'!$B$51)+'損益分岐設定'!$H$61*'損益分岐設定'!$B$51)+AF442*('損益分岐設定'!$H$63*(1-'損益分岐設定'!$B$51)+'損益分岐設定'!$H$64*'損益分岐設定'!$B$51)</x:f>
        <x:v>1026.666666666667</x:v>
      </x:c>
      <x:c r="AM442" s="1" t="n">
        <x:f>MAX(1,ROUNDUP('損益分岐設定'!C37*AJ442/('損益分岐設定'!$B$23*'損益分岐設定'!$B$24*3600*'損益分岐設定'!$B$25),0))</x:f>
        <x:v>1</x:v>
      </x:c>
      <x:c r="AN442" s="1" t="n">
        <x:f>MAX(2,ROUNDUP('損益分岐設定'!C38*AJ442/('損益分岐設定'!$B$23*'損益分岐設定'!$B$24*3600*'損益分岐設定'!$B$25),0))</x:f>
        <x:v>2</x:v>
      </x:c>
      <x:c r="AO442" s="1" t="n">
        <x:f>MAX(2,ROUNDUP('損益分岐設定'!C39*AJ442/('損益分岐設定'!$B$23*'損益分岐設定'!$B$24*3600*'損益分岐設定'!$B$25),0))</x:f>
        <x:v>5</x:v>
      </x:c>
      <x:c r="AP442" s="1" t="n">
        <x:f>MAX(2,ROUNDUP('損益分岐設定'!C40*AJ442/('損益分岐設定'!$B$23*'損益分岐設定'!$B$24*3600*'損益分岐設定'!$B$25),0))</x:f>
        <x:v>9</x:v>
      </x:c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 ht="23" customHeight="1">
      <x:c r="A443" s="1" t="str">
        <x:v>VM</x:v>
      </x:c>
      <x:c r="B443" s="1" t="str">
        <x:v>Business Plus</x:v>
      </x:c>
      <x:c r="C443" s="1" t="str">
        <x:v>標準+高位混在</x:v>
      </x:c>
      <x:c r="D443" s="21" t="n">
        <x:v>0.5</x:v>
      </x:c>
      <x:c r="E443" s="1" t="n">
        <x:v>0</x:v>
      </x:c>
      <x:c r="F443" s="7" t="n">
        <x:f>AD443*'損益分岐設定'!$B$5+AE443*'損益分岐設定'!$B$6+AF443*'損益分岐設定'!$B$7</x:f>
        <x:v>8000</x:v>
      </x:c>
      <x:c r="G443" s="7" t="n">
        <x:f>AG443+0+AK443*'損益分岐設定'!$B$33</x:f>
        <x:v>5765.566744499207</x:v>
      </x:c>
      <x:c r="H443" s="7" t="n">
        <x:f>AL443*E443</x:f>
        <x:v>0</x:v>
      </x:c>
      <x:c r="I443" s="7" t="n">
        <x:f>F443*(1-D443-'損益分岐設定'!$B$10)-G443-H443</x:f>
        <x:v>-2053.566744499207</x:v>
      </x:c>
      <x:c r="J443" s="1" t="str">
        <x:f>IF(MIN(V443:Y443)&gt;1000,"範囲内なし",MIN(V443:Y443))</x:f>
        <x:v>範囲内なし</x:v>
      </x:c>
      <x:c r="K443" s="1" t="str">
        <x:f>IF(MAX(Z443:AC443)&gt;=1000,"範囲内なし",MAX(1,MAX(Z443:AC443)+1))</x:f>
        <x:v>範囲内なし</x:v>
      </x:c>
      <x:c r="L443" s="7" t="n">
        <x:f>10*I443-R443</x:f>
        <x:v>-71294.85420621335</x:v>
      </x:c>
      <x:c r="M443" s="7" t="n">
        <x:f>30*I443-S443</x:f>
        <x:v>-158625.37585741875</x:v>
      </x:c>
      <x:c r="N443" s="7" t="n">
        <x:f>50*I443-S443</x:f>
        <x:v>-199696.7107474029</x:v>
      </x:c>
      <x:c r="O443" s="7" t="n">
        <x:f>100*I443-S443</x:f>
        <x:v>-302375.04797236325</x:v>
      </x:c>
      <x:c r="P443" s="7" t="n">
        <x:f>300*I443-T443</x:f>
        <x:v>-744407.7869431205</x:v>
      </x:c>
      <x:c r="Q443" s="7" t="n">
        <x:f>1000*I443-U443</x:f>
        <x:v>-2244543.2882343973</x:v>
      </x:c>
      <x:c r="R443" s="7" t="n">
        <x:f>'損益分岐設定'!$B$18+'損益分岐設定'!$B$19+'損益分岐設定'!$B$20+'損益分岐設定'!E37+('損益分岐設定'!F37+2*'損益分岐設定'!G37+AM443)*('損益分岐設定'!$B$15+'損益分岐設定'!$B$16)+'損益分岐設定'!$B$17+'損益分岐設定'!$B$21+E443*'損益分岐設定'!H37*'損益分岐設定'!$B$11</x:f>
        <x:v>50759.18676122127</x:v>
      </x:c>
      <x:c r="S443" s="7" t="n">
        <x:f>'損益分岐設定'!$B$18+'損益分岐設定'!$B$19+'損益分岐設定'!$B$20+'損益分岐設定'!E38+('損益分岐設定'!F38+2*'損益分岐設定'!G38+AN443)*('損益分岐設定'!$B$15+'損益分岐設定'!$B$16)+'損益分岐設定'!$B$17+'損益分岐設定'!$B$21+E443*'損益分岐設定'!H38*'損益分岐設定'!$B$11</x:f>
        <x:v>97018.37352244255</x:v>
      </x:c>
      <x:c r="T443" s="7" t="n">
        <x:f>'損益分岐設定'!$B$18+'損益分岐設定'!$B$19+'損益分岐設定'!$B$20+'損益分岐設定'!E39+('損益分岐設定'!F39+2*'損益分岐設定'!G39+AO443)*('損益分岐設定'!$B$15+'損益分岐設定'!$B$16)+'損益分岐設定'!$B$17+'損益分岐設定'!$B$21+E443*'損益分岐設定'!H39*'損益分岐設定'!$B$11</x:f>
        <x:v>128337.7635933585</x:v>
      </x:c>
      <x:c r="U443" s="7" t="n">
        <x:f>'損益分岐設定'!$B$18+'損益分岐設定'!$B$19+'損益分岐設定'!$B$20+'損益分岐設定'!E40+('損益分岐設定'!F40+2*'損益分岐設定'!G40+AP443)*('損益分岐設定'!$B$15+'損益分岐設定'!$B$16)+'損益分岐設定'!$B$17+'損益分岐設定'!$B$21+E443*'損益分岐設定'!H40*'損益分岐設定'!$B$11</x:f>
        <x:v>190976.5437351904</x:v>
      </x:c>
      <x:c r="V443" s="1" t="n">
        <x:f>IF(I443&lt;=0,1001,IF(MAX('損益分岐設定'!B37,ROUNDUP(R443/I443,0))&lt;='損益分岐設定'!C37,MAX('損益分岐設定'!B37,ROUNDUP(R443/I443,0)),1001))</x:f>
        <x:v>1001</x:v>
      </x:c>
      <x:c r="W443" s="1" t="n">
        <x:f>IF(I443&lt;=0,1001,IF(MAX('損益分岐設定'!B38,ROUNDUP(S443/I443,0))&lt;='損益分岐設定'!C38,MAX('損益分岐設定'!B38,ROUNDUP(S443/I443,0)),1001))</x:f>
        <x:v>1001</x:v>
      </x:c>
      <x:c r="X443" s="1" t="n">
        <x:f>IF(I443&lt;=0,1001,IF(MAX('損益分岐設定'!B39,ROUNDUP(T443/I443,0))&lt;='損益分岐設定'!C39,MAX('損益分岐設定'!B39,ROUNDUP(T443/I443,0)),1001))</x:f>
        <x:v>1001</x:v>
      </x:c>
      <x:c r="Y443" s="1" t="n">
        <x:f>IF(I443&lt;=0,1001,IF(MAX('損益分岐設定'!B40,ROUNDUP(U443/I443,0))&lt;='損益分岐設定'!C40,MAX('損益分岐設定'!B40,ROUNDUP(U443/I443,0)),1001))</x:f>
        <x:v>1001</x:v>
      </x:c>
      <x:c r="Z443" s="1" t="n">
        <x:f>IF(I443&lt;=0,'損益分岐設定'!C37,IF('損益分岐設定'!C37*I443-R443&lt;0,'損益分岐設定'!C37,IF('損益分岐設定'!B37*I443-R443&gt;=0,0,ROUNDUP(R443/I443,0)-1)))</x:f>
        <x:v>10</x:v>
      </x:c>
      <x:c r="AA443" s="1" t="n">
        <x:f>IF(I443&lt;=0,'損益分岐設定'!C38,IF('損益分岐設定'!C38*I443-S443&lt;0,'損益分岐設定'!C38,IF('損益分岐設定'!B38*I443-S443&gt;=0,0,ROUNDUP(S443/I443,0)-1)))</x:f>
        <x:v>100</x:v>
      </x:c>
      <x:c r="AB443" s="1" t="n">
        <x:f>IF(I443&lt;=0,'損益分岐設定'!C39,IF('損益分岐設定'!C39*I443-T443&lt;0,'損益分岐設定'!C39,IF('損益分岐設定'!B39*I443-T443&gt;=0,0,ROUNDUP(T443/I443,0)-1)))</x:f>
        <x:v>500</x:v>
      </x:c>
      <x:c r="AC443" s="1" t="n">
        <x:f>IF(I443&lt;=0,'損益分岐設定'!C40,IF('損益分岐設定'!C40*I443-U443&lt;0,'損益分岐設定'!C40,IF('損益分岐設定'!B40*I443-U443&gt;=0,0,ROUNDUP(U443/I443,0)-1)))</x:f>
        <x:v>1000</x:v>
      </x:c>
      <x:c r="AD443" s="1" t="n">
        <x:v>0</x:v>
      </x:c>
      <x:c r="AE443" s="1" t="n">
        <x:v>0</x:v>
      </x:c>
      <x:c r="AF443" s="1" t="n">
        <x:v>1</x:v>
      </x:c>
      <x:c r="AG443" s="1" t="n">
        <x:f>AD443*('損益分岐設定'!$C$57*(1-'損益分岐設定'!$B$51)+'損益分岐設定'!$C$58*'損益分岐設定'!$B$51)+AE443*('損益分岐設定'!$C$60*(1-'損益分岐設定'!$B$51)+'損益分岐設定'!$C$61*'損益分岐設定'!$B$51)+AF443*('損益分岐設定'!$C$63*(1-'損益分岐設定'!$B$51)+'損益分岐設定'!$C$64*'損益分岐設定'!$B$51)</x:f>
        <x:v>5765.522041015625</x:v>
      </x:c>
      <x:c r="AH443" s="1" t="n">
        <x:f>AD443*('損益分岐設定'!$D$57*(1-'損益分岐設定'!$B$51)+'損益分岐設定'!$D$58*'損益分岐設定'!$B$51)+AE443*('損益分岐設定'!$D$60*(1-'損益分岐設定'!$B$51)+'損益分岐設定'!$D$61*'損益分岐設定'!$B$51)+AF443*('損益分岐設定'!$D$63*(1-'損益分岐設定'!$B$51)+'損益分岐設定'!$D$64*'損益分岐設定'!$B$51)</x:f>
        <x:v>480</x:v>
      </x:c>
      <x:c r="AI443" s="1" t="n">
        <x:f>AD443*('損益分岐設定'!$E$57*(1-'損益分岐設定'!$B$51)+'損益分岐設定'!$E$58*'損益分岐設定'!$B$51)+AE443*('損益分岐設定'!$E$60*(1-'損益分岐設定'!$B$51)+'損益分岐設定'!$E$61*'損益分岐設定'!$B$51)+AF443*('損益分岐設定'!$E$63*(1-'損益分岐設定'!$B$51)+'損益分岐設定'!$E$64*'損益分岐設定'!$B$51)</x:f>
        <x:v>560</x:v>
      </x:c>
      <x:c r="AJ443" s="1" t="n">
        <x:f>(AD443*('損益分岐設定'!$F$57*(1-'損益分岐設定'!$B$51)+'損益分岐設定'!$F$58*'損益分岐設定'!$B$51)+AE443*('損益分岐設定'!$F$60*(1-'損益分岐設定'!$B$51)+'損益分岐設定'!$F$61*'損益分岐設定'!$B$51)+AF443*('損益分岐設定'!$F$63*(1-'損益分岐設定'!$B$51)+'損益分岐設定'!$F$64*'損益分岐設定'!$B$51)*1)*'損益分岐設定'!$B$22</x:f>
        <x:v>4560</x:v>
      </x:c>
      <x:c r="AK443" s="1" t="n">
        <x:f>AD443*('損益分岐設定'!$G$57*(1-'損益分岐設定'!$B$51)+'損益分岐設定'!$G$58*'損益分岐設定'!$B$51)+AE443*('損益分岐設定'!$G$60*(1-'損益分岐設定'!$B$51)+'損益分岐設定'!$G$61*'損益分岐設定'!$B$51)+AF443*('損益分岐設定'!$G$63*(1-'損益分岐設定'!$B$51)+'損益分岐設定'!$G$64*'損益分岐設定'!$B$51)</x:f>
        <x:v>4000</x:v>
      </x:c>
      <x:c r="AL443" s="1" t="n">
        <x:f>AD443*('損益分岐設定'!$H$57*(1-'損益分岐設定'!$B$51)+'損益分岐設定'!$H$58*'損益分岐設定'!$B$51)+AE443*('損益分岐設定'!$H$60*(1-'損益分岐設定'!$B$51)+'損益分岐設定'!$H$61*'損益分岐設定'!$B$51)+AF443*('損益分岐設定'!$H$63*(1-'損益分岐設定'!$B$51)+'損益分岐設定'!$H$64*'損益分岐設定'!$B$51)</x:f>
        <x:v>1026.666666666667</x:v>
      </x:c>
      <x:c r="AM443" s="1" t="n">
        <x:f>MAX(1,ROUNDUP('損益分岐設定'!C37*AJ443/('損益分岐設定'!$B$23*'損益分岐設定'!$B$24*3600*'損益分岐設定'!$B$25),0))</x:f>
        <x:v>1</x:v>
      </x:c>
      <x:c r="AN443" s="1" t="n">
        <x:f>MAX(2,ROUNDUP('損益分岐設定'!C38*AJ443/('損益分岐設定'!$B$23*'損益分岐設定'!$B$24*3600*'損益分岐設定'!$B$25),0))</x:f>
        <x:v>2</x:v>
      </x:c>
      <x:c r="AO443" s="1" t="n">
        <x:f>MAX(2,ROUNDUP('損益分岐設定'!C39*AJ443/('損益分岐設定'!$B$23*'損益分岐設定'!$B$24*3600*'損益分岐設定'!$B$25),0))</x:f>
        <x:v>5</x:v>
      </x:c>
      <x:c r="AP443" s="1" t="n">
        <x:f>MAX(2,ROUNDUP('損益分岐設定'!C40*AJ443/('損益分岐設定'!$B$23*'損益分岐設定'!$B$24*3600*'損益分岐設定'!$B$25),0))</x:f>
        <x:v>9</x:v>
      </x:c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 ht="23" customHeight="1">
      <x:c r="A444" s="1" t="str">
        <x:v>VM</x:v>
      </x:c>
      <x:c r="B444" s="1" t="str">
        <x:v>Business Plus</x:v>
      </x:c>
      <x:c r="C444" s="1" t="str">
        <x:v>標準+高位混在</x:v>
      </x:c>
      <x:c r="D444" s="21" t="n">
        <x:v>0.5</x:v>
      </x:c>
      <x:c r="E444" s="1" t="n">
        <x:v>1</x:v>
      </x:c>
      <x:c r="F444" s="7" t="n">
        <x:f>AD444*'損益分岐設定'!$B$5+AE444*'損益分岐設定'!$B$6+AF444*'損益分岐設定'!$B$7</x:f>
        <x:v>8000</x:v>
      </x:c>
      <x:c r="G444" s="7" t="n">
        <x:f>AG444+0+AK444*'損益分岐設定'!$B$33</x:f>
        <x:v>5765.566744499207</x:v>
      </x:c>
      <x:c r="H444" s="7" t="n">
        <x:f>AL444*E444</x:f>
        <x:v>1026.666666666667</x:v>
      </x:c>
      <x:c r="I444" s="7" t="n">
        <x:f>F444*(1-D444-'損益分岐設定'!$B$10)-G444-H444</x:f>
        <x:v>-3080.233411165874</x:v>
      </x:c>
      <x:c r="J444" s="1" t="str">
        <x:f>IF(MIN(V444:Y444)&gt;1000,"範囲内なし",MIN(V444:Y444))</x:f>
        <x:v>範囲内なし</x:v>
      </x:c>
      <x:c r="K444" s="1" t="str">
        <x:f>IF(MAX(Z444:AC444)&gt;=1000,"範囲内なし",MAX(1,MAX(Z444:AC444)+1))</x:f>
        <x:v>範囲内なし</x:v>
      </x:c>
      <x:c r="L444" s="7" t="n">
        <x:f>10*I444-R444</x:f>
        <x:v>-113561.52087288</x:v>
      </x:c>
      <x:c r="M444" s="7" t="n">
        <x:f>30*I444-S444</x:f>
        <x:v>-237425.37585741875</x:v>
      </x:c>
      <x:c r="N444" s="7" t="n">
        <x:f>50*I444-S444</x:f>
        <x:v>-299030.04408073623</x:v>
      </x:c>
      <x:c r="O444" s="7" t="n">
        <x:f>100*I444-S444</x:f>
        <x:v>-453041.71463902993</x:v>
      </x:c>
      <x:c r="P444" s="7" t="n">
        <x:f>300*I444-T444</x:f>
        <x:v>-1132407.7869431206</x:v>
      </x:c>
      <x:c r="Q444" s="7" t="n">
        <x:f>1000*I444-U444</x:f>
        <x:v>-3399209.9549010643</x:v>
      </x:c>
      <x:c r="R444" s="7" t="n">
        <x:f>'損益分岐設定'!$B$18+'損益分岐設定'!$B$19+'損益分岐設定'!$B$20+'損益分岐設定'!E37+('損益分岐設定'!F37+2*'損益分岐設定'!G37+AM444)*('損益分岐設定'!$B$15+'損益分岐設定'!$B$16)+'損益分岐設定'!$B$17+'損益分岐設定'!$B$21+E444*'損益分岐設定'!H37*'損益分岐設定'!$B$11</x:f>
        <x:v>82759.18676122127</x:v>
      </x:c>
      <x:c r="S444" s="7" t="n">
        <x:f>'損益分岐設定'!$B$18+'損益分岐設定'!$B$19+'損益分岐設定'!$B$20+'損益分岐設定'!E38+('損益分岐設定'!F38+2*'損益分岐設定'!G38+AN444)*('損益分岐設定'!$B$15+'損益分岐設定'!$B$16)+'損益分岐設定'!$B$17+'損益分岐設定'!$B$21+E444*'損益分岐設定'!H38*'損益分岐設定'!$B$11</x:f>
        <x:v>145018.37352244253</x:v>
      </x:c>
      <x:c r="T444" s="7" t="n">
        <x:f>'損益分岐設定'!$B$18+'損益分岐設定'!$B$19+'損益分岐設定'!$B$20+'損益分岐設定'!E39+('損益分岐設定'!F39+2*'損益分岐設定'!G39+AO444)*('損益分岐設定'!$B$15+'損益分岐設定'!$B$16)+'損益分岐設定'!$B$17+'損益分岐設定'!$B$21+E444*'損益分岐設定'!H39*'損益分岐設定'!$B$11</x:f>
        <x:v>208337.7635933585</x:v>
      </x:c>
      <x:c r="U444" s="7" t="n">
        <x:f>'損益分岐設定'!$B$18+'損益分岐設定'!$B$19+'損益分岐設定'!$B$20+'損益分岐設定'!E40+('損益分岐設定'!F40+2*'損益分岐設定'!G40+AP444)*('損益分岐設定'!$B$15+'損益分岐設定'!$B$16)+'損益分岐設定'!$B$17+'損益分岐設定'!$B$21+E444*'損益分岐設定'!H40*'損益分岐設定'!$B$11</x:f>
        <x:v>318976.5437351904</x:v>
      </x:c>
      <x:c r="V444" s="1" t="n">
        <x:f>IF(I444&lt;=0,1001,IF(MAX('損益分岐設定'!B37,ROUNDUP(R444/I444,0))&lt;='損益分岐設定'!C37,MAX('損益分岐設定'!B37,ROUNDUP(R444/I444,0)),1001))</x:f>
        <x:v>1001</x:v>
      </x:c>
      <x:c r="W444" s="1" t="n">
        <x:f>IF(I444&lt;=0,1001,IF(MAX('損益分岐設定'!B38,ROUNDUP(S444/I444,0))&lt;='損益分岐設定'!C38,MAX('損益分岐設定'!B38,ROUNDUP(S444/I444,0)),1001))</x:f>
        <x:v>1001</x:v>
      </x:c>
      <x:c r="X444" s="1" t="n">
        <x:f>IF(I444&lt;=0,1001,IF(MAX('損益分岐設定'!B39,ROUNDUP(T444/I444,0))&lt;='損益分岐設定'!C39,MAX('損益分岐設定'!B39,ROUNDUP(T444/I444,0)),1001))</x:f>
        <x:v>1001</x:v>
      </x:c>
      <x:c r="Y444" s="1" t="n">
        <x:f>IF(I444&lt;=0,1001,IF(MAX('損益分岐設定'!B40,ROUNDUP(U444/I444,0))&lt;='損益分岐設定'!C40,MAX('損益分岐設定'!B40,ROUNDUP(U444/I444,0)),1001))</x:f>
        <x:v>1001</x:v>
      </x:c>
      <x:c r="Z444" s="1" t="n">
        <x:f>IF(I444&lt;=0,'損益分岐設定'!C37,IF('損益分岐設定'!C37*I444-R444&lt;0,'損益分岐設定'!C37,IF('損益分岐設定'!B37*I444-R444&gt;=0,0,ROUNDUP(R444/I444,0)-1)))</x:f>
        <x:v>10</x:v>
      </x:c>
      <x:c r="AA444" s="1" t="n">
        <x:f>IF(I444&lt;=0,'損益分岐設定'!C38,IF('損益分岐設定'!C38*I444-S444&lt;0,'損益分岐設定'!C38,IF('損益分岐設定'!B38*I444-S444&gt;=0,0,ROUNDUP(S444/I444,0)-1)))</x:f>
        <x:v>100</x:v>
      </x:c>
      <x:c r="AB444" s="1" t="n">
        <x:f>IF(I444&lt;=0,'損益分岐設定'!C39,IF('損益分岐設定'!C39*I444-T444&lt;0,'損益分岐設定'!C39,IF('損益分岐設定'!B39*I444-T444&gt;=0,0,ROUNDUP(T444/I444,0)-1)))</x:f>
        <x:v>500</x:v>
      </x:c>
      <x:c r="AC444" s="1" t="n">
        <x:f>IF(I444&lt;=0,'損益分岐設定'!C40,IF('損益分岐設定'!C40*I444-U444&lt;0,'損益分岐設定'!C40,IF('損益分岐設定'!B40*I444-U444&gt;=0,0,ROUNDUP(U444/I444,0)-1)))</x:f>
        <x:v>1000</x:v>
      </x:c>
      <x:c r="AD444" s="1" t="n">
        <x:v>0</x:v>
      </x:c>
      <x:c r="AE444" s="1" t="n">
        <x:v>0</x:v>
      </x:c>
      <x:c r="AF444" s="1" t="n">
        <x:v>1</x:v>
      </x:c>
      <x:c r="AG444" s="1" t="n">
        <x:f>AD444*('損益分岐設定'!$C$57*(1-'損益分岐設定'!$B$51)+'損益分岐設定'!$C$58*'損益分岐設定'!$B$51)+AE444*('損益分岐設定'!$C$60*(1-'損益分岐設定'!$B$51)+'損益分岐設定'!$C$61*'損益分岐設定'!$B$51)+AF444*('損益分岐設定'!$C$63*(1-'損益分岐設定'!$B$51)+'損益分岐設定'!$C$64*'損益分岐設定'!$B$51)</x:f>
        <x:v>5765.522041015625</x:v>
      </x:c>
      <x:c r="AH444" s="1" t="n">
        <x:f>AD444*('損益分岐設定'!$D$57*(1-'損益分岐設定'!$B$51)+'損益分岐設定'!$D$58*'損益分岐設定'!$B$51)+AE444*('損益分岐設定'!$D$60*(1-'損益分岐設定'!$B$51)+'損益分岐設定'!$D$61*'損益分岐設定'!$B$51)+AF444*('損益分岐設定'!$D$63*(1-'損益分岐設定'!$B$51)+'損益分岐設定'!$D$64*'損益分岐設定'!$B$51)</x:f>
        <x:v>480</x:v>
      </x:c>
      <x:c r="AI444" s="1" t="n">
        <x:f>AD444*('損益分岐設定'!$E$57*(1-'損益分岐設定'!$B$51)+'損益分岐設定'!$E$58*'損益分岐設定'!$B$51)+AE444*('損益分岐設定'!$E$60*(1-'損益分岐設定'!$B$51)+'損益分岐設定'!$E$61*'損益分岐設定'!$B$51)+AF444*('損益分岐設定'!$E$63*(1-'損益分岐設定'!$B$51)+'損益分岐設定'!$E$64*'損益分岐設定'!$B$51)</x:f>
        <x:v>560</x:v>
      </x:c>
      <x:c r="AJ444" s="1" t="n">
        <x:f>(AD444*('損益分岐設定'!$F$57*(1-'損益分岐設定'!$B$51)+'損益分岐設定'!$F$58*'損益分岐設定'!$B$51)+AE444*('損益分岐設定'!$F$60*(1-'損益分岐設定'!$B$51)+'損益分岐設定'!$F$61*'損益分岐設定'!$B$51)+AF444*('損益分岐設定'!$F$63*(1-'損益分岐設定'!$B$51)+'損益分岐設定'!$F$64*'損益分岐設定'!$B$51)*1)*'損益分岐設定'!$B$22</x:f>
        <x:v>4560</x:v>
      </x:c>
      <x:c r="AK444" s="1" t="n">
        <x:f>AD444*('損益分岐設定'!$G$57*(1-'損益分岐設定'!$B$51)+'損益分岐設定'!$G$58*'損益分岐設定'!$B$51)+AE444*('損益分岐設定'!$G$60*(1-'損益分岐設定'!$B$51)+'損益分岐設定'!$G$61*'損益分岐設定'!$B$51)+AF444*('損益分岐設定'!$G$63*(1-'損益分岐設定'!$B$51)+'損益分岐設定'!$G$64*'損益分岐設定'!$B$51)</x:f>
        <x:v>4000</x:v>
      </x:c>
      <x:c r="AL444" s="1" t="n">
        <x:f>AD444*('損益分岐設定'!$H$57*(1-'損益分岐設定'!$B$51)+'損益分岐設定'!$H$58*'損益分岐設定'!$B$51)+AE444*('損益分岐設定'!$H$60*(1-'損益分岐設定'!$B$51)+'損益分岐設定'!$H$61*'損益分岐設定'!$B$51)+AF444*('損益分岐設定'!$H$63*(1-'損益分岐設定'!$B$51)+'損益分岐設定'!$H$64*'損益分岐設定'!$B$51)</x:f>
        <x:v>1026.666666666667</x:v>
      </x:c>
      <x:c r="AM444" s="1" t="n">
        <x:f>MAX(1,ROUNDUP('損益分岐設定'!C37*AJ444/('損益分岐設定'!$B$23*'損益分岐設定'!$B$24*3600*'損益分岐設定'!$B$25),0))</x:f>
        <x:v>1</x:v>
      </x:c>
      <x:c r="AN444" s="1" t="n">
        <x:f>MAX(2,ROUNDUP('損益分岐設定'!C38*AJ444/('損益分岐設定'!$B$23*'損益分岐設定'!$B$24*3600*'損益分岐設定'!$B$25),0))</x:f>
        <x:v>2</x:v>
      </x:c>
      <x:c r="AO444" s="1" t="n">
        <x:f>MAX(2,ROUNDUP('損益分岐設定'!C39*AJ444/('損益分岐設定'!$B$23*'損益分岐設定'!$B$24*3600*'損益分岐設定'!$B$25),0))</x:f>
        <x:v>5</x:v>
      </x:c>
      <x:c r="AP444" s="1" t="n">
        <x:f>MAX(2,ROUNDUP('損益分岐設定'!C40*AJ444/('損益分岐設定'!$B$23*'損益分岐設定'!$B$24*3600*'損益分岐設定'!$B$25),0))</x:f>
        <x:v>9</x:v>
      </x:c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 ht="23" customHeight="1">
      <x:c r="A445" s="1" t="str">
        <x:v>VM</x:v>
      </x:c>
      <x:c r="B445" s="1" t="str">
        <x:v>混在</x:v>
      </x:c>
      <x:c r="C445" s="1" t="str">
        <x:v>低位</x:v>
      </x:c>
      <x:c r="D445" s="21" t="n">
        <x:v>0</x:v>
      </x:c>
      <x:c r="E445" s="1" t="n">
        <x:v>0</x:v>
      </x:c>
      <x:c r="F445" s="7" t="n">
        <x:f>AD445*'損益分岐設定'!$B$5+AE445*'損益分岐設定'!$B$6+AF445*'損益分岐設定'!$B$7</x:f>
        <x:v>4600</x:v>
      </x:c>
      <x:c r="G445" s="7" t="n">
        <x:f>AG445+0+AK445*'損益分岐設定'!$B$33</x:f>
        <x:v>110.52012949864866</x:v>
      </x:c>
      <x:c r="H445" s="7" t="n">
        <x:f>AL445*E445</x:f>
        <x:v>0</x:v>
      </x:c>
      <x:c r="I445" s="7" t="n">
        <x:f>F445*(1-D445-'損益分岐設定'!$B$10)-G445-H445</x:f>
        <x:v>4323.8798705013505</x:v>
      </x:c>
      <x:c r="J445" s="1" t="n">
        <x:f>IF(MIN(V445:Y445)&gt;1000,"範囲内なし",MIN(V445:Y445))</x:f>
        <x:v>23</x:v>
      </x:c>
      <x:c r="K445" s="1" t="n">
        <x:f>IF(MAX(Z445:AC445)&gt;=1000,"範囲内なし",MAX(1,MAX(Z445:AC445)+1))</x:f>
        <x:v>23</x:v>
      </x:c>
      <x:c r="L445" s="7" t="n">
        <x:f>10*I445-R445</x:f>
        <x:v>-7520.388056207768</x:v>
      </x:c>
      <x:c r="M445" s="7" t="n">
        <x:f>30*I445-S445</x:f>
        <x:v>32698.022592597976</x:v>
      </x:c>
      <x:c r="N445" s="7" t="n">
        <x:f>50*I445-S445</x:f>
        <x:v>119175.62000262497</x:v>
      </x:c>
      <x:c r="O445" s="7" t="n">
        <x:f>100*I445-S445</x:f>
        <x:v>335369.6135276925</x:v>
      </x:c>
      <x:c r="P445" s="7" t="n">
        <x:f>300*I445-T445</x:f>
        <x:v>1200145.5876279627</x:v>
      </x:c>
      <x:c r="Q445" s="7" t="n">
        <x:f>1000*I445-U445</x:f>
        <x:v>4205981.903598297</x:v>
      </x:c>
      <x:c r="R445" s="7" t="n">
        <x:f>'損益分岐設定'!$B$18+'損益分岐設定'!$B$19+'損益分岐設定'!$B$20+'損益分岐設定'!E37+('損益分岐設定'!F37+2*'損益分岐設定'!G37+AM445)*('損益分岐設定'!$B$15+'損益分岐設定'!$B$16)+'損益分岐設定'!$B$17+'損益分岐設定'!$B$21+E445*'損益分岐設定'!H37*'損益分岐設定'!$B$11</x:f>
        <x:v>50759.18676122127</x:v>
      </x:c>
      <x:c r="S445" s="7" t="n">
        <x:f>'損益分岐設定'!$B$18+'損益分岐設定'!$B$19+'損益分岐設定'!$B$20+'損益分岐設定'!E38+('損益分岐設定'!F38+2*'損益分岐設定'!G38+AN445)*('損益分岐設定'!$B$15+'損益分岐設定'!$B$16)+'損益分岐設定'!$B$17+'損益分岐設定'!$B$21+E445*'損益分岐設定'!H38*'損益分岐設定'!$B$11</x:f>
        <x:v>97018.37352244255</x:v>
      </x:c>
      <x:c r="T445" s="7" t="n">
        <x:f>'損益分岐設定'!$B$18+'損益分岐設定'!$B$19+'損益分岐設定'!$B$20+'損益分岐設定'!E39+('損益分岐設定'!F39+2*'損益分岐設定'!G39+AO445)*('損益分岐設定'!$B$15+'損益分岐設定'!$B$16)+'損益分岐設定'!$B$17+'損益分岐設定'!$B$21+E445*'損益分岐設定'!H39*'損益分岐設定'!$B$11</x:f>
        <x:v>97018.37352244255</x:v>
      </x:c>
      <x:c r="U445" s="7" t="n">
        <x:f>'損益分岐設定'!$B$18+'損益分岐設定'!$B$19+'損益分岐設定'!$B$20+'損益分岐設定'!E40+('損益分岐設定'!F40+2*'損益分岐設定'!G40+AP445)*('損益分岐設定'!$B$15+'損益分岐設定'!$B$16)+'損益分岐設定'!$B$17+'損益分岐設定'!$B$21+E445*'損益分岐設定'!H40*'損益分岐設定'!$B$11</x:f>
        <x:v>117897.96690305318</x:v>
      </x:c>
      <x:c r="V445" s="1" t="n">
        <x:f>IF(I445&lt;=0,1001,IF(MAX('損益分岐設定'!B37,ROUNDUP(R445/I445,0))&lt;='損益分岐設定'!C37,MAX('損益分岐設定'!B37,ROUNDUP(R445/I445,0)),1001))</x:f>
        <x:v>1001</x:v>
      </x:c>
      <x:c r="W445" s="1" t="n">
        <x:f>IF(I445&lt;=0,1001,IF(MAX('損益分岐設定'!B38,ROUNDUP(S445/I445,0))&lt;='損益分岐設定'!C38,MAX('損益分岐設定'!B38,ROUNDUP(S445/I445,0)),1001))</x:f>
        <x:v>23</x:v>
      </x:c>
      <x:c r="X445" s="1" t="n">
        <x:f>IF(I445&lt;=0,1001,IF(MAX('損益分岐設定'!B39,ROUNDUP(T445/I445,0))&lt;='損益分岐設定'!C39,MAX('損益分岐設定'!B39,ROUNDUP(T445/I445,0)),1001))</x:f>
        <x:v>101</x:v>
      </x:c>
      <x:c r="Y445" s="1" t="n">
        <x:f>IF(I445&lt;=0,1001,IF(MAX('損益分岐設定'!B40,ROUNDUP(U445/I445,0))&lt;='損益分岐設定'!C40,MAX('損益分岐設定'!B40,ROUNDUP(U445/I445,0)),1001))</x:f>
        <x:v>501</x:v>
      </x:c>
      <x:c r="Z445" s="1" t="n">
        <x:f>IF(I445&lt;=0,'損益分岐設定'!C37,IF('損益分岐設定'!C37*I445-R445&lt;0,'損益分岐設定'!C37,IF('損益分岐設定'!B37*I445-R445&gt;=0,0,ROUNDUP(R445/I445,0)-1)))</x:f>
        <x:v>10</x:v>
      </x:c>
      <x:c r="AA445" s="1" t="n">
        <x:f>IF(I445&lt;=0,'損益分岐設定'!C38,IF('損益分岐設定'!C38*I445-S445&lt;0,'損益分岐設定'!C38,IF('損益分岐設定'!B38*I445-S445&gt;=0,0,ROUNDUP(S445/I445,0)-1)))</x:f>
        <x:v>22</x:v>
      </x:c>
      <x:c r="AB445" s="1" t="n">
        <x:f>IF(I445&lt;=0,'損益分岐設定'!C39,IF('損益分岐設定'!C39*I445-T445&lt;0,'損益分岐設定'!C39,IF('損益分岐設定'!B39*I445-T445&gt;=0,0,ROUNDUP(T445/I445,0)-1)))</x:f>
        <x:v>0</x:v>
      </x:c>
      <x:c r="AC445" s="1" t="n">
        <x:f>IF(I445&lt;=0,'損益分岐設定'!C40,IF('損益分岐設定'!C40*I445-U445&lt;0,'損益分岐設定'!C40,IF('損益分岐設定'!B40*I445-U445&gt;=0,0,ROUNDUP(U445/I445,0)-1)))</x:f>
        <x:v>0</x:v>
      </x:c>
      <x:c r="AD445" s="1" t="n">
        <x:f>'損益分岐設定'!$D$5/SUM('損益分岐設定'!$D$5:$D$7)</x:f>
        <x:v>0.5</x:v>
      </x:c>
      <x:c r="AE445" s="1" t="n">
        <x:f>'損益分岐設定'!$D$6/SUM('損益分岐設定'!$D$5:$D$7)</x:f>
        <x:v>0.3</x:v>
      </x:c>
      <x:c r="AF445" s="1" t="n">
        <x:f>'損益分岐設定'!$D$7/SUM('損益分岐設定'!$D$5:$D$7)</x:f>
        <x:v>0.2</x:v>
      </x:c>
      <x:c r="AG445" s="1" t="n">
        <x:f>AD445*'損益分岐設定'!$C$56+AE445*'損益分岐設定'!$C$59+AF445*'損益分岐設定'!$C$62</x:f>
        <x:v>110.51909573059083</x:v>
      </x:c>
      <x:c r="AH445" s="1" t="n">
        <x:f>AD445*'損益分岐設定'!$D$56+AE445*'損益分岐設定'!$D$59+AF445*'損益分岐設定'!$D$62</x:f>
        <x:v>27.75</x:v>
      </x:c>
      <x:c r="AI445" s="1" t="n">
        <x:f>AD445*'損益分岐設定'!$E$56+AE445*'損益分岐設定'!$E$59+AF445*'損益分岐設定'!$E$62</x:f>
        <x:v>18.5</x:v>
      </x:c>
      <x:c r="AJ445" s="1" t="n">
        <x:f>(AD445*'損益分岐設定'!$F$56+AE445*'損益分岐設定'!$F$59+AF445*'損益分岐設定'!$F$62*1)*'損益分岐設定'!$B$22</x:f>
        <x:v>27.75</x:v>
      </x:c>
      <x:c r="AK445" s="1" t="n">
        <x:f>AD445*'損益分岐設定'!$G$56+AE445*'損益分岐設定'!$G$59+AF445*'損益分岐設定'!$G$62</x:f>
        <x:v>92.5</x:v>
      </x:c>
      <x:c r="AL445" s="1" t="n">
        <x:f>AD445*'損益分岐設定'!$H$56+AE445*'損益分岐設定'!$H$59+AF445*'損益分岐設定'!$H$62</x:f>
        <x:v>323.33333333333337</x:v>
      </x:c>
      <x:c r="AM445" s="1" t="n">
        <x:f>MAX(1,ROUNDUP('損益分岐設定'!C37*AJ445/('損益分岐設定'!$B$23*'損益分岐設定'!$B$24*3600*'損益分岐設定'!$B$25),0))</x:f>
        <x:v>1</x:v>
      </x:c>
      <x:c r="AN445" s="1" t="n">
        <x:f>MAX(2,ROUNDUP('損益分岐設定'!C38*AJ445/('損益分岐設定'!$B$23*'損益分岐設定'!$B$24*3600*'損益分岐設定'!$B$25),0))</x:f>
        <x:v>2</x:v>
      </x:c>
      <x:c r="AO445" s="1" t="n">
        <x:f>MAX(2,ROUNDUP('損益分岐設定'!C39*AJ445/('損益分岐設定'!$B$23*'損益分岐設定'!$B$24*3600*'損益分岐設定'!$B$25),0))</x:f>
        <x:v>2</x:v>
      </x:c>
      <x:c r="AP445" s="1" t="n">
        <x:f>MAX(2,ROUNDUP('損益分岐設定'!C40*AJ445/('損益分岐設定'!$B$23*'損益分岐設定'!$B$24*3600*'損益分岐設定'!$B$25),0))</x:f>
        <x:v>2</x:v>
      </x:c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 ht="23" customHeight="1">
      <x:c r="A446" s="1" t="str">
        <x:v>VM</x:v>
      </x:c>
      <x:c r="B446" s="1" t="str">
        <x:v>混在</x:v>
      </x:c>
      <x:c r="C446" s="1" t="str">
        <x:v>低位</x:v>
      </x:c>
      <x:c r="D446" s="21" t="n">
        <x:v>0</x:v>
      </x:c>
      <x:c r="E446" s="1" t="n">
        <x:v>1</x:v>
      </x:c>
      <x:c r="F446" s="7" t="n">
        <x:f>AD446*'損益分岐設定'!$B$5+AE446*'損益分岐設定'!$B$6+AF446*'損益分岐設定'!$B$7</x:f>
        <x:v>4600</x:v>
      </x:c>
      <x:c r="G446" s="7" t="n">
        <x:f>AG446+0+AK446*'損益分岐設定'!$B$33</x:f>
        <x:v>110.52012949864866</x:v>
      </x:c>
      <x:c r="H446" s="7" t="n">
        <x:f>AL446*E446</x:f>
        <x:v>323.33333333333337</x:v>
      </x:c>
      <x:c r="I446" s="7" t="n">
        <x:f>F446*(1-D446-'損益分岐設定'!$B$10)-G446-H446</x:f>
        <x:v>4000.546537168017</x:v>
      </x:c>
      <x:c r="J446" s="1" t="n">
        <x:f>IF(MIN(V446:Y446)&gt;1000,"範囲内なし",MIN(V446:Y446))</x:f>
        <x:v>37</x:v>
      </x:c>
      <x:c r="K446" s="1" t="n">
        <x:f>IF(MAX(Z446:AC446)&gt;=1000,"範囲内なし",MAX(1,MAX(Z446:AC446)+1))</x:f>
        <x:v>37</x:v>
      </x:c>
      <x:c r="L446" s="7" t="n">
        <x:f>10*I446-R446</x:f>
        <x:v>-42753.7213895411</x:v>
      </x:c>
      <x:c r="M446" s="7" t="n">
        <x:f>30*I446-S446</x:f>
        <x:v>-25001.977407402024</x:v>
      </x:c>
      <x:c r="N446" s="7" t="n">
        <x:f>50*I446-S446</x:f>
        <x:v>55008.95333595833</x:v>
      </x:c>
      <x:c r="O446" s="7" t="n">
        <x:f>100*I446-S446</x:f>
        <x:v>255036.2801943592</x:v>
      </x:c>
      <x:c r="P446" s="7" t="n">
        <x:f>300*I446-T446</x:f>
        <x:v>1023145.5876279625</x:v>
      </x:c>
      <x:c r="Q446" s="7" t="n">
        <x:f>1000*I446-U446</x:f>
        <x:v>3754648.570264964</x:v>
      </x:c>
      <x:c r="R446" s="7" t="n">
        <x:f>'損益分岐設定'!$B$18+'損益分岐設定'!$B$19+'損益分岐設定'!$B$20+'損益分岐設定'!E37+('損益分岐設定'!F37+2*'損益分岐設定'!G37+AM446)*('損益分岐設定'!$B$15+'損益分岐設定'!$B$16)+'損益分岐設定'!$B$17+'損益分岐設定'!$B$21+E446*'損益分岐設定'!H37*'損益分岐設定'!$B$11</x:f>
        <x:v>82759.18676122127</x:v>
      </x:c>
      <x:c r="S446" s="7" t="n">
        <x:f>'損益分岐設定'!$B$18+'損益分岐設定'!$B$19+'損益分岐設定'!$B$20+'損益分岐設定'!E38+('損益分岐設定'!F38+2*'損益分岐設定'!G38+AN446)*('損益分岐設定'!$B$15+'損益分岐設定'!$B$16)+'損益分岐設定'!$B$17+'損益分岐設定'!$B$21+E446*'損益分岐設定'!H38*'損益分岐設定'!$B$11</x:f>
        <x:v>145018.37352244253</x:v>
      </x:c>
      <x:c r="T446" s="7" t="n">
        <x:f>'損益分岐設定'!$B$18+'損益分岐設定'!$B$19+'損益分岐設定'!$B$20+'損益分岐設定'!E39+('損益分岐設定'!F39+2*'損益分岐設定'!G39+AO446)*('損益分岐設定'!$B$15+'損益分岐設定'!$B$16)+'損益分岐設定'!$B$17+'損益分岐設定'!$B$21+E446*'損益分岐設定'!H39*'損益分岐設定'!$B$11</x:f>
        <x:v>177018.37352244253</x:v>
      </x:c>
      <x:c r="U446" s="7" t="n">
        <x:f>'損益分岐設定'!$B$18+'損益分岐設定'!$B$19+'損益分岐設定'!$B$20+'損益分岐設定'!E40+('損益分岐設定'!F40+2*'損益分岐設定'!G40+AP446)*('損益分岐設定'!$B$15+'損益分岐設定'!$B$16)+'損益分岐設定'!$B$17+'損益分岐設定'!$B$21+E446*'損益分岐設定'!H40*'損益分岐設定'!$B$11</x:f>
        <x:v>245897.96690305317</x:v>
      </x:c>
      <x:c r="V446" s="1" t="n">
        <x:f>IF(I446&lt;=0,1001,IF(MAX('損益分岐設定'!B37,ROUNDUP(R446/I446,0))&lt;='損益分岐設定'!C37,MAX('損益分岐設定'!B37,ROUNDUP(R446/I446,0)),1001))</x:f>
        <x:v>1001</x:v>
      </x:c>
      <x:c r="W446" s="1" t="n">
        <x:f>IF(I446&lt;=0,1001,IF(MAX('損益分岐設定'!B38,ROUNDUP(S446/I446,0))&lt;='損益分岐設定'!C38,MAX('損益分岐設定'!B38,ROUNDUP(S446/I446,0)),1001))</x:f>
        <x:v>37</x:v>
      </x:c>
      <x:c r="X446" s="1" t="n">
        <x:f>IF(I446&lt;=0,1001,IF(MAX('損益分岐設定'!B39,ROUNDUP(T446/I446,0))&lt;='損益分岐設定'!C39,MAX('損益分岐設定'!B39,ROUNDUP(T446/I446,0)),1001))</x:f>
        <x:v>101</x:v>
      </x:c>
      <x:c r="Y446" s="1" t="n">
        <x:f>IF(I446&lt;=0,1001,IF(MAX('損益分岐設定'!B40,ROUNDUP(U446/I446,0))&lt;='損益分岐設定'!C40,MAX('損益分岐設定'!B40,ROUNDUP(U446/I446,0)),1001))</x:f>
        <x:v>501</x:v>
      </x:c>
      <x:c r="Z446" s="1" t="n">
        <x:f>IF(I446&lt;=0,'損益分岐設定'!C37,IF('損益分岐設定'!C37*I446-R446&lt;0,'損益分岐設定'!C37,IF('損益分岐設定'!B37*I446-R446&gt;=0,0,ROUNDUP(R446/I446,0)-1)))</x:f>
        <x:v>10</x:v>
      </x:c>
      <x:c r="AA446" s="1" t="n">
        <x:f>IF(I446&lt;=0,'損益分岐設定'!C38,IF('損益分岐設定'!C38*I446-S446&lt;0,'損益分岐設定'!C38,IF('損益分岐設定'!B38*I446-S446&gt;=0,0,ROUNDUP(S446/I446,0)-1)))</x:f>
        <x:v>36</x:v>
      </x:c>
      <x:c r="AB446" s="1" t="n">
        <x:f>IF(I446&lt;=0,'損益分岐設定'!C39,IF('損益分岐設定'!C39*I446-T446&lt;0,'損益分岐設定'!C39,IF('損益分岐設定'!B39*I446-T446&gt;=0,0,ROUNDUP(T446/I446,0)-1)))</x:f>
        <x:v>0</x:v>
      </x:c>
      <x:c r="AC446" s="1" t="n">
        <x:f>IF(I446&lt;=0,'損益分岐設定'!C40,IF('損益分岐設定'!C40*I446-U446&lt;0,'損益分岐設定'!C40,IF('損益分岐設定'!B40*I446-U446&gt;=0,0,ROUNDUP(U446/I446,0)-1)))</x:f>
        <x:v>0</x:v>
      </x:c>
      <x:c r="AD446" s="1" t="n">
        <x:f>'損益分岐設定'!$D$5/SUM('損益分岐設定'!$D$5:$D$7)</x:f>
        <x:v>0.5</x:v>
      </x:c>
      <x:c r="AE446" s="1" t="n">
        <x:f>'損益分岐設定'!$D$6/SUM('損益分岐設定'!$D$5:$D$7)</x:f>
        <x:v>0.3</x:v>
      </x:c>
      <x:c r="AF446" s="1" t="n">
        <x:f>'損益分岐設定'!$D$7/SUM('損益分岐設定'!$D$5:$D$7)</x:f>
        <x:v>0.2</x:v>
      </x:c>
      <x:c r="AG446" s="1" t="n">
        <x:f>AD446*'損益分岐設定'!$C$56+AE446*'損益分岐設定'!$C$59+AF446*'損益分岐設定'!$C$62</x:f>
        <x:v>110.51909573059083</x:v>
      </x:c>
      <x:c r="AH446" s="1" t="n">
        <x:f>AD446*'損益分岐設定'!$D$56+AE446*'損益分岐設定'!$D$59+AF446*'損益分岐設定'!$D$62</x:f>
        <x:v>27.75</x:v>
      </x:c>
      <x:c r="AI446" s="1" t="n">
        <x:f>AD446*'損益分岐設定'!$E$56+AE446*'損益分岐設定'!$E$59+AF446*'損益分岐設定'!$E$62</x:f>
        <x:v>18.5</x:v>
      </x:c>
      <x:c r="AJ446" s="1" t="n">
        <x:f>(AD446*'損益分岐設定'!$F$56+AE446*'損益分岐設定'!$F$59+AF446*'損益分岐設定'!$F$62*1)*'損益分岐設定'!$B$22</x:f>
        <x:v>27.75</x:v>
      </x:c>
      <x:c r="AK446" s="1" t="n">
        <x:f>AD446*'損益分岐設定'!$G$56+AE446*'損益分岐設定'!$G$59+AF446*'損益分岐設定'!$G$62</x:f>
        <x:v>92.5</x:v>
      </x:c>
      <x:c r="AL446" s="1" t="n">
        <x:f>AD446*'損益分岐設定'!$H$56+AE446*'損益分岐設定'!$H$59+AF446*'損益分岐設定'!$H$62</x:f>
        <x:v>323.33333333333337</x:v>
      </x:c>
      <x:c r="AM446" s="1" t="n">
        <x:f>MAX(1,ROUNDUP('損益分岐設定'!C37*AJ446/('損益分岐設定'!$B$23*'損益分岐設定'!$B$24*3600*'損益分岐設定'!$B$25),0))</x:f>
        <x:v>1</x:v>
      </x:c>
      <x:c r="AN446" s="1" t="n">
        <x:f>MAX(2,ROUNDUP('損益分岐設定'!C38*AJ446/('損益分岐設定'!$B$23*'損益分岐設定'!$B$24*3600*'損益分岐設定'!$B$25),0))</x:f>
        <x:v>2</x:v>
      </x:c>
      <x:c r="AO446" s="1" t="n">
        <x:f>MAX(2,ROUNDUP('損益分岐設定'!C39*AJ446/('損益分岐設定'!$B$23*'損益分岐設定'!$B$24*3600*'損益分岐設定'!$B$25),0))</x:f>
        <x:v>2</x:v>
      </x:c>
      <x:c r="AP446" s="1" t="n">
        <x:f>MAX(2,ROUNDUP('損益分岐設定'!C40*AJ446/('損益分岐設定'!$B$23*'損益分岐設定'!$B$24*3600*'損益分岐設定'!$B$25),0))</x:f>
        <x:v>2</x:v>
      </x:c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 ht="23" customHeight="1">
      <x:c r="A447" s="1" t="str">
        <x:v>VM</x:v>
      </x:c>
      <x:c r="B447" s="1" t="str">
        <x:v>混在</x:v>
      </x:c>
      <x:c r="C447" s="1" t="str">
        <x:v>低位</x:v>
      </x:c>
      <x:c r="D447" s="21" t="n">
        <x:v>0.2</x:v>
      </x:c>
      <x:c r="E447" s="1" t="n">
        <x:v>0</x:v>
      </x:c>
      <x:c r="F447" s="7" t="n">
        <x:f>AD447*'損益分岐設定'!$B$5+AE447*'損益分岐設定'!$B$6+AF447*'損益分岐設定'!$B$7</x:f>
        <x:v>4600</x:v>
      </x:c>
      <x:c r="G447" s="7" t="n">
        <x:f>AG447+0+AK447*'損益分岐設定'!$B$33</x:f>
        <x:v>110.52012949864866</x:v>
      </x:c>
      <x:c r="H447" s="7" t="n">
        <x:f>AL447*E447</x:f>
        <x:v>0</x:v>
      </x:c>
      <x:c r="I447" s="7" t="n">
        <x:f>F447*(1-D447-'損益分岐設定'!$B$10)-G447-H447</x:f>
        <x:v>3403.8798705013514</x:v>
      </x:c>
      <x:c r="J447" s="1" t="n">
        <x:f>IF(MIN(V447:Y447)&gt;1000,"範囲内なし",MIN(V447:Y447))</x:f>
        <x:v>29</x:v>
      </x:c>
      <x:c r="K447" s="1" t="n">
        <x:f>IF(MAX(Z447:AC447)&gt;=1000,"範囲内なし",MAX(1,MAX(Z447:AC447)+1))</x:f>
        <x:v>29</x:v>
      </x:c>
      <x:c r="L447" s="7" t="n">
        <x:f>10*I447-R447</x:f>
        <x:v>-16720.38805620776</x:v>
      </x:c>
      <x:c r="M447" s="7" t="n">
        <x:f>30*I447-S447</x:f>
        <x:v>5098.02259259799</x:v>
      </x:c>
      <x:c r="N447" s="7" t="n">
        <x:f>50*I447-S447</x:f>
        <x:v>73175.62000262503</x:v>
      </x:c>
      <x:c r="O447" s="7" t="n">
        <x:f>100*I447-S447</x:f>
        <x:v>243369.61352769262</x:v>
      </x:c>
      <x:c r="P447" s="7" t="n">
        <x:f>300*I447-T447</x:f>
        <x:v>924145.5876279629</x:v>
      </x:c>
      <x:c r="Q447" s="7" t="n">
        <x:f>1000*I447-U447</x:f>
        <x:v>3285981.9035982983</x:v>
      </x:c>
      <x:c r="R447" s="7" t="n">
        <x:f>'損益分岐設定'!$B$18+'損益分岐設定'!$B$19+'損益分岐設定'!$B$20+'損益分岐設定'!E37+('損益分岐設定'!F37+2*'損益分岐設定'!G37+AM447)*('損益分岐設定'!$B$15+'損益分岐設定'!$B$16)+'損益分岐設定'!$B$17+'損益分岐設定'!$B$21+E447*'損益分岐設定'!H37*'損益分岐設定'!$B$11</x:f>
        <x:v>50759.18676122127</x:v>
      </x:c>
      <x:c r="S447" s="7" t="n">
        <x:f>'損益分岐設定'!$B$18+'損益分岐設定'!$B$19+'損益分岐設定'!$B$20+'損益分岐設定'!E38+('損益分岐設定'!F38+2*'損益分岐設定'!G38+AN447)*('損益分岐設定'!$B$15+'損益分岐設定'!$B$16)+'損益分岐設定'!$B$17+'損益分岐設定'!$B$21+E447*'損益分岐設定'!H38*'損益分岐設定'!$B$11</x:f>
        <x:v>97018.37352244255</x:v>
      </x:c>
      <x:c r="T447" s="7" t="n">
        <x:f>'損益分岐設定'!$B$18+'損益分岐設定'!$B$19+'損益分岐設定'!$B$20+'損益分岐設定'!E39+('損益分岐設定'!F39+2*'損益分岐設定'!G39+AO447)*('損益分岐設定'!$B$15+'損益分岐設定'!$B$16)+'損益分岐設定'!$B$17+'損益分岐設定'!$B$21+E447*'損益分岐設定'!H39*'損益分岐設定'!$B$11</x:f>
        <x:v>97018.37352244255</x:v>
      </x:c>
      <x:c r="U447" s="7" t="n">
        <x:f>'損益分岐設定'!$B$18+'損益分岐設定'!$B$19+'損益分岐設定'!$B$20+'損益分岐設定'!E40+('損益分岐設定'!F40+2*'損益分岐設定'!G40+AP447)*('損益分岐設定'!$B$15+'損益分岐設定'!$B$16)+'損益分岐設定'!$B$17+'損益分岐設定'!$B$21+E447*'損益分岐設定'!H40*'損益分岐設定'!$B$11</x:f>
        <x:v>117897.96690305318</x:v>
      </x:c>
      <x:c r="V447" s="1" t="n">
        <x:f>IF(I447&lt;=0,1001,IF(MAX('損益分岐設定'!B37,ROUNDUP(R447/I447,0))&lt;='損益分岐設定'!C37,MAX('損益分岐設定'!B37,ROUNDUP(R447/I447,0)),1001))</x:f>
        <x:v>1001</x:v>
      </x:c>
      <x:c r="W447" s="1" t="n">
        <x:f>IF(I447&lt;=0,1001,IF(MAX('損益分岐設定'!B38,ROUNDUP(S447/I447,0))&lt;='損益分岐設定'!C38,MAX('損益分岐設定'!B38,ROUNDUP(S447/I447,0)),1001))</x:f>
        <x:v>29</x:v>
      </x:c>
      <x:c r="X447" s="1" t="n">
        <x:f>IF(I447&lt;=0,1001,IF(MAX('損益分岐設定'!B39,ROUNDUP(T447/I447,0))&lt;='損益分岐設定'!C39,MAX('損益分岐設定'!B39,ROUNDUP(T447/I447,0)),1001))</x:f>
        <x:v>101</x:v>
      </x:c>
      <x:c r="Y447" s="1" t="n">
        <x:f>IF(I447&lt;=0,1001,IF(MAX('損益分岐設定'!B40,ROUNDUP(U447/I447,0))&lt;='損益分岐設定'!C40,MAX('損益分岐設定'!B40,ROUNDUP(U447/I447,0)),1001))</x:f>
        <x:v>501</x:v>
      </x:c>
      <x:c r="Z447" s="1" t="n">
        <x:f>IF(I447&lt;=0,'損益分岐設定'!C37,IF('損益分岐設定'!C37*I447-R447&lt;0,'損益分岐設定'!C37,IF('損益分岐設定'!B37*I447-R447&gt;=0,0,ROUNDUP(R447/I447,0)-1)))</x:f>
        <x:v>10</x:v>
      </x:c>
      <x:c r="AA447" s="1" t="n">
        <x:f>IF(I447&lt;=0,'損益分岐設定'!C38,IF('損益分岐設定'!C38*I447-S447&lt;0,'損益分岐設定'!C38,IF('損益分岐設定'!B38*I447-S447&gt;=0,0,ROUNDUP(S447/I447,0)-1)))</x:f>
        <x:v>28</x:v>
      </x:c>
      <x:c r="AB447" s="1" t="n">
        <x:f>IF(I447&lt;=0,'損益分岐設定'!C39,IF('損益分岐設定'!C39*I447-T447&lt;0,'損益分岐設定'!C39,IF('損益分岐設定'!B39*I447-T447&gt;=0,0,ROUNDUP(T447/I447,0)-1)))</x:f>
        <x:v>0</x:v>
      </x:c>
      <x:c r="AC447" s="1" t="n">
        <x:f>IF(I447&lt;=0,'損益分岐設定'!C40,IF('損益分岐設定'!C40*I447-U447&lt;0,'損益分岐設定'!C40,IF('損益分岐設定'!B40*I447-U447&gt;=0,0,ROUNDUP(U447/I447,0)-1)))</x:f>
        <x:v>0</x:v>
      </x:c>
      <x:c r="AD447" s="1" t="n">
        <x:f>'損益分岐設定'!$D$5/SUM('損益分岐設定'!$D$5:$D$7)</x:f>
        <x:v>0.5</x:v>
      </x:c>
      <x:c r="AE447" s="1" t="n">
        <x:f>'損益分岐設定'!$D$6/SUM('損益分岐設定'!$D$5:$D$7)</x:f>
        <x:v>0.3</x:v>
      </x:c>
      <x:c r="AF447" s="1" t="n">
        <x:f>'損益分岐設定'!$D$7/SUM('損益分岐設定'!$D$5:$D$7)</x:f>
        <x:v>0.2</x:v>
      </x:c>
      <x:c r="AG447" s="1" t="n">
        <x:f>AD447*'損益分岐設定'!$C$56+AE447*'損益分岐設定'!$C$59+AF447*'損益分岐設定'!$C$62</x:f>
        <x:v>110.51909573059083</x:v>
      </x:c>
      <x:c r="AH447" s="1" t="n">
        <x:f>AD447*'損益分岐設定'!$D$56+AE447*'損益分岐設定'!$D$59+AF447*'損益分岐設定'!$D$62</x:f>
        <x:v>27.75</x:v>
      </x:c>
      <x:c r="AI447" s="1" t="n">
        <x:f>AD447*'損益分岐設定'!$E$56+AE447*'損益分岐設定'!$E$59+AF447*'損益分岐設定'!$E$62</x:f>
        <x:v>18.5</x:v>
      </x:c>
      <x:c r="AJ447" s="1" t="n">
        <x:f>(AD447*'損益分岐設定'!$F$56+AE447*'損益分岐設定'!$F$59+AF447*'損益分岐設定'!$F$62*1)*'損益分岐設定'!$B$22</x:f>
        <x:v>27.75</x:v>
      </x:c>
      <x:c r="AK447" s="1" t="n">
        <x:f>AD447*'損益分岐設定'!$G$56+AE447*'損益分岐設定'!$G$59+AF447*'損益分岐設定'!$G$62</x:f>
        <x:v>92.5</x:v>
      </x:c>
      <x:c r="AL447" s="1" t="n">
        <x:f>AD447*'損益分岐設定'!$H$56+AE447*'損益分岐設定'!$H$59+AF447*'損益分岐設定'!$H$62</x:f>
        <x:v>323.33333333333337</x:v>
      </x:c>
      <x:c r="AM447" s="1" t="n">
        <x:f>MAX(1,ROUNDUP('損益分岐設定'!C37*AJ447/('損益分岐設定'!$B$23*'損益分岐設定'!$B$24*3600*'損益分岐設定'!$B$25),0))</x:f>
        <x:v>1</x:v>
      </x:c>
      <x:c r="AN447" s="1" t="n">
        <x:f>MAX(2,ROUNDUP('損益分岐設定'!C38*AJ447/('損益分岐設定'!$B$23*'損益分岐設定'!$B$24*3600*'損益分岐設定'!$B$25),0))</x:f>
        <x:v>2</x:v>
      </x:c>
      <x:c r="AO447" s="1" t="n">
        <x:f>MAX(2,ROUNDUP('損益分岐設定'!C39*AJ447/('損益分岐設定'!$B$23*'損益分岐設定'!$B$24*3600*'損益分岐設定'!$B$25),0))</x:f>
        <x:v>2</x:v>
      </x:c>
      <x:c r="AP447" s="1" t="n">
        <x:f>MAX(2,ROUNDUP('損益分岐設定'!C40*AJ447/('損益分岐設定'!$B$23*'損益分岐設定'!$B$24*3600*'損益分岐設定'!$B$25),0))</x:f>
        <x:v>2</x:v>
      </x:c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 ht="23" customHeight="1">
      <x:c r="A448" s="1" t="str">
        <x:v>VM</x:v>
      </x:c>
      <x:c r="B448" s="1" t="str">
        <x:v>混在</x:v>
      </x:c>
      <x:c r="C448" s="1" t="str">
        <x:v>低位</x:v>
      </x:c>
      <x:c r="D448" s="21" t="n">
        <x:v>0.2</x:v>
      </x:c>
      <x:c r="E448" s="1" t="n">
        <x:v>1</x:v>
      </x:c>
      <x:c r="F448" s="7" t="n">
        <x:f>AD448*'損益分岐設定'!$B$5+AE448*'損益分岐設定'!$B$6+AF448*'損益分岐設定'!$B$7</x:f>
        <x:v>4600</x:v>
      </x:c>
      <x:c r="G448" s="7" t="n">
        <x:f>AG448+0+AK448*'損益分岐設定'!$B$33</x:f>
        <x:v>110.52012949864866</x:v>
      </x:c>
      <x:c r="H448" s="7" t="n">
        <x:f>AL448*E448</x:f>
        <x:v>323.33333333333337</x:v>
      </x:c>
      <x:c r="I448" s="7" t="n">
        <x:f>F448*(1-D448-'損益分岐設定'!$B$10)-G448-H448</x:f>
        <x:v>3080.546537168018</x:v>
      </x:c>
      <x:c r="J448" s="1" t="n">
        <x:f>IF(MIN(V448:Y448)&gt;1000,"範囲内なし",MIN(V448:Y448))</x:f>
        <x:v>48</x:v>
      </x:c>
      <x:c r="K448" s="1" t="n">
        <x:f>IF(MAX(Z448:AC448)&gt;=1000,"範囲内なし",MAX(1,MAX(Z448:AC448)+1))</x:f>
        <x:v>48</x:v>
      </x:c>
      <x:c r="L448" s="7" t="n">
        <x:f>10*I448-R448</x:f>
        <x:v>-51953.72138954108</x:v>
      </x:c>
      <x:c r="M448" s="7" t="n">
        <x:f>30*I448-S448</x:f>
        <x:v>-52601.977407401995</x:v>
      </x:c>
      <x:c r="N448" s="7" t="n">
        <x:f>50*I448-S448</x:f>
        <x:v>9008.953335958358</x:v>
      </x:c>
      <x:c r="O448" s="7" t="n">
        <x:f>100*I448-S448</x:f>
        <x:v>163036.28019435925</x:v>
      </x:c>
      <x:c r="P448" s="7" t="n">
        <x:f>300*I448-T448</x:f>
        <x:v>747145.5876279628</x:v>
      </x:c>
      <x:c r="Q448" s="7" t="n">
        <x:f>1000*I448-U448</x:f>
        <x:v>2834648.570264965</x:v>
      </x:c>
      <x:c r="R448" s="7" t="n">
        <x:f>'損益分岐設定'!$B$18+'損益分岐設定'!$B$19+'損益分岐設定'!$B$20+'損益分岐設定'!E37+('損益分岐設定'!F37+2*'損益分岐設定'!G37+AM448)*('損益分岐設定'!$B$15+'損益分岐設定'!$B$16)+'損益分岐設定'!$B$17+'損益分岐設定'!$B$21+E448*'損益分岐設定'!H37*'損益分岐設定'!$B$11</x:f>
        <x:v>82759.18676122127</x:v>
      </x:c>
      <x:c r="S448" s="7" t="n">
        <x:f>'損益分岐設定'!$B$18+'損益分岐設定'!$B$19+'損益分岐設定'!$B$20+'損益分岐設定'!E38+('損益分岐設定'!F38+2*'損益分岐設定'!G38+AN448)*('損益分岐設定'!$B$15+'損益分岐設定'!$B$16)+'損益分岐設定'!$B$17+'損益分岐設定'!$B$21+E448*'損益分岐設定'!H38*'損益分岐設定'!$B$11</x:f>
        <x:v>145018.37352244253</x:v>
      </x:c>
      <x:c r="T448" s="7" t="n">
        <x:f>'損益分岐設定'!$B$18+'損益分岐設定'!$B$19+'損益分岐設定'!$B$20+'損益分岐設定'!E39+('損益分岐設定'!F39+2*'損益分岐設定'!G39+AO448)*('損益分岐設定'!$B$15+'損益分岐設定'!$B$16)+'損益分岐設定'!$B$17+'損益分岐設定'!$B$21+E448*'損益分岐設定'!H39*'損益分岐設定'!$B$11</x:f>
        <x:v>177018.37352244253</x:v>
      </x:c>
      <x:c r="U448" s="7" t="n">
        <x:f>'損益分岐設定'!$B$18+'損益分岐設定'!$B$19+'損益分岐設定'!$B$20+'損益分岐設定'!E40+('損益分岐設定'!F40+2*'損益分岐設定'!G40+AP448)*('損益分岐設定'!$B$15+'損益分岐設定'!$B$16)+'損益分岐設定'!$B$17+'損益分岐設定'!$B$21+E448*'損益分岐設定'!H40*'損益分岐設定'!$B$11</x:f>
        <x:v>245897.96690305317</x:v>
      </x:c>
      <x:c r="V448" s="1" t="n">
        <x:f>IF(I448&lt;=0,1001,IF(MAX('損益分岐設定'!B37,ROUNDUP(R448/I448,0))&lt;='損益分岐設定'!C37,MAX('損益分岐設定'!B37,ROUNDUP(R448/I448,0)),1001))</x:f>
        <x:v>1001</x:v>
      </x:c>
      <x:c r="W448" s="1" t="n">
        <x:f>IF(I448&lt;=0,1001,IF(MAX('損益分岐設定'!B38,ROUNDUP(S448/I448,0))&lt;='損益分岐設定'!C38,MAX('損益分岐設定'!B38,ROUNDUP(S448/I448,0)),1001))</x:f>
        <x:v>48</x:v>
      </x:c>
      <x:c r="X448" s="1" t="n">
        <x:f>IF(I448&lt;=0,1001,IF(MAX('損益分岐設定'!B39,ROUNDUP(T448/I448,0))&lt;='損益分岐設定'!C39,MAX('損益分岐設定'!B39,ROUNDUP(T448/I448,0)),1001))</x:f>
        <x:v>101</x:v>
      </x:c>
      <x:c r="Y448" s="1" t="n">
        <x:f>IF(I448&lt;=0,1001,IF(MAX('損益分岐設定'!B40,ROUNDUP(U448/I448,0))&lt;='損益分岐設定'!C40,MAX('損益分岐設定'!B40,ROUNDUP(U448/I448,0)),1001))</x:f>
        <x:v>501</x:v>
      </x:c>
      <x:c r="Z448" s="1" t="n">
        <x:f>IF(I448&lt;=0,'損益分岐設定'!C37,IF('損益分岐設定'!C37*I448-R448&lt;0,'損益分岐設定'!C37,IF('損益分岐設定'!B37*I448-R448&gt;=0,0,ROUNDUP(R448/I448,0)-1)))</x:f>
        <x:v>10</x:v>
      </x:c>
      <x:c r="AA448" s="1" t="n">
        <x:f>IF(I448&lt;=0,'損益分岐設定'!C38,IF('損益分岐設定'!C38*I448-S448&lt;0,'損益分岐設定'!C38,IF('損益分岐設定'!B38*I448-S448&gt;=0,0,ROUNDUP(S448/I448,0)-1)))</x:f>
        <x:v>47</x:v>
      </x:c>
      <x:c r="AB448" s="1" t="n">
        <x:f>IF(I448&lt;=0,'損益分岐設定'!C39,IF('損益分岐設定'!C39*I448-T448&lt;0,'損益分岐設定'!C39,IF('損益分岐設定'!B39*I448-T448&gt;=0,0,ROUNDUP(T448/I448,0)-1)))</x:f>
        <x:v>0</x:v>
      </x:c>
      <x:c r="AC448" s="1" t="n">
        <x:f>IF(I448&lt;=0,'損益分岐設定'!C40,IF('損益分岐設定'!C40*I448-U448&lt;0,'損益分岐設定'!C40,IF('損益分岐設定'!B40*I448-U448&gt;=0,0,ROUNDUP(U448/I448,0)-1)))</x:f>
        <x:v>0</x:v>
      </x:c>
      <x:c r="AD448" s="1" t="n">
        <x:f>'損益分岐設定'!$D$5/SUM('損益分岐設定'!$D$5:$D$7)</x:f>
        <x:v>0.5</x:v>
      </x:c>
      <x:c r="AE448" s="1" t="n">
        <x:f>'損益分岐設定'!$D$6/SUM('損益分岐設定'!$D$5:$D$7)</x:f>
        <x:v>0.3</x:v>
      </x:c>
      <x:c r="AF448" s="1" t="n">
        <x:f>'損益分岐設定'!$D$7/SUM('損益分岐設定'!$D$5:$D$7)</x:f>
        <x:v>0.2</x:v>
      </x:c>
      <x:c r="AG448" s="1" t="n">
        <x:f>AD448*'損益分岐設定'!$C$56+AE448*'損益分岐設定'!$C$59+AF448*'損益分岐設定'!$C$62</x:f>
        <x:v>110.51909573059083</x:v>
      </x:c>
      <x:c r="AH448" s="1" t="n">
        <x:f>AD448*'損益分岐設定'!$D$56+AE448*'損益分岐設定'!$D$59+AF448*'損益分岐設定'!$D$62</x:f>
        <x:v>27.75</x:v>
      </x:c>
      <x:c r="AI448" s="1" t="n">
        <x:f>AD448*'損益分岐設定'!$E$56+AE448*'損益分岐設定'!$E$59+AF448*'損益分岐設定'!$E$62</x:f>
        <x:v>18.5</x:v>
      </x:c>
      <x:c r="AJ448" s="1" t="n">
        <x:f>(AD448*'損益分岐設定'!$F$56+AE448*'損益分岐設定'!$F$59+AF448*'損益分岐設定'!$F$62*1)*'損益分岐設定'!$B$22</x:f>
        <x:v>27.75</x:v>
      </x:c>
      <x:c r="AK448" s="1" t="n">
        <x:f>AD448*'損益分岐設定'!$G$56+AE448*'損益分岐設定'!$G$59+AF448*'損益分岐設定'!$G$62</x:f>
        <x:v>92.5</x:v>
      </x:c>
      <x:c r="AL448" s="1" t="n">
        <x:f>AD448*'損益分岐設定'!$H$56+AE448*'損益分岐設定'!$H$59+AF448*'損益分岐設定'!$H$62</x:f>
        <x:v>323.33333333333337</x:v>
      </x:c>
      <x:c r="AM448" s="1" t="n">
        <x:f>MAX(1,ROUNDUP('損益分岐設定'!C37*AJ448/('損益分岐設定'!$B$23*'損益分岐設定'!$B$24*3600*'損益分岐設定'!$B$25),0))</x:f>
        <x:v>1</x:v>
      </x:c>
      <x:c r="AN448" s="1" t="n">
        <x:f>MAX(2,ROUNDUP('損益分岐設定'!C38*AJ448/('損益分岐設定'!$B$23*'損益分岐設定'!$B$24*3600*'損益分岐設定'!$B$25),0))</x:f>
        <x:v>2</x:v>
      </x:c>
      <x:c r="AO448" s="1" t="n">
        <x:f>MAX(2,ROUNDUP('損益分岐設定'!C39*AJ448/('損益分岐設定'!$B$23*'損益分岐設定'!$B$24*3600*'損益分岐設定'!$B$25),0))</x:f>
        <x:v>2</x:v>
      </x:c>
      <x:c r="AP448" s="1" t="n">
        <x:f>MAX(2,ROUNDUP('損益分岐設定'!C40*AJ448/('損益分岐設定'!$B$23*'損益分岐設定'!$B$24*3600*'損益分岐設定'!$B$25),0))</x:f>
        <x:v>2</x:v>
      </x:c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 ht="23" customHeight="1">
      <x:c r="A449" s="1" t="str">
        <x:v>VM</x:v>
      </x:c>
      <x:c r="B449" s="1" t="str">
        <x:v>混在</x:v>
      </x:c>
      <x:c r="C449" s="1" t="str">
        <x:v>低位</x:v>
      </x:c>
      <x:c r="D449" s="21" t="n">
        <x:v>0.3</x:v>
      </x:c>
      <x:c r="E449" s="1" t="n">
        <x:v>0</x:v>
      </x:c>
      <x:c r="F449" s="7" t="n">
        <x:f>AD449*'損益分岐設定'!$B$5+AE449*'損益分岐設定'!$B$6+AF449*'損益分岐設定'!$B$7</x:f>
        <x:v>4600</x:v>
      </x:c>
      <x:c r="G449" s="7" t="n">
        <x:f>AG449+0+AK449*'損益分岐設定'!$B$33</x:f>
        <x:v>110.52012949864866</x:v>
      </x:c>
      <x:c r="H449" s="7" t="n">
        <x:f>AL449*E449</x:f>
        <x:v>0</x:v>
      </x:c>
      <x:c r="I449" s="7" t="n">
        <x:f>F449*(1-D449-'損益分岐設定'!$B$10)-G449-H449</x:f>
        <x:v>2943.879870501351</x:v>
      </x:c>
      <x:c r="J449" s="1" t="n">
        <x:f>IF(MIN(V449:Y449)&gt;1000,"範囲内なし",MIN(V449:Y449))</x:f>
        <x:v>33</x:v>
      </x:c>
      <x:c r="K449" s="1" t="n">
        <x:f>IF(MAX(Z449:AC449)&gt;=1000,"範囲内なし",MAX(1,MAX(Z449:AC449)+1))</x:f>
        <x:v>33</x:v>
      </x:c>
      <x:c r="L449" s="7" t="n">
        <x:f>10*I449-R449</x:f>
        <x:v>-21320.388056207765</x:v>
      </x:c>
      <x:c r="M449" s="7" t="n">
        <x:f>30*I449-S449</x:f>
        <x:v>-8701.977407402024</x:v>
      </x:c>
      <x:c r="N449" s="7" t="n">
        <x:f>50*I449-S449</x:f>
        <x:v>50175.620002625</x:v>
      </x:c>
      <x:c r="O449" s="7" t="n">
        <x:f>100*I449-S449</x:f>
        <x:v>197369.61352769256</x:v>
      </x:c>
      <x:c r="P449" s="7" t="n">
        <x:f>300*I449-T449</x:f>
        <x:v>786145.5876279628</x:v>
      </x:c>
      <x:c r="Q449" s="7" t="n">
        <x:f>1000*I449-U449</x:f>
        <x:v>2825981.903598298</x:v>
      </x:c>
      <x:c r="R449" s="7" t="n">
        <x:f>'損益分岐設定'!$B$18+'損益分岐設定'!$B$19+'損益分岐設定'!$B$20+'損益分岐設定'!E37+('損益分岐設定'!F37+2*'損益分岐設定'!G37+AM449)*('損益分岐設定'!$B$15+'損益分岐設定'!$B$16)+'損益分岐設定'!$B$17+'損益分岐設定'!$B$21+E449*'損益分岐設定'!H37*'損益分岐設定'!$B$11</x:f>
        <x:v>50759.18676122127</x:v>
      </x:c>
      <x:c r="S449" s="7" t="n">
        <x:f>'損益分岐設定'!$B$18+'損益分岐設定'!$B$19+'損益分岐設定'!$B$20+'損益分岐設定'!E38+('損益分岐設定'!F38+2*'損益分岐設定'!G38+AN449)*('損益分岐設定'!$B$15+'損益分岐設定'!$B$16)+'損益分岐設定'!$B$17+'損益分岐設定'!$B$21+E449*'損益分岐設定'!H38*'損益分岐設定'!$B$11</x:f>
        <x:v>97018.37352244255</x:v>
      </x:c>
      <x:c r="T449" s="7" t="n">
        <x:f>'損益分岐設定'!$B$18+'損益分岐設定'!$B$19+'損益分岐設定'!$B$20+'損益分岐設定'!E39+('損益分岐設定'!F39+2*'損益分岐設定'!G39+AO449)*('損益分岐設定'!$B$15+'損益分岐設定'!$B$16)+'損益分岐設定'!$B$17+'損益分岐設定'!$B$21+E449*'損益分岐設定'!H39*'損益分岐設定'!$B$11</x:f>
        <x:v>97018.37352244255</x:v>
      </x:c>
      <x:c r="U449" s="7" t="n">
        <x:f>'損益分岐設定'!$B$18+'損益分岐設定'!$B$19+'損益分岐設定'!$B$20+'損益分岐設定'!E40+('損益分岐設定'!F40+2*'損益分岐設定'!G40+AP449)*('損益分岐設定'!$B$15+'損益分岐設定'!$B$16)+'損益分岐設定'!$B$17+'損益分岐設定'!$B$21+E449*'損益分岐設定'!H40*'損益分岐設定'!$B$11</x:f>
        <x:v>117897.96690305318</x:v>
      </x:c>
      <x:c r="V449" s="1" t="n">
        <x:f>IF(I449&lt;=0,1001,IF(MAX('損益分岐設定'!B37,ROUNDUP(R449/I449,0))&lt;='損益分岐設定'!C37,MAX('損益分岐設定'!B37,ROUNDUP(R449/I449,0)),1001))</x:f>
        <x:v>1001</x:v>
      </x:c>
      <x:c r="W449" s="1" t="n">
        <x:f>IF(I449&lt;=0,1001,IF(MAX('損益分岐設定'!B38,ROUNDUP(S449/I449,0))&lt;='損益分岐設定'!C38,MAX('損益分岐設定'!B38,ROUNDUP(S449/I449,0)),1001))</x:f>
        <x:v>33</x:v>
      </x:c>
      <x:c r="X449" s="1" t="n">
        <x:f>IF(I449&lt;=0,1001,IF(MAX('損益分岐設定'!B39,ROUNDUP(T449/I449,0))&lt;='損益分岐設定'!C39,MAX('損益分岐設定'!B39,ROUNDUP(T449/I449,0)),1001))</x:f>
        <x:v>101</x:v>
      </x:c>
      <x:c r="Y449" s="1" t="n">
        <x:f>IF(I449&lt;=0,1001,IF(MAX('損益分岐設定'!B40,ROUNDUP(U449/I449,0))&lt;='損益分岐設定'!C40,MAX('損益分岐設定'!B40,ROUNDUP(U449/I449,0)),1001))</x:f>
        <x:v>501</x:v>
      </x:c>
      <x:c r="Z449" s="1" t="n">
        <x:f>IF(I449&lt;=0,'損益分岐設定'!C37,IF('損益分岐設定'!C37*I449-R449&lt;0,'損益分岐設定'!C37,IF('損益分岐設定'!B37*I449-R449&gt;=0,0,ROUNDUP(R449/I449,0)-1)))</x:f>
        <x:v>10</x:v>
      </x:c>
      <x:c r="AA449" s="1" t="n">
        <x:f>IF(I449&lt;=0,'損益分岐設定'!C38,IF('損益分岐設定'!C38*I449-S449&lt;0,'損益分岐設定'!C38,IF('損益分岐設定'!B38*I449-S449&gt;=0,0,ROUNDUP(S449/I449,0)-1)))</x:f>
        <x:v>32</x:v>
      </x:c>
      <x:c r="AB449" s="1" t="n">
        <x:f>IF(I449&lt;=0,'損益分岐設定'!C39,IF('損益分岐設定'!C39*I449-T449&lt;0,'損益分岐設定'!C39,IF('損益分岐設定'!B39*I449-T449&gt;=0,0,ROUNDUP(T449/I449,0)-1)))</x:f>
        <x:v>0</x:v>
      </x:c>
      <x:c r="AC449" s="1" t="n">
        <x:f>IF(I449&lt;=0,'損益分岐設定'!C40,IF('損益分岐設定'!C40*I449-U449&lt;0,'損益分岐設定'!C40,IF('損益分岐設定'!B40*I449-U449&gt;=0,0,ROUNDUP(U449/I449,0)-1)))</x:f>
        <x:v>0</x:v>
      </x:c>
      <x:c r="AD449" s="1" t="n">
        <x:f>'損益分岐設定'!$D$5/SUM('損益分岐設定'!$D$5:$D$7)</x:f>
        <x:v>0.5</x:v>
      </x:c>
      <x:c r="AE449" s="1" t="n">
        <x:f>'損益分岐設定'!$D$6/SUM('損益分岐設定'!$D$5:$D$7)</x:f>
        <x:v>0.3</x:v>
      </x:c>
      <x:c r="AF449" s="1" t="n">
        <x:f>'損益分岐設定'!$D$7/SUM('損益分岐設定'!$D$5:$D$7)</x:f>
        <x:v>0.2</x:v>
      </x:c>
      <x:c r="AG449" s="1" t="n">
        <x:f>AD449*'損益分岐設定'!$C$56+AE449*'損益分岐設定'!$C$59+AF449*'損益分岐設定'!$C$62</x:f>
        <x:v>110.51909573059083</x:v>
      </x:c>
      <x:c r="AH449" s="1" t="n">
        <x:f>AD449*'損益分岐設定'!$D$56+AE449*'損益分岐設定'!$D$59+AF449*'損益分岐設定'!$D$62</x:f>
        <x:v>27.75</x:v>
      </x:c>
      <x:c r="AI449" s="1" t="n">
        <x:f>AD449*'損益分岐設定'!$E$56+AE449*'損益分岐設定'!$E$59+AF449*'損益分岐設定'!$E$62</x:f>
        <x:v>18.5</x:v>
      </x:c>
      <x:c r="AJ449" s="1" t="n">
        <x:f>(AD449*'損益分岐設定'!$F$56+AE449*'損益分岐設定'!$F$59+AF449*'損益分岐設定'!$F$62*1)*'損益分岐設定'!$B$22</x:f>
        <x:v>27.75</x:v>
      </x:c>
      <x:c r="AK449" s="1" t="n">
        <x:f>AD449*'損益分岐設定'!$G$56+AE449*'損益分岐設定'!$G$59+AF449*'損益分岐設定'!$G$62</x:f>
        <x:v>92.5</x:v>
      </x:c>
      <x:c r="AL449" s="1" t="n">
        <x:f>AD449*'損益分岐設定'!$H$56+AE449*'損益分岐設定'!$H$59+AF449*'損益分岐設定'!$H$62</x:f>
        <x:v>323.33333333333337</x:v>
      </x:c>
      <x:c r="AM449" s="1" t="n">
        <x:f>MAX(1,ROUNDUP('損益分岐設定'!C37*AJ449/('損益分岐設定'!$B$23*'損益分岐設定'!$B$24*3600*'損益分岐設定'!$B$25),0))</x:f>
        <x:v>1</x:v>
      </x:c>
      <x:c r="AN449" s="1" t="n">
        <x:f>MAX(2,ROUNDUP('損益分岐設定'!C38*AJ449/('損益分岐設定'!$B$23*'損益分岐設定'!$B$24*3600*'損益分岐設定'!$B$25),0))</x:f>
        <x:v>2</x:v>
      </x:c>
      <x:c r="AO449" s="1" t="n">
        <x:f>MAX(2,ROUNDUP('損益分岐設定'!C39*AJ449/('損益分岐設定'!$B$23*'損益分岐設定'!$B$24*3600*'損益分岐設定'!$B$25),0))</x:f>
        <x:v>2</x:v>
      </x:c>
      <x:c r="AP449" s="1" t="n">
        <x:f>MAX(2,ROUNDUP('損益分岐設定'!C40*AJ449/('損益分岐設定'!$B$23*'損益分岐設定'!$B$24*3600*'損益分岐設定'!$B$25),0))</x:f>
        <x:v>2</x:v>
      </x:c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 ht="23" customHeight="1">
      <x:c r="A450" s="1" t="str">
        <x:v>VM</x:v>
      </x:c>
      <x:c r="B450" s="1" t="str">
        <x:v>混在</x:v>
      </x:c>
      <x:c r="C450" s="1" t="str">
        <x:v>低位</x:v>
      </x:c>
      <x:c r="D450" s="21" t="n">
        <x:v>0.3</x:v>
      </x:c>
      <x:c r="E450" s="1" t="n">
        <x:v>1</x:v>
      </x:c>
      <x:c r="F450" s="7" t="n">
        <x:f>AD450*'損益分岐設定'!$B$5+AE450*'損益分岐設定'!$B$6+AF450*'損益分岐設定'!$B$7</x:f>
        <x:v>4600</x:v>
      </x:c>
      <x:c r="G450" s="7" t="n">
        <x:f>AG450+0+AK450*'損益分岐設定'!$B$33</x:f>
        <x:v>110.52012949864866</x:v>
      </x:c>
      <x:c r="H450" s="7" t="n">
        <x:f>AL450*E450</x:f>
        <x:v>323.33333333333337</x:v>
      </x:c>
      <x:c r="I450" s="7" t="n">
        <x:f>F450*(1-D450-'損益分岐設定'!$B$10)-G450-H450</x:f>
        <x:v>2620.5465371680175</x:v>
      </x:c>
      <x:c r="J450" s="1" t="n">
        <x:f>IF(MIN(V450:Y450)&gt;1000,"範囲内なし",MIN(V450:Y450))</x:f>
        <x:v>56</x:v>
      </x:c>
      <x:c r="K450" s="1" t="n">
        <x:f>IF(MAX(Z450:AC450)&gt;=1000,"範囲内なし",MAX(1,MAX(Z450:AC450)+1))</x:f>
        <x:v>56</x:v>
      </x:c>
      <x:c r="L450" s="7" t="n">
        <x:f>10*I450-R450</x:f>
        <x:v>-56553.72138954109</x:v>
      </x:c>
      <x:c r="M450" s="7" t="n">
        <x:f>30*I450-S450</x:f>
        <x:v>-66401.97740740201</x:v>
      </x:c>
      <x:c r="N450" s="7" t="n">
        <x:f>50*I450-S450</x:f>
        <x:v>-13991.046664041656</x:v>
      </x:c>
      <x:c r="O450" s="7" t="n">
        <x:f>100*I450-S450</x:f>
        <x:v>117036.28019435922</x:v>
      </x:c>
      <x:c r="P450" s="7" t="n">
        <x:f>300*I450-T450</x:f>
        <x:v>609145.5876279627</x:v>
      </x:c>
      <x:c r="Q450" s="7" t="n">
        <x:f>1000*I450-U450</x:f>
        <x:v>2374648.5702649644</x:v>
      </x:c>
      <x:c r="R450" s="7" t="n">
        <x:f>'損益分岐設定'!$B$18+'損益分岐設定'!$B$19+'損益分岐設定'!$B$20+'損益分岐設定'!E37+('損益分岐設定'!F37+2*'損益分岐設定'!G37+AM450)*('損益分岐設定'!$B$15+'損益分岐設定'!$B$16)+'損益分岐設定'!$B$17+'損益分岐設定'!$B$21+E450*'損益分岐設定'!H37*'損益分岐設定'!$B$11</x:f>
        <x:v>82759.18676122127</x:v>
      </x:c>
      <x:c r="S450" s="7" t="n">
        <x:f>'損益分岐設定'!$B$18+'損益分岐設定'!$B$19+'損益分岐設定'!$B$20+'損益分岐設定'!E38+('損益分岐設定'!F38+2*'損益分岐設定'!G38+AN450)*('損益分岐設定'!$B$15+'損益分岐設定'!$B$16)+'損益分岐設定'!$B$17+'損益分岐設定'!$B$21+E450*'損益分岐設定'!H38*'損益分岐設定'!$B$11</x:f>
        <x:v>145018.37352244253</x:v>
      </x:c>
      <x:c r="T450" s="7" t="n">
        <x:f>'損益分岐設定'!$B$18+'損益分岐設定'!$B$19+'損益分岐設定'!$B$20+'損益分岐設定'!E39+('損益分岐設定'!F39+2*'損益分岐設定'!G39+AO450)*('損益分岐設定'!$B$15+'損益分岐設定'!$B$16)+'損益分岐設定'!$B$17+'損益分岐設定'!$B$21+E450*'損益分岐設定'!H39*'損益分岐設定'!$B$11</x:f>
        <x:v>177018.37352244253</x:v>
      </x:c>
      <x:c r="U450" s="7" t="n">
        <x:f>'損益分岐設定'!$B$18+'損益分岐設定'!$B$19+'損益分岐設定'!$B$20+'損益分岐設定'!E40+('損益分岐設定'!F40+2*'損益分岐設定'!G40+AP450)*('損益分岐設定'!$B$15+'損益分岐設定'!$B$16)+'損益分岐設定'!$B$17+'損益分岐設定'!$B$21+E450*'損益分岐設定'!H40*'損益分岐設定'!$B$11</x:f>
        <x:v>245897.96690305317</x:v>
      </x:c>
      <x:c r="V450" s="1" t="n">
        <x:f>IF(I450&lt;=0,1001,IF(MAX('損益分岐設定'!B37,ROUNDUP(R450/I450,0))&lt;='損益分岐設定'!C37,MAX('損益分岐設定'!B37,ROUNDUP(R450/I450,0)),1001))</x:f>
        <x:v>1001</x:v>
      </x:c>
      <x:c r="W450" s="1" t="n">
        <x:f>IF(I450&lt;=0,1001,IF(MAX('損益分岐設定'!B38,ROUNDUP(S450/I450,0))&lt;='損益分岐設定'!C38,MAX('損益分岐設定'!B38,ROUNDUP(S450/I450,0)),1001))</x:f>
        <x:v>56</x:v>
      </x:c>
      <x:c r="X450" s="1" t="n">
        <x:f>IF(I450&lt;=0,1001,IF(MAX('損益分岐設定'!B39,ROUNDUP(T450/I450,0))&lt;='損益分岐設定'!C39,MAX('損益分岐設定'!B39,ROUNDUP(T450/I450,0)),1001))</x:f>
        <x:v>101</x:v>
      </x:c>
      <x:c r="Y450" s="1" t="n">
        <x:f>IF(I450&lt;=0,1001,IF(MAX('損益分岐設定'!B40,ROUNDUP(U450/I450,0))&lt;='損益分岐設定'!C40,MAX('損益分岐設定'!B40,ROUNDUP(U450/I450,0)),1001))</x:f>
        <x:v>501</x:v>
      </x:c>
      <x:c r="Z450" s="1" t="n">
        <x:f>IF(I450&lt;=0,'損益分岐設定'!C37,IF('損益分岐設定'!C37*I450-R450&lt;0,'損益分岐設定'!C37,IF('損益分岐設定'!B37*I450-R450&gt;=0,0,ROUNDUP(R450/I450,0)-1)))</x:f>
        <x:v>10</x:v>
      </x:c>
      <x:c r="AA450" s="1" t="n">
        <x:f>IF(I450&lt;=0,'損益分岐設定'!C38,IF('損益分岐設定'!C38*I450-S450&lt;0,'損益分岐設定'!C38,IF('損益分岐設定'!B38*I450-S450&gt;=0,0,ROUNDUP(S450/I450,0)-1)))</x:f>
        <x:v>55</x:v>
      </x:c>
      <x:c r="AB450" s="1" t="n">
        <x:f>IF(I450&lt;=0,'損益分岐設定'!C39,IF('損益分岐設定'!C39*I450-T450&lt;0,'損益分岐設定'!C39,IF('損益分岐設定'!B39*I450-T450&gt;=0,0,ROUNDUP(T450/I450,0)-1)))</x:f>
        <x:v>0</x:v>
      </x:c>
      <x:c r="AC450" s="1" t="n">
        <x:f>IF(I450&lt;=0,'損益分岐設定'!C40,IF('損益分岐設定'!C40*I450-U450&lt;0,'損益分岐設定'!C40,IF('損益分岐設定'!B40*I450-U450&gt;=0,0,ROUNDUP(U450/I450,0)-1)))</x:f>
        <x:v>0</x:v>
      </x:c>
      <x:c r="AD450" s="1" t="n">
        <x:f>'損益分岐設定'!$D$5/SUM('損益分岐設定'!$D$5:$D$7)</x:f>
        <x:v>0.5</x:v>
      </x:c>
      <x:c r="AE450" s="1" t="n">
        <x:f>'損益分岐設定'!$D$6/SUM('損益分岐設定'!$D$5:$D$7)</x:f>
        <x:v>0.3</x:v>
      </x:c>
      <x:c r="AF450" s="1" t="n">
        <x:f>'損益分岐設定'!$D$7/SUM('損益分岐設定'!$D$5:$D$7)</x:f>
        <x:v>0.2</x:v>
      </x:c>
      <x:c r="AG450" s="1" t="n">
        <x:f>AD450*'損益分岐設定'!$C$56+AE450*'損益分岐設定'!$C$59+AF450*'損益分岐設定'!$C$62</x:f>
        <x:v>110.51909573059083</x:v>
      </x:c>
      <x:c r="AH450" s="1" t="n">
        <x:f>AD450*'損益分岐設定'!$D$56+AE450*'損益分岐設定'!$D$59+AF450*'損益分岐設定'!$D$62</x:f>
        <x:v>27.75</x:v>
      </x:c>
      <x:c r="AI450" s="1" t="n">
        <x:f>AD450*'損益分岐設定'!$E$56+AE450*'損益分岐設定'!$E$59+AF450*'損益分岐設定'!$E$62</x:f>
        <x:v>18.5</x:v>
      </x:c>
      <x:c r="AJ450" s="1" t="n">
        <x:f>(AD450*'損益分岐設定'!$F$56+AE450*'損益分岐設定'!$F$59+AF450*'損益分岐設定'!$F$62*1)*'損益分岐設定'!$B$22</x:f>
        <x:v>27.75</x:v>
      </x:c>
      <x:c r="AK450" s="1" t="n">
        <x:f>AD450*'損益分岐設定'!$G$56+AE450*'損益分岐設定'!$G$59+AF450*'損益分岐設定'!$G$62</x:f>
        <x:v>92.5</x:v>
      </x:c>
      <x:c r="AL450" s="1" t="n">
        <x:f>AD450*'損益分岐設定'!$H$56+AE450*'損益分岐設定'!$H$59+AF450*'損益分岐設定'!$H$62</x:f>
        <x:v>323.33333333333337</x:v>
      </x:c>
      <x:c r="AM450" s="1" t="n">
        <x:f>MAX(1,ROUNDUP('損益分岐設定'!C37*AJ450/('損益分岐設定'!$B$23*'損益分岐設定'!$B$24*3600*'損益分岐設定'!$B$25),0))</x:f>
        <x:v>1</x:v>
      </x:c>
      <x:c r="AN450" s="1" t="n">
        <x:f>MAX(2,ROUNDUP('損益分岐設定'!C38*AJ450/('損益分岐設定'!$B$23*'損益分岐設定'!$B$24*3600*'損益分岐設定'!$B$25),0))</x:f>
        <x:v>2</x:v>
      </x:c>
      <x:c r="AO450" s="1" t="n">
        <x:f>MAX(2,ROUNDUP('損益分岐設定'!C39*AJ450/('損益分岐設定'!$B$23*'損益分岐設定'!$B$24*3600*'損益分岐設定'!$B$25),0))</x:f>
        <x:v>2</x:v>
      </x:c>
      <x:c r="AP450" s="1" t="n">
        <x:f>MAX(2,ROUNDUP('損益分岐設定'!C40*AJ450/('損益分岐設定'!$B$23*'損益分岐設定'!$B$24*3600*'損益分岐設定'!$B$25),0))</x:f>
        <x:v>2</x:v>
      </x:c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 ht="23" customHeight="1">
      <x:c r="A451" s="1" t="str">
        <x:v>VM</x:v>
      </x:c>
      <x:c r="B451" s="1" t="str">
        <x:v>混在</x:v>
      </x:c>
      <x:c r="C451" s="1" t="str">
        <x:v>低位</x:v>
      </x:c>
      <x:c r="D451" s="21" t="n">
        <x:v>0.4</x:v>
      </x:c>
      <x:c r="E451" s="1" t="n">
        <x:v>0</x:v>
      </x:c>
      <x:c r="F451" s="7" t="n">
        <x:f>AD451*'損益分岐設定'!$B$5+AE451*'損益分岐設定'!$B$6+AF451*'損益分岐設定'!$B$7</x:f>
        <x:v>4600</x:v>
      </x:c>
      <x:c r="G451" s="7" t="n">
        <x:f>AG451+0+AK451*'損益分岐設定'!$B$33</x:f>
        <x:v>110.52012949864866</x:v>
      </x:c>
      <x:c r="H451" s="7" t="n">
        <x:f>AL451*E451</x:f>
        <x:v>0</x:v>
      </x:c>
      <x:c r="I451" s="7" t="n">
        <x:f>F451*(1-D451-'損益分岐設定'!$B$10)-G451-H451</x:f>
        <x:v>2483.879870501351</x:v>
      </x:c>
      <x:c r="J451" s="1" t="n">
        <x:f>IF(MIN(V451:Y451)&gt;1000,"範囲内なし",MIN(V451:Y451))</x:f>
        <x:v>40</x:v>
      </x:c>
      <x:c r="K451" s="1" t="n">
        <x:f>IF(MAX(Z451:AC451)&gt;=1000,"範囲内なし",MAX(1,MAX(Z451:AC451)+1))</x:f>
        <x:v>40</x:v>
      </x:c>
      <x:c r="L451" s="7" t="n">
        <x:f>10*I451-R451</x:f>
        <x:v>-25920.388056207765</x:v>
      </x:c>
      <x:c r="M451" s="7" t="n">
        <x:f>30*I451-S451</x:f>
        <x:v>-22501.977407402024</x:v>
      </x:c>
      <x:c r="N451" s="7" t="n">
        <x:f>50*I451-S451</x:f>
        <x:v>27175.620002625</x:v>
      </x:c>
      <x:c r="O451" s="7" t="n">
        <x:f>100*I451-S451</x:f>
        <x:v>151369.61352769256</x:v>
      </x:c>
      <x:c r="P451" s="7" t="n">
        <x:f>300*I451-T451</x:f>
        <x:v>648145.5876279628</x:v>
      </x:c>
      <x:c r="Q451" s="7" t="n">
        <x:f>1000*I451-U451</x:f>
        <x:v>2365981.903598298</x:v>
      </x:c>
      <x:c r="R451" s="7" t="n">
        <x:f>'損益分岐設定'!$B$18+'損益分岐設定'!$B$19+'損益分岐設定'!$B$20+'損益分岐設定'!E37+('損益分岐設定'!F37+2*'損益分岐設定'!G37+AM451)*('損益分岐設定'!$B$15+'損益分岐設定'!$B$16)+'損益分岐設定'!$B$17+'損益分岐設定'!$B$21+E451*'損益分岐設定'!H37*'損益分岐設定'!$B$11</x:f>
        <x:v>50759.18676122127</x:v>
      </x:c>
      <x:c r="S451" s="7" t="n">
        <x:f>'損益分岐設定'!$B$18+'損益分岐設定'!$B$19+'損益分岐設定'!$B$20+'損益分岐設定'!E38+('損益分岐設定'!F38+2*'損益分岐設定'!G38+AN451)*('損益分岐設定'!$B$15+'損益分岐設定'!$B$16)+'損益分岐設定'!$B$17+'損益分岐設定'!$B$21+E451*'損益分岐設定'!H38*'損益分岐設定'!$B$11</x:f>
        <x:v>97018.37352244255</x:v>
      </x:c>
      <x:c r="T451" s="7" t="n">
        <x:f>'損益分岐設定'!$B$18+'損益分岐設定'!$B$19+'損益分岐設定'!$B$20+'損益分岐設定'!E39+('損益分岐設定'!F39+2*'損益分岐設定'!G39+AO451)*('損益分岐設定'!$B$15+'損益分岐設定'!$B$16)+'損益分岐設定'!$B$17+'損益分岐設定'!$B$21+E451*'損益分岐設定'!H39*'損益分岐設定'!$B$11</x:f>
        <x:v>97018.37352244255</x:v>
      </x:c>
      <x:c r="U451" s="7" t="n">
        <x:f>'損益分岐設定'!$B$18+'損益分岐設定'!$B$19+'損益分岐設定'!$B$20+'損益分岐設定'!E40+('損益分岐設定'!F40+2*'損益分岐設定'!G40+AP451)*('損益分岐設定'!$B$15+'損益分岐設定'!$B$16)+'損益分岐設定'!$B$17+'損益分岐設定'!$B$21+E451*'損益分岐設定'!H40*'損益分岐設定'!$B$11</x:f>
        <x:v>117897.96690305318</x:v>
      </x:c>
      <x:c r="V451" s="1" t="n">
        <x:f>IF(I451&lt;=0,1001,IF(MAX('損益分岐設定'!B37,ROUNDUP(R451/I451,0))&lt;='損益分岐設定'!C37,MAX('損益分岐設定'!B37,ROUNDUP(R451/I451,0)),1001))</x:f>
        <x:v>1001</x:v>
      </x:c>
      <x:c r="W451" s="1" t="n">
        <x:f>IF(I451&lt;=0,1001,IF(MAX('損益分岐設定'!B38,ROUNDUP(S451/I451,0))&lt;='損益分岐設定'!C38,MAX('損益分岐設定'!B38,ROUNDUP(S451/I451,0)),1001))</x:f>
        <x:v>40</x:v>
      </x:c>
      <x:c r="X451" s="1" t="n">
        <x:f>IF(I451&lt;=0,1001,IF(MAX('損益分岐設定'!B39,ROUNDUP(T451/I451,0))&lt;='損益分岐設定'!C39,MAX('損益分岐設定'!B39,ROUNDUP(T451/I451,0)),1001))</x:f>
        <x:v>101</x:v>
      </x:c>
      <x:c r="Y451" s="1" t="n">
        <x:f>IF(I451&lt;=0,1001,IF(MAX('損益分岐設定'!B40,ROUNDUP(U451/I451,0))&lt;='損益分岐設定'!C40,MAX('損益分岐設定'!B40,ROUNDUP(U451/I451,0)),1001))</x:f>
        <x:v>501</x:v>
      </x:c>
      <x:c r="Z451" s="1" t="n">
        <x:f>IF(I451&lt;=0,'損益分岐設定'!C37,IF('損益分岐設定'!C37*I451-R451&lt;0,'損益分岐設定'!C37,IF('損益分岐設定'!B37*I451-R451&gt;=0,0,ROUNDUP(R451/I451,0)-1)))</x:f>
        <x:v>10</x:v>
      </x:c>
      <x:c r="AA451" s="1" t="n">
        <x:f>IF(I451&lt;=0,'損益分岐設定'!C38,IF('損益分岐設定'!C38*I451-S451&lt;0,'損益分岐設定'!C38,IF('損益分岐設定'!B38*I451-S451&gt;=0,0,ROUNDUP(S451/I451,0)-1)))</x:f>
        <x:v>39</x:v>
      </x:c>
      <x:c r="AB451" s="1" t="n">
        <x:f>IF(I451&lt;=0,'損益分岐設定'!C39,IF('損益分岐設定'!C39*I451-T451&lt;0,'損益分岐設定'!C39,IF('損益分岐設定'!B39*I451-T451&gt;=0,0,ROUNDUP(T451/I451,0)-1)))</x:f>
        <x:v>0</x:v>
      </x:c>
      <x:c r="AC451" s="1" t="n">
        <x:f>IF(I451&lt;=0,'損益分岐設定'!C40,IF('損益分岐設定'!C40*I451-U451&lt;0,'損益分岐設定'!C40,IF('損益分岐設定'!B40*I451-U451&gt;=0,0,ROUNDUP(U451/I451,0)-1)))</x:f>
        <x:v>0</x:v>
      </x:c>
      <x:c r="AD451" s="1" t="n">
        <x:f>'損益分岐設定'!$D$5/SUM('損益分岐設定'!$D$5:$D$7)</x:f>
        <x:v>0.5</x:v>
      </x:c>
      <x:c r="AE451" s="1" t="n">
        <x:f>'損益分岐設定'!$D$6/SUM('損益分岐設定'!$D$5:$D$7)</x:f>
        <x:v>0.3</x:v>
      </x:c>
      <x:c r="AF451" s="1" t="n">
        <x:f>'損益分岐設定'!$D$7/SUM('損益分岐設定'!$D$5:$D$7)</x:f>
        <x:v>0.2</x:v>
      </x:c>
      <x:c r="AG451" s="1" t="n">
        <x:f>AD451*'損益分岐設定'!$C$56+AE451*'損益分岐設定'!$C$59+AF451*'損益分岐設定'!$C$62</x:f>
        <x:v>110.51909573059083</x:v>
      </x:c>
      <x:c r="AH451" s="1" t="n">
        <x:f>AD451*'損益分岐設定'!$D$56+AE451*'損益分岐設定'!$D$59+AF451*'損益分岐設定'!$D$62</x:f>
        <x:v>27.75</x:v>
      </x:c>
      <x:c r="AI451" s="1" t="n">
        <x:f>AD451*'損益分岐設定'!$E$56+AE451*'損益分岐設定'!$E$59+AF451*'損益分岐設定'!$E$62</x:f>
        <x:v>18.5</x:v>
      </x:c>
      <x:c r="AJ451" s="1" t="n">
        <x:f>(AD451*'損益分岐設定'!$F$56+AE451*'損益分岐設定'!$F$59+AF451*'損益分岐設定'!$F$62*1)*'損益分岐設定'!$B$22</x:f>
        <x:v>27.75</x:v>
      </x:c>
      <x:c r="AK451" s="1" t="n">
        <x:f>AD451*'損益分岐設定'!$G$56+AE451*'損益分岐設定'!$G$59+AF451*'損益分岐設定'!$G$62</x:f>
        <x:v>92.5</x:v>
      </x:c>
      <x:c r="AL451" s="1" t="n">
        <x:f>AD451*'損益分岐設定'!$H$56+AE451*'損益分岐設定'!$H$59+AF451*'損益分岐設定'!$H$62</x:f>
        <x:v>323.33333333333337</x:v>
      </x:c>
      <x:c r="AM451" s="1" t="n">
        <x:f>MAX(1,ROUNDUP('損益分岐設定'!C37*AJ451/('損益分岐設定'!$B$23*'損益分岐設定'!$B$24*3600*'損益分岐設定'!$B$25),0))</x:f>
        <x:v>1</x:v>
      </x:c>
      <x:c r="AN451" s="1" t="n">
        <x:f>MAX(2,ROUNDUP('損益分岐設定'!C38*AJ451/('損益分岐設定'!$B$23*'損益分岐設定'!$B$24*3600*'損益分岐設定'!$B$25),0))</x:f>
        <x:v>2</x:v>
      </x:c>
      <x:c r="AO451" s="1" t="n">
        <x:f>MAX(2,ROUNDUP('損益分岐設定'!C39*AJ451/('損益分岐設定'!$B$23*'損益分岐設定'!$B$24*3600*'損益分岐設定'!$B$25),0))</x:f>
        <x:v>2</x:v>
      </x:c>
      <x:c r="AP451" s="1" t="n">
        <x:f>MAX(2,ROUNDUP('損益分岐設定'!C40*AJ451/('損益分岐設定'!$B$23*'損益分岐設定'!$B$24*3600*'損益分岐設定'!$B$25),0))</x:f>
        <x:v>2</x:v>
      </x:c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 ht="23" customHeight="1">
      <x:c r="A452" s="1" t="str">
        <x:v>VM</x:v>
      </x:c>
      <x:c r="B452" s="1" t="str">
        <x:v>混在</x:v>
      </x:c>
      <x:c r="C452" s="1" t="str">
        <x:v>低位</x:v>
      </x:c>
      <x:c r="D452" s="21" t="n">
        <x:v>0.4</x:v>
      </x:c>
      <x:c r="E452" s="1" t="n">
        <x:v>1</x:v>
      </x:c>
      <x:c r="F452" s="7" t="n">
        <x:f>AD452*'損益分岐設定'!$B$5+AE452*'損益分岐設定'!$B$6+AF452*'損益分岐設定'!$B$7</x:f>
        <x:v>4600</x:v>
      </x:c>
      <x:c r="G452" s="7" t="n">
        <x:f>AG452+0+AK452*'損益分岐設定'!$B$33</x:f>
        <x:v>110.52012949864866</x:v>
      </x:c>
      <x:c r="H452" s="7" t="n">
        <x:f>AL452*E452</x:f>
        <x:v>323.33333333333337</x:v>
      </x:c>
      <x:c r="I452" s="7" t="n">
        <x:f>F452*(1-D452-'損益分岐設定'!$B$10)-G452-H452</x:f>
        <x:v>2160.5465371680175</x:v>
      </x:c>
      <x:c r="J452" s="1" t="n">
        <x:f>IF(MIN(V452:Y452)&gt;1000,"範囲内なし",MIN(V452:Y452))</x:f>
        <x:v>68</x:v>
      </x:c>
      <x:c r="K452" s="1" t="n">
        <x:f>IF(MAX(Z452:AC452)&gt;=1000,"範囲内なし",MAX(1,MAX(Z452:AC452)+1))</x:f>
        <x:v>68</x:v>
      </x:c>
      <x:c r="L452" s="7" t="n">
        <x:f>10*I452-R452</x:f>
        <x:v>-61153.72138954109</x:v>
      </x:c>
      <x:c r="M452" s="7" t="n">
        <x:f>30*I452-S452</x:f>
        <x:v>-80201.97740740201</x:v>
      </x:c>
      <x:c r="N452" s="7" t="n">
        <x:f>50*I452-S452</x:f>
        <x:v>-36991.046664041656</x:v>
      </x:c>
      <x:c r="O452" s="7" t="n">
        <x:f>100*I452-S452</x:f>
        <x:v>71036.28019435922</x:v>
      </x:c>
      <x:c r="P452" s="7" t="n">
        <x:f>300*I452-T452</x:f>
        <x:v>471145.5876279627</x:v>
      </x:c>
      <x:c r="Q452" s="7" t="n">
        <x:f>1000*I452-U452</x:f>
        <x:v>1914648.5702649644</x:v>
      </x:c>
      <x:c r="R452" s="7" t="n">
        <x:f>'損益分岐設定'!$B$18+'損益分岐設定'!$B$19+'損益分岐設定'!$B$20+'損益分岐設定'!E37+('損益分岐設定'!F37+2*'損益分岐設定'!G37+AM452)*('損益分岐設定'!$B$15+'損益分岐設定'!$B$16)+'損益分岐設定'!$B$17+'損益分岐設定'!$B$21+E452*'損益分岐設定'!H37*'損益分岐設定'!$B$11</x:f>
        <x:v>82759.18676122127</x:v>
      </x:c>
      <x:c r="S452" s="7" t="n">
        <x:f>'損益分岐設定'!$B$18+'損益分岐設定'!$B$19+'損益分岐設定'!$B$20+'損益分岐設定'!E38+('損益分岐設定'!F38+2*'損益分岐設定'!G38+AN452)*('損益分岐設定'!$B$15+'損益分岐設定'!$B$16)+'損益分岐設定'!$B$17+'損益分岐設定'!$B$21+E452*'損益分岐設定'!H38*'損益分岐設定'!$B$11</x:f>
        <x:v>145018.37352244253</x:v>
      </x:c>
      <x:c r="T452" s="7" t="n">
        <x:f>'損益分岐設定'!$B$18+'損益分岐設定'!$B$19+'損益分岐設定'!$B$20+'損益分岐設定'!E39+('損益分岐設定'!F39+2*'損益分岐設定'!G39+AO452)*('損益分岐設定'!$B$15+'損益分岐設定'!$B$16)+'損益分岐設定'!$B$17+'損益分岐設定'!$B$21+E452*'損益分岐設定'!H39*'損益分岐設定'!$B$11</x:f>
        <x:v>177018.37352244253</x:v>
      </x:c>
      <x:c r="U452" s="7" t="n">
        <x:f>'損益分岐設定'!$B$18+'損益分岐設定'!$B$19+'損益分岐設定'!$B$20+'損益分岐設定'!E40+('損益分岐設定'!F40+2*'損益分岐設定'!G40+AP452)*('損益分岐設定'!$B$15+'損益分岐設定'!$B$16)+'損益分岐設定'!$B$17+'損益分岐設定'!$B$21+E452*'損益分岐設定'!H40*'損益分岐設定'!$B$11</x:f>
        <x:v>245897.96690305317</x:v>
      </x:c>
      <x:c r="V452" s="1" t="n">
        <x:f>IF(I452&lt;=0,1001,IF(MAX('損益分岐設定'!B37,ROUNDUP(R452/I452,0))&lt;='損益分岐設定'!C37,MAX('損益分岐設定'!B37,ROUNDUP(R452/I452,0)),1001))</x:f>
        <x:v>1001</x:v>
      </x:c>
      <x:c r="W452" s="1" t="n">
        <x:f>IF(I452&lt;=0,1001,IF(MAX('損益分岐設定'!B38,ROUNDUP(S452/I452,0))&lt;='損益分岐設定'!C38,MAX('損益分岐設定'!B38,ROUNDUP(S452/I452,0)),1001))</x:f>
        <x:v>68</x:v>
      </x:c>
      <x:c r="X452" s="1" t="n">
        <x:f>IF(I452&lt;=0,1001,IF(MAX('損益分岐設定'!B39,ROUNDUP(T452/I452,0))&lt;='損益分岐設定'!C39,MAX('損益分岐設定'!B39,ROUNDUP(T452/I452,0)),1001))</x:f>
        <x:v>101</x:v>
      </x:c>
      <x:c r="Y452" s="1" t="n">
        <x:f>IF(I452&lt;=0,1001,IF(MAX('損益分岐設定'!B40,ROUNDUP(U452/I452,0))&lt;='損益分岐設定'!C40,MAX('損益分岐設定'!B40,ROUNDUP(U452/I452,0)),1001))</x:f>
        <x:v>501</x:v>
      </x:c>
      <x:c r="Z452" s="1" t="n">
        <x:f>IF(I452&lt;=0,'損益分岐設定'!C37,IF('損益分岐設定'!C37*I452-R452&lt;0,'損益分岐設定'!C37,IF('損益分岐設定'!B37*I452-R452&gt;=0,0,ROUNDUP(R452/I452,0)-1)))</x:f>
        <x:v>10</x:v>
      </x:c>
      <x:c r="AA452" s="1" t="n">
        <x:f>IF(I452&lt;=0,'損益分岐設定'!C38,IF('損益分岐設定'!C38*I452-S452&lt;0,'損益分岐設定'!C38,IF('損益分岐設定'!B38*I452-S452&gt;=0,0,ROUNDUP(S452/I452,0)-1)))</x:f>
        <x:v>67</x:v>
      </x:c>
      <x:c r="AB452" s="1" t="n">
        <x:f>IF(I452&lt;=0,'損益分岐設定'!C39,IF('損益分岐設定'!C39*I452-T452&lt;0,'損益分岐設定'!C39,IF('損益分岐設定'!B39*I452-T452&gt;=0,0,ROUNDUP(T452/I452,0)-1)))</x:f>
        <x:v>0</x:v>
      </x:c>
      <x:c r="AC452" s="1" t="n">
        <x:f>IF(I452&lt;=0,'損益分岐設定'!C40,IF('損益分岐設定'!C40*I452-U452&lt;0,'損益分岐設定'!C40,IF('損益分岐設定'!B40*I452-U452&gt;=0,0,ROUNDUP(U452/I452,0)-1)))</x:f>
        <x:v>0</x:v>
      </x:c>
      <x:c r="AD452" s="1" t="n">
        <x:f>'損益分岐設定'!$D$5/SUM('損益分岐設定'!$D$5:$D$7)</x:f>
        <x:v>0.5</x:v>
      </x:c>
      <x:c r="AE452" s="1" t="n">
        <x:f>'損益分岐設定'!$D$6/SUM('損益分岐設定'!$D$5:$D$7)</x:f>
        <x:v>0.3</x:v>
      </x:c>
      <x:c r="AF452" s="1" t="n">
        <x:f>'損益分岐設定'!$D$7/SUM('損益分岐設定'!$D$5:$D$7)</x:f>
        <x:v>0.2</x:v>
      </x:c>
      <x:c r="AG452" s="1" t="n">
        <x:f>AD452*'損益分岐設定'!$C$56+AE452*'損益分岐設定'!$C$59+AF452*'損益分岐設定'!$C$62</x:f>
        <x:v>110.51909573059083</x:v>
      </x:c>
      <x:c r="AH452" s="1" t="n">
        <x:f>AD452*'損益分岐設定'!$D$56+AE452*'損益分岐設定'!$D$59+AF452*'損益分岐設定'!$D$62</x:f>
        <x:v>27.75</x:v>
      </x:c>
      <x:c r="AI452" s="1" t="n">
        <x:f>AD452*'損益分岐設定'!$E$56+AE452*'損益分岐設定'!$E$59+AF452*'損益分岐設定'!$E$62</x:f>
        <x:v>18.5</x:v>
      </x:c>
      <x:c r="AJ452" s="1" t="n">
        <x:f>(AD452*'損益分岐設定'!$F$56+AE452*'損益分岐設定'!$F$59+AF452*'損益分岐設定'!$F$62*1)*'損益分岐設定'!$B$22</x:f>
        <x:v>27.75</x:v>
      </x:c>
      <x:c r="AK452" s="1" t="n">
        <x:f>AD452*'損益分岐設定'!$G$56+AE452*'損益分岐設定'!$G$59+AF452*'損益分岐設定'!$G$62</x:f>
        <x:v>92.5</x:v>
      </x:c>
      <x:c r="AL452" s="1" t="n">
        <x:f>AD452*'損益分岐設定'!$H$56+AE452*'損益分岐設定'!$H$59+AF452*'損益分岐設定'!$H$62</x:f>
        <x:v>323.33333333333337</x:v>
      </x:c>
      <x:c r="AM452" s="1" t="n">
        <x:f>MAX(1,ROUNDUP('損益分岐設定'!C37*AJ452/('損益分岐設定'!$B$23*'損益分岐設定'!$B$24*3600*'損益分岐設定'!$B$25),0))</x:f>
        <x:v>1</x:v>
      </x:c>
      <x:c r="AN452" s="1" t="n">
        <x:f>MAX(2,ROUNDUP('損益分岐設定'!C38*AJ452/('損益分岐設定'!$B$23*'損益分岐設定'!$B$24*3600*'損益分岐設定'!$B$25),0))</x:f>
        <x:v>2</x:v>
      </x:c>
      <x:c r="AO452" s="1" t="n">
        <x:f>MAX(2,ROUNDUP('損益分岐設定'!C39*AJ452/('損益分岐設定'!$B$23*'損益分岐設定'!$B$24*3600*'損益分岐設定'!$B$25),0))</x:f>
        <x:v>2</x:v>
      </x:c>
      <x:c r="AP452" s="1" t="n">
        <x:f>MAX(2,ROUNDUP('損益分岐設定'!C40*AJ452/('損益分岐設定'!$B$23*'損益分岐設定'!$B$24*3600*'損益分岐設定'!$B$25),0))</x:f>
        <x:v>2</x:v>
      </x:c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 ht="23" customHeight="1">
      <x:c r="A453" s="1" t="str">
        <x:v>VM</x:v>
      </x:c>
      <x:c r="B453" s="1" t="str">
        <x:v>混在</x:v>
      </x:c>
      <x:c r="C453" s="1" t="str">
        <x:v>低位</x:v>
      </x:c>
      <x:c r="D453" s="21" t="n">
        <x:v>0.5</x:v>
      </x:c>
      <x:c r="E453" s="1" t="n">
        <x:v>0</x:v>
      </x:c>
      <x:c r="F453" s="7" t="n">
        <x:f>AD453*'損益分岐設定'!$B$5+AE453*'損益分岐設定'!$B$6+AF453*'損益分岐設定'!$B$7</x:f>
        <x:v>4600</x:v>
      </x:c>
      <x:c r="G453" s="7" t="n">
        <x:f>AG453+0+AK453*'損益分岐設定'!$B$33</x:f>
        <x:v>110.52012949864866</x:v>
      </x:c>
      <x:c r="H453" s="7" t="n">
        <x:f>AL453*E453</x:f>
        <x:v>0</x:v>
      </x:c>
      <x:c r="I453" s="7" t="n">
        <x:f>F453*(1-D453-'損益分岐設定'!$B$10)-G453-H453</x:f>
        <x:v>2023.8798705013514</x:v>
      </x:c>
      <x:c r="J453" s="1" t="n">
        <x:f>IF(MIN(V453:Y453)&gt;1000,"範囲内なし",MIN(V453:Y453))</x:f>
        <x:v>48</x:v>
      </x:c>
      <x:c r="K453" s="1" t="n">
        <x:f>IF(MAX(Z453:AC453)&gt;=1000,"範囲内なし",MAX(1,MAX(Z453:AC453)+1))</x:f>
        <x:v>48</x:v>
      </x:c>
      <x:c r="L453" s="7" t="n">
        <x:f>10*I453-R453</x:f>
        <x:v>-30520.38805620776</x:v>
      </x:c>
      <x:c r="M453" s="7" t="n">
        <x:f>30*I453-S453</x:f>
        <x:v>-36301.977407402</x:v>
      </x:c>
      <x:c r="N453" s="7" t="n">
        <x:f>50*I453-S453</x:f>
        <x:v>4175.62000262503</x:v>
      </x:c>
      <x:c r="O453" s="7" t="n">
        <x:f>100*I453-S453</x:f>
        <x:v>105369.6135276926</x:v>
      </x:c>
      <x:c r="P453" s="7" t="n">
        <x:f>300*I453-T453</x:f>
        <x:v>510145.58762796293</x:v>
      </x:c>
      <x:c r="Q453" s="7" t="n">
        <x:f>1000*I453-U453</x:f>
        <x:v>1905981.9035982983</x:v>
      </x:c>
      <x:c r="R453" s="7" t="n">
        <x:f>'損益分岐設定'!$B$18+'損益分岐設定'!$B$19+'損益分岐設定'!$B$20+'損益分岐設定'!E37+('損益分岐設定'!F37+2*'損益分岐設定'!G37+AM453)*('損益分岐設定'!$B$15+'損益分岐設定'!$B$16)+'損益分岐設定'!$B$17+'損益分岐設定'!$B$21+E453*'損益分岐設定'!H37*'損益分岐設定'!$B$11</x:f>
        <x:v>50759.18676122127</x:v>
      </x:c>
      <x:c r="S453" s="7" t="n">
        <x:f>'損益分岐設定'!$B$18+'損益分岐設定'!$B$19+'損益分岐設定'!$B$20+'損益分岐設定'!E38+('損益分岐設定'!F38+2*'損益分岐設定'!G38+AN453)*('損益分岐設定'!$B$15+'損益分岐設定'!$B$16)+'損益分岐設定'!$B$17+'損益分岐設定'!$B$21+E453*'損益分岐設定'!H38*'損益分岐設定'!$B$11</x:f>
        <x:v>97018.37352244255</x:v>
      </x:c>
      <x:c r="T453" s="7" t="n">
        <x:f>'損益分岐設定'!$B$18+'損益分岐設定'!$B$19+'損益分岐設定'!$B$20+'損益分岐設定'!E39+('損益分岐設定'!F39+2*'損益分岐設定'!G39+AO453)*('損益分岐設定'!$B$15+'損益分岐設定'!$B$16)+'損益分岐設定'!$B$17+'損益分岐設定'!$B$21+E453*'損益分岐設定'!H39*'損益分岐設定'!$B$11</x:f>
        <x:v>97018.37352244255</x:v>
      </x:c>
      <x:c r="U453" s="7" t="n">
        <x:f>'損益分岐設定'!$B$18+'損益分岐設定'!$B$19+'損益分岐設定'!$B$20+'損益分岐設定'!E40+('損益分岐設定'!F40+2*'損益分岐設定'!G40+AP453)*('損益分岐設定'!$B$15+'損益分岐設定'!$B$16)+'損益分岐設定'!$B$17+'損益分岐設定'!$B$21+E453*'損益分岐設定'!H40*'損益分岐設定'!$B$11</x:f>
        <x:v>117897.96690305318</x:v>
      </x:c>
      <x:c r="V453" s="1" t="n">
        <x:f>IF(I453&lt;=0,1001,IF(MAX('損益分岐設定'!B37,ROUNDUP(R453/I453,0))&lt;='損益分岐設定'!C37,MAX('損益分岐設定'!B37,ROUNDUP(R453/I453,0)),1001))</x:f>
        <x:v>1001</x:v>
      </x:c>
      <x:c r="W453" s="1" t="n">
        <x:f>IF(I453&lt;=0,1001,IF(MAX('損益分岐設定'!B38,ROUNDUP(S453/I453,0))&lt;='損益分岐設定'!C38,MAX('損益分岐設定'!B38,ROUNDUP(S453/I453,0)),1001))</x:f>
        <x:v>48</x:v>
      </x:c>
      <x:c r="X453" s="1" t="n">
        <x:f>IF(I453&lt;=0,1001,IF(MAX('損益分岐設定'!B39,ROUNDUP(T453/I453,0))&lt;='損益分岐設定'!C39,MAX('損益分岐設定'!B39,ROUNDUP(T453/I453,0)),1001))</x:f>
        <x:v>101</x:v>
      </x:c>
      <x:c r="Y453" s="1" t="n">
        <x:f>IF(I453&lt;=0,1001,IF(MAX('損益分岐設定'!B40,ROUNDUP(U453/I453,0))&lt;='損益分岐設定'!C40,MAX('損益分岐設定'!B40,ROUNDUP(U453/I453,0)),1001))</x:f>
        <x:v>501</x:v>
      </x:c>
      <x:c r="Z453" s="1" t="n">
        <x:f>IF(I453&lt;=0,'損益分岐設定'!C37,IF('損益分岐設定'!C37*I453-R453&lt;0,'損益分岐設定'!C37,IF('損益分岐設定'!B37*I453-R453&gt;=0,0,ROUNDUP(R453/I453,0)-1)))</x:f>
        <x:v>10</x:v>
      </x:c>
      <x:c r="AA453" s="1" t="n">
        <x:f>IF(I453&lt;=0,'損益分岐設定'!C38,IF('損益分岐設定'!C38*I453-S453&lt;0,'損益分岐設定'!C38,IF('損益分岐設定'!B38*I453-S453&gt;=0,0,ROUNDUP(S453/I453,0)-1)))</x:f>
        <x:v>47</x:v>
      </x:c>
      <x:c r="AB453" s="1" t="n">
        <x:f>IF(I453&lt;=0,'損益分岐設定'!C39,IF('損益分岐設定'!C39*I453-T453&lt;0,'損益分岐設定'!C39,IF('損益分岐設定'!B39*I453-T453&gt;=0,0,ROUNDUP(T453/I453,0)-1)))</x:f>
        <x:v>0</x:v>
      </x:c>
      <x:c r="AC453" s="1" t="n">
        <x:f>IF(I453&lt;=0,'損益分岐設定'!C40,IF('損益分岐設定'!C40*I453-U453&lt;0,'損益分岐設定'!C40,IF('損益分岐設定'!B40*I453-U453&gt;=0,0,ROUNDUP(U453/I453,0)-1)))</x:f>
        <x:v>0</x:v>
      </x:c>
      <x:c r="AD453" s="1" t="n">
        <x:f>'損益分岐設定'!$D$5/SUM('損益分岐設定'!$D$5:$D$7)</x:f>
        <x:v>0.5</x:v>
      </x:c>
      <x:c r="AE453" s="1" t="n">
        <x:f>'損益分岐設定'!$D$6/SUM('損益分岐設定'!$D$5:$D$7)</x:f>
        <x:v>0.3</x:v>
      </x:c>
      <x:c r="AF453" s="1" t="n">
        <x:f>'損益分岐設定'!$D$7/SUM('損益分岐設定'!$D$5:$D$7)</x:f>
        <x:v>0.2</x:v>
      </x:c>
      <x:c r="AG453" s="1" t="n">
        <x:f>AD453*'損益分岐設定'!$C$56+AE453*'損益分岐設定'!$C$59+AF453*'損益分岐設定'!$C$62</x:f>
        <x:v>110.51909573059083</x:v>
      </x:c>
      <x:c r="AH453" s="1" t="n">
        <x:f>AD453*'損益分岐設定'!$D$56+AE453*'損益分岐設定'!$D$59+AF453*'損益分岐設定'!$D$62</x:f>
        <x:v>27.75</x:v>
      </x:c>
      <x:c r="AI453" s="1" t="n">
        <x:f>AD453*'損益分岐設定'!$E$56+AE453*'損益分岐設定'!$E$59+AF453*'損益分岐設定'!$E$62</x:f>
        <x:v>18.5</x:v>
      </x:c>
      <x:c r="AJ453" s="1" t="n">
        <x:f>(AD453*'損益分岐設定'!$F$56+AE453*'損益分岐設定'!$F$59+AF453*'損益分岐設定'!$F$62*1)*'損益分岐設定'!$B$22</x:f>
        <x:v>27.75</x:v>
      </x:c>
      <x:c r="AK453" s="1" t="n">
        <x:f>AD453*'損益分岐設定'!$G$56+AE453*'損益分岐設定'!$G$59+AF453*'損益分岐設定'!$G$62</x:f>
        <x:v>92.5</x:v>
      </x:c>
      <x:c r="AL453" s="1" t="n">
        <x:f>AD453*'損益分岐設定'!$H$56+AE453*'損益分岐設定'!$H$59+AF453*'損益分岐設定'!$H$62</x:f>
        <x:v>323.33333333333337</x:v>
      </x:c>
      <x:c r="AM453" s="1" t="n">
        <x:f>MAX(1,ROUNDUP('損益分岐設定'!C37*AJ453/('損益分岐設定'!$B$23*'損益分岐設定'!$B$24*3600*'損益分岐設定'!$B$25),0))</x:f>
        <x:v>1</x:v>
      </x:c>
      <x:c r="AN453" s="1" t="n">
        <x:f>MAX(2,ROUNDUP('損益分岐設定'!C38*AJ453/('損益分岐設定'!$B$23*'損益分岐設定'!$B$24*3600*'損益分岐設定'!$B$25),0))</x:f>
        <x:v>2</x:v>
      </x:c>
      <x:c r="AO453" s="1" t="n">
        <x:f>MAX(2,ROUNDUP('損益分岐設定'!C39*AJ453/('損益分岐設定'!$B$23*'損益分岐設定'!$B$24*3600*'損益分岐設定'!$B$25),0))</x:f>
        <x:v>2</x:v>
      </x:c>
      <x:c r="AP453" s="1" t="n">
        <x:f>MAX(2,ROUNDUP('損益分岐設定'!C40*AJ453/('損益分岐設定'!$B$23*'損益分岐設定'!$B$24*3600*'損益分岐設定'!$B$25),0))</x:f>
        <x:v>2</x:v>
      </x:c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 ht="23" customHeight="1">
      <x:c r="A454" s="1" t="str">
        <x:v>VM</x:v>
      </x:c>
      <x:c r="B454" s="1" t="str">
        <x:v>混在</x:v>
      </x:c>
      <x:c r="C454" s="1" t="str">
        <x:v>低位</x:v>
      </x:c>
      <x:c r="D454" s="21" t="n">
        <x:v>0.5</x:v>
      </x:c>
      <x:c r="E454" s="1" t="n">
        <x:v>1</x:v>
      </x:c>
      <x:c r="F454" s="7" t="n">
        <x:f>AD454*'損益分岐設定'!$B$5+AE454*'損益分岐設定'!$B$6+AF454*'損益分岐設定'!$B$7</x:f>
        <x:v>4600</x:v>
      </x:c>
      <x:c r="G454" s="7" t="n">
        <x:f>AG454+0+AK454*'損益分岐設定'!$B$33</x:f>
        <x:v>110.52012949864866</x:v>
      </x:c>
      <x:c r="H454" s="7" t="n">
        <x:f>AL454*E454</x:f>
        <x:v>323.33333333333337</x:v>
      </x:c>
      <x:c r="I454" s="7" t="n">
        <x:f>F454*(1-D454-'損益分岐設定'!$B$10)-G454-H454</x:f>
        <x:v>1700.546537168018</x:v>
      </x:c>
      <x:c r="J454" s="1" t="n">
        <x:f>IF(MIN(V454:Y454)&gt;1000,"範囲内なし",MIN(V454:Y454))</x:f>
        <x:v>86</x:v>
      </x:c>
      <x:c r="K454" s="1" t="n">
        <x:f>IF(MAX(Z454:AC454)&gt;=1000,"範囲内なし",MAX(1,MAX(Z454:AC454)+1))</x:f>
        <x:v>105</x:v>
      </x:c>
      <x:c r="L454" s="7" t="n">
        <x:f>10*I454-R454</x:f>
        <x:v>-65753.72138954108</x:v>
      </x:c>
      <x:c r="M454" s="7" t="n">
        <x:f>30*I454-S454</x:f>
        <x:v>-94001.977407402</x:v>
      </x:c>
      <x:c r="N454" s="7" t="n">
        <x:f>50*I454-S454</x:f>
        <x:v>-59991.04666404164</x:v>
      </x:c>
      <x:c r="O454" s="7" t="n">
        <x:f>100*I454-S454</x:f>
        <x:v>25036.28019435925</x:v>
      </x:c>
      <x:c r="P454" s="7" t="n">
        <x:f>300*I454-T454</x:f>
        <x:v>333145.5876279629</x:v>
      </x:c>
      <x:c r="Q454" s="7" t="n">
        <x:f>1000*I454-U454</x:f>
        <x:v>1454648.5702649648</x:v>
      </x:c>
      <x:c r="R454" s="7" t="n">
        <x:f>'損益分岐設定'!$B$18+'損益分岐設定'!$B$19+'損益分岐設定'!$B$20+'損益分岐設定'!E37+('損益分岐設定'!F37+2*'損益分岐設定'!G37+AM454)*('損益分岐設定'!$B$15+'損益分岐設定'!$B$16)+'損益分岐設定'!$B$17+'損益分岐設定'!$B$21+E454*'損益分岐設定'!H37*'損益分岐設定'!$B$11</x:f>
        <x:v>82759.18676122127</x:v>
      </x:c>
      <x:c r="S454" s="7" t="n">
        <x:f>'損益分岐設定'!$B$18+'損益分岐設定'!$B$19+'損益分岐設定'!$B$20+'損益分岐設定'!E38+('損益分岐設定'!F38+2*'損益分岐設定'!G38+AN454)*('損益分岐設定'!$B$15+'損益分岐設定'!$B$16)+'損益分岐設定'!$B$17+'損益分岐設定'!$B$21+E454*'損益分岐設定'!H38*'損益分岐設定'!$B$11</x:f>
        <x:v>145018.37352244253</x:v>
      </x:c>
      <x:c r="T454" s="7" t="n">
        <x:f>'損益分岐設定'!$B$18+'損益分岐設定'!$B$19+'損益分岐設定'!$B$20+'損益分岐設定'!E39+('損益分岐設定'!F39+2*'損益分岐設定'!G39+AO454)*('損益分岐設定'!$B$15+'損益分岐設定'!$B$16)+'損益分岐設定'!$B$17+'損益分岐設定'!$B$21+E454*'損益分岐設定'!H39*'損益分岐設定'!$B$11</x:f>
        <x:v>177018.37352244253</x:v>
      </x:c>
      <x:c r="U454" s="7" t="n">
        <x:f>'損益分岐設定'!$B$18+'損益分岐設定'!$B$19+'損益分岐設定'!$B$20+'損益分岐設定'!E40+('損益分岐設定'!F40+2*'損益分岐設定'!G40+AP454)*('損益分岐設定'!$B$15+'損益分岐設定'!$B$16)+'損益分岐設定'!$B$17+'損益分岐設定'!$B$21+E454*'損益分岐設定'!H40*'損益分岐設定'!$B$11</x:f>
        <x:v>245897.96690305317</x:v>
      </x:c>
      <x:c r="V454" s="1" t="n">
        <x:f>IF(I454&lt;=0,1001,IF(MAX('損益分岐設定'!B37,ROUNDUP(R454/I454,0))&lt;='損益分岐設定'!C37,MAX('損益分岐設定'!B37,ROUNDUP(R454/I454,0)),1001))</x:f>
        <x:v>1001</x:v>
      </x:c>
      <x:c r="W454" s="1" t="n">
        <x:f>IF(I454&lt;=0,1001,IF(MAX('損益分岐設定'!B38,ROUNDUP(S454/I454,0))&lt;='損益分岐設定'!C38,MAX('損益分岐設定'!B38,ROUNDUP(S454/I454,0)),1001))</x:f>
        <x:v>86</x:v>
      </x:c>
      <x:c r="X454" s="1" t="n">
        <x:f>IF(I454&lt;=0,1001,IF(MAX('損益分岐設定'!B39,ROUNDUP(T454/I454,0))&lt;='損益分岐設定'!C39,MAX('損益分岐設定'!B39,ROUNDUP(T454/I454,0)),1001))</x:f>
        <x:v>105</x:v>
      </x:c>
      <x:c r="Y454" s="1" t="n">
        <x:f>IF(I454&lt;=0,1001,IF(MAX('損益分岐設定'!B40,ROUNDUP(U454/I454,0))&lt;='損益分岐設定'!C40,MAX('損益分岐設定'!B40,ROUNDUP(U454/I454,0)),1001))</x:f>
        <x:v>501</x:v>
      </x:c>
      <x:c r="Z454" s="1" t="n">
        <x:f>IF(I454&lt;=0,'損益分岐設定'!C37,IF('損益分岐設定'!C37*I454-R454&lt;0,'損益分岐設定'!C37,IF('損益分岐設定'!B37*I454-R454&gt;=0,0,ROUNDUP(R454/I454,0)-1)))</x:f>
        <x:v>10</x:v>
      </x:c>
      <x:c r="AA454" s="1" t="n">
        <x:f>IF(I454&lt;=0,'損益分岐設定'!C38,IF('損益分岐設定'!C38*I454-S454&lt;0,'損益分岐設定'!C38,IF('損益分岐設定'!B38*I454-S454&gt;=0,0,ROUNDUP(S454/I454,0)-1)))</x:f>
        <x:v>85</x:v>
      </x:c>
      <x:c r="AB454" s="1" t="n">
        <x:f>IF(I454&lt;=0,'損益分岐設定'!C39,IF('損益分岐設定'!C39*I454-T454&lt;0,'損益分岐設定'!C39,IF('損益分岐設定'!B39*I454-T454&gt;=0,0,ROUNDUP(T454/I454,0)-1)))</x:f>
        <x:v>104</x:v>
      </x:c>
      <x:c r="AC454" s="1" t="n">
        <x:f>IF(I454&lt;=0,'損益分岐設定'!C40,IF('損益分岐設定'!C40*I454-U454&lt;0,'損益分岐設定'!C40,IF('損益分岐設定'!B40*I454-U454&gt;=0,0,ROUNDUP(U454/I454,0)-1)))</x:f>
        <x:v>0</x:v>
      </x:c>
      <x:c r="AD454" s="1" t="n">
        <x:f>'損益分岐設定'!$D$5/SUM('損益分岐設定'!$D$5:$D$7)</x:f>
        <x:v>0.5</x:v>
      </x:c>
      <x:c r="AE454" s="1" t="n">
        <x:f>'損益分岐設定'!$D$6/SUM('損益分岐設定'!$D$5:$D$7)</x:f>
        <x:v>0.3</x:v>
      </x:c>
      <x:c r="AF454" s="1" t="n">
        <x:f>'損益分岐設定'!$D$7/SUM('損益分岐設定'!$D$5:$D$7)</x:f>
        <x:v>0.2</x:v>
      </x:c>
      <x:c r="AG454" s="1" t="n">
        <x:f>AD454*'損益分岐設定'!$C$56+AE454*'損益分岐設定'!$C$59+AF454*'損益分岐設定'!$C$62</x:f>
        <x:v>110.51909573059083</x:v>
      </x:c>
      <x:c r="AH454" s="1" t="n">
        <x:f>AD454*'損益分岐設定'!$D$56+AE454*'損益分岐設定'!$D$59+AF454*'損益分岐設定'!$D$62</x:f>
        <x:v>27.75</x:v>
      </x:c>
      <x:c r="AI454" s="1" t="n">
        <x:f>AD454*'損益分岐設定'!$E$56+AE454*'損益分岐設定'!$E$59+AF454*'損益分岐設定'!$E$62</x:f>
        <x:v>18.5</x:v>
      </x:c>
      <x:c r="AJ454" s="1" t="n">
        <x:f>(AD454*'損益分岐設定'!$F$56+AE454*'損益分岐設定'!$F$59+AF454*'損益分岐設定'!$F$62*1)*'損益分岐設定'!$B$22</x:f>
        <x:v>27.75</x:v>
      </x:c>
      <x:c r="AK454" s="1" t="n">
        <x:f>AD454*'損益分岐設定'!$G$56+AE454*'損益分岐設定'!$G$59+AF454*'損益分岐設定'!$G$62</x:f>
        <x:v>92.5</x:v>
      </x:c>
      <x:c r="AL454" s="1" t="n">
        <x:f>AD454*'損益分岐設定'!$H$56+AE454*'損益分岐設定'!$H$59+AF454*'損益分岐設定'!$H$62</x:f>
        <x:v>323.33333333333337</x:v>
      </x:c>
      <x:c r="AM454" s="1" t="n">
        <x:f>MAX(1,ROUNDUP('損益分岐設定'!C37*AJ454/('損益分岐設定'!$B$23*'損益分岐設定'!$B$24*3600*'損益分岐設定'!$B$25),0))</x:f>
        <x:v>1</x:v>
      </x:c>
      <x:c r="AN454" s="1" t="n">
        <x:f>MAX(2,ROUNDUP('損益分岐設定'!C38*AJ454/('損益分岐設定'!$B$23*'損益分岐設定'!$B$24*3600*'損益分岐設定'!$B$25),0))</x:f>
        <x:v>2</x:v>
      </x:c>
      <x:c r="AO454" s="1" t="n">
        <x:f>MAX(2,ROUNDUP('損益分岐設定'!C39*AJ454/('損益分岐設定'!$B$23*'損益分岐設定'!$B$24*3600*'損益分岐設定'!$B$25),0))</x:f>
        <x:v>2</x:v>
      </x:c>
      <x:c r="AP454" s="1" t="n">
        <x:f>MAX(2,ROUNDUP('損益分岐設定'!C40*AJ454/('損益分岐設定'!$B$23*'損益分岐設定'!$B$24*3600*'損益分岐設定'!$B$25),0))</x:f>
        <x:v>2</x:v>
      </x:c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 ht="23" customHeight="1">
      <x:c r="A455" s="1" t="str">
        <x:v>VM</x:v>
      </x:c>
      <x:c r="B455" s="1" t="str">
        <x:v>混在</x:v>
      </x:c>
      <x:c r="C455" s="1" t="str">
        <x:v>標準</x:v>
      </x:c>
      <x:c r="D455" s="21" t="n">
        <x:v>0</x:v>
      </x:c>
      <x:c r="E455" s="1" t="n">
        <x:v>0</x:v>
      </x:c>
      <x:c r="F455" s="7" t="n">
        <x:f>AD455*'損益分岐設定'!$B$5+AE455*'損益分岐設定'!$B$6+AF455*'損益分岐設定'!$B$7</x:f>
        <x:v>4600</x:v>
      </x:c>
      <x:c r="G455" s="7" t="n">
        <x:f>AG455+0+AK455*'損益分岐設定'!$B$33</x:f>
        <x:v>412.2239999418258</x:v>
      </x:c>
      <x:c r="H455" s="7" t="n">
        <x:f>AL455*E455</x:f>
        <x:v>0</x:v>
      </x:c>
      <x:c r="I455" s="7" t="n">
        <x:f>F455*(1-D455-'損益分岐設定'!$B$10)-G455-H455</x:f>
        <x:v>4022.176000058174</x:v>
      </x:c>
      <x:c r="J455" s="1" t="n">
        <x:f>IF(MIN(V455:Y455)&gt;1000,"範囲内なし",MIN(V455:Y455))</x:f>
        <x:v>25</x:v>
      </x:c>
      <x:c r="K455" s="1" t="n">
        <x:f>IF(MAX(Z455:AC455)&gt;=1000,"範囲内なし",MAX(1,MAX(Z455:AC455)+1))</x:f>
        <x:v>25</x:v>
      </x:c>
      <x:c r="L455" s="7" t="n">
        <x:f>10*I455-R455</x:f>
        <x:v>-10537.426760639537</x:v>
      </x:c>
      <x:c r="M455" s="7" t="n">
        <x:f>30*I455-S455</x:f>
        <x:v>23646.906479302677</x:v>
      </x:c>
      <x:c r="N455" s="7" t="n">
        <x:f>50*I455-S455</x:f>
        <x:v>104090.42648046614</x:v>
      </x:c>
      <x:c r="O455" s="7" t="n">
        <x:f>100*I455-S455</x:f>
        <x:v>305199.22648337483</x:v>
      </x:c>
      <x:c r="P455" s="7" t="n">
        <x:f>300*I455-T455</x:f>
        <x:v>1109634.4264950096</x:v>
      </x:c>
      <x:c r="Q455" s="7" t="n">
        <x:f>1000*I455-U455</x:f>
        <x:v>3904278.033155121</x:v>
      </x:c>
      <x:c r="R455" s="7" t="n">
        <x:f>'損益分岐設定'!$B$18+'損益分岐設定'!$B$19+'損益分岐設定'!$B$20+'損益分岐設定'!E37+('損益分岐設定'!F37+2*'損益分岐設定'!G37+AM455)*('損益分岐設定'!$B$15+'損益分岐設定'!$B$16)+'損益分岐設定'!$B$17+'損益分岐設定'!$B$21+E455*'損益分岐設定'!H37*'損益分岐設定'!$B$11</x:f>
        <x:v>50759.18676122127</x:v>
      </x:c>
      <x:c r="S455" s="7" t="n">
        <x:f>'損益分岐設定'!$B$18+'損益分岐設定'!$B$19+'損益分岐設定'!$B$20+'損益分岐設定'!E38+('損益分岐設定'!F38+2*'損益分岐設定'!G38+AN455)*('損益分岐設定'!$B$15+'損益分岐設定'!$B$16)+'損益分岐設定'!$B$17+'損益分岐設定'!$B$21+E455*'損益分岐設定'!H38*'損益分岐設定'!$B$11</x:f>
        <x:v>97018.37352244255</x:v>
      </x:c>
      <x:c r="T455" s="7" t="n">
        <x:f>'損益分岐設定'!$B$18+'損益分岐設定'!$B$19+'損益分岐設定'!$B$20+'損益分岐設定'!E39+('損益分岐設定'!F39+2*'損益分岐設定'!G39+AO455)*('損益分岐設定'!$B$15+'損益分岐設定'!$B$16)+'損益分岐設定'!$B$17+'損益分岐設定'!$B$21+E455*'損益分岐設定'!H39*'損益分岐設定'!$B$11</x:f>
        <x:v>97018.37352244255</x:v>
      </x:c>
      <x:c r="U455" s="7" t="n">
        <x:f>'損益分岐設定'!$B$18+'損益分岐設定'!$B$19+'損益分岐設定'!$B$20+'損益分岐設定'!E40+('損益分岐設定'!F40+2*'損益分岐設定'!G40+AP455)*('損益分岐設定'!$B$15+'損益分岐設定'!$B$16)+'損益分岐設定'!$B$17+'損益分岐設定'!$B$21+E455*'損益分岐設定'!H40*'損益分岐設定'!$B$11</x:f>
        <x:v>117897.96690305318</x:v>
      </x:c>
      <x:c r="V455" s="1" t="n">
        <x:f>IF(I455&lt;=0,1001,IF(MAX('損益分岐設定'!B37,ROUNDUP(R455/I455,0))&lt;='損益分岐設定'!C37,MAX('損益分岐設定'!B37,ROUNDUP(R455/I455,0)),1001))</x:f>
        <x:v>1001</x:v>
      </x:c>
      <x:c r="W455" s="1" t="n">
        <x:f>IF(I455&lt;=0,1001,IF(MAX('損益分岐設定'!B38,ROUNDUP(S455/I455,0))&lt;='損益分岐設定'!C38,MAX('損益分岐設定'!B38,ROUNDUP(S455/I455,0)),1001))</x:f>
        <x:v>25</x:v>
      </x:c>
      <x:c r="X455" s="1" t="n">
        <x:f>IF(I455&lt;=0,1001,IF(MAX('損益分岐設定'!B39,ROUNDUP(T455/I455,0))&lt;='損益分岐設定'!C39,MAX('損益分岐設定'!B39,ROUNDUP(T455/I455,0)),1001))</x:f>
        <x:v>101</x:v>
      </x:c>
      <x:c r="Y455" s="1" t="n">
        <x:f>IF(I455&lt;=0,1001,IF(MAX('損益分岐設定'!B40,ROUNDUP(U455/I455,0))&lt;='損益分岐設定'!C40,MAX('損益分岐設定'!B40,ROUNDUP(U455/I455,0)),1001))</x:f>
        <x:v>501</x:v>
      </x:c>
      <x:c r="Z455" s="1" t="n">
        <x:f>IF(I455&lt;=0,'損益分岐設定'!C37,IF('損益分岐設定'!C37*I455-R455&lt;0,'損益分岐設定'!C37,IF('損益分岐設定'!B37*I455-R455&gt;=0,0,ROUNDUP(R455/I455,0)-1)))</x:f>
        <x:v>10</x:v>
      </x:c>
      <x:c r="AA455" s="1" t="n">
        <x:f>IF(I455&lt;=0,'損益分岐設定'!C38,IF('損益分岐設定'!C38*I455-S455&lt;0,'損益分岐設定'!C38,IF('損益分岐設定'!B38*I455-S455&gt;=0,0,ROUNDUP(S455/I455,0)-1)))</x:f>
        <x:v>24</x:v>
      </x:c>
      <x:c r="AB455" s="1" t="n">
        <x:f>IF(I455&lt;=0,'損益分岐設定'!C39,IF('損益分岐設定'!C39*I455-T455&lt;0,'損益分岐設定'!C39,IF('損益分岐設定'!B39*I455-T455&gt;=0,0,ROUNDUP(T455/I455,0)-1)))</x:f>
        <x:v>0</x:v>
      </x:c>
      <x:c r="AC455" s="1" t="n">
        <x:f>IF(I455&lt;=0,'損益分岐設定'!C40,IF('損益分岐設定'!C40*I455-U455&lt;0,'損益分岐設定'!C40,IF('損益分岐設定'!B40*I455-U455&gt;=0,0,ROUNDUP(U455/I455,0)-1)))</x:f>
        <x:v>0</x:v>
      </x:c>
      <x:c r="AD455" s="1" t="n">
        <x:f>'損益分岐設定'!$D$5/SUM('損益分岐設定'!$D$5:$D$7)</x:f>
        <x:v>0.5</x:v>
      </x:c>
      <x:c r="AE455" s="1" t="n">
        <x:f>'損益分岐設定'!$D$6/SUM('損益分岐設定'!$D$5:$D$7)</x:f>
        <x:v>0.3</x:v>
      </x:c>
      <x:c r="AF455" s="1" t="n">
        <x:f>'損益分岐設定'!$D$7/SUM('損益分岐設定'!$D$5:$D$7)</x:f>
        <x:v>0.2</x:v>
      </x:c>
      <x:c r="AG455" s="1" t="n">
        <x:f>AD455*'損益分岐設定'!$C$57+AE455*'損益分岐設定'!$C$60+AF455*'損益分岐設定'!$C$63</x:f>
        <x:v>412.2157297973632</x:v>
      </x:c>
      <x:c r="AH455" s="1" t="n">
        <x:f>AD455*'損益分岐設定'!$D$57+AE455*'損益分岐設定'!$D$60+AF455*'損益分岐設定'!$D$63</x:f>
        <x:v>111</x:v>
      </x:c>
      <x:c r="AI455" s="1" t="n">
        <x:f>AD455*'損益分岐設定'!$E$57+AE455*'損益分岐設定'!$E$60+AF455*'損益分岐設定'!$E$63</x:f>
        <x:v>111</x:v>
      </x:c>
      <x:c r="AJ455" s="1" t="n">
        <x:f>(AD455*'損益分岐設定'!$F$57+AE455*'損益分岐設定'!$F$60+AF455*'損益分岐設定'!$F$63*1)*'損益分岐設定'!$B$22</x:f>
        <x:v>444</x:v>
      </x:c>
      <x:c r="AK455" s="1" t="n">
        <x:f>AD455*'損益分岐設定'!$G$57+AE455*'損益分岐設定'!$G$60+AF455*'損益分岐設定'!$G$63</x:f>
        <x:v>740</x:v>
      </x:c>
      <x:c r="AL455" s="1" t="n">
        <x:f>AD455*'損益分岐設定'!$H$57+AE455*'損益分岐設定'!$H$60+AF455*'損益分岐設定'!$H$63</x:f>
        <x:v>656.6666666666666</x:v>
      </x:c>
      <x:c r="AM455" s="1" t="n">
        <x:f>MAX(1,ROUNDUP('損益分岐設定'!C37*AJ455/('損益分岐設定'!$B$23*'損益分岐設定'!$B$24*3600*'損益分岐設定'!$B$25),0))</x:f>
        <x:v>1</x:v>
      </x:c>
      <x:c r="AN455" s="1" t="n">
        <x:f>MAX(2,ROUNDUP('損益分岐設定'!C38*AJ455/('損益分岐設定'!$B$23*'損益分岐設定'!$B$24*3600*'損益分岐設定'!$B$25),0))</x:f>
        <x:v>2</x:v>
      </x:c>
      <x:c r="AO455" s="1" t="n">
        <x:f>MAX(2,ROUNDUP('損益分岐設定'!C39*AJ455/('損益分岐設定'!$B$23*'損益分岐設定'!$B$24*3600*'損益分岐設定'!$B$25),0))</x:f>
        <x:v>2</x:v>
      </x:c>
      <x:c r="AP455" s="1" t="n">
        <x:f>MAX(2,ROUNDUP('損益分岐設定'!C40*AJ455/('損益分岐設定'!$B$23*'損益分岐設定'!$B$24*3600*'損益分岐設定'!$B$25),0))</x:f>
        <x:v>2</x:v>
      </x:c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 ht="23" customHeight="1">
      <x:c r="A456" s="1" t="str">
        <x:v>VM</x:v>
      </x:c>
      <x:c r="B456" s="1" t="str">
        <x:v>混在</x:v>
      </x:c>
      <x:c r="C456" s="1" t="str">
        <x:v>標準</x:v>
      </x:c>
      <x:c r="D456" s="21" t="n">
        <x:v>0</x:v>
      </x:c>
      <x:c r="E456" s="1" t="n">
        <x:v>1</x:v>
      </x:c>
      <x:c r="F456" s="7" t="n">
        <x:f>AD456*'損益分岐設定'!$B$5+AE456*'損益分岐設定'!$B$6+AF456*'損益分岐設定'!$B$7</x:f>
        <x:v>4600</x:v>
      </x:c>
      <x:c r="G456" s="7" t="n">
        <x:f>AG456+0+AK456*'損益分岐設定'!$B$33</x:f>
        <x:v>412.2239999418258</x:v>
      </x:c>
      <x:c r="H456" s="7" t="n">
        <x:f>AL456*E456</x:f>
        <x:v>656.6666666666666</x:v>
      </x:c>
      <x:c r="I456" s="7" t="n">
        <x:f>F456*(1-D456-'損益分岐設定'!$B$10)-G456-H456</x:f>
        <x:v>3365.5093333915074</x:v>
      </x:c>
      <x:c r="J456" s="1" t="n">
        <x:f>IF(MIN(V456:Y456)&gt;1000,"範囲内なし",MIN(V456:Y456))</x:f>
        <x:v>44</x:v>
      </x:c>
      <x:c r="K456" s="1" t="n">
        <x:f>IF(MAX(Z456:AC456)&gt;=1000,"範囲内なし",MAX(1,MAX(Z456:AC456)+1))</x:f>
        <x:v>44</x:v>
      </x:c>
      <x:c r="L456" s="7" t="n">
        <x:f>10*I456-R456</x:f>
        <x:v>-49104.093427306194</x:v>
      </x:c>
      <x:c r="M456" s="7" t="n">
        <x:f>30*I456-S456</x:f>
        <x:v>-44053.09352069731</x:v>
      </x:c>
      <x:c r="N456" s="7" t="n">
        <x:f>50*I456-S456</x:f>
        <x:v>23257.093147132837</x:v>
      </x:c>
      <x:c r="O456" s="7" t="n">
        <x:f>100*I456-S456</x:f>
        <x:v>191532.5598167082</x:v>
      </x:c>
      <x:c r="P456" s="7" t="n">
        <x:f>300*I456-T456</x:f>
        <x:v>832634.4264950097</x:v>
      </x:c>
      <x:c r="Q456" s="7" t="n">
        <x:f>1000*I456-U456</x:f>
        <x:v>3119611.3664884544</x:v>
      </x:c>
      <x:c r="R456" s="7" t="n">
        <x:f>'損益分岐設定'!$B$18+'損益分岐設定'!$B$19+'損益分岐設定'!$B$20+'損益分岐設定'!E37+('損益分岐設定'!F37+2*'損益分岐設定'!G37+AM456)*('損益分岐設定'!$B$15+'損益分岐設定'!$B$16)+'損益分岐設定'!$B$17+'損益分岐設定'!$B$21+E456*'損益分岐設定'!H37*'損益分岐設定'!$B$11</x:f>
        <x:v>82759.18676122127</x:v>
      </x:c>
      <x:c r="S456" s="7" t="n">
        <x:f>'損益分岐設定'!$B$18+'損益分岐設定'!$B$19+'損益分岐設定'!$B$20+'損益分岐設定'!E38+('損益分岐設定'!F38+2*'損益分岐設定'!G38+AN456)*('損益分岐設定'!$B$15+'損益分岐設定'!$B$16)+'損益分岐設定'!$B$17+'損益分岐設定'!$B$21+E456*'損益分岐設定'!H38*'損益分岐設定'!$B$11</x:f>
        <x:v>145018.37352244253</x:v>
      </x:c>
      <x:c r="T456" s="7" t="n">
        <x:f>'損益分岐設定'!$B$18+'損益分岐設定'!$B$19+'損益分岐設定'!$B$20+'損益分岐設定'!E39+('損益分岐設定'!F39+2*'損益分岐設定'!G39+AO456)*('損益分岐設定'!$B$15+'損益分岐設定'!$B$16)+'損益分岐設定'!$B$17+'損益分岐設定'!$B$21+E456*'損益分岐設定'!H39*'損益分岐設定'!$B$11</x:f>
        <x:v>177018.37352244253</x:v>
      </x:c>
      <x:c r="U456" s="7" t="n">
        <x:f>'損益分岐設定'!$B$18+'損益分岐設定'!$B$19+'損益分岐設定'!$B$20+'損益分岐設定'!E40+('損益分岐設定'!F40+2*'損益分岐設定'!G40+AP456)*('損益分岐設定'!$B$15+'損益分岐設定'!$B$16)+'損益分岐設定'!$B$17+'損益分岐設定'!$B$21+E456*'損益分岐設定'!H40*'損益分岐設定'!$B$11</x:f>
        <x:v>245897.96690305317</x:v>
      </x:c>
      <x:c r="V456" s="1" t="n">
        <x:f>IF(I456&lt;=0,1001,IF(MAX('損益分岐設定'!B37,ROUNDUP(R456/I456,0))&lt;='損益分岐設定'!C37,MAX('損益分岐設定'!B37,ROUNDUP(R456/I456,0)),1001))</x:f>
        <x:v>1001</x:v>
      </x:c>
      <x:c r="W456" s="1" t="n">
        <x:f>IF(I456&lt;=0,1001,IF(MAX('損益分岐設定'!B38,ROUNDUP(S456/I456,0))&lt;='損益分岐設定'!C38,MAX('損益分岐設定'!B38,ROUNDUP(S456/I456,0)),1001))</x:f>
        <x:v>44</x:v>
      </x:c>
      <x:c r="X456" s="1" t="n">
        <x:f>IF(I456&lt;=0,1001,IF(MAX('損益分岐設定'!B39,ROUNDUP(T456/I456,0))&lt;='損益分岐設定'!C39,MAX('損益分岐設定'!B39,ROUNDUP(T456/I456,0)),1001))</x:f>
        <x:v>101</x:v>
      </x:c>
      <x:c r="Y456" s="1" t="n">
        <x:f>IF(I456&lt;=0,1001,IF(MAX('損益分岐設定'!B40,ROUNDUP(U456/I456,0))&lt;='損益分岐設定'!C40,MAX('損益分岐設定'!B40,ROUNDUP(U456/I456,0)),1001))</x:f>
        <x:v>501</x:v>
      </x:c>
      <x:c r="Z456" s="1" t="n">
        <x:f>IF(I456&lt;=0,'損益分岐設定'!C37,IF('損益分岐設定'!C37*I456-R456&lt;0,'損益分岐設定'!C37,IF('損益分岐設定'!B37*I456-R456&gt;=0,0,ROUNDUP(R456/I456,0)-1)))</x:f>
        <x:v>10</x:v>
      </x:c>
      <x:c r="AA456" s="1" t="n">
        <x:f>IF(I456&lt;=0,'損益分岐設定'!C38,IF('損益分岐設定'!C38*I456-S456&lt;0,'損益分岐設定'!C38,IF('損益分岐設定'!B38*I456-S456&gt;=0,0,ROUNDUP(S456/I456,0)-1)))</x:f>
        <x:v>43</x:v>
      </x:c>
      <x:c r="AB456" s="1" t="n">
        <x:f>IF(I456&lt;=0,'損益分岐設定'!C39,IF('損益分岐設定'!C39*I456-T456&lt;0,'損益分岐設定'!C39,IF('損益分岐設定'!B39*I456-T456&gt;=0,0,ROUNDUP(T456/I456,0)-1)))</x:f>
        <x:v>0</x:v>
      </x:c>
      <x:c r="AC456" s="1" t="n">
        <x:f>IF(I456&lt;=0,'損益分岐設定'!C40,IF('損益分岐設定'!C40*I456-U456&lt;0,'損益分岐設定'!C40,IF('損益分岐設定'!B40*I456-U456&gt;=0,0,ROUNDUP(U456/I456,0)-1)))</x:f>
        <x:v>0</x:v>
      </x:c>
      <x:c r="AD456" s="1" t="n">
        <x:f>'損益分岐設定'!$D$5/SUM('損益分岐設定'!$D$5:$D$7)</x:f>
        <x:v>0.5</x:v>
      </x:c>
      <x:c r="AE456" s="1" t="n">
        <x:f>'損益分岐設定'!$D$6/SUM('損益分岐設定'!$D$5:$D$7)</x:f>
        <x:v>0.3</x:v>
      </x:c>
      <x:c r="AF456" s="1" t="n">
        <x:f>'損益分岐設定'!$D$7/SUM('損益分岐設定'!$D$5:$D$7)</x:f>
        <x:v>0.2</x:v>
      </x:c>
      <x:c r="AG456" s="1" t="n">
        <x:f>AD456*'損益分岐設定'!$C$57+AE456*'損益分岐設定'!$C$60+AF456*'損益分岐設定'!$C$63</x:f>
        <x:v>412.2157297973632</x:v>
      </x:c>
      <x:c r="AH456" s="1" t="n">
        <x:f>AD456*'損益分岐設定'!$D$57+AE456*'損益分岐設定'!$D$60+AF456*'損益分岐設定'!$D$63</x:f>
        <x:v>111</x:v>
      </x:c>
      <x:c r="AI456" s="1" t="n">
        <x:f>AD456*'損益分岐設定'!$E$57+AE456*'損益分岐設定'!$E$60+AF456*'損益分岐設定'!$E$63</x:f>
        <x:v>111</x:v>
      </x:c>
      <x:c r="AJ456" s="1" t="n">
        <x:f>(AD456*'損益分岐設定'!$F$57+AE456*'損益分岐設定'!$F$60+AF456*'損益分岐設定'!$F$63*1)*'損益分岐設定'!$B$22</x:f>
        <x:v>444</x:v>
      </x:c>
      <x:c r="AK456" s="1" t="n">
        <x:f>AD456*'損益分岐設定'!$G$57+AE456*'損益分岐設定'!$G$60+AF456*'損益分岐設定'!$G$63</x:f>
        <x:v>740</x:v>
      </x:c>
      <x:c r="AL456" s="1" t="n">
        <x:f>AD456*'損益分岐設定'!$H$57+AE456*'損益分岐設定'!$H$60+AF456*'損益分岐設定'!$H$63</x:f>
        <x:v>656.6666666666666</x:v>
      </x:c>
      <x:c r="AM456" s="1" t="n">
        <x:f>MAX(1,ROUNDUP('損益分岐設定'!C37*AJ456/('損益分岐設定'!$B$23*'損益分岐設定'!$B$24*3600*'損益分岐設定'!$B$25),0))</x:f>
        <x:v>1</x:v>
      </x:c>
      <x:c r="AN456" s="1" t="n">
        <x:f>MAX(2,ROUNDUP('損益分岐設定'!C38*AJ456/('損益分岐設定'!$B$23*'損益分岐設定'!$B$24*3600*'損益分岐設定'!$B$25),0))</x:f>
        <x:v>2</x:v>
      </x:c>
      <x:c r="AO456" s="1" t="n">
        <x:f>MAX(2,ROUNDUP('損益分岐設定'!C39*AJ456/('損益分岐設定'!$B$23*'損益分岐設定'!$B$24*3600*'損益分岐設定'!$B$25),0))</x:f>
        <x:v>2</x:v>
      </x:c>
      <x:c r="AP456" s="1" t="n">
        <x:f>MAX(2,ROUNDUP('損益分岐設定'!C40*AJ456/('損益分岐設定'!$B$23*'損益分岐設定'!$B$24*3600*'損益分岐設定'!$B$25),0))</x:f>
        <x:v>2</x:v>
      </x:c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 ht="23" customHeight="1">
      <x:c r="A457" s="1" t="str">
        <x:v>VM</x:v>
      </x:c>
      <x:c r="B457" s="1" t="str">
        <x:v>混在</x:v>
      </x:c>
      <x:c r="C457" s="1" t="str">
        <x:v>標準</x:v>
      </x:c>
      <x:c r="D457" s="21" t="n">
        <x:v>0.2</x:v>
      </x:c>
      <x:c r="E457" s="1" t="n">
        <x:v>0</x:v>
      </x:c>
      <x:c r="F457" s="7" t="n">
        <x:f>AD457*'損益分岐設定'!$B$5+AE457*'損益分岐設定'!$B$6+AF457*'損益分岐設定'!$B$7</x:f>
        <x:v>4600</x:v>
      </x:c>
      <x:c r="G457" s="7" t="n">
        <x:f>AG457+0+AK457*'損益分岐設定'!$B$33</x:f>
        <x:v>412.2239999418258</x:v>
      </x:c>
      <x:c r="H457" s="7" t="n">
        <x:f>AL457*E457</x:f>
        <x:v>0</x:v>
      </x:c>
      <x:c r="I457" s="7" t="n">
        <x:f>F457*(1-D457-'損益分岐設定'!$B$10)-G457-H457</x:f>
        <x:v>3102.1760000581744</x:v>
      </x:c>
      <x:c r="J457" s="1" t="n">
        <x:f>IF(MIN(V457:Y457)&gt;1000,"範囲内なし",MIN(V457:Y457))</x:f>
        <x:v>32</x:v>
      </x:c>
      <x:c r="K457" s="1" t="n">
        <x:f>IF(MAX(Z457:AC457)&gt;=1000,"範囲内なし",MAX(1,MAX(Z457:AC457)+1))</x:f>
        <x:v>32</x:v>
      </x:c>
      <x:c r="L457" s="7" t="n">
        <x:f>10*I457-R457</x:f>
        <x:v>-19737.42676063953</x:v>
      </x:c>
      <x:c r="M457" s="7" t="n">
        <x:f>30*I457-S457</x:f>
        <x:v>-3953.093520697308</x:v>
      </x:c>
      <x:c r="N457" s="7" t="n">
        <x:f>50*I457-S457</x:f>
        <x:v>58090.426480466165</x:v>
      </x:c>
      <x:c r="O457" s="7" t="n">
        <x:f>100*I457-S457</x:f>
        <x:v>213199.2264833749</x:v>
      </x:c>
      <x:c r="P457" s="7" t="n">
        <x:f>300*I457-T457</x:f>
        <x:v>833634.4264950098</x:v>
      </x:c>
      <x:c r="Q457" s="7" t="n">
        <x:f>1000*I457-U457</x:f>
        <x:v>2984278.0331551214</x:v>
      </x:c>
      <x:c r="R457" s="7" t="n">
        <x:f>'損益分岐設定'!$B$18+'損益分岐設定'!$B$19+'損益分岐設定'!$B$20+'損益分岐設定'!E37+('損益分岐設定'!F37+2*'損益分岐設定'!G37+AM457)*('損益分岐設定'!$B$15+'損益分岐設定'!$B$16)+'損益分岐設定'!$B$17+'損益分岐設定'!$B$21+E457*'損益分岐設定'!H37*'損益分岐設定'!$B$11</x:f>
        <x:v>50759.18676122127</x:v>
      </x:c>
      <x:c r="S457" s="7" t="n">
        <x:f>'損益分岐設定'!$B$18+'損益分岐設定'!$B$19+'損益分岐設定'!$B$20+'損益分岐設定'!E38+('損益分岐設定'!F38+2*'損益分岐設定'!G38+AN457)*('損益分岐設定'!$B$15+'損益分岐設定'!$B$16)+'損益分岐設定'!$B$17+'損益分岐設定'!$B$21+E457*'損益分岐設定'!H38*'損益分岐設定'!$B$11</x:f>
        <x:v>97018.37352244255</x:v>
      </x:c>
      <x:c r="T457" s="7" t="n">
        <x:f>'損益分岐設定'!$B$18+'損益分岐設定'!$B$19+'損益分岐設定'!$B$20+'損益分岐設定'!E39+('損益分岐設定'!F39+2*'損益分岐設定'!G39+AO457)*('損益分岐設定'!$B$15+'損益分岐設定'!$B$16)+'損益分岐設定'!$B$17+'損益分岐設定'!$B$21+E457*'損益分岐設定'!H39*'損益分岐設定'!$B$11</x:f>
        <x:v>97018.37352244255</x:v>
      </x:c>
      <x:c r="U457" s="7" t="n">
        <x:f>'損益分岐設定'!$B$18+'損益分岐設定'!$B$19+'損益分岐設定'!$B$20+'損益分岐設定'!E40+('損益分岐設定'!F40+2*'損益分岐設定'!G40+AP457)*('損益分岐設定'!$B$15+'損益分岐設定'!$B$16)+'損益分岐設定'!$B$17+'損益分岐設定'!$B$21+E457*'損益分岐設定'!H40*'損益分岐設定'!$B$11</x:f>
        <x:v>117897.96690305318</x:v>
      </x:c>
      <x:c r="V457" s="1" t="n">
        <x:f>IF(I457&lt;=0,1001,IF(MAX('損益分岐設定'!B37,ROUNDUP(R457/I457,0))&lt;='損益分岐設定'!C37,MAX('損益分岐設定'!B37,ROUNDUP(R457/I457,0)),1001))</x:f>
        <x:v>1001</x:v>
      </x:c>
      <x:c r="W457" s="1" t="n">
        <x:f>IF(I457&lt;=0,1001,IF(MAX('損益分岐設定'!B38,ROUNDUP(S457/I457,0))&lt;='損益分岐設定'!C38,MAX('損益分岐設定'!B38,ROUNDUP(S457/I457,0)),1001))</x:f>
        <x:v>32</x:v>
      </x:c>
      <x:c r="X457" s="1" t="n">
        <x:f>IF(I457&lt;=0,1001,IF(MAX('損益分岐設定'!B39,ROUNDUP(T457/I457,0))&lt;='損益分岐設定'!C39,MAX('損益分岐設定'!B39,ROUNDUP(T457/I457,0)),1001))</x:f>
        <x:v>101</x:v>
      </x:c>
      <x:c r="Y457" s="1" t="n">
        <x:f>IF(I457&lt;=0,1001,IF(MAX('損益分岐設定'!B40,ROUNDUP(U457/I457,0))&lt;='損益分岐設定'!C40,MAX('損益分岐設定'!B40,ROUNDUP(U457/I457,0)),1001))</x:f>
        <x:v>501</x:v>
      </x:c>
      <x:c r="Z457" s="1" t="n">
        <x:f>IF(I457&lt;=0,'損益分岐設定'!C37,IF('損益分岐設定'!C37*I457-R457&lt;0,'損益分岐設定'!C37,IF('損益分岐設定'!B37*I457-R457&gt;=0,0,ROUNDUP(R457/I457,0)-1)))</x:f>
        <x:v>10</x:v>
      </x:c>
      <x:c r="AA457" s="1" t="n">
        <x:f>IF(I457&lt;=0,'損益分岐設定'!C38,IF('損益分岐設定'!C38*I457-S457&lt;0,'損益分岐設定'!C38,IF('損益分岐設定'!B38*I457-S457&gt;=0,0,ROUNDUP(S457/I457,0)-1)))</x:f>
        <x:v>31</x:v>
      </x:c>
      <x:c r="AB457" s="1" t="n">
        <x:f>IF(I457&lt;=0,'損益分岐設定'!C39,IF('損益分岐設定'!C39*I457-T457&lt;0,'損益分岐設定'!C39,IF('損益分岐設定'!B39*I457-T457&gt;=0,0,ROUNDUP(T457/I457,0)-1)))</x:f>
        <x:v>0</x:v>
      </x:c>
      <x:c r="AC457" s="1" t="n">
        <x:f>IF(I457&lt;=0,'損益分岐設定'!C40,IF('損益分岐設定'!C40*I457-U457&lt;0,'損益分岐設定'!C40,IF('損益分岐設定'!B40*I457-U457&gt;=0,0,ROUNDUP(U457/I457,0)-1)))</x:f>
        <x:v>0</x:v>
      </x:c>
      <x:c r="AD457" s="1" t="n">
        <x:f>'損益分岐設定'!$D$5/SUM('損益分岐設定'!$D$5:$D$7)</x:f>
        <x:v>0.5</x:v>
      </x:c>
      <x:c r="AE457" s="1" t="n">
        <x:f>'損益分岐設定'!$D$6/SUM('損益分岐設定'!$D$5:$D$7)</x:f>
        <x:v>0.3</x:v>
      </x:c>
      <x:c r="AF457" s="1" t="n">
        <x:f>'損益分岐設定'!$D$7/SUM('損益分岐設定'!$D$5:$D$7)</x:f>
        <x:v>0.2</x:v>
      </x:c>
      <x:c r="AG457" s="1" t="n">
        <x:f>AD457*'損益分岐設定'!$C$57+AE457*'損益分岐設定'!$C$60+AF457*'損益分岐設定'!$C$63</x:f>
        <x:v>412.2157297973632</x:v>
      </x:c>
      <x:c r="AH457" s="1" t="n">
        <x:f>AD457*'損益分岐設定'!$D$57+AE457*'損益分岐設定'!$D$60+AF457*'損益分岐設定'!$D$63</x:f>
        <x:v>111</x:v>
      </x:c>
      <x:c r="AI457" s="1" t="n">
        <x:f>AD457*'損益分岐設定'!$E$57+AE457*'損益分岐設定'!$E$60+AF457*'損益分岐設定'!$E$63</x:f>
        <x:v>111</x:v>
      </x:c>
      <x:c r="AJ457" s="1" t="n">
        <x:f>(AD457*'損益分岐設定'!$F$57+AE457*'損益分岐設定'!$F$60+AF457*'損益分岐設定'!$F$63*1)*'損益分岐設定'!$B$22</x:f>
        <x:v>444</x:v>
      </x:c>
      <x:c r="AK457" s="1" t="n">
        <x:f>AD457*'損益分岐設定'!$G$57+AE457*'損益分岐設定'!$G$60+AF457*'損益分岐設定'!$G$63</x:f>
        <x:v>740</x:v>
      </x:c>
      <x:c r="AL457" s="1" t="n">
        <x:f>AD457*'損益分岐設定'!$H$57+AE457*'損益分岐設定'!$H$60+AF457*'損益分岐設定'!$H$63</x:f>
        <x:v>656.6666666666666</x:v>
      </x:c>
      <x:c r="AM457" s="1" t="n">
        <x:f>MAX(1,ROUNDUP('損益分岐設定'!C37*AJ457/('損益分岐設定'!$B$23*'損益分岐設定'!$B$24*3600*'損益分岐設定'!$B$25),0))</x:f>
        <x:v>1</x:v>
      </x:c>
      <x:c r="AN457" s="1" t="n">
        <x:f>MAX(2,ROUNDUP('損益分岐設定'!C38*AJ457/('損益分岐設定'!$B$23*'損益分岐設定'!$B$24*3600*'損益分岐設定'!$B$25),0))</x:f>
        <x:v>2</x:v>
      </x:c>
      <x:c r="AO457" s="1" t="n">
        <x:f>MAX(2,ROUNDUP('損益分岐設定'!C39*AJ457/('損益分岐設定'!$B$23*'損益分岐設定'!$B$24*3600*'損益分岐設定'!$B$25),0))</x:f>
        <x:v>2</x:v>
      </x:c>
      <x:c r="AP457" s="1" t="n">
        <x:f>MAX(2,ROUNDUP('損益分岐設定'!C40*AJ457/('損益分岐設定'!$B$23*'損益分岐設定'!$B$24*3600*'損益分岐設定'!$B$25),0))</x:f>
        <x:v>2</x:v>
      </x:c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 ht="23" customHeight="1">
      <x:c r="A458" s="1" t="str">
        <x:v>VM</x:v>
      </x:c>
      <x:c r="B458" s="1" t="str">
        <x:v>混在</x:v>
      </x:c>
      <x:c r="C458" s="1" t="str">
        <x:v>標準</x:v>
      </x:c>
      <x:c r="D458" s="21" t="n">
        <x:v>0.2</x:v>
      </x:c>
      <x:c r="E458" s="1" t="n">
        <x:v>1</x:v>
      </x:c>
      <x:c r="F458" s="7" t="n">
        <x:f>AD458*'損益分岐設定'!$B$5+AE458*'損益分岐設定'!$B$6+AF458*'損益分岐設定'!$B$7</x:f>
        <x:v>4600</x:v>
      </x:c>
      <x:c r="G458" s="7" t="n">
        <x:f>AG458+0+AK458*'損益分岐設定'!$B$33</x:f>
        <x:v>412.2239999418258</x:v>
      </x:c>
      <x:c r="H458" s="7" t="n">
        <x:f>AL458*E458</x:f>
        <x:v>656.6666666666666</x:v>
      </x:c>
      <x:c r="I458" s="7" t="n">
        <x:f>F458*(1-D458-'損益分岐設定'!$B$10)-G458-H458</x:f>
        <x:v>2445.509333391508</x:v>
      </x:c>
      <x:c r="J458" s="1" t="n">
        <x:f>IF(MIN(V458:Y458)&gt;1000,"範囲内なし",MIN(V458:Y458))</x:f>
        <x:v>60</x:v>
      </x:c>
      <x:c r="K458" s="1" t="n">
        <x:f>IF(MAX(Z458:AC458)&gt;=1000,"範囲内なし",MAX(1,MAX(Z458:AC458)+1))</x:f>
        <x:v>60</x:v>
      </x:c>
      <x:c r="L458" s="7" t="n">
        <x:f>10*I458-R458</x:f>
        <x:v>-58304.09342730619</x:v>
      </x:c>
      <x:c r="M458" s="7" t="n">
        <x:f>30*I458-S458</x:f>
        <x:v>-71653.0935206973</x:v>
      </x:c>
      <x:c r="N458" s="7" t="n">
        <x:f>50*I458-S458</x:f>
        <x:v>-22742.906852867134</x:v>
      </x:c>
      <x:c r="O458" s="7" t="n">
        <x:f>100*I458-S458</x:f>
        <x:v>99532.55981670826</x:v>
      </x:c>
      <x:c r="P458" s="7" t="n">
        <x:f>300*I458-T458</x:f>
        <x:v>556634.4264950098</x:v>
      </x:c>
      <x:c r="Q458" s="7" t="n">
        <x:f>1000*I458-U458</x:f>
        <x:v>2199611.366488455</x:v>
      </x:c>
      <x:c r="R458" s="7" t="n">
        <x:f>'損益分岐設定'!$B$18+'損益分岐設定'!$B$19+'損益分岐設定'!$B$20+'損益分岐設定'!E37+('損益分岐設定'!F37+2*'損益分岐設定'!G37+AM458)*('損益分岐設定'!$B$15+'損益分岐設定'!$B$16)+'損益分岐設定'!$B$17+'損益分岐設定'!$B$21+E458*'損益分岐設定'!H37*'損益分岐設定'!$B$11</x:f>
        <x:v>82759.18676122127</x:v>
      </x:c>
      <x:c r="S458" s="7" t="n">
        <x:f>'損益分岐設定'!$B$18+'損益分岐設定'!$B$19+'損益分岐設定'!$B$20+'損益分岐設定'!E38+('損益分岐設定'!F38+2*'損益分岐設定'!G38+AN458)*('損益分岐設定'!$B$15+'損益分岐設定'!$B$16)+'損益分岐設定'!$B$17+'損益分岐設定'!$B$21+E458*'損益分岐設定'!H38*'損益分岐設定'!$B$11</x:f>
        <x:v>145018.37352244253</x:v>
      </x:c>
      <x:c r="T458" s="7" t="n">
        <x:f>'損益分岐設定'!$B$18+'損益分岐設定'!$B$19+'損益分岐設定'!$B$20+'損益分岐設定'!E39+('損益分岐設定'!F39+2*'損益分岐設定'!G39+AO458)*('損益分岐設定'!$B$15+'損益分岐設定'!$B$16)+'損益分岐設定'!$B$17+'損益分岐設定'!$B$21+E458*'損益分岐設定'!H39*'損益分岐設定'!$B$11</x:f>
        <x:v>177018.37352244253</x:v>
      </x:c>
      <x:c r="U458" s="7" t="n">
        <x:f>'損益分岐設定'!$B$18+'損益分岐設定'!$B$19+'損益分岐設定'!$B$20+'損益分岐設定'!E40+('損益分岐設定'!F40+2*'損益分岐設定'!G40+AP458)*('損益分岐設定'!$B$15+'損益分岐設定'!$B$16)+'損益分岐設定'!$B$17+'損益分岐設定'!$B$21+E458*'損益分岐設定'!H40*'損益分岐設定'!$B$11</x:f>
        <x:v>245897.96690305317</x:v>
      </x:c>
      <x:c r="V458" s="1" t="n">
        <x:f>IF(I458&lt;=0,1001,IF(MAX('損益分岐設定'!B37,ROUNDUP(R458/I458,0))&lt;='損益分岐設定'!C37,MAX('損益分岐設定'!B37,ROUNDUP(R458/I458,0)),1001))</x:f>
        <x:v>1001</x:v>
      </x:c>
      <x:c r="W458" s="1" t="n">
        <x:f>IF(I458&lt;=0,1001,IF(MAX('損益分岐設定'!B38,ROUNDUP(S458/I458,0))&lt;='損益分岐設定'!C38,MAX('損益分岐設定'!B38,ROUNDUP(S458/I458,0)),1001))</x:f>
        <x:v>60</x:v>
      </x:c>
      <x:c r="X458" s="1" t="n">
        <x:f>IF(I458&lt;=0,1001,IF(MAX('損益分岐設定'!B39,ROUNDUP(T458/I458,0))&lt;='損益分岐設定'!C39,MAX('損益分岐設定'!B39,ROUNDUP(T458/I458,0)),1001))</x:f>
        <x:v>101</x:v>
      </x:c>
      <x:c r="Y458" s="1" t="n">
        <x:f>IF(I458&lt;=0,1001,IF(MAX('損益分岐設定'!B40,ROUNDUP(U458/I458,0))&lt;='損益分岐設定'!C40,MAX('損益分岐設定'!B40,ROUNDUP(U458/I458,0)),1001))</x:f>
        <x:v>501</x:v>
      </x:c>
      <x:c r="Z458" s="1" t="n">
        <x:f>IF(I458&lt;=0,'損益分岐設定'!C37,IF('損益分岐設定'!C37*I458-R458&lt;0,'損益分岐設定'!C37,IF('損益分岐設定'!B37*I458-R458&gt;=0,0,ROUNDUP(R458/I458,0)-1)))</x:f>
        <x:v>10</x:v>
      </x:c>
      <x:c r="AA458" s="1" t="n">
        <x:f>IF(I458&lt;=0,'損益分岐設定'!C38,IF('損益分岐設定'!C38*I458-S458&lt;0,'損益分岐設定'!C38,IF('損益分岐設定'!B38*I458-S458&gt;=0,0,ROUNDUP(S458/I458,0)-1)))</x:f>
        <x:v>59</x:v>
      </x:c>
      <x:c r="AB458" s="1" t="n">
        <x:f>IF(I458&lt;=0,'損益分岐設定'!C39,IF('損益分岐設定'!C39*I458-T458&lt;0,'損益分岐設定'!C39,IF('損益分岐設定'!B39*I458-T458&gt;=0,0,ROUNDUP(T458/I458,0)-1)))</x:f>
        <x:v>0</x:v>
      </x:c>
      <x:c r="AC458" s="1" t="n">
        <x:f>IF(I458&lt;=0,'損益分岐設定'!C40,IF('損益分岐設定'!C40*I458-U458&lt;0,'損益分岐設定'!C40,IF('損益分岐設定'!B40*I458-U458&gt;=0,0,ROUNDUP(U458/I458,0)-1)))</x:f>
        <x:v>0</x:v>
      </x:c>
      <x:c r="AD458" s="1" t="n">
        <x:f>'損益分岐設定'!$D$5/SUM('損益分岐設定'!$D$5:$D$7)</x:f>
        <x:v>0.5</x:v>
      </x:c>
      <x:c r="AE458" s="1" t="n">
        <x:f>'損益分岐設定'!$D$6/SUM('損益分岐設定'!$D$5:$D$7)</x:f>
        <x:v>0.3</x:v>
      </x:c>
      <x:c r="AF458" s="1" t="n">
        <x:f>'損益分岐設定'!$D$7/SUM('損益分岐設定'!$D$5:$D$7)</x:f>
        <x:v>0.2</x:v>
      </x:c>
      <x:c r="AG458" s="1" t="n">
        <x:f>AD458*'損益分岐設定'!$C$57+AE458*'損益分岐設定'!$C$60+AF458*'損益分岐設定'!$C$63</x:f>
        <x:v>412.2157297973632</x:v>
      </x:c>
      <x:c r="AH458" s="1" t="n">
        <x:f>AD458*'損益分岐設定'!$D$57+AE458*'損益分岐設定'!$D$60+AF458*'損益分岐設定'!$D$63</x:f>
        <x:v>111</x:v>
      </x:c>
      <x:c r="AI458" s="1" t="n">
        <x:f>AD458*'損益分岐設定'!$E$57+AE458*'損益分岐設定'!$E$60+AF458*'損益分岐設定'!$E$63</x:f>
        <x:v>111</x:v>
      </x:c>
      <x:c r="AJ458" s="1" t="n">
        <x:f>(AD458*'損益分岐設定'!$F$57+AE458*'損益分岐設定'!$F$60+AF458*'損益分岐設定'!$F$63*1)*'損益分岐設定'!$B$22</x:f>
        <x:v>444</x:v>
      </x:c>
      <x:c r="AK458" s="1" t="n">
        <x:f>AD458*'損益分岐設定'!$G$57+AE458*'損益分岐設定'!$G$60+AF458*'損益分岐設定'!$G$63</x:f>
        <x:v>740</x:v>
      </x:c>
      <x:c r="AL458" s="1" t="n">
        <x:f>AD458*'損益分岐設定'!$H$57+AE458*'損益分岐設定'!$H$60+AF458*'損益分岐設定'!$H$63</x:f>
        <x:v>656.6666666666666</x:v>
      </x:c>
      <x:c r="AM458" s="1" t="n">
        <x:f>MAX(1,ROUNDUP('損益分岐設定'!C37*AJ458/('損益分岐設定'!$B$23*'損益分岐設定'!$B$24*3600*'損益分岐設定'!$B$25),0))</x:f>
        <x:v>1</x:v>
      </x:c>
      <x:c r="AN458" s="1" t="n">
        <x:f>MAX(2,ROUNDUP('損益分岐設定'!C38*AJ458/('損益分岐設定'!$B$23*'損益分岐設定'!$B$24*3600*'損益分岐設定'!$B$25),0))</x:f>
        <x:v>2</x:v>
      </x:c>
      <x:c r="AO458" s="1" t="n">
        <x:f>MAX(2,ROUNDUP('損益分岐設定'!C39*AJ458/('損益分岐設定'!$B$23*'損益分岐設定'!$B$24*3600*'損益分岐設定'!$B$25),0))</x:f>
        <x:v>2</x:v>
      </x:c>
      <x:c r="AP458" s="1" t="n">
        <x:f>MAX(2,ROUNDUP('損益分岐設定'!C40*AJ458/('損益分岐設定'!$B$23*'損益分岐設定'!$B$24*3600*'損益分岐設定'!$B$25),0))</x:f>
        <x:v>2</x:v>
      </x:c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 ht="23" customHeight="1">
      <x:c r="A459" s="1" t="str">
        <x:v>VM</x:v>
      </x:c>
      <x:c r="B459" s="1" t="str">
        <x:v>混在</x:v>
      </x:c>
      <x:c r="C459" s="1" t="str">
        <x:v>標準</x:v>
      </x:c>
      <x:c r="D459" s="21" t="n">
        <x:v>0.3</x:v>
      </x:c>
      <x:c r="E459" s="1" t="n">
        <x:v>0</x:v>
      </x:c>
      <x:c r="F459" s="7" t="n">
        <x:f>AD459*'損益分岐設定'!$B$5+AE459*'損益分岐設定'!$B$6+AF459*'損益分岐設定'!$B$7</x:f>
        <x:v>4600</x:v>
      </x:c>
      <x:c r="G459" s="7" t="n">
        <x:f>AG459+0+AK459*'損益分岐設定'!$B$33</x:f>
        <x:v>412.2239999418258</x:v>
      </x:c>
      <x:c r="H459" s="7" t="n">
        <x:f>AL459*E459</x:f>
        <x:v>0</x:v>
      </x:c>
      <x:c r="I459" s="7" t="n">
        <x:f>F459*(1-D459-'損益分岐設定'!$B$10)-G459-H459</x:f>
        <x:v>2642.176000058174</x:v>
      </x:c>
      <x:c r="J459" s="1" t="n">
        <x:f>IF(MIN(V459:Y459)&gt;1000,"範囲内なし",MIN(V459:Y459))</x:f>
        <x:v>37</x:v>
      </x:c>
      <x:c r="K459" s="1" t="n">
        <x:f>IF(MAX(Z459:AC459)&gt;=1000,"範囲内なし",MAX(1,MAX(Z459:AC459)+1))</x:f>
        <x:v>37</x:v>
      </x:c>
      <x:c r="L459" s="7" t="n">
        <x:f>10*I459-R459</x:f>
        <x:v>-24337.426760639533</x:v>
      </x:c>
      <x:c r="M459" s="7" t="n">
        <x:f>30*I459-S459</x:f>
        <x:v>-17753.093520697323</x:v>
      </x:c>
      <x:c r="N459" s="7" t="n">
        <x:f>50*I459-S459</x:f>
        <x:v>35090.426480466136</x:v>
      </x:c>
      <x:c r="O459" s="7" t="n">
        <x:f>100*I459-S459</x:f>
        <x:v>167199.22648337483</x:v>
      </x:c>
      <x:c r="P459" s="7" t="n">
        <x:f>300*I459-T459</x:f>
        <x:v>695634.4264950097</x:v>
      </x:c>
      <x:c r="Q459" s="7" t="n">
        <x:f>1000*I459-U459</x:f>
        <x:v>2524278.033155121</x:v>
      </x:c>
      <x:c r="R459" s="7" t="n">
        <x:f>'損益分岐設定'!$B$18+'損益分岐設定'!$B$19+'損益分岐設定'!$B$20+'損益分岐設定'!E37+('損益分岐設定'!F37+2*'損益分岐設定'!G37+AM459)*('損益分岐設定'!$B$15+'損益分岐設定'!$B$16)+'損益分岐設定'!$B$17+'損益分岐設定'!$B$21+E459*'損益分岐設定'!H37*'損益分岐設定'!$B$11</x:f>
        <x:v>50759.18676122127</x:v>
      </x:c>
      <x:c r="S459" s="7" t="n">
        <x:f>'損益分岐設定'!$B$18+'損益分岐設定'!$B$19+'損益分岐設定'!$B$20+'損益分岐設定'!E38+('損益分岐設定'!F38+2*'損益分岐設定'!G38+AN459)*('損益分岐設定'!$B$15+'損益分岐設定'!$B$16)+'損益分岐設定'!$B$17+'損益分岐設定'!$B$21+E459*'損益分岐設定'!H38*'損益分岐設定'!$B$11</x:f>
        <x:v>97018.37352244255</x:v>
      </x:c>
      <x:c r="T459" s="7" t="n">
        <x:f>'損益分岐設定'!$B$18+'損益分岐設定'!$B$19+'損益分岐設定'!$B$20+'損益分岐設定'!E39+('損益分岐設定'!F39+2*'損益分岐設定'!G39+AO459)*('損益分岐設定'!$B$15+'損益分岐設定'!$B$16)+'損益分岐設定'!$B$17+'損益分岐設定'!$B$21+E459*'損益分岐設定'!H39*'損益分岐設定'!$B$11</x:f>
        <x:v>97018.37352244255</x:v>
      </x:c>
      <x:c r="U459" s="7" t="n">
        <x:f>'損益分岐設定'!$B$18+'損益分岐設定'!$B$19+'損益分岐設定'!$B$20+'損益分岐設定'!E40+('損益分岐設定'!F40+2*'損益分岐設定'!G40+AP459)*('損益分岐設定'!$B$15+'損益分岐設定'!$B$16)+'損益分岐設定'!$B$17+'損益分岐設定'!$B$21+E459*'損益分岐設定'!H40*'損益分岐設定'!$B$11</x:f>
        <x:v>117897.96690305318</x:v>
      </x:c>
      <x:c r="V459" s="1" t="n">
        <x:f>IF(I459&lt;=0,1001,IF(MAX('損益分岐設定'!B37,ROUNDUP(R459/I459,0))&lt;='損益分岐設定'!C37,MAX('損益分岐設定'!B37,ROUNDUP(R459/I459,0)),1001))</x:f>
        <x:v>1001</x:v>
      </x:c>
      <x:c r="W459" s="1" t="n">
        <x:f>IF(I459&lt;=0,1001,IF(MAX('損益分岐設定'!B38,ROUNDUP(S459/I459,0))&lt;='損益分岐設定'!C38,MAX('損益分岐設定'!B38,ROUNDUP(S459/I459,0)),1001))</x:f>
        <x:v>37</x:v>
      </x:c>
      <x:c r="X459" s="1" t="n">
        <x:f>IF(I459&lt;=0,1001,IF(MAX('損益分岐設定'!B39,ROUNDUP(T459/I459,0))&lt;='損益分岐設定'!C39,MAX('損益分岐設定'!B39,ROUNDUP(T459/I459,0)),1001))</x:f>
        <x:v>101</x:v>
      </x:c>
      <x:c r="Y459" s="1" t="n">
        <x:f>IF(I459&lt;=0,1001,IF(MAX('損益分岐設定'!B40,ROUNDUP(U459/I459,0))&lt;='損益分岐設定'!C40,MAX('損益分岐設定'!B40,ROUNDUP(U459/I459,0)),1001))</x:f>
        <x:v>501</x:v>
      </x:c>
      <x:c r="Z459" s="1" t="n">
        <x:f>IF(I459&lt;=0,'損益分岐設定'!C37,IF('損益分岐設定'!C37*I459-R459&lt;0,'損益分岐設定'!C37,IF('損益分岐設定'!B37*I459-R459&gt;=0,0,ROUNDUP(R459/I459,0)-1)))</x:f>
        <x:v>10</x:v>
      </x:c>
      <x:c r="AA459" s="1" t="n">
        <x:f>IF(I459&lt;=0,'損益分岐設定'!C38,IF('損益分岐設定'!C38*I459-S459&lt;0,'損益分岐設定'!C38,IF('損益分岐設定'!B38*I459-S459&gt;=0,0,ROUNDUP(S459/I459,0)-1)))</x:f>
        <x:v>36</x:v>
      </x:c>
      <x:c r="AB459" s="1" t="n">
        <x:f>IF(I459&lt;=0,'損益分岐設定'!C39,IF('損益分岐設定'!C39*I459-T459&lt;0,'損益分岐設定'!C39,IF('損益分岐設定'!B39*I459-T459&gt;=0,0,ROUNDUP(T459/I459,0)-1)))</x:f>
        <x:v>0</x:v>
      </x:c>
      <x:c r="AC459" s="1" t="n">
        <x:f>IF(I459&lt;=0,'損益分岐設定'!C40,IF('損益分岐設定'!C40*I459-U459&lt;0,'損益分岐設定'!C40,IF('損益分岐設定'!B40*I459-U459&gt;=0,0,ROUNDUP(U459/I459,0)-1)))</x:f>
        <x:v>0</x:v>
      </x:c>
      <x:c r="AD459" s="1" t="n">
        <x:f>'損益分岐設定'!$D$5/SUM('損益分岐設定'!$D$5:$D$7)</x:f>
        <x:v>0.5</x:v>
      </x:c>
      <x:c r="AE459" s="1" t="n">
        <x:f>'損益分岐設定'!$D$6/SUM('損益分岐設定'!$D$5:$D$7)</x:f>
        <x:v>0.3</x:v>
      </x:c>
      <x:c r="AF459" s="1" t="n">
        <x:f>'損益分岐設定'!$D$7/SUM('損益分岐設定'!$D$5:$D$7)</x:f>
        <x:v>0.2</x:v>
      </x:c>
      <x:c r="AG459" s="1" t="n">
        <x:f>AD459*'損益分岐設定'!$C$57+AE459*'損益分岐設定'!$C$60+AF459*'損益分岐設定'!$C$63</x:f>
        <x:v>412.2157297973632</x:v>
      </x:c>
      <x:c r="AH459" s="1" t="n">
        <x:f>AD459*'損益分岐設定'!$D$57+AE459*'損益分岐設定'!$D$60+AF459*'損益分岐設定'!$D$63</x:f>
        <x:v>111</x:v>
      </x:c>
      <x:c r="AI459" s="1" t="n">
        <x:f>AD459*'損益分岐設定'!$E$57+AE459*'損益分岐設定'!$E$60+AF459*'損益分岐設定'!$E$63</x:f>
        <x:v>111</x:v>
      </x:c>
      <x:c r="AJ459" s="1" t="n">
        <x:f>(AD459*'損益分岐設定'!$F$57+AE459*'損益分岐設定'!$F$60+AF459*'損益分岐設定'!$F$63*1)*'損益分岐設定'!$B$22</x:f>
        <x:v>444</x:v>
      </x:c>
      <x:c r="AK459" s="1" t="n">
        <x:f>AD459*'損益分岐設定'!$G$57+AE459*'損益分岐設定'!$G$60+AF459*'損益分岐設定'!$G$63</x:f>
        <x:v>740</x:v>
      </x:c>
      <x:c r="AL459" s="1" t="n">
        <x:f>AD459*'損益分岐設定'!$H$57+AE459*'損益分岐設定'!$H$60+AF459*'損益分岐設定'!$H$63</x:f>
        <x:v>656.6666666666666</x:v>
      </x:c>
      <x:c r="AM459" s="1" t="n">
        <x:f>MAX(1,ROUNDUP('損益分岐設定'!C37*AJ459/('損益分岐設定'!$B$23*'損益分岐設定'!$B$24*3600*'損益分岐設定'!$B$25),0))</x:f>
        <x:v>1</x:v>
      </x:c>
      <x:c r="AN459" s="1" t="n">
        <x:f>MAX(2,ROUNDUP('損益分岐設定'!C38*AJ459/('損益分岐設定'!$B$23*'損益分岐設定'!$B$24*3600*'損益分岐設定'!$B$25),0))</x:f>
        <x:v>2</x:v>
      </x:c>
      <x:c r="AO459" s="1" t="n">
        <x:f>MAX(2,ROUNDUP('損益分岐設定'!C39*AJ459/('損益分岐設定'!$B$23*'損益分岐設定'!$B$24*3600*'損益分岐設定'!$B$25),0))</x:f>
        <x:v>2</x:v>
      </x:c>
      <x:c r="AP459" s="1" t="n">
        <x:f>MAX(2,ROUNDUP('損益分岐設定'!C40*AJ459/('損益分岐設定'!$B$23*'損益分岐設定'!$B$24*3600*'損益分岐設定'!$B$25),0))</x:f>
        <x:v>2</x:v>
      </x:c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 ht="23" customHeight="1">
      <x:c r="A460" s="1" t="str">
        <x:v>VM</x:v>
      </x:c>
      <x:c r="B460" s="1" t="str">
        <x:v>混在</x:v>
      </x:c>
      <x:c r="C460" s="1" t="str">
        <x:v>標準</x:v>
      </x:c>
      <x:c r="D460" s="21" t="n">
        <x:v>0.3</x:v>
      </x:c>
      <x:c r="E460" s="1" t="n">
        <x:v>1</x:v>
      </x:c>
      <x:c r="F460" s="7" t="n">
        <x:f>AD460*'損益分岐設定'!$B$5+AE460*'損益分岐設定'!$B$6+AF460*'損益分岐設定'!$B$7</x:f>
        <x:v>4600</x:v>
      </x:c>
      <x:c r="G460" s="7" t="n">
        <x:f>AG460+0+AK460*'損益分岐設定'!$B$33</x:f>
        <x:v>412.2239999418258</x:v>
      </x:c>
      <x:c r="H460" s="7" t="n">
        <x:f>AL460*E460</x:f>
        <x:v>656.6666666666666</x:v>
      </x:c>
      <x:c r="I460" s="7" t="n">
        <x:f>F460*(1-D460-'損益分岐設定'!$B$10)-G460-H460</x:f>
        <x:v>1985.5093333915074</x:v>
      </x:c>
      <x:c r="J460" s="1" t="n">
        <x:f>IF(MIN(V460:Y460)&gt;1000,"範囲内なし",MIN(V460:Y460))</x:f>
        <x:v>74</x:v>
      </x:c>
      <x:c r="K460" s="1" t="n">
        <x:f>IF(MAX(Z460:AC460)&gt;=1000,"範囲内なし",MAX(1,MAX(Z460:AC460)+1))</x:f>
        <x:v>74</x:v>
      </x:c>
      <x:c r="L460" s="7" t="n">
        <x:f>10*I460-R460</x:f>
        <x:v>-62904.093427306194</x:v>
      </x:c>
      <x:c r="M460" s="7" t="n">
        <x:f>30*I460-S460</x:f>
        <x:v>-85453.09352069731</x:v>
      </x:c>
      <x:c r="N460" s="7" t="n">
        <x:f>50*I460-S460</x:f>
        <x:v>-45742.90685286716</x:v>
      </x:c>
      <x:c r="O460" s="7" t="n">
        <x:f>100*I460-S460</x:f>
        <x:v>53532.559816708206</x:v>
      </x:c>
      <x:c r="P460" s="7" t="n">
        <x:f>300*I460-T460</x:f>
        <x:v>418634.4264950097</x:v>
      </x:c>
      <x:c r="Q460" s="7" t="n">
        <x:f>1000*I460-U460</x:f>
        <x:v>1739611.3664884542</x:v>
      </x:c>
      <x:c r="R460" s="7" t="n">
        <x:f>'損益分岐設定'!$B$18+'損益分岐設定'!$B$19+'損益分岐設定'!$B$20+'損益分岐設定'!E37+('損益分岐設定'!F37+2*'損益分岐設定'!G37+AM460)*('損益分岐設定'!$B$15+'損益分岐設定'!$B$16)+'損益分岐設定'!$B$17+'損益分岐設定'!$B$21+E460*'損益分岐設定'!H37*'損益分岐設定'!$B$11</x:f>
        <x:v>82759.18676122127</x:v>
      </x:c>
      <x:c r="S460" s="7" t="n">
        <x:f>'損益分岐設定'!$B$18+'損益分岐設定'!$B$19+'損益分岐設定'!$B$20+'損益分岐設定'!E38+('損益分岐設定'!F38+2*'損益分岐設定'!G38+AN460)*('損益分岐設定'!$B$15+'損益分岐設定'!$B$16)+'損益分岐設定'!$B$17+'損益分岐設定'!$B$21+E460*'損益分岐設定'!H38*'損益分岐設定'!$B$11</x:f>
        <x:v>145018.37352244253</x:v>
      </x:c>
      <x:c r="T460" s="7" t="n">
        <x:f>'損益分岐設定'!$B$18+'損益分岐設定'!$B$19+'損益分岐設定'!$B$20+'損益分岐設定'!E39+('損益分岐設定'!F39+2*'損益分岐設定'!G39+AO460)*('損益分岐設定'!$B$15+'損益分岐設定'!$B$16)+'損益分岐設定'!$B$17+'損益分岐設定'!$B$21+E460*'損益分岐設定'!H39*'損益分岐設定'!$B$11</x:f>
        <x:v>177018.37352244253</x:v>
      </x:c>
      <x:c r="U460" s="7" t="n">
        <x:f>'損益分岐設定'!$B$18+'損益分岐設定'!$B$19+'損益分岐設定'!$B$20+'損益分岐設定'!E40+('損益分岐設定'!F40+2*'損益分岐設定'!G40+AP460)*('損益分岐設定'!$B$15+'損益分岐設定'!$B$16)+'損益分岐設定'!$B$17+'損益分岐設定'!$B$21+E460*'損益分岐設定'!H40*'損益分岐設定'!$B$11</x:f>
        <x:v>245897.96690305317</x:v>
      </x:c>
      <x:c r="V460" s="1" t="n">
        <x:f>IF(I460&lt;=0,1001,IF(MAX('損益分岐設定'!B37,ROUNDUP(R460/I460,0))&lt;='損益分岐設定'!C37,MAX('損益分岐設定'!B37,ROUNDUP(R460/I460,0)),1001))</x:f>
        <x:v>1001</x:v>
      </x:c>
      <x:c r="W460" s="1" t="n">
        <x:f>IF(I460&lt;=0,1001,IF(MAX('損益分岐設定'!B38,ROUNDUP(S460/I460,0))&lt;='損益分岐設定'!C38,MAX('損益分岐設定'!B38,ROUNDUP(S460/I460,0)),1001))</x:f>
        <x:v>74</x:v>
      </x:c>
      <x:c r="X460" s="1" t="n">
        <x:f>IF(I460&lt;=0,1001,IF(MAX('損益分岐設定'!B39,ROUNDUP(T460/I460,0))&lt;='損益分岐設定'!C39,MAX('損益分岐設定'!B39,ROUNDUP(T460/I460,0)),1001))</x:f>
        <x:v>101</x:v>
      </x:c>
      <x:c r="Y460" s="1" t="n">
        <x:f>IF(I460&lt;=0,1001,IF(MAX('損益分岐設定'!B40,ROUNDUP(U460/I460,0))&lt;='損益分岐設定'!C40,MAX('損益分岐設定'!B40,ROUNDUP(U460/I460,0)),1001))</x:f>
        <x:v>501</x:v>
      </x:c>
      <x:c r="Z460" s="1" t="n">
        <x:f>IF(I460&lt;=0,'損益分岐設定'!C37,IF('損益分岐設定'!C37*I460-R460&lt;0,'損益分岐設定'!C37,IF('損益分岐設定'!B37*I460-R460&gt;=0,0,ROUNDUP(R460/I460,0)-1)))</x:f>
        <x:v>10</x:v>
      </x:c>
      <x:c r="AA460" s="1" t="n">
        <x:f>IF(I460&lt;=0,'損益分岐設定'!C38,IF('損益分岐設定'!C38*I460-S460&lt;0,'損益分岐設定'!C38,IF('損益分岐設定'!B38*I460-S460&gt;=0,0,ROUNDUP(S460/I460,0)-1)))</x:f>
        <x:v>73</x:v>
      </x:c>
      <x:c r="AB460" s="1" t="n">
        <x:f>IF(I460&lt;=0,'損益分岐設定'!C39,IF('損益分岐設定'!C39*I460-T460&lt;0,'損益分岐設定'!C39,IF('損益分岐設定'!B39*I460-T460&gt;=0,0,ROUNDUP(T460/I460,0)-1)))</x:f>
        <x:v>0</x:v>
      </x:c>
      <x:c r="AC460" s="1" t="n">
        <x:f>IF(I460&lt;=0,'損益分岐設定'!C40,IF('損益分岐設定'!C40*I460-U460&lt;0,'損益分岐設定'!C40,IF('損益分岐設定'!B40*I460-U460&gt;=0,0,ROUNDUP(U460/I460,0)-1)))</x:f>
        <x:v>0</x:v>
      </x:c>
      <x:c r="AD460" s="1" t="n">
        <x:f>'損益分岐設定'!$D$5/SUM('損益分岐設定'!$D$5:$D$7)</x:f>
        <x:v>0.5</x:v>
      </x:c>
      <x:c r="AE460" s="1" t="n">
        <x:f>'損益分岐設定'!$D$6/SUM('損益分岐設定'!$D$5:$D$7)</x:f>
        <x:v>0.3</x:v>
      </x:c>
      <x:c r="AF460" s="1" t="n">
        <x:f>'損益分岐設定'!$D$7/SUM('損益分岐設定'!$D$5:$D$7)</x:f>
        <x:v>0.2</x:v>
      </x:c>
      <x:c r="AG460" s="1" t="n">
        <x:f>AD460*'損益分岐設定'!$C$57+AE460*'損益分岐設定'!$C$60+AF460*'損益分岐設定'!$C$63</x:f>
        <x:v>412.2157297973632</x:v>
      </x:c>
      <x:c r="AH460" s="1" t="n">
        <x:f>AD460*'損益分岐設定'!$D$57+AE460*'損益分岐設定'!$D$60+AF460*'損益分岐設定'!$D$63</x:f>
        <x:v>111</x:v>
      </x:c>
      <x:c r="AI460" s="1" t="n">
        <x:f>AD460*'損益分岐設定'!$E$57+AE460*'損益分岐設定'!$E$60+AF460*'損益分岐設定'!$E$63</x:f>
        <x:v>111</x:v>
      </x:c>
      <x:c r="AJ460" s="1" t="n">
        <x:f>(AD460*'損益分岐設定'!$F$57+AE460*'損益分岐設定'!$F$60+AF460*'損益分岐設定'!$F$63*1)*'損益分岐設定'!$B$22</x:f>
        <x:v>444</x:v>
      </x:c>
      <x:c r="AK460" s="1" t="n">
        <x:f>AD460*'損益分岐設定'!$G$57+AE460*'損益分岐設定'!$G$60+AF460*'損益分岐設定'!$G$63</x:f>
        <x:v>740</x:v>
      </x:c>
      <x:c r="AL460" s="1" t="n">
        <x:f>AD460*'損益分岐設定'!$H$57+AE460*'損益分岐設定'!$H$60+AF460*'損益分岐設定'!$H$63</x:f>
        <x:v>656.6666666666666</x:v>
      </x:c>
      <x:c r="AM460" s="1" t="n">
        <x:f>MAX(1,ROUNDUP('損益分岐設定'!C37*AJ460/('損益分岐設定'!$B$23*'損益分岐設定'!$B$24*3600*'損益分岐設定'!$B$25),0))</x:f>
        <x:v>1</x:v>
      </x:c>
      <x:c r="AN460" s="1" t="n">
        <x:f>MAX(2,ROUNDUP('損益分岐設定'!C38*AJ460/('損益分岐設定'!$B$23*'損益分岐設定'!$B$24*3600*'損益分岐設定'!$B$25),0))</x:f>
        <x:v>2</x:v>
      </x:c>
      <x:c r="AO460" s="1" t="n">
        <x:f>MAX(2,ROUNDUP('損益分岐設定'!C39*AJ460/('損益分岐設定'!$B$23*'損益分岐設定'!$B$24*3600*'損益分岐設定'!$B$25),0))</x:f>
        <x:v>2</x:v>
      </x:c>
      <x:c r="AP460" s="1" t="n">
        <x:f>MAX(2,ROUNDUP('損益分岐設定'!C40*AJ460/('損益分岐設定'!$B$23*'損益分岐設定'!$B$24*3600*'損益分岐設定'!$B$25),0))</x:f>
        <x:v>2</x:v>
      </x:c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 ht="23" customHeight="1">
      <x:c r="A461" s="1" t="str">
        <x:v>VM</x:v>
      </x:c>
      <x:c r="B461" s="1" t="str">
        <x:v>混在</x:v>
      </x:c>
      <x:c r="C461" s="1" t="str">
        <x:v>標準</x:v>
      </x:c>
      <x:c r="D461" s="21" t="n">
        <x:v>0.4</x:v>
      </x:c>
      <x:c r="E461" s="1" t="n">
        <x:v>0</x:v>
      </x:c>
      <x:c r="F461" s="7" t="n">
        <x:f>AD461*'損益分岐設定'!$B$5+AE461*'損益分岐設定'!$B$6+AF461*'損益分岐設定'!$B$7</x:f>
        <x:v>4600</x:v>
      </x:c>
      <x:c r="G461" s="7" t="n">
        <x:f>AG461+0+AK461*'損益分岐設定'!$B$33</x:f>
        <x:v>412.2239999418258</x:v>
      </x:c>
      <x:c r="H461" s="7" t="n">
        <x:f>AL461*E461</x:f>
        <x:v>0</x:v>
      </x:c>
      <x:c r="I461" s="7" t="n">
        <x:f>F461*(1-D461-'損益分岐設定'!$B$10)-G461-H461</x:f>
        <x:v>2182.176000058174</x:v>
      </x:c>
      <x:c r="J461" s="1" t="n">
        <x:f>IF(MIN(V461:Y461)&gt;1000,"範囲内なし",MIN(V461:Y461))</x:f>
        <x:v>45</x:v>
      </x:c>
      <x:c r="K461" s="1" t="n">
        <x:f>IF(MAX(Z461:AC461)&gt;=1000,"範囲内なし",MAX(1,MAX(Z461:AC461)+1))</x:f>
        <x:v>45</x:v>
      </x:c>
      <x:c r="L461" s="7" t="n">
        <x:f>10*I461-R461</x:f>
        <x:v>-28937.426760639533</x:v>
      </x:c>
      <x:c r="M461" s="7" t="n">
        <x:f>30*I461-S461</x:f>
        <x:v>-31553.09352069733</x:v>
      </x:c>
      <x:c r="N461" s="7" t="n">
        <x:f>50*I461-S461</x:f>
        <x:v>12090.42648046615</x:v>
      </x:c>
      <x:c r="O461" s="7" t="n">
        <x:f>100*I461-S461</x:f>
        <x:v>121199.22648337485</x:v>
      </x:c>
      <x:c r="P461" s="7" t="n">
        <x:f>300*I461-T461</x:f>
        <x:v>557634.4264950097</x:v>
      </x:c>
      <x:c r="Q461" s="7" t="n">
        <x:f>1000*I461-U461</x:f>
        <x:v>2064278.033155121</x:v>
      </x:c>
      <x:c r="R461" s="7" t="n">
        <x:f>'損益分岐設定'!$B$18+'損益分岐設定'!$B$19+'損益分岐設定'!$B$20+'損益分岐設定'!E37+('損益分岐設定'!F37+2*'損益分岐設定'!G37+AM461)*('損益分岐設定'!$B$15+'損益分岐設定'!$B$16)+'損益分岐設定'!$B$17+'損益分岐設定'!$B$21+E461*'損益分岐設定'!H37*'損益分岐設定'!$B$11</x:f>
        <x:v>50759.18676122127</x:v>
      </x:c>
      <x:c r="S461" s="7" t="n">
        <x:f>'損益分岐設定'!$B$18+'損益分岐設定'!$B$19+'損益分岐設定'!$B$20+'損益分岐設定'!E38+('損益分岐設定'!F38+2*'損益分岐設定'!G38+AN461)*('損益分岐設定'!$B$15+'損益分岐設定'!$B$16)+'損益分岐設定'!$B$17+'損益分岐設定'!$B$21+E461*'損益分岐設定'!H38*'損益分岐設定'!$B$11</x:f>
        <x:v>97018.37352244255</x:v>
      </x:c>
      <x:c r="T461" s="7" t="n">
        <x:f>'損益分岐設定'!$B$18+'損益分岐設定'!$B$19+'損益分岐設定'!$B$20+'損益分岐設定'!E39+('損益分岐設定'!F39+2*'損益分岐設定'!G39+AO461)*('損益分岐設定'!$B$15+'損益分岐設定'!$B$16)+'損益分岐設定'!$B$17+'損益分岐設定'!$B$21+E461*'損益分岐設定'!H39*'損益分岐設定'!$B$11</x:f>
        <x:v>97018.37352244255</x:v>
      </x:c>
      <x:c r="U461" s="7" t="n">
        <x:f>'損益分岐設定'!$B$18+'損益分岐設定'!$B$19+'損益分岐設定'!$B$20+'損益分岐設定'!E40+('損益分岐設定'!F40+2*'損益分岐設定'!G40+AP461)*('損益分岐設定'!$B$15+'損益分岐設定'!$B$16)+'損益分岐設定'!$B$17+'損益分岐設定'!$B$21+E461*'損益分岐設定'!H40*'損益分岐設定'!$B$11</x:f>
        <x:v>117897.96690305318</x:v>
      </x:c>
      <x:c r="V461" s="1" t="n">
        <x:f>IF(I461&lt;=0,1001,IF(MAX('損益分岐設定'!B37,ROUNDUP(R461/I461,0))&lt;='損益分岐設定'!C37,MAX('損益分岐設定'!B37,ROUNDUP(R461/I461,0)),1001))</x:f>
        <x:v>1001</x:v>
      </x:c>
      <x:c r="W461" s="1" t="n">
        <x:f>IF(I461&lt;=0,1001,IF(MAX('損益分岐設定'!B38,ROUNDUP(S461/I461,0))&lt;='損益分岐設定'!C38,MAX('損益分岐設定'!B38,ROUNDUP(S461/I461,0)),1001))</x:f>
        <x:v>45</x:v>
      </x:c>
      <x:c r="X461" s="1" t="n">
        <x:f>IF(I461&lt;=0,1001,IF(MAX('損益分岐設定'!B39,ROUNDUP(T461/I461,0))&lt;='損益分岐設定'!C39,MAX('損益分岐設定'!B39,ROUNDUP(T461/I461,0)),1001))</x:f>
        <x:v>101</x:v>
      </x:c>
      <x:c r="Y461" s="1" t="n">
        <x:f>IF(I461&lt;=0,1001,IF(MAX('損益分岐設定'!B40,ROUNDUP(U461/I461,0))&lt;='損益分岐設定'!C40,MAX('損益分岐設定'!B40,ROUNDUP(U461/I461,0)),1001))</x:f>
        <x:v>501</x:v>
      </x:c>
      <x:c r="Z461" s="1" t="n">
        <x:f>IF(I461&lt;=0,'損益分岐設定'!C37,IF('損益分岐設定'!C37*I461-R461&lt;0,'損益分岐設定'!C37,IF('損益分岐設定'!B37*I461-R461&gt;=0,0,ROUNDUP(R461/I461,0)-1)))</x:f>
        <x:v>10</x:v>
      </x:c>
      <x:c r="AA461" s="1" t="n">
        <x:f>IF(I461&lt;=0,'損益分岐設定'!C38,IF('損益分岐設定'!C38*I461-S461&lt;0,'損益分岐設定'!C38,IF('損益分岐設定'!B38*I461-S461&gt;=0,0,ROUNDUP(S461/I461,0)-1)))</x:f>
        <x:v>44</x:v>
      </x:c>
      <x:c r="AB461" s="1" t="n">
        <x:f>IF(I461&lt;=0,'損益分岐設定'!C39,IF('損益分岐設定'!C39*I461-T461&lt;0,'損益分岐設定'!C39,IF('損益分岐設定'!B39*I461-T461&gt;=0,0,ROUNDUP(T461/I461,0)-1)))</x:f>
        <x:v>0</x:v>
      </x:c>
      <x:c r="AC461" s="1" t="n">
        <x:f>IF(I461&lt;=0,'損益分岐設定'!C40,IF('損益分岐設定'!C40*I461-U461&lt;0,'損益分岐設定'!C40,IF('損益分岐設定'!B40*I461-U461&gt;=0,0,ROUNDUP(U461/I461,0)-1)))</x:f>
        <x:v>0</x:v>
      </x:c>
      <x:c r="AD461" s="1" t="n">
        <x:f>'損益分岐設定'!$D$5/SUM('損益分岐設定'!$D$5:$D$7)</x:f>
        <x:v>0.5</x:v>
      </x:c>
      <x:c r="AE461" s="1" t="n">
        <x:f>'損益分岐設定'!$D$6/SUM('損益分岐設定'!$D$5:$D$7)</x:f>
        <x:v>0.3</x:v>
      </x:c>
      <x:c r="AF461" s="1" t="n">
        <x:f>'損益分岐設定'!$D$7/SUM('損益分岐設定'!$D$5:$D$7)</x:f>
        <x:v>0.2</x:v>
      </x:c>
      <x:c r="AG461" s="1" t="n">
        <x:f>AD461*'損益分岐設定'!$C$57+AE461*'損益分岐設定'!$C$60+AF461*'損益分岐設定'!$C$63</x:f>
        <x:v>412.2157297973632</x:v>
      </x:c>
      <x:c r="AH461" s="1" t="n">
        <x:f>AD461*'損益分岐設定'!$D$57+AE461*'損益分岐設定'!$D$60+AF461*'損益分岐設定'!$D$63</x:f>
        <x:v>111</x:v>
      </x:c>
      <x:c r="AI461" s="1" t="n">
        <x:f>AD461*'損益分岐設定'!$E$57+AE461*'損益分岐設定'!$E$60+AF461*'損益分岐設定'!$E$63</x:f>
        <x:v>111</x:v>
      </x:c>
      <x:c r="AJ461" s="1" t="n">
        <x:f>(AD461*'損益分岐設定'!$F$57+AE461*'損益分岐設定'!$F$60+AF461*'損益分岐設定'!$F$63*1)*'損益分岐設定'!$B$22</x:f>
        <x:v>444</x:v>
      </x:c>
      <x:c r="AK461" s="1" t="n">
        <x:f>AD461*'損益分岐設定'!$G$57+AE461*'損益分岐設定'!$G$60+AF461*'損益分岐設定'!$G$63</x:f>
        <x:v>740</x:v>
      </x:c>
      <x:c r="AL461" s="1" t="n">
        <x:f>AD461*'損益分岐設定'!$H$57+AE461*'損益分岐設定'!$H$60+AF461*'損益分岐設定'!$H$63</x:f>
        <x:v>656.6666666666666</x:v>
      </x:c>
      <x:c r="AM461" s="1" t="n">
        <x:f>MAX(1,ROUNDUP('損益分岐設定'!C37*AJ461/('損益分岐設定'!$B$23*'損益分岐設定'!$B$24*3600*'損益分岐設定'!$B$25),0))</x:f>
        <x:v>1</x:v>
      </x:c>
      <x:c r="AN461" s="1" t="n">
        <x:f>MAX(2,ROUNDUP('損益分岐設定'!C38*AJ461/('損益分岐設定'!$B$23*'損益分岐設定'!$B$24*3600*'損益分岐設定'!$B$25),0))</x:f>
        <x:v>2</x:v>
      </x:c>
      <x:c r="AO461" s="1" t="n">
        <x:f>MAX(2,ROUNDUP('損益分岐設定'!C39*AJ461/('損益分岐設定'!$B$23*'損益分岐設定'!$B$24*3600*'損益分岐設定'!$B$25),0))</x:f>
        <x:v>2</x:v>
      </x:c>
      <x:c r="AP461" s="1" t="n">
        <x:f>MAX(2,ROUNDUP('損益分岐設定'!C40*AJ461/('損益分岐設定'!$B$23*'損益分岐設定'!$B$24*3600*'損益分岐設定'!$B$25),0))</x:f>
        <x:v>2</x:v>
      </x:c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 ht="23" customHeight="1">
      <x:c r="A462" s="1" t="str">
        <x:v>VM</x:v>
      </x:c>
      <x:c r="B462" s="1" t="str">
        <x:v>混在</x:v>
      </x:c>
      <x:c r="C462" s="1" t="str">
        <x:v>標準</x:v>
      </x:c>
      <x:c r="D462" s="21" t="n">
        <x:v>0.4</x:v>
      </x:c>
      <x:c r="E462" s="1" t="n">
        <x:v>1</x:v>
      </x:c>
      <x:c r="F462" s="7" t="n">
        <x:f>AD462*'損益分岐設定'!$B$5+AE462*'損益分岐設定'!$B$6+AF462*'損益分岐設定'!$B$7</x:f>
        <x:v>4600</x:v>
      </x:c>
      <x:c r="G462" s="7" t="n">
        <x:f>AG462+0+AK462*'損益分岐設定'!$B$33</x:f>
        <x:v>412.2239999418258</x:v>
      </x:c>
      <x:c r="H462" s="7" t="n">
        <x:f>AL462*E462</x:f>
        <x:v>656.6666666666666</x:v>
      </x:c>
      <x:c r="I462" s="7" t="n">
        <x:f>F462*(1-D462-'損益分岐設定'!$B$10)-G462-H462</x:f>
        <x:v>1525.5093333915074</x:v>
      </x:c>
      <x:c r="J462" s="1" t="n">
        <x:f>IF(MIN(V462:Y462)&gt;1000,"範囲内なし",MIN(V462:Y462))</x:f>
        <x:v>96</x:v>
      </x:c>
      <x:c r="K462" s="1" t="n">
        <x:f>IF(MAX(Z462:AC462)&gt;=1000,"範囲内なし",MAX(1,MAX(Z462:AC462)+1))</x:f>
        <x:v>117</x:v>
      </x:c>
      <x:c r="L462" s="7" t="n">
        <x:f>10*I462-R462</x:f>
        <x:v>-67504.09342730619</x:v>
      </x:c>
      <x:c r="M462" s="7" t="n">
        <x:f>30*I462-S462</x:f>
        <x:v>-99253.09352069731</x:v>
      </x:c>
      <x:c r="N462" s="7" t="n">
        <x:f>50*I462-S462</x:f>
        <x:v>-68742.90685286716</x:v>
      </x:c>
      <x:c r="O462" s="7" t="n">
        <x:f>100*I462-S462</x:f>
        <x:v>7532.559816708206</x:v>
      </x:c>
      <x:c r="P462" s="7" t="n">
        <x:f>300*I462-T462</x:f>
        <x:v>280634.4264950097</x:v>
      </x:c>
      <x:c r="Q462" s="7" t="n">
        <x:f>1000*I462-U462</x:f>
        <x:v>1279611.3664884542</x:v>
      </x:c>
      <x:c r="R462" s="7" t="n">
        <x:f>'損益分岐設定'!$B$18+'損益分岐設定'!$B$19+'損益分岐設定'!$B$20+'損益分岐設定'!E37+('損益分岐設定'!F37+2*'損益分岐設定'!G37+AM462)*('損益分岐設定'!$B$15+'損益分岐設定'!$B$16)+'損益分岐設定'!$B$17+'損益分岐設定'!$B$21+E462*'損益分岐設定'!H37*'損益分岐設定'!$B$11</x:f>
        <x:v>82759.18676122127</x:v>
      </x:c>
      <x:c r="S462" s="7" t="n">
        <x:f>'損益分岐設定'!$B$18+'損益分岐設定'!$B$19+'損益分岐設定'!$B$20+'損益分岐設定'!E38+('損益分岐設定'!F38+2*'損益分岐設定'!G38+AN462)*('損益分岐設定'!$B$15+'損益分岐設定'!$B$16)+'損益分岐設定'!$B$17+'損益分岐設定'!$B$21+E462*'損益分岐設定'!H38*'損益分岐設定'!$B$11</x:f>
        <x:v>145018.37352244253</x:v>
      </x:c>
      <x:c r="T462" s="7" t="n">
        <x:f>'損益分岐設定'!$B$18+'損益分岐設定'!$B$19+'損益分岐設定'!$B$20+'損益分岐設定'!E39+('損益分岐設定'!F39+2*'損益分岐設定'!G39+AO462)*('損益分岐設定'!$B$15+'損益分岐設定'!$B$16)+'損益分岐設定'!$B$17+'損益分岐設定'!$B$21+E462*'損益分岐設定'!H39*'損益分岐設定'!$B$11</x:f>
        <x:v>177018.37352244253</x:v>
      </x:c>
      <x:c r="U462" s="7" t="n">
        <x:f>'損益分岐設定'!$B$18+'損益分岐設定'!$B$19+'損益分岐設定'!$B$20+'損益分岐設定'!E40+('損益分岐設定'!F40+2*'損益分岐設定'!G40+AP462)*('損益分岐設定'!$B$15+'損益分岐設定'!$B$16)+'損益分岐設定'!$B$17+'損益分岐設定'!$B$21+E462*'損益分岐設定'!H40*'損益分岐設定'!$B$11</x:f>
        <x:v>245897.96690305317</x:v>
      </x:c>
      <x:c r="V462" s="1" t="n">
        <x:f>IF(I462&lt;=0,1001,IF(MAX('損益分岐設定'!B37,ROUNDUP(R462/I462,0))&lt;='損益分岐設定'!C37,MAX('損益分岐設定'!B37,ROUNDUP(R462/I462,0)),1001))</x:f>
        <x:v>1001</x:v>
      </x:c>
      <x:c r="W462" s="1" t="n">
        <x:f>IF(I462&lt;=0,1001,IF(MAX('損益分岐設定'!B38,ROUNDUP(S462/I462,0))&lt;='損益分岐設定'!C38,MAX('損益分岐設定'!B38,ROUNDUP(S462/I462,0)),1001))</x:f>
        <x:v>96</x:v>
      </x:c>
      <x:c r="X462" s="1" t="n">
        <x:f>IF(I462&lt;=0,1001,IF(MAX('損益分岐設定'!B39,ROUNDUP(T462/I462,0))&lt;='損益分岐設定'!C39,MAX('損益分岐設定'!B39,ROUNDUP(T462/I462,0)),1001))</x:f>
        <x:v>117</x:v>
      </x:c>
      <x:c r="Y462" s="1" t="n">
        <x:f>IF(I462&lt;=0,1001,IF(MAX('損益分岐設定'!B40,ROUNDUP(U462/I462,0))&lt;='損益分岐設定'!C40,MAX('損益分岐設定'!B40,ROUNDUP(U462/I462,0)),1001))</x:f>
        <x:v>501</x:v>
      </x:c>
      <x:c r="Z462" s="1" t="n">
        <x:f>IF(I462&lt;=0,'損益分岐設定'!C37,IF('損益分岐設定'!C37*I462-R462&lt;0,'損益分岐設定'!C37,IF('損益分岐設定'!B37*I462-R462&gt;=0,0,ROUNDUP(R462/I462,0)-1)))</x:f>
        <x:v>10</x:v>
      </x:c>
      <x:c r="AA462" s="1" t="n">
        <x:f>IF(I462&lt;=0,'損益分岐設定'!C38,IF('損益分岐設定'!C38*I462-S462&lt;0,'損益分岐設定'!C38,IF('損益分岐設定'!B38*I462-S462&gt;=0,0,ROUNDUP(S462/I462,0)-1)))</x:f>
        <x:v>95</x:v>
      </x:c>
      <x:c r="AB462" s="1" t="n">
        <x:f>IF(I462&lt;=0,'損益分岐設定'!C39,IF('損益分岐設定'!C39*I462-T462&lt;0,'損益分岐設定'!C39,IF('損益分岐設定'!B39*I462-T462&gt;=0,0,ROUNDUP(T462/I462,0)-1)))</x:f>
        <x:v>116</x:v>
      </x:c>
      <x:c r="AC462" s="1" t="n">
        <x:f>IF(I462&lt;=0,'損益分岐設定'!C40,IF('損益分岐設定'!C40*I462-U462&lt;0,'損益分岐設定'!C40,IF('損益分岐設定'!B40*I462-U462&gt;=0,0,ROUNDUP(U462/I462,0)-1)))</x:f>
        <x:v>0</x:v>
      </x:c>
      <x:c r="AD462" s="1" t="n">
        <x:f>'損益分岐設定'!$D$5/SUM('損益分岐設定'!$D$5:$D$7)</x:f>
        <x:v>0.5</x:v>
      </x:c>
      <x:c r="AE462" s="1" t="n">
        <x:f>'損益分岐設定'!$D$6/SUM('損益分岐設定'!$D$5:$D$7)</x:f>
        <x:v>0.3</x:v>
      </x:c>
      <x:c r="AF462" s="1" t="n">
        <x:f>'損益分岐設定'!$D$7/SUM('損益分岐設定'!$D$5:$D$7)</x:f>
        <x:v>0.2</x:v>
      </x:c>
      <x:c r="AG462" s="1" t="n">
        <x:f>AD462*'損益分岐設定'!$C$57+AE462*'損益分岐設定'!$C$60+AF462*'損益分岐設定'!$C$63</x:f>
        <x:v>412.2157297973632</x:v>
      </x:c>
      <x:c r="AH462" s="1" t="n">
        <x:f>AD462*'損益分岐設定'!$D$57+AE462*'損益分岐設定'!$D$60+AF462*'損益分岐設定'!$D$63</x:f>
        <x:v>111</x:v>
      </x:c>
      <x:c r="AI462" s="1" t="n">
        <x:f>AD462*'損益分岐設定'!$E$57+AE462*'損益分岐設定'!$E$60+AF462*'損益分岐設定'!$E$63</x:f>
        <x:v>111</x:v>
      </x:c>
      <x:c r="AJ462" s="1" t="n">
        <x:f>(AD462*'損益分岐設定'!$F$57+AE462*'損益分岐設定'!$F$60+AF462*'損益分岐設定'!$F$63*1)*'損益分岐設定'!$B$22</x:f>
        <x:v>444</x:v>
      </x:c>
      <x:c r="AK462" s="1" t="n">
        <x:f>AD462*'損益分岐設定'!$G$57+AE462*'損益分岐設定'!$G$60+AF462*'損益分岐設定'!$G$63</x:f>
        <x:v>740</x:v>
      </x:c>
      <x:c r="AL462" s="1" t="n">
        <x:f>AD462*'損益分岐設定'!$H$57+AE462*'損益分岐設定'!$H$60+AF462*'損益分岐設定'!$H$63</x:f>
        <x:v>656.6666666666666</x:v>
      </x:c>
      <x:c r="AM462" s="1" t="n">
        <x:f>MAX(1,ROUNDUP('損益分岐設定'!C37*AJ462/('損益分岐設定'!$B$23*'損益分岐設定'!$B$24*3600*'損益分岐設定'!$B$25),0))</x:f>
        <x:v>1</x:v>
      </x:c>
      <x:c r="AN462" s="1" t="n">
        <x:f>MAX(2,ROUNDUP('損益分岐設定'!C38*AJ462/('損益分岐設定'!$B$23*'損益分岐設定'!$B$24*3600*'損益分岐設定'!$B$25),0))</x:f>
        <x:v>2</x:v>
      </x:c>
      <x:c r="AO462" s="1" t="n">
        <x:f>MAX(2,ROUNDUP('損益分岐設定'!C39*AJ462/('損益分岐設定'!$B$23*'損益分岐設定'!$B$24*3600*'損益分岐設定'!$B$25),0))</x:f>
        <x:v>2</x:v>
      </x:c>
      <x:c r="AP462" s="1" t="n">
        <x:f>MAX(2,ROUNDUP('損益分岐設定'!C40*AJ462/('損益分岐設定'!$B$23*'損益分岐設定'!$B$24*3600*'損益分岐設定'!$B$25),0))</x:f>
        <x:v>2</x:v>
      </x:c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 ht="23" customHeight="1">
      <x:c r="A463" s="1" t="str">
        <x:v>VM</x:v>
      </x:c>
      <x:c r="B463" s="1" t="str">
        <x:v>混在</x:v>
      </x:c>
      <x:c r="C463" s="1" t="str">
        <x:v>標準</x:v>
      </x:c>
      <x:c r="D463" s="21" t="n">
        <x:v>0.5</x:v>
      </x:c>
      <x:c r="E463" s="1" t="n">
        <x:v>0</x:v>
      </x:c>
      <x:c r="F463" s="7" t="n">
        <x:f>AD463*'損益分岐設定'!$B$5+AE463*'損益分岐設定'!$B$6+AF463*'損益分岐設定'!$B$7</x:f>
        <x:v>4600</x:v>
      </x:c>
      <x:c r="G463" s="7" t="n">
        <x:f>AG463+0+AK463*'損益分岐設定'!$B$33</x:f>
        <x:v>412.2239999418258</x:v>
      </x:c>
      <x:c r="H463" s="7" t="n">
        <x:f>AL463*E463</x:f>
        <x:v>0</x:v>
      </x:c>
      <x:c r="I463" s="7" t="n">
        <x:f>F463*(1-D463-'損益分岐設定'!$B$10)-G463-H463</x:f>
        <x:v>1722.1760000581744</x:v>
      </x:c>
      <x:c r="J463" s="1" t="n">
        <x:f>IF(MIN(V463:Y463)&gt;1000,"範囲内なし",MIN(V463:Y463))</x:f>
        <x:v>57</x:v>
      </x:c>
      <x:c r="K463" s="1" t="n">
        <x:f>IF(MAX(Z463:AC463)&gt;=1000,"範囲内なし",MAX(1,MAX(Z463:AC463)+1))</x:f>
        <x:v>57</x:v>
      </x:c>
      <x:c r="L463" s="7" t="n">
        <x:f>10*I463-R463</x:f>
        <x:v>-33537.42676063953</x:v>
      </x:c>
      <x:c r="M463" s="7" t="n">
        <x:f>30*I463-S463</x:f>
        <x:v>-45353.093520697315</x:v>
      </x:c>
      <x:c r="N463" s="7" t="n">
        <x:f>50*I463-S463</x:f>
        <x:v>-10909.573519533835</x:v>
      </x:c>
      <x:c r="O463" s="7" t="n">
        <x:f>100*I463-S463</x:f>
        <x:v>75199.22648337488</x:v>
      </x:c>
      <x:c r="P463" s="7" t="n">
        <x:f>300*I463-T463</x:f>
        <x:v>419634.4264950098</x:v>
      </x:c>
      <x:c r="Q463" s="7" t="n">
        <x:f>1000*I463-U463</x:f>
        <x:v>1604278.0331551211</x:v>
      </x:c>
      <x:c r="R463" s="7" t="n">
        <x:f>'損益分岐設定'!$B$18+'損益分岐設定'!$B$19+'損益分岐設定'!$B$20+'損益分岐設定'!E37+('損益分岐設定'!F37+2*'損益分岐設定'!G37+AM463)*('損益分岐設定'!$B$15+'損益分岐設定'!$B$16)+'損益分岐設定'!$B$17+'損益分岐設定'!$B$21+E463*'損益分岐設定'!H37*'損益分岐設定'!$B$11</x:f>
        <x:v>50759.18676122127</x:v>
      </x:c>
      <x:c r="S463" s="7" t="n">
        <x:f>'損益分岐設定'!$B$18+'損益分岐設定'!$B$19+'損益分岐設定'!$B$20+'損益分岐設定'!E38+('損益分岐設定'!F38+2*'損益分岐設定'!G38+AN463)*('損益分岐設定'!$B$15+'損益分岐設定'!$B$16)+'損益分岐設定'!$B$17+'損益分岐設定'!$B$21+E463*'損益分岐設定'!H38*'損益分岐設定'!$B$11</x:f>
        <x:v>97018.37352244255</x:v>
      </x:c>
      <x:c r="T463" s="7" t="n">
        <x:f>'損益分岐設定'!$B$18+'損益分岐設定'!$B$19+'損益分岐設定'!$B$20+'損益分岐設定'!E39+('損益分岐設定'!F39+2*'損益分岐設定'!G39+AO463)*('損益分岐設定'!$B$15+'損益分岐設定'!$B$16)+'損益分岐設定'!$B$17+'損益分岐設定'!$B$21+E463*'損益分岐設定'!H39*'損益分岐設定'!$B$11</x:f>
        <x:v>97018.37352244255</x:v>
      </x:c>
      <x:c r="U463" s="7" t="n">
        <x:f>'損益分岐設定'!$B$18+'損益分岐設定'!$B$19+'損益分岐設定'!$B$20+'損益分岐設定'!E40+('損益分岐設定'!F40+2*'損益分岐設定'!G40+AP463)*('損益分岐設定'!$B$15+'損益分岐設定'!$B$16)+'損益分岐設定'!$B$17+'損益分岐設定'!$B$21+E463*'損益分岐設定'!H40*'損益分岐設定'!$B$11</x:f>
        <x:v>117897.96690305318</x:v>
      </x:c>
      <x:c r="V463" s="1" t="n">
        <x:f>IF(I463&lt;=0,1001,IF(MAX('損益分岐設定'!B37,ROUNDUP(R463/I463,0))&lt;='損益分岐設定'!C37,MAX('損益分岐設定'!B37,ROUNDUP(R463/I463,0)),1001))</x:f>
        <x:v>1001</x:v>
      </x:c>
      <x:c r="W463" s="1" t="n">
        <x:f>IF(I463&lt;=0,1001,IF(MAX('損益分岐設定'!B38,ROUNDUP(S463/I463,0))&lt;='損益分岐設定'!C38,MAX('損益分岐設定'!B38,ROUNDUP(S463/I463,0)),1001))</x:f>
        <x:v>57</x:v>
      </x:c>
      <x:c r="X463" s="1" t="n">
        <x:f>IF(I463&lt;=0,1001,IF(MAX('損益分岐設定'!B39,ROUNDUP(T463/I463,0))&lt;='損益分岐設定'!C39,MAX('損益分岐設定'!B39,ROUNDUP(T463/I463,0)),1001))</x:f>
        <x:v>101</x:v>
      </x:c>
      <x:c r="Y463" s="1" t="n">
        <x:f>IF(I463&lt;=0,1001,IF(MAX('損益分岐設定'!B40,ROUNDUP(U463/I463,0))&lt;='損益分岐設定'!C40,MAX('損益分岐設定'!B40,ROUNDUP(U463/I463,0)),1001))</x:f>
        <x:v>501</x:v>
      </x:c>
      <x:c r="Z463" s="1" t="n">
        <x:f>IF(I463&lt;=0,'損益分岐設定'!C37,IF('損益分岐設定'!C37*I463-R463&lt;0,'損益分岐設定'!C37,IF('損益分岐設定'!B37*I463-R463&gt;=0,0,ROUNDUP(R463/I463,0)-1)))</x:f>
        <x:v>10</x:v>
      </x:c>
      <x:c r="AA463" s="1" t="n">
        <x:f>IF(I463&lt;=0,'損益分岐設定'!C38,IF('損益分岐設定'!C38*I463-S463&lt;0,'損益分岐設定'!C38,IF('損益分岐設定'!B38*I463-S463&gt;=0,0,ROUNDUP(S463/I463,0)-1)))</x:f>
        <x:v>56</x:v>
      </x:c>
      <x:c r="AB463" s="1" t="n">
        <x:f>IF(I463&lt;=0,'損益分岐設定'!C39,IF('損益分岐設定'!C39*I463-T463&lt;0,'損益分岐設定'!C39,IF('損益分岐設定'!B39*I463-T463&gt;=0,0,ROUNDUP(T463/I463,0)-1)))</x:f>
        <x:v>0</x:v>
      </x:c>
      <x:c r="AC463" s="1" t="n">
        <x:f>IF(I463&lt;=0,'損益分岐設定'!C40,IF('損益分岐設定'!C40*I463-U463&lt;0,'損益分岐設定'!C40,IF('損益分岐設定'!B40*I463-U463&gt;=0,0,ROUNDUP(U463/I463,0)-1)))</x:f>
        <x:v>0</x:v>
      </x:c>
      <x:c r="AD463" s="1" t="n">
        <x:f>'損益分岐設定'!$D$5/SUM('損益分岐設定'!$D$5:$D$7)</x:f>
        <x:v>0.5</x:v>
      </x:c>
      <x:c r="AE463" s="1" t="n">
        <x:f>'損益分岐設定'!$D$6/SUM('損益分岐設定'!$D$5:$D$7)</x:f>
        <x:v>0.3</x:v>
      </x:c>
      <x:c r="AF463" s="1" t="n">
        <x:f>'損益分岐設定'!$D$7/SUM('損益分岐設定'!$D$5:$D$7)</x:f>
        <x:v>0.2</x:v>
      </x:c>
      <x:c r="AG463" s="1" t="n">
        <x:f>AD463*'損益分岐設定'!$C$57+AE463*'損益分岐設定'!$C$60+AF463*'損益分岐設定'!$C$63</x:f>
        <x:v>412.2157297973632</x:v>
      </x:c>
      <x:c r="AH463" s="1" t="n">
        <x:f>AD463*'損益分岐設定'!$D$57+AE463*'損益分岐設定'!$D$60+AF463*'損益分岐設定'!$D$63</x:f>
        <x:v>111</x:v>
      </x:c>
      <x:c r="AI463" s="1" t="n">
        <x:f>AD463*'損益分岐設定'!$E$57+AE463*'損益分岐設定'!$E$60+AF463*'損益分岐設定'!$E$63</x:f>
        <x:v>111</x:v>
      </x:c>
      <x:c r="AJ463" s="1" t="n">
        <x:f>(AD463*'損益分岐設定'!$F$57+AE463*'損益分岐設定'!$F$60+AF463*'損益分岐設定'!$F$63*1)*'損益分岐設定'!$B$22</x:f>
        <x:v>444</x:v>
      </x:c>
      <x:c r="AK463" s="1" t="n">
        <x:f>AD463*'損益分岐設定'!$G$57+AE463*'損益分岐設定'!$G$60+AF463*'損益分岐設定'!$G$63</x:f>
        <x:v>740</x:v>
      </x:c>
      <x:c r="AL463" s="1" t="n">
        <x:f>AD463*'損益分岐設定'!$H$57+AE463*'損益分岐設定'!$H$60+AF463*'損益分岐設定'!$H$63</x:f>
        <x:v>656.6666666666666</x:v>
      </x:c>
      <x:c r="AM463" s="1" t="n">
        <x:f>MAX(1,ROUNDUP('損益分岐設定'!C37*AJ463/('損益分岐設定'!$B$23*'損益分岐設定'!$B$24*3600*'損益分岐設定'!$B$25),0))</x:f>
        <x:v>1</x:v>
      </x:c>
      <x:c r="AN463" s="1" t="n">
        <x:f>MAX(2,ROUNDUP('損益分岐設定'!C38*AJ463/('損益分岐設定'!$B$23*'損益分岐設定'!$B$24*3600*'損益分岐設定'!$B$25),0))</x:f>
        <x:v>2</x:v>
      </x:c>
      <x:c r="AO463" s="1" t="n">
        <x:f>MAX(2,ROUNDUP('損益分岐設定'!C39*AJ463/('損益分岐設定'!$B$23*'損益分岐設定'!$B$24*3600*'損益分岐設定'!$B$25),0))</x:f>
        <x:v>2</x:v>
      </x:c>
      <x:c r="AP463" s="1" t="n">
        <x:f>MAX(2,ROUNDUP('損益分岐設定'!C40*AJ463/('損益分岐設定'!$B$23*'損益分岐設定'!$B$24*3600*'損益分岐設定'!$B$25),0))</x:f>
        <x:v>2</x:v>
      </x:c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 ht="23" customHeight="1">
      <x:c r="A464" s="1" t="str">
        <x:v>VM</x:v>
      </x:c>
      <x:c r="B464" s="1" t="str">
        <x:v>混在</x:v>
      </x:c>
      <x:c r="C464" s="1" t="str">
        <x:v>標準</x:v>
      </x:c>
      <x:c r="D464" s="21" t="n">
        <x:v>0.5</x:v>
      </x:c>
      <x:c r="E464" s="1" t="n">
        <x:v>1</x:v>
      </x:c>
      <x:c r="F464" s="7" t="n">
        <x:f>AD464*'損益分岐設定'!$B$5+AE464*'損益分岐設定'!$B$6+AF464*'損益分岐設定'!$B$7</x:f>
        <x:v>4600</x:v>
      </x:c>
      <x:c r="G464" s="7" t="n">
        <x:f>AG464+0+AK464*'損益分岐設定'!$B$33</x:f>
        <x:v>412.2239999418258</x:v>
      </x:c>
      <x:c r="H464" s="7" t="n">
        <x:f>AL464*E464</x:f>
        <x:v>656.6666666666666</x:v>
      </x:c>
      <x:c r="I464" s="7" t="n">
        <x:f>F464*(1-D464-'損益分岐設定'!$B$10)-G464-H464</x:f>
        <x:v>1065.5093333915079</x:v>
      </x:c>
      <x:c r="J464" s="1" t="n">
        <x:f>IF(MIN(V464:Y464)&gt;1000,"範囲内なし",MIN(V464:Y464))</x:f>
        <x:v>167</x:v>
      </x:c>
      <x:c r="K464" s="1" t="n">
        <x:f>IF(MAX(Z464:AC464)&gt;=1000,"範囲内なし",MAX(1,MAX(Z464:AC464)+1))</x:f>
        <x:v>167</x:v>
      </x:c>
      <x:c r="L464" s="7" t="n">
        <x:f>10*I464-R464</x:f>
        <x:v>-72104.09342730619</x:v>
      </x:c>
      <x:c r="M464" s="7" t="n">
        <x:f>30*I464-S464</x:f>
        <x:v>-113053.0935206973</x:v>
      </x:c>
      <x:c r="N464" s="7" t="n">
        <x:f>50*I464-S464</x:f>
        <x:v>-91742.90685286713</x:v>
      </x:c>
      <x:c r="O464" s="7" t="n">
        <x:f>100*I464-S464</x:f>
        <x:v>-38467.44018329175</x:v>
      </x:c>
      <x:c r="P464" s="7" t="n">
        <x:f>300*I464-T464</x:f>
        <x:v>142634.42649500986</x:v>
      </x:c>
      <x:c r="Q464" s="7" t="n">
        <x:f>1000*I464-U464</x:f>
        <x:v>819611.3664884546</x:v>
      </x:c>
      <x:c r="R464" s="7" t="n">
        <x:f>'損益分岐設定'!$B$18+'損益分岐設定'!$B$19+'損益分岐設定'!$B$20+'損益分岐設定'!E37+('損益分岐設定'!F37+2*'損益分岐設定'!G37+AM464)*('損益分岐設定'!$B$15+'損益分岐設定'!$B$16)+'損益分岐設定'!$B$17+'損益分岐設定'!$B$21+E464*'損益分岐設定'!H37*'損益分岐設定'!$B$11</x:f>
        <x:v>82759.18676122127</x:v>
      </x:c>
      <x:c r="S464" s="7" t="n">
        <x:f>'損益分岐設定'!$B$18+'損益分岐設定'!$B$19+'損益分岐設定'!$B$20+'損益分岐設定'!E38+('損益分岐設定'!F38+2*'損益分岐設定'!G38+AN464)*('損益分岐設定'!$B$15+'損益分岐設定'!$B$16)+'損益分岐設定'!$B$17+'損益分岐設定'!$B$21+E464*'損益分岐設定'!H38*'損益分岐設定'!$B$11</x:f>
        <x:v>145018.37352244253</x:v>
      </x:c>
      <x:c r="T464" s="7" t="n">
        <x:f>'損益分岐設定'!$B$18+'損益分岐設定'!$B$19+'損益分岐設定'!$B$20+'損益分岐設定'!E39+('損益分岐設定'!F39+2*'損益分岐設定'!G39+AO464)*('損益分岐設定'!$B$15+'損益分岐設定'!$B$16)+'損益分岐設定'!$B$17+'損益分岐設定'!$B$21+E464*'損益分岐設定'!H39*'損益分岐設定'!$B$11</x:f>
        <x:v>177018.37352244253</x:v>
      </x:c>
      <x:c r="U464" s="7" t="n">
        <x:f>'損益分岐設定'!$B$18+'損益分岐設定'!$B$19+'損益分岐設定'!$B$20+'損益分岐設定'!E40+('損益分岐設定'!F40+2*'損益分岐設定'!G40+AP464)*('損益分岐設定'!$B$15+'損益分岐設定'!$B$16)+'損益分岐設定'!$B$17+'損益分岐設定'!$B$21+E464*'損益分岐設定'!H40*'損益分岐設定'!$B$11</x:f>
        <x:v>245897.96690305317</x:v>
      </x:c>
      <x:c r="V464" s="1" t="n">
        <x:f>IF(I464&lt;=0,1001,IF(MAX('損益分岐設定'!B37,ROUNDUP(R464/I464,0))&lt;='損益分岐設定'!C37,MAX('損益分岐設定'!B37,ROUNDUP(R464/I464,0)),1001))</x:f>
        <x:v>1001</x:v>
      </x:c>
      <x:c r="W464" s="1" t="n">
        <x:f>IF(I464&lt;=0,1001,IF(MAX('損益分岐設定'!B38,ROUNDUP(S464/I464,0))&lt;='損益分岐設定'!C38,MAX('損益分岐設定'!B38,ROUNDUP(S464/I464,0)),1001))</x:f>
        <x:v>1001</x:v>
      </x:c>
      <x:c r="X464" s="1" t="n">
        <x:f>IF(I464&lt;=0,1001,IF(MAX('損益分岐設定'!B39,ROUNDUP(T464/I464,0))&lt;='損益分岐設定'!C39,MAX('損益分岐設定'!B39,ROUNDUP(T464/I464,0)),1001))</x:f>
        <x:v>167</x:v>
      </x:c>
      <x:c r="Y464" s="1" t="n">
        <x:f>IF(I464&lt;=0,1001,IF(MAX('損益分岐設定'!B40,ROUNDUP(U464/I464,0))&lt;='損益分岐設定'!C40,MAX('損益分岐設定'!B40,ROUNDUP(U464/I464,0)),1001))</x:f>
        <x:v>501</x:v>
      </x:c>
      <x:c r="Z464" s="1" t="n">
        <x:f>IF(I464&lt;=0,'損益分岐設定'!C37,IF('損益分岐設定'!C37*I464-R464&lt;0,'損益分岐設定'!C37,IF('損益分岐設定'!B37*I464-R464&gt;=0,0,ROUNDUP(R464/I464,0)-1)))</x:f>
        <x:v>10</x:v>
      </x:c>
      <x:c r="AA464" s="1" t="n">
        <x:f>IF(I464&lt;=0,'損益分岐設定'!C38,IF('損益分岐設定'!C38*I464-S464&lt;0,'損益分岐設定'!C38,IF('損益分岐設定'!B38*I464-S464&gt;=0,0,ROUNDUP(S464/I464,0)-1)))</x:f>
        <x:v>100</x:v>
      </x:c>
      <x:c r="AB464" s="1" t="n">
        <x:f>IF(I464&lt;=0,'損益分岐設定'!C39,IF('損益分岐設定'!C39*I464-T464&lt;0,'損益分岐設定'!C39,IF('損益分岐設定'!B39*I464-T464&gt;=0,0,ROUNDUP(T464/I464,0)-1)))</x:f>
        <x:v>166</x:v>
      </x:c>
      <x:c r="AC464" s="1" t="n">
        <x:f>IF(I464&lt;=0,'損益分岐設定'!C40,IF('損益分岐設定'!C40*I464-U464&lt;0,'損益分岐設定'!C40,IF('損益分岐設定'!B40*I464-U464&gt;=0,0,ROUNDUP(U464/I464,0)-1)))</x:f>
        <x:v>0</x:v>
      </x:c>
      <x:c r="AD464" s="1" t="n">
        <x:f>'損益分岐設定'!$D$5/SUM('損益分岐設定'!$D$5:$D$7)</x:f>
        <x:v>0.5</x:v>
      </x:c>
      <x:c r="AE464" s="1" t="n">
        <x:f>'損益分岐設定'!$D$6/SUM('損益分岐設定'!$D$5:$D$7)</x:f>
        <x:v>0.3</x:v>
      </x:c>
      <x:c r="AF464" s="1" t="n">
        <x:f>'損益分岐設定'!$D$7/SUM('損益分岐設定'!$D$5:$D$7)</x:f>
        <x:v>0.2</x:v>
      </x:c>
      <x:c r="AG464" s="1" t="n">
        <x:f>AD464*'損益分岐設定'!$C$57+AE464*'損益分岐設定'!$C$60+AF464*'損益分岐設定'!$C$63</x:f>
        <x:v>412.2157297973632</x:v>
      </x:c>
      <x:c r="AH464" s="1" t="n">
        <x:f>AD464*'損益分岐設定'!$D$57+AE464*'損益分岐設定'!$D$60+AF464*'損益分岐設定'!$D$63</x:f>
        <x:v>111</x:v>
      </x:c>
      <x:c r="AI464" s="1" t="n">
        <x:f>AD464*'損益分岐設定'!$E$57+AE464*'損益分岐設定'!$E$60+AF464*'損益分岐設定'!$E$63</x:f>
        <x:v>111</x:v>
      </x:c>
      <x:c r="AJ464" s="1" t="n">
        <x:f>(AD464*'損益分岐設定'!$F$57+AE464*'損益分岐設定'!$F$60+AF464*'損益分岐設定'!$F$63*1)*'損益分岐設定'!$B$22</x:f>
        <x:v>444</x:v>
      </x:c>
      <x:c r="AK464" s="1" t="n">
        <x:f>AD464*'損益分岐設定'!$G$57+AE464*'損益分岐設定'!$G$60+AF464*'損益分岐設定'!$G$63</x:f>
        <x:v>740</x:v>
      </x:c>
      <x:c r="AL464" s="1" t="n">
        <x:f>AD464*'損益分岐設定'!$H$57+AE464*'損益分岐設定'!$H$60+AF464*'損益分岐設定'!$H$63</x:f>
        <x:v>656.6666666666666</x:v>
      </x:c>
      <x:c r="AM464" s="1" t="n">
        <x:f>MAX(1,ROUNDUP('損益分岐設定'!C37*AJ464/('損益分岐設定'!$B$23*'損益分岐設定'!$B$24*3600*'損益分岐設定'!$B$25),0))</x:f>
        <x:v>1</x:v>
      </x:c>
      <x:c r="AN464" s="1" t="n">
        <x:f>MAX(2,ROUNDUP('損益分岐設定'!C38*AJ464/('損益分岐設定'!$B$23*'損益分岐設定'!$B$24*3600*'損益分岐設定'!$B$25),0))</x:f>
        <x:v>2</x:v>
      </x:c>
      <x:c r="AO464" s="1" t="n">
        <x:f>MAX(2,ROUNDUP('損益分岐設定'!C39*AJ464/('損益分岐設定'!$B$23*'損益分岐設定'!$B$24*3600*'損益分岐設定'!$B$25),0))</x:f>
        <x:v>2</x:v>
      </x:c>
      <x:c r="AP464" s="1" t="n">
        <x:f>MAX(2,ROUNDUP('損益分岐設定'!C40*AJ464/('損益分岐設定'!$B$23*'損益分岐設定'!$B$24*3600*'損益分岐設定'!$B$25),0))</x:f>
        <x:v>2</x:v>
      </x:c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 ht="23" customHeight="1">
      <x:c r="A465" s="1" t="str">
        <x:v>VM</x:v>
      </x:c>
      <x:c r="B465" s="1" t="str">
        <x:v>混在</x:v>
      </x:c>
      <x:c r="C465" s="1" t="str">
        <x:v>高位</x:v>
      </x:c>
      <x:c r="D465" s="21" t="n">
        <x:v>0</x:v>
      </x:c>
      <x:c r="E465" s="1" t="n">
        <x:v>0</x:v>
      </x:c>
      <x:c r="F465" s="7" t="n">
        <x:f>AD465*'損益分岐設定'!$B$5+AE465*'損益分岐設定'!$B$6+AF465*'損益分岐設定'!$B$7</x:f>
        <x:v>4600</x:v>
      </x:c>
      <x:c r="G465" s="7" t="n">
        <x:f>AG465+0+AK465*'損益分岐設定'!$B$33</x:f>
        <x:v>9174.902477556228</x:v>
      </x:c>
      <x:c r="H465" s="7" t="n">
        <x:f>AL465*E465</x:f>
        <x:v>0</x:v>
      </x:c>
      <x:c r="I465" s="7" t="n">
        <x:f>F465*(1-D465-'損益分岐設定'!$B$10)-G465-H465</x:f>
        <x:v>-4740.502477556229</x:v>
      </x:c>
      <x:c r="J465" s="1" t="str">
        <x:f>IF(MIN(V465:Y465)&gt;1000,"範囲内なし",MIN(V465:Y465))</x:f>
        <x:v>範囲内なし</x:v>
      </x:c>
      <x:c r="K465" s="1" t="str">
        <x:f>IF(MAX(Z465:AC465)&gt;=1000,"範囲内なし",MAX(1,MAX(Z465:AC465)+1))</x:f>
        <x:v>範囲内なし</x:v>
      </x:c>
      <x:c r="L465" s="7" t="n">
        <x:f>10*I465-R465</x:f>
        <x:v>-98164.21153678355</x:v>
      </x:c>
      <x:c r="M465" s="7" t="n">
        <x:f>30*I465-S465</x:f>
        <x:v>-239233.44784912938</x:v>
      </x:c>
      <x:c r="N465" s="7" t="n">
        <x:f>50*I465-S465</x:f>
        <x:v>-334043.497400254</x:v>
      </x:c>
      <x:c r="O465" s="7" t="n">
        <x:f>100*I465-S465</x:f>
        <x:v>-571068.6212780655</x:v>
      </x:c>
      <x:c r="P465" s="7" t="n">
        <x:f>300*I465-T465</x:f>
        <x:v>-1571368.1002408378</x:v>
      </x:c>
      <x:c r="Q465" s="7" t="n">
        <x:f>1000*I465-U465</x:f>
        <x:v>-4983678.004742946</x:v>
      </x:c>
      <x:c r="R465" s="7" t="n">
        <x:f>'損益分岐設定'!$B$18+'損益分岐設定'!$B$19+'損益分岐設定'!$B$20+'損益分岐設定'!E37+('損益分岐設定'!F37+2*'損益分岐設定'!G37+AM465)*('損益分岐設定'!$B$15+'損益分岐設定'!$B$16)+'損益分岐設定'!$B$17+'損益分岐設定'!$B$21+E465*'損益分岐設定'!H37*'損益分岐設定'!$B$11</x:f>
        <x:v>50759.18676122127</x:v>
      </x:c>
      <x:c r="S465" s="7" t="n">
        <x:f>'損益分岐設定'!$B$18+'損益分岐設定'!$B$19+'損益分岐設定'!$B$20+'損益分岐設定'!E38+('損益分岐設定'!F38+2*'損益分岐設定'!G38+AN465)*('損益分岐設定'!$B$15+'損益分岐設定'!$B$16)+'損益分岐設定'!$B$17+'損益分岐設定'!$B$21+E465*'損益分岐設定'!H38*'損益分岐設定'!$B$11</x:f>
        <x:v>97018.37352244255</x:v>
      </x:c>
      <x:c r="T465" s="7" t="n">
        <x:f>'損益分岐設定'!$B$18+'損益分岐設定'!$B$19+'損益分岐設定'!$B$20+'損益分岐設定'!E39+('損益分岐設定'!F39+2*'損益分岐設定'!G39+AO465)*('損益分岐設定'!$B$15+'損益分岐設定'!$B$16)+'損益分岐設定'!$B$17+'損益分岐設定'!$B$21+E465*'損益分岐設定'!H39*'損益分岐設定'!$B$11</x:f>
        <x:v>149217.35697396914</x:v>
      </x:c>
      <x:c r="U465" s="7" t="n">
        <x:f>'損益分岐設定'!$B$18+'損益分岐設定'!$B$19+'損益分岐設定'!$B$20+'損益分岐設定'!E40+('損益分岐設定'!F40+2*'損益分岐設定'!G40+AP465)*('損益分岐設定'!$B$15+'損益分岐設定'!$B$16)+'損益分岐設定'!$B$17+'損益分岐設定'!$B$21+E465*'損益分岐設定'!H40*'損益分岐設定'!$B$11</x:f>
        <x:v>243175.527186717</x:v>
      </x:c>
      <x:c r="V465" s="1" t="n">
        <x:f>IF(I465&lt;=0,1001,IF(MAX('損益分岐設定'!B37,ROUNDUP(R465/I465,0))&lt;='損益分岐設定'!C37,MAX('損益分岐設定'!B37,ROUNDUP(R465/I465,0)),1001))</x:f>
        <x:v>1001</x:v>
      </x:c>
      <x:c r="W465" s="1" t="n">
        <x:f>IF(I465&lt;=0,1001,IF(MAX('損益分岐設定'!B38,ROUNDUP(S465/I465,0))&lt;='損益分岐設定'!C38,MAX('損益分岐設定'!B38,ROUNDUP(S465/I465,0)),1001))</x:f>
        <x:v>1001</x:v>
      </x:c>
      <x:c r="X465" s="1" t="n">
        <x:f>IF(I465&lt;=0,1001,IF(MAX('損益分岐設定'!B39,ROUNDUP(T465/I465,0))&lt;='損益分岐設定'!C39,MAX('損益分岐設定'!B39,ROUNDUP(T465/I465,0)),1001))</x:f>
        <x:v>1001</x:v>
      </x:c>
      <x:c r="Y465" s="1" t="n">
        <x:f>IF(I465&lt;=0,1001,IF(MAX('損益分岐設定'!B40,ROUNDUP(U465/I465,0))&lt;='損益分岐設定'!C40,MAX('損益分岐設定'!B40,ROUNDUP(U465/I465,0)),1001))</x:f>
        <x:v>1001</x:v>
      </x:c>
      <x:c r="Z465" s="1" t="n">
        <x:f>IF(I465&lt;=0,'損益分岐設定'!C37,IF('損益分岐設定'!C37*I465-R465&lt;0,'損益分岐設定'!C37,IF('損益分岐設定'!B37*I465-R465&gt;=0,0,ROUNDUP(R465/I465,0)-1)))</x:f>
        <x:v>10</x:v>
      </x:c>
      <x:c r="AA465" s="1" t="n">
        <x:f>IF(I465&lt;=0,'損益分岐設定'!C38,IF('損益分岐設定'!C38*I465-S465&lt;0,'損益分岐設定'!C38,IF('損益分岐設定'!B38*I465-S465&gt;=0,0,ROUNDUP(S465/I465,0)-1)))</x:f>
        <x:v>100</x:v>
      </x:c>
      <x:c r="AB465" s="1" t="n">
        <x:f>IF(I465&lt;=0,'損益分岐設定'!C39,IF('損益分岐設定'!C39*I465-T465&lt;0,'損益分岐設定'!C39,IF('損益分岐設定'!B39*I465-T465&gt;=0,0,ROUNDUP(T465/I465,0)-1)))</x:f>
        <x:v>500</x:v>
      </x:c>
      <x:c r="AC465" s="1" t="n">
        <x:f>IF(I465&lt;=0,'損益分岐設定'!C40,IF('損益分岐設定'!C40*I465-U465&lt;0,'損益分岐設定'!C40,IF('損益分岐設定'!B40*I465-U465&gt;=0,0,ROUNDUP(U465/I465,0)-1)))</x:f>
        <x:v>1000</x:v>
      </x:c>
      <x:c r="AD465" s="1" t="n">
        <x:f>'損益分岐設定'!$D$5/SUM('損益分岐設定'!$D$5:$D$7)</x:f>
        <x:v>0.5</x:v>
      </x:c>
      <x:c r="AE465" s="1" t="n">
        <x:f>'損益分岐設定'!$D$6/SUM('損益分岐設定'!$D$5:$D$7)</x:f>
        <x:v>0.3</x:v>
      </x:c>
      <x:c r="AF465" s="1" t="n">
        <x:f>'損益分岐設定'!$D$7/SUM('損益分岐設定'!$D$5:$D$7)</x:f>
        <x:v>0.2</x:v>
      </x:c>
      <x:c r="AG465" s="1" t="n">
        <x:f>AD465*'損益分岐設定'!$C$58+AE465*'損益分岐設定'!$C$61+AF465*'損益分岐設定'!$C$64</x:f>
        <x:v>9174.852856689453</x:v>
      </x:c>
      <x:c r="AH465" s="1" t="n">
        <x:f>AD465*'損益分岐設定'!$D$58+AE465*'損益分岐設定'!$D$61+AF465*'損益分岐設定'!$D$64</x:f>
        <x:v>444</x:v>
      </x:c>
      <x:c r="AI465" s="1" t="n">
        <x:f>AD465*'損益分岐設定'!$E$58+AE465*'損益分岐設定'!$E$61+AF465*'損益分岐設定'!$E$64</x:f>
        <x:v>592</x:v>
      </x:c>
      <x:c r="AJ465" s="1" t="n">
        <x:f>(AD465*'損益分岐設定'!$F$58+AE465*'損益分岐設定'!$F$61+AF465*'損益分岐設定'!$F$64*1)*'損益分岐設定'!$B$22</x:f>
        <x:v>6660</x:v>
      </x:c>
      <x:c r="AK465" s="1" t="n">
        <x:f>AD465*'損益分岐設定'!$G$58+AE465*'損益分岐設定'!$G$61+AF465*'損益分岐設定'!$G$64</x:f>
        <x:v>4440</x:v>
      </x:c>
      <x:c r="AL465" s="1" t="n">
        <x:f>AD465*'損益分岐設定'!$H$58+AE465*'損益分岐設定'!$H$61+AF465*'損益分岐設定'!$H$64</x:f>
        <x:v>1456.6666666666665</x:v>
      </x:c>
      <x:c r="AM465" s="1" t="n">
        <x:f>MAX(1,ROUNDUP('損益分岐設定'!C37*AJ465/('損益分岐設定'!$B$23*'損益分岐設定'!$B$24*3600*'損益分岐設定'!$B$25),0))</x:f>
        <x:v>1</x:v>
      </x:c>
      <x:c r="AN465" s="1" t="n">
        <x:f>MAX(2,ROUNDUP('損益分岐設定'!C38*AJ465/('損益分岐設定'!$B$23*'損益分岐設定'!$B$24*3600*'損益分岐設定'!$B$25),0))</x:f>
        <x:v>2</x:v>
      </x:c>
      <x:c r="AO465" s="1" t="n">
        <x:f>MAX(2,ROUNDUP('損益分岐設定'!C39*AJ465/('損益分岐設定'!$B$23*'損益分岐設定'!$B$24*3600*'損益分岐設定'!$B$25),0))</x:f>
        <x:v>7</x:v>
      </x:c>
      <x:c r="AP465" s="1" t="n">
        <x:f>MAX(2,ROUNDUP('損益分岐設定'!C40*AJ465/('損益分岐設定'!$B$23*'損益分岐設定'!$B$24*3600*'損益分岐設定'!$B$25),0))</x:f>
        <x:v>14</x:v>
      </x:c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 ht="23" customHeight="1">
      <x:c r="A466" s="1" t="str">
        <x:v>VM</x:v>
      </x:c>
      <x:c r="B466" s="1" t="str">
        <x:v>混在</x:v>
      </x:c>
      <x:c r="C466" s="1" t="str">
        <x:v>高位</x:v>
      </x:c>
      <x:c r="D466" s="21" t="n">
        <x:v>0</x:v>
      </x:c>
      <x:c r="E466" s="1" t="n">
        <x:v>1</x:v>
      </x:c>
      <x:c r="F466" s="7" t="n">
        <x:f>AD466*'損益分岐設定'!$B$5+AE466*'損益分岐設定'!$B$6+AF466*'損益分岐設定'!$B$7</x:f>
        <x:v>4600</x:v>
      </x:c>
      <x:c r="G466" s="7" t="n">
        <x:f>AG466+0+AK466*'損益分岐設定'!$B$33</x:f>
        <x:v>9174.902477556228</x:v>
      </x:c>
      <x:c r="H466" s="7" t="n">
        <x:f>AL466*E466</x:f>
        <x:v>1456.6666666666665</x:v>
      </x:c>
      <x:c r="I466" s="7" t="n">
        <x:f>F466*(1-D466-'損益分岐設定'!$B$10)-G466-H466</x:f>
        <x:v>-6197.169144222895</x:v>
      </x:c>
      <x:c r="J466" s="1" t="str">
        <x:f>IF(MIN(V466:Y466)&gt;1000,"範囲内なし",MIN(V466:Y466))</x:f>
        <x:v>範囲内なし</x:v>
      </x:c>
      <x:c r="K466" s="1" t="str">
        <x:f>IF(MAX(Z466:AC466)&gt;=1000,"範囲内なし",MAX(1,MAX(Z466:AC466)+1))</x:f>
        <x:v>範囲内なし</x:v>
      </x:c>
      <x:c r="L466" s="7" t="n">
        <x:f>10*I466-R466</x:f>
        <x:v>-144730.8782034502</x:v>
      </x:c>
      <x:c r="M466" s="7" t="n">
        <x:f>30*I466-S466</x:f>
        <x:v>-330933.4478491294</x:v>
      </x:c>
      <x:c r="N466" s="7" t="n">
        <x:f>50*I466-S466</x:f>
        <x:v>-454876.83073358727</x:v>
      </x:c>
      <x:c r="O466" s="7" t="n">
        <x:f>100*I466-S466</x:f>
        <x:v>-764735.287944732</x:v>
      </x:c>
      <x:c r="P466" s="7" t="n">
        <x:f>300*I466-T466</x:f>
        <x:v>-2088368.1002408375</x:v>
      </x:c>
      <x:c r="Q466" s="7" t="n">
        <x:f>1000*I466-U466</x:f>
        <x:v>-6568344.671409612</x:v>
      </x:c>
      <x:c r="R466" s="7" t="n">
        <x:f>'損益分岐設定'!$B$18+'損益分岐設定'!$B$19+'損益分岐設定'!$B$20+'損益分岐設定'!E37+('損益分岐設定'!F37+2*'損益分岐設定'!G37+AM466)*('損益分岐設定'!$B$15+'損益分岐設定'!$B$16)+'損益分岐設定'!$B$17+'損益分岐設定'!$B$21+E466*'損益分岐設定'!H37*'損益分岐設定'!$B$11</x:f>
        <x:v>82759.18676122127</x:v>
      </x:c>
      <x:c r="S466" s="7" t="n">
        <x:f>'損益分岐設定'!$B$18+'損益分岐設定'!$B$19+'損益分岐設定'!$B$20+'損益分岐設定'!E38+('損益分岐設定'!F38+2*'損益分岐設定'!G38+AN466)*('損益分岐設定'!$B$15+'損益分岐設定'!$B$16)+'損益分岐設定'!$B$17+'損益分岐設定'!$B$21+E466*'損益分岐設定'!H38*'損益分岐設定'!$B$11</x:f>
        <x:v>145018.37352244253</x:v>
      </x:c>
      <x:c r="T466" s="7" t="n">
        <x:f>'損益分岐設定'!$B$18+'損益分岐設定'!$B$19+'損益分岐設定'!$B$20+'損益分岐設定'!E39+('損益分岐設定'!F39+2*'損益分岐設定'!G39+AO466)*('損益分岐設定'!$B$15+'損益分岐設定'!$B$16)+'損益分岐設定'!$B$17+'損益分岐設定'!$B$21+E466*'損益分岐設定'!H39*'損益分岐設定'!$B$11</x:f>
        <x:v>229217.35697396914</x:v>
      </x:c>
      <x:c r="U466" s="7" t="n">
        <x:f>'損益分岐設定'!$B$18+'損益分岐設定'!$B$19+'損益分岐設定'!$B$20+'損益分岐設定'!E40+('損益分岐設定'!F40+2*'損益分岐設定'!G40+AP466)*('損益分岐設定'!$B$15+'損益分岐設定'!$B$16)+'損益分岐設定'!$B$17+'損益分岐設定'!$B$21+E466*'損益分岐設定'!H40*'損益分岐設定'!$B$11</x:f>
        <x:v>371175.527186717</x:v>
      </x:c>
      <x:c r="V466" s="1" t="n">
        <x:f>IF(I466&lt;=0,1001,IF(MAX('損益分岐設定'!B37,ROUNDUP(R466/I466,0))&lt;='損益分岐設定'!C37,MAX('損益分岐設定'!B37,ROUNDUP(R466/I466,0)),1001))</x:f>
        <x:v>1001</x:v>
      </x:c>
      <x:c r="W466" s="1" t="n">
        <x:f>IF(I466&lt;=0,1001,IF(MAX('損益分岐設定'!B38,ROUNDUP(S466/I466,0))&lt;='損益分岐設定'!C38,MAX('損益分岐設定'!B38,ROUNDUP(S466/I466,0)),1001))</x:f>
        <x:v>1001</x:v>
      </x:c>
      <x:c r="X466" s="1" t="n">
        <x:f>IF(I466&lt;=0,1001,IF(MAX('損益分岐設定'!B39,ROUNDUP(T466/I466,0))&lt;='損益分岐設定'!C39,MAX('損益分岐設定'!B39,ROUNDUP(T466/I466,0)),1001))</x:f>
        <x:v>1001</x:v>
      </x:c>
      <x:c r="Y466" s="1" t="n">
        <x:f>IF(I466&lt;=0,1001,IF(MAX('損益分岐設定'!B40,ROUNDUP(U466/I466,0))&lt;='損益分岐設定'!C40,MAX('損益分岐設定'!B40,ROUNDUP(U466/I466,0)),1001))</x:f>
        <x:v>1001</x:v>
      </x:c>
      <x:c r="Z466" s="1" t="n">
        <x:f>IF(I466&lt;=0,'損益分岐設定'!C37,IF('損益分岐設定'!C37*I466-R466&lt;0,'損益分岐設定'!C37,IF('損益分岐設定'!B37*I466-R466&gt;=0,0,ROUNDUP(R466/I466,0)-1)))</x:f>
        <x:v>10</x:v>
      </x:c>
      <x:c r="AA466" s="1" t="n">
        <x:f>IF(I466&lt;=0,'損益分岐設定'!C38,IF('損益分岐設定'!C38*I466-S466&lt;0,'損益分岐設定'!C38,IF('損益分岐設定'!B38*I466-S466&gt;=0,0,ROUNDUP(S466/I466,0)-1)))</x:f>
        <x:v>100</x:v>
      </x:c>
      <x:c r="AB466" s="1" t="n">
        <x:f>IF(I466&lt;=0,'損益分岐設定'!C39,IF('損益分岐設定'!C39*I466-T466&lt;0,'損益分岐設定'!C39,IF('損益分岐設定'!B39*I466-T466&gt;=0,0,ROUNDUP(T466/I466,0)-1)))</x:f>
        <x:v>500</x:v>
      </x:c>
      <x:c r="AC466" s="1" t="n">
        <x:f>IF(I466&lt;=0,'損益分岐設定'!C40,IF('損益分岐設定'!C40*I466-U466&lt;0,'損益分岐設定'!C40,IF('損益分岐設定'!B40*I466-U466&gt;=0,0,ROUNDUP(U466/I466,0)-1)))</x:f>
        <x:v>1000</x:v>
      </x:c>
      <x:c r="AD466" s="1" t="n">
        <x:f>'損益分岐設定'!$D$5/SUM('損益分岐設定'!$D$5:$D$7)</x:f>
        <x:v>0.5</x:v>
      </x:c>
      <x:c r="AE466" s="1" t="n">
        <x:f>'損益分岐設定'!$D$6/SUM('損益分岐設定'!$D$5:$D$7)</x:f>
        <x:v>0.3</x:v>
      </x:c>
      <x:c r="AF466" s="1" t="n">
        <x:f>'損益分岐設定'!$D$7/SUM('損益分岐設定'!$D$5:$D$7)</x:f>
        <x:v>0.2</x:v>
      </x:c>
      <x:c r="AG466" s="1" t="n">
        <x:f>AD466*'損益分岐設定'!$C$58+AE466*'損益分岐設定'!$C$61+AF466*'損益分岐設定'!$C$64</x:f>
        <x:v>9174.852856689453</x:v>
      </x:c>
      <x:c r="AH466" s="1" t="n">
        <x:f>AD466*'損益分岐設定'!$D$58+AE466*'損益分岐設定'!$D$61+AF466*'損益分岐設定'!$D$64</x:f>
        <x:v>444</x:v>
      </x:c>
      <x:c r="AI466" s="1" t="n">
        <x:f>AD466*'損益分岐設定'!$E$58+AE466*'損益分岐設定'!$E$61+AF466*'損益分岐設定'!$E$64</x:f>
        <x:v>592</x:v>
      </x:c>
      <x:c r="AJ466" s="1" t="n">
        <x:f>(AD466*'損益分岐設定'!$F$58+AE466*'損益分岐設定'!$F$61+AF466*'損益分岐設定'!$F$64*1)*'損益分岐設定'!$B$22</x:f>
        <x:v>6660</x:v>
      </x:c>
      <x:c r="AK466" s="1" t="n">
        <x:f>AD466*'損益分岐設定'!$G$58+AE466*'損益分岐設定'!$G$61+AF466*'損益分岐設定'!$G$64</x:f>
        <x:v>4440</x:v>
      </x:c>
      <x:c r="AL466" s="1" t="n">
        <x:f>AD466*'損益分岐設定'!$H$58+AE466*'損益分岐設定'!$H$61+AF466*'損益分岐設定'!$H$64</x:f>
        <x:v>1456.6666666666665</x:v>
      </x:c>
      <x:c r="AM466" s="1" t="n">
        <x:f>MAX(1,ROUNDUP('損益分岐設定'!C37*AJ466/('損益分岐設定'!$B$23*'損益分岐設定'!$B$24*3600*'損益分岐設定'!$B$25),0))</x:f>
        <x:v>1</x:v>
      </x:c>
      <x:c r="AN466" s="1" t="n">
        <x:f>MAX(2,ROUNDUP('損益分岐設定'!C38*AJ466/('損益分岐設定'!$B$23*'損益分岐設定'!$B$24*3600*'損益分岐設定'!$B$25),0))</x:f>
        <x:v>2</x:v>
      </x:c>
      <x:c r="AO466" s="1" t="n">
        <x:f>MAX(2,ROUNDUP('損益分岐設定'!C39*AJ466/('損益分岐設定'!$B$23*'損益分岐設定'!$B$24*3600*'損益分岐設定'!$B$25),0))</x:f>
        <x:v>7</x:v>
      </x:c>
      <x:c r="AP466" s="1" t="n">
        <x:f>MAX(2,ROUNDUP('損益分岐設定'!C40*AJ466/('損益分岐設定'!$B$23*'損益分岐設定'!$B$24*3600*'損益分岐設定'!$B$25),0))</x:f>
        <x:v>14</x:v>
      </x:c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 ht="23" customHeight="1">
      <x:c r="A467" s="1" t="str">
        <x:v>VM</x:v>
      </x:c>
      <x:c r="B467" s="1" t="str">
        <x:v>混在</x:v>
      </x:c>
      <x:c r="C467" s="1" t="str">
        <x:v>高位</x:v>
      </x:c>
      <x:c r="D467" s="21" t="n">
        <x:v>0.2</x:v>
      </x:c>
      <x:c r="E467" s="1" t="n">
        <x:v>0</x:v>
      </x:c>
      <x:c r="F467" s="7" t="n">
        <x:f>AD467*'損益分岐設定'!$B$5+AE467*'損益分岐設定'!$B$6+AF467*'損益分岐設定'!$B$7</x:f>
        <x:v>4600</x:v>
      </x:c>
      <x:c r="G467" s="7" t="n">
        <x:f>AG467+0+AK467*'損益分岐設定'!$B$33</x:f>
        <x:v>9174.902477556228</x:v>
      </x:c>
      <x:c r="H467" s="7" t="n">
        <x:f>AL467*E467</x:f>
        <x:v>0</x:v>
      </x:c>
      <x:c r="I467" s="7" t="n">
        <x:f>F467*(1-D467-'損益分岐設定'!$B$10)-G467-H467</x:f>
        <x:v>-5660.502477556229</x:v>
      </x:c>
      <x:c r="J467" s="1" t="str">
        <x:f>IF(MIN(V467:Y467)&gt;1000,"範囲内なし",MIN(V467:Y467))</x:f>
        <x:v>範囲内なし</x:v>
      </x:c>
      <x:c r="K467" s="1" t="str">
        <x:f>IF(MAX(Z467:AC467)&gt;=1000,"範囲内なし",MAX(1,MAX(Z467:AC467)+1))</x:f>
        <x:v>範囲内なし</x:v>
      </x:c>
      <x:c r="L467" s="7" t="n">
        <x:f>10*I467-R467</x:f>
        <x:v>-107364.21153678355</x:v>
      </x:c>
      <x:c r="M467" s="7" t="n">
        <x:f>30*I467-S467</x:f>
        <x:v>-266833.4478491294</x:v>
      </x:c>
      <x:c r="N467" s="7" t="n">
        <x:f>50*I467-S467</x:f>
        <x:v>-380043.49740025395</x:v>
      </x:c>
      <x:c r="O467" s="7" t="n">
        <x:f>100*I467-S467</x:f>
        <x:v>-663068.6212780654</x:v>
      </x:c>
      <x:c r="P467" s="7" t="n">
        <x:f>300*I467-T467</x:f>
        <x:v>-1847368.1002408378</x:v>
      </x:c>
      <x:c r="Q467" s="7" t="n">
        <x:f>1000*I467-U467</x:f>
        <x:v>-5903678.004742946</x:v>
      </x:c>
      <x:c r="R467" s="7" t="n">
        <x:f>'損益分岐設定'!$B$18+'損益分岐設定'!$B$19+'損益分岐設定'!$B$20+'損益分岐設定'!E37+('損益分岐設定'!F37+2*'損益分岐設定'!G37+AM467)*('損益分岐設定'!$B$15+'損益分岐設定'!$B$16)+'損益分岐設定'!$B$17+'損益分岐設定'!$B$21+E467*'損益分岐設定'!H37*'損益分岐設定'!$B$11</x:f>
        <x:v>50759.18676122127</x:v>
      </x:c>
      <x:c r="S467" s="7" t="n">
        <x:f>'損益分岐設定'!$B$18+'損益分岐設定'!$B$19+'損益分岐設定'!$B$20+'損益分岐設定'!E38+('損益分岐設定'!F38+2*'損益分岐設定'!G38+AN467)*('損益分岐設定'!$B$15+'損益分岐設定'!$B$16)+'損益分岐設定'!$B$17+'損益分岐設定'!$B$21+E467*'損益分岐設定'!H38*'損益分岐設定'!$B$11</x:f>
        <x:v>97018.37352244255</x:v>
      </x:c>
      <x:c r="T467" s="7" t="n">
        <x:f>'損益分岐設定'!$B$18+'損益分岐設定'!$B$19+'損益分岐設定'!$B$20+'損益分岐設定'!E39+('損益分岐設定'!F39+2*'損益分岐設定'!G39+AO467)*('損益分岐設定'!$B$15+'損益分岐設定'!$B$16)+'損益分岐設定'!$B$17+'損益分岐設定'!$B$21+E467*'損益分岐設定'!H39*'損益分岐設定'!$B$11</x:f>
        <x:v>149217.35697396914</x:v>
      </x:c>
      <x:c r="U467" s="7" t="n">
        <x:f>'損益分岐設定'!$B$18+'損益分岐設定'!$B$19+'損益分岐設定'!$B$20+'損益分岐設定'!E40+('損益分岐設定'!F40+2*'損益分岐設定'!G40+AP467)*('損益分岐設定'!$B$15+'損益分岐設定'!$B$16)+'損益分岐設定'!$B$17+'損益分岐設定'!$B$21+E467*'損益分岐設定'!H40*'損益分岐設定'!$B$11</x:f>
        <x:v>243175.527186717</x:v>
      </x:c>
      <x:c r="V467" s="1" t="n">
        <x:f>IF(I467&lt;=0,1001,IF(MAX('損益分岐設定'!B37,ROUNDUP(R467/I467,0))&lt;='損益分岐設定'!C37,MAX('損益分岐設定'!B37,ROUNDUP(R467/I467,0)),1001))</x:f>
        <x:v>1001</x:v>
      </x:c>
      <x:c r="W467" s="1" t="n">
        <x:f>IF(I467&lt;=0,1001,IF(MAX('損益分岐設定'!B38,ROUNDUP(S467/I467,0))&lt;='損益分岐設定'!C38,MAX('損益分岐設定'!B38,ROUNDUP(S467/I467,0)),1001))</x:f>
        <x:v>1001</x:v>
      </x:c>
      <x:c r="X467" s="1" t="n">
        <x:f>IF(I467&lt;=0,1001,IF(MAX('損益分岐設定'!B39,ROUNDUP(T467/I467,0))&lt;='損益分岐設定'!C39,MAX('損益分岐設定'!B39,ROUNDUP(T467/I467,0)),1001))</x:f>
        <x:v>1001</x:v>
      </x:c>
      <x:c r="Y467" s="1" t="n">
        <x:f>IF(I467&lt;=0,1001,IF(MAX('損益分岐設定'!B40,ROUNDUP(U467/I467,0))&lt;='損益分岐設定'!C40,MAX('損益分岐設定'!B40,ROUNDUP(U467/I467,0)),1001))</x:f>
        <x:v>1001</x:v>
      </x:c>
      <x:c r="Z467" s="1" t="n">
        <x:f>IF(I467&lt;=0,'損益分岐設定'!C37,IF('損益分岐設定'!C37*I467-R467&lt;0,'損益分岐設定'!C37,IF('損益分岐設定'!B37*I467-R467&gt;=0,0,ROUNDUP(R467/I467,0)-1)))</x:f>
        <x:v>10</x:v>
      </x:c>
      <x:c r="AA467" s="1" t="n">
        <x:f>IF(I467&lt;=0,'損益分岐設定'!C38,IF('損益分岐設定'!C38*I467-S467&lt;0,'損益分岐設定'!C38,IF('損益分岐設定'!B38*I467-S467&gt;=0,0,ROUNDUP(S467/I467,0)-1)))</x:f>
        <x:v>100</x:v>
      </x:c>
      <x:c r="AB467" s="1" t="n">
        <x:f>IF(I467&lt;=0,'損益分岐設定'!C39,IF('損益分岐設定'!C39*I467-T467&lt;0,'損益分岐設定'!C39,IF('損益分岐設定'!B39*I467-T467&gt;=0,0,ROUNDUP(T467/I467,0)-1)))</x:f>
        <x:v>500</x:v>
      </x:c>
      <x:c r="AC467" s="1" t="n">
        <x:f>IF(I467&lt;=0,'損益分岐設定'!C40,IF('損益分岐設定'!C40*I467-U467&lt;0,'損益分岐設定'!C40,IF('損益分岐設定'!B40*I467-U467&gt;=0,0,ROUNDUP(U467/I467,0)-1)))</x:f>
        <x:v>1000</x:v>
      </x:c>
      <x:c r="AD467" s="1" t="n">
        <x:f>'損益分岐設定'!$D$5/SUM('損益分岐設定'!$D$5:$D$7)</x:f>
        <x:v>0.5</x:v>
      </x:c>
      <x:c r="AE467" s="1" t="n">
        <x:f>'損益分岐設定'!$D$6/SUM('損益分岐設定'!$D$5:$D$7)</x:f>
        <x:v>0.3</x:v>
      </x:c>
      <x:c r="AF467" s="1" t="n">
        <x:f>'損益分岐設定'!$D$7/SUM('損益分岐設定'!$D$5:$D$7)</x:f>
        <x:v>0.2</x:v>
      </x:c>
      <x:c r="AG467" s="1" t="n">
        <x:f>AD467*'損益分岐設定'!$C$58+AE467*'損益分岐設定'!$C$61+AF467*'損益分岐設定'!$C$64</x:f>
        <x:v>9174.852856689453</x:v>
      </x:c>
      <x:c r="AH467" s="1" t="n">
        <x:f>AD467*'損益分岐設定'!$D$58+AE467*'損益分岐設定'!$D$61+AF467*'損益分岐設定'!$D$64</x:f>
        <x:v>444</x:v>
      </x:c>
      <x:c r="AI467" s="1" t="n">
        <x:f>AD467*'損益分岐設定'!$E$58+AE467*'損益分岐設定'!$E$61+AF467*'損益分岐設定'!$E$64</x:f>
        <x:v>592</x:v>
      </x:c>
      <x:c r="AJ467" s="1" t="n">
        <x:f>(AD467*'損益分岐設定'!$F$58+AE467*'損益分岐設定'!$F$61+AF467*'損益分岐設定'!$F$64*1)*'損益分岐設定'!$B$22</x:f>
        <x:v>6660</x:v>
      </x:c>
      <x:c r="AK467" s="1" t="n">
        <x:f>AD467*'損益分岐設定'!$G$58+AE467*'損益分岐設定'!$G$61+AF467*'損益分岐設定'!$G$64</x:f>
        <x:v>4440</x:v>
      </x:c>
      <x:c r="AL467" s="1" t="n">
        <x:f>AD467*'損益分岐設定'!$H$58+AE467*'損益分岐設定'!$H$61+AF467*'損益分岐設定'!$H$64</x:f>
        <x:v>1456.6666666666665</x:v>
      </x:c>
      <x:c r="AM467" s="1" t="n">
        <x:f>MAX(1,ROUNDUP('損益分岐設定'!C37*AJ467/('損益分岐設定'!$B$23*'損益分岐設定'!$B$24*3600*'損益分岐設定'!$B$25),0))</x:f>
        <x:v>1</x:v>
      </x:c>
      <x:c r="AN467" s="1" t="n">
        <x:f>MAX(2,ROUNDUP('損益分岐設定'!C38*AJ467/('損益分岐設定'!$B$23*'損益分岐設定'!$B$24*3600*'損益分岐設定'!$B$25),0))</x:f>
        <x:v>2</x:v>
      </x:c>
      <x:c r="AO467" s="1" t="n">
        <x:f>MAX(2,ROUNDUP('損益分岐設定'!C39*AJ467/('損益分岐設定'!$B$23*'損益分岐設定'!$B$24*3600*'損益分岐設定'!$B$25),0))</x:f>
        <x:v>7</x:v>
      </x:c>
      <x:c r="AP467" s="1" t="n">
        <x:f>MAX(2,ROUNDUP('損益分岐設定'!C40*AJ467/('損益分岐設定'!$B$23*'損益分岐設定'!$B$24*3600*'損益分岐設定'!$B$25),0))</x:f>
        <x:v>14</x:v>
      </x:c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 ht="23" customHeight="1">
      <x:c r="A468" s="1" t="str">
        <x:v>VM</x:v>
      </x:c>
      <x:c r="B468" s="1" t="str">
        <x:v>混在</x:v>
      </x:c>
      <x:c r="C468" s="1" t="str">
        <x:v>高位</x:v>
      </x:c>
      <x:c r="D468" s="21" t="n">
        <x:v>0.2</x:v>
      </x:c>
      <x:c r="E468" s="1" t="n">
        <x:v>1</x:v>
      </x:c>
      <x:c r="F468" s="7" t="n">
        <x:f>AD468*'損益分岐設定'!$B$5+AE468*'損益分岐設定'!$B$6+AF468*'損益分岐設定'!$B$7</x:f>
        <x:v>4600</x:v>
      </x:c>
      <x:c r="G468" s="7" t="n">
        <x:f>AG468+0+AK468*'損益分岐設定'!$B$33</x:f>
        <x:v>9174.902477556228</x:v>
      </x:c>
      <x:c r="H468" s="7" t="n">
        <x:f>AL468*E468</x:f>
        <x:v>1456.6666666666665</x:v>
      </x:c>
      <x:c r="I468" s="7" t="n">
        <x:f>F468*(1-D468-'損益分岐設定'!$B$10)-G468-H468</x:f>
        <x:v>-7117.169144222895</x:v>
      </x:c>
      <x:c r="J468" s="1" t="str">
        <x:f>IF(MIN(V468:Y468)&gt;1000,"範囲内なし",MIN(V468:Y468))</x:f>
        <x:v>範囲内なし</x:v>
      </x:c>
      <x:c r="K468" s="1" t="str">
        <x:f>IF(MAX(Z468:AC468)&gt;=1000,"範囲内なし",MAX(1,MAX(Z468:AC468)+1))</x:f>
        <x:v>範囲内なし</x:v>
      </x:c>
      <x:c r="L468" s="7" t="n">
        <x:f>10*I468-R468</x:f>
        <x:v>-153930.8782034502</x:v>
      </x:c>
      <x:c r="M468" s="7" t="n">
        <x:f>30*I468-S468</x:f>
        <x:v>-358533.4478491294</x:v>
      </x:c>
      <x:c r="N468" s="7" t="n">
        <x:f>50*I468-S468</x:f>
        <x:v>-500876.83073358727</x:v>
      </x:c>
      <x:c r="O468" s="7" t="n">
        <x:f>100*I468-S468</x:f>
        <x:v>-856735.287944732</x:v>
      </x:c>
      <x:c r="P468" s="7" t="n">
        <x:f>300*I468-T468</x:f>
        <x:v>-2364368.100240838</x:v>
      </x:c>
      <x:c r="Q468" s="7" t="n">
        <x:f>1000*I468-U468</x:f>
        <x:v>-7488344.671409612</x:v>
      </x:c>
      <x:c r="R468" s="7" t="n">
        <x:f>'損益分岐設定'!$B$18+'損益分岐設定'!$B$19+'損益分岐設定'!$B$20+'損益分岐設定'!E37+('損益分岐設定'!F37+2*'損益分岐設定'!G37+AM468)*('損益分岐設定'!$B$15+'損益分岐設定'!$B$16)+'損益分岐設定'!$B$17+'損益分岐設定'!$B$21+E468*'損益分岐設定'!H37*'損益分岐設定'!$B$11</x:f>
        <x:v>82759.18676122127</x:v>
      </x:c>
      <x:c r="S468" s="7" t="n">
        <x:f>'損益分岐設定'!$B$18+'損益分岐設定'!$B$19+'損益分岐設定'!$B$20+'損益分岐設定'!E38+('損益分岐設定'!F38+2*'損益分岐設定'!G38+AN468)*('損益分岐設定'!$B$15+'損益分岐設定'!$B$16)+'損益分岐設定'!$B$17+'損益分岐設定'!$B$21+E468*'損益分岐設定'!H38*'損益分岐設定'!$B$11</x:f>
        <x:v>145018.37352244253</x:v>
      </x:c>
      <x:c r="T468" s="7" t="n">
        <x:f>'損益分岐設定'!$B$18+'損益分岐設定'!$B$19+'損益分岐設定'!$B$20+'損益分岐設定'!E39+('損益分岐設定'!F39+2*'損益分岐設定'!G39+AO468)*('損益分岐設定'!$B$15+'損益分岐設定'!$B$16)+'損益分岐設定'!$B$17+'損益分岐設定'!$B$21+E468*'損益分岐設定'!H39*'損益分岐設定'!$B$11</x:f>
        <x:v>229217.35697396914</x:v>
      </x:c>
      <x:c r="U468" s="7" t="n">
        <x:f>'損益分岐設定'!$B$18+'損益分岐設定'!$B$19+'損益分岐設定'!$B$20+'損益分岐設定'!E40+('損益分岐設定'!F40+2*'損益分岐設定'!G40+AP468)*('損益分岐設定'!$B$15+'損益分岐設定'!$B$16)+'損益分岐設定'!$B$17+'損益分岐設定'!$B$21+E468*'損益分岐設定'!H40*'損益分岐設定'!$B$11</x:f>
        <x:v>371175.527186717</x:v>
      </x:c>
      <x:c r="V468" s="1" t="n">
        <x:f>IF(I468&lt;=0,1001,IF(MAX('損益分岐設定'!B37,ROUNDUP(R468/I468,0))&lt;='損益分岐設定'!C37,MAX('損益分岐設定'!B37,ROUNDUP(R468/I468,0)),1001))</x:f>
        <x:v>1001</x:v>
      </x:c>
      <x:c r="W468" s="1" t="n">
        <x:f>IF(I468&lt;=0,1001,IF(MAX('損益分岐設定'!B38,ROUNDUP(S468/I468,0))&lt;='損益分岐設定'!C38,MAX('損益分岐設定'!B38,ROUNDUP(S468/I468,0)),1001))</x:f>
        <x:v>1001</x:v>
      </x:c>
      <x:c r="X468" s="1" t="n">
        <x:f>IF(I468&lt;=0,1001,IF(MAX('損益分岐設定'!B39,ROUNDUP(T468/I468,0))&lt;='損益分岐設定'!C39,MAX('損益分岐設定'!B39,ROUNDUP(T468/I468,0)),1001))</x:f>
        <x:v>1001</x:v>
      </x:c>
      <x:c r="Y468" s="1" t="n">
        <x:f>IF(I468&lt;=0,1001,IF(MAX('損益分岐設定'!B40,ROUNDUP(U468/I468,0))&lt;='損益分岐設定'!C40,MAX('損益分岐設定'!B40,ROUNDUP(U468/I468,0)),1001))</x:f>
        <x:v>1001</x:v>
      </x:c>
      <x:c r="Z468" s="1" t="n">
        <x:f>IF(I468&lt;=0,'損益分岐設定'!C37,IF('損益分岐設定'!C37*I468-R468&lt;0,'損益分岐設定'!C37,IF('損益分岐設定'!B37*I468-R468&gt;=0,0,ROUNDUP(R468/I468,0)-1)))</x:f>
        <x:v>10</x:v>
      </x:c>
      <x:c r="AA468" s="1" t="n">
        <x:f>IF(I468&lt;=0,'損益分岐設定'!C38,IF('損益分岐設定'!C38*I468-S468&lt;0,'損益分岐設定'!C38,IF('損益分岐設定'!B38*I468-S468&gt;=0,0,ROUNDUP(S468/I468,0)-1)))</x:f>
        <x:v>100</x:v>
      </x:c>
      <x:c r="AB468" s="1" t="n">
        <x:f>IF(I468&lt;=0,'損益分岐設定'!C39,IF('損益分岐設定'!C39*I468-T468&lt;0,'損益分岐設定'!C39,IF('損益分岐設定'!B39*I468-T468&gt;=0,0,ROUNDUP(T468/I468,0)-1)))</x:f>
        <x:v>500</x:v>
      </x:c>
      <x:c r="AC468" s="1" t="n">
        <x:f>IF(I468&lt;=0,'損益分岐設定'!C40,IF('損益分岐設定'!C40*I468-U468&lt;0,'損益分岐設定'!C40,IF('損益分岐設定'!B40*I468-U468&gt;=0,0,ROUNDUP(U468/I468,0)-1)))</x:f>
        <x:v>1000</x:v>
      </x:c>
      <x:c r="AD468" s="1" t="n">
        <x:f>'損益分岐設定'!$D$5/SUM('損益分岐設定'!$D$5:$D$7)</x:f>
        <x:v>0.5</x:v>
      </x:c>
      <x:c r="AE468" s="1" t="n">
        <x:f>'損益分岐設定'!$D$6/SUM('損益分岐設定'!$D$5:$D$7)</x:f>
        <x:v>0.3</x:v>
      </x:c>
      <x:c r="AF468" s="1" t="n">
        <x:f>'損益分岐設定'!$D$7/SUM('損益分岐設定'!$D$5:$D$7)</x:f>
        <x:v>0.2</x:v>
      </x:c>
      <x:c r="AG468" s="1" t="n">
        <x:f>AD468*'損益分岐設定'!$C$58+AE468*'損益分岐設定'!$C$61+AF468*'損益分岐設定'!$C$64</x:f>
        <x:v>9174.852856689453</x:v>
      </x:c>
      <x:c r="AH468" s="1" t="n">
        <x:f>AD468*'損益分岐設定'!$D$58+AE468*'損益分岐設定'!$D$61+AF468*'損益分岐設定'!$D$64</x:f>
        <x:v>444</x:v>
      </x:c>
      <x:c r="AI468" s="1" t="n">
        <x:f>AD468*'損益分岐設定'!$E$58+AE468*'損益分岐設定'!$E$61+AF468*'損益分岐設定'!$E$64</x:f>
        <x:v>592</x:v>
      </x:c>
      <x:c r="AJ468" s="1" t="n">
        <x:f>(AD468*'損益分岐設定'!$F$58+AE468*'損益分岐設定'!$F$61+AF468*'損益分岐設定'!$F$64*1)*'損益分岐設定'!$B$22</x:f>
        <x:v>6660</x:v>
      </x:c>
      <x:c r="AK468" s="1" t="n">
        <x:f>AD468*'損益分岐設定'!$G$58+AE468*'損益分岐設定'!$G$61+AF468*'損益分岐設定'!$G$64</x:f>
        <x:v>4440</x:v>
      </x:c>
      <x:c r="AL468" s="1" t="n">
        <x:f>AD468*'損益分岐設定'!$H$58+AE468*'損益分岐設定'!$H$61+AF468*'損益分岐設定'!$H$64</x:f>
        <x:v>1456.6666666666665</x:v>
      </x:c>
      <x:c r="AM468" s="1" t="n">
        <x:f>MAX(1,ROUNDUP('損益分岐設定'!C37*AJ468/('損益分岐設定'!$B$23*'損益分岐設定'!$B$24*3600*'損益分岐設定'!$B$25),0))</x:f>
        <x:v>1</x:v>
      </x:c>
      <x:c r="AN468" s="1" t="n">
        <x:f>MAX(2,ROUNDUP('損益分岐設定'!C38*AJ468/('損益分岐設定'!$B$23*'損益分岐設定'!$B$24*3600*'損益分岐設定'!$B$25),0))</x:f>
        <x:v>2</x:v>
      </x:c>
      <x:c r="AO468" s="1" t="n">
        <x:f>MAX(2,ROUNDUP('損益分岐設定'!C39*AJ468/('損益分岐設定'!$B$23*'損益分岐設定'!$B$24*3600*'損益分岐設定'!$B$25),0))</x:f>
        <x:v>7</x:v>
      </x:c>
      <x:c r="AP468" s="1" t="n">
        <x:f>MAX(2,ROUNDUP('損益分岐設定'!C40*AJ468/('損益分岐設定'!$B$23*'損益分岐設定'!$B$24*3600*'損益分岐設定'!$B$25),0))</x:f>
        <x:v>14</x:v>
      </x:c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 ht="23" customHeight="1">
      <x:c r="A469" s="1" t="str">
        <x:v>VM</x:v>
      </x:c>
      <x:c r="B469" s="1" t="str">
        <x:v>混在</x:v>
      </x:c>
      <x:c r="C469" s="1" t="str">
        <x:v>高位</x:v>
      </x:c>
      <x:c r="D469" s="21" t="n">
        <x:v>0.3</x:v>
      </x:c>
      <x:c r="E469" s="1" t="n">
        <x:v>0</x:v>
      </x:c>
      <x:c r="F469" s="7" t="n">
        <x:f>AD469*'損益分岐設定'!$B$5+AE469*'損益分岐設定'!$B$6+AF469*'損益分岐設定'!$B$7</x:f>
        <x:v>4600</x:v>
      </x:c>
      <x:c r="G469" s="7" t="n">
        <x:f>AG469+0+AK469*'損益分岐設定'!$B$33</x:f>
        <x:v>9174.902477556228</x:v>
      </x:c>
      <x:c r="H469" s="7" t="n">
        <x:f>AL469*E469</x:f>
        <x:v>0</x:v>
      </x:c>
      <x:c r="I469" s="7" t="n">
        <x:f>F469*(1-D469-'損益分岐設定'!$B$10)-G469-H469</x:f>
        <x:v>-6120.502477556229</x:v>
      </x:c>
      <x:c r="J469" s="1" t="str">
        <x:f>IF(MIN(V469:Y469)&gt;1000,"範囲内なし",MIN(V469:Y469))</x:f>
        <x:v>範囲内なし</x:v>
      </x:c>
      <x:c r="K469" s="1" t="str">
        <x:f>IF(MAX(Z469:AC469)&gt;=1000,"範囲内なし",MAX(1,MAX(Z469:AC469)+1))</x:f>
        <x:v>範囲内なし</x:v>
      </x:c>
      <x:c r="L469" s="7" t="n">
        <x:f>10*I469-R469</x:f>
        <x:v>-111964.21153678355</x:v>
      </x:c>
      <x:c r="M469" s="7" t="n">
        <x:f>30*I469-S469</x:f>
        <x:v>-280633.4478491294</x:v>
      </x:c>
      <x:c r="N469" s="7" t="n">
        <x:f>50*I469-S469</x:f>
        <x:v>-403043.49740025395</x:v>
      </x:c>
      <x:c r="O469" s="7" t="n">
        <x:f>100*I469-S469</x:f>
        <x:v>-709068.6212780654</x:v>
      </x:c>
      <x:c r="P469" s="7" t="n">
        <x:f>300*I469-T469</x:f>
        <x:v>-1985368.1002408378</x:v>
      </x:c>
      <x:c r="Q469" s="7" t="n">
        <x:f>1000*I469-U469</x:f>
        <x:v>-6363678.004742946</x:v>
      </x:c>
      <x:c r="R469" s="7" t="n">
        <x:f>'損益分岐設定'!$B$18+'損益分岐設定'!$B$19+'損益分岐設定'!$B$20+'損益分岐設定'!E37+('損益分岐設定'!F37+2*'損益分岐設定'!G37+AM469)*('損益分岐設定'!$B$15+'損益分岐設定'!$B$16)+'損益分岐設定'!$B$17+'損益分岐設定'!$B$21+E469*'損益分岐設定'!H37*'損益分岐設定'!$B$11</x:f>
        <x:v>50759.18676122127</x:v>
      </x:c>
      <x:c r="S469" s="7" t="n">
        <x:f>'損益分岐設定'!$B$18+'損益分岐設定'!$B$19+'損益分岐設定'!$B$20+'損益分岐設定'!E38+('損益分岐設定'!F38+2*'損益分岐設定'!G38+AN469)*('損益分岐設定'!$B$15+'損益分岐設定'!$B$16)+'損益分岐設定'!$B$17+'損益分岐設定'!$B$21+E469*'損益分岐設定'!H38*'損益分岐設定'!$B$11</x:f>
        <x:v>97018.37352244255</x:v>
      </x:c>
      <x:c r="T469" s="7" t="n">
        <x:f>'損益分岐設定'!$B$18+'損益分岐設定'!$B$19+'損益分岐設定'!$B$20+'損益分岐設定'!E39+('損益分岐設定'!F39+2*'損益分岐設定'!G39+AO469)*('損益分岐設定'!$B$15+'損益分岐設定'!$B$16)+'損益分岐設定'!$B$17+'損益分岐設定'!$B$21+E469*'損益分岐設定'!H39*'損益分岐設定'!$B$11</x:f>
        <x:v>149217.35697396914</x:v>
      </x:c>
      <x:c r="U469" s="7" t="n">
        <x:f>'損益分岐設定'!$B$18+'損益分岐設定'!$B$19+'損益分岐設定'!$B$20+'損益分岐設定'!E40+('損益分岐設定'!F40+2*'損益分岐設定'!G40+AP469)*('損益分岐設定'!$B$15+'損益分岐設定'!$B$16)+'損益分岐設定'!$B$17+'損益分岐設定'!$B$21+E469*'損益分岐設定'!H40*'損益分岐設定'!$B$11</x:f>
        <x:v>243175.527186717</x:v>
      </x:c>
      <x:c r="V469" s="1" t="n">
        <x:f>IF(I469&lt;=0,1001,IF(MAX('損益分岐設定'!B37,ROUNDUP(R469/I469,0))&lt;='損益分岐設定'!C37,MAX('損益分岐設定'!B37,ROUNDUP(R469/I469,0)),1001))</x:f>
        <x:v>1001</x:v>
      </x:c>
      <x:c r="W469" s="1" t="n">
        <x:f>IF(I469&lt;=0,1001,IF(MAX('損益分岐設定'!B38,ROUNDUP(S469/I469,0))&lt;='損益分岐設定'!C38,MAX('損益分岐設定'!B38,ROUNDUP(S469/I469,0)),1001))</x:f>
        <x:v>1001</x:v>
      </x:c>
      <x:c r="X469" s="1" t="n">
        <x:f>IF(I469&lt;=0,1001,IF(MAX('損益分岐設定'!B39,ROUNDUP(T469/I469,0))&lt;='損益分岐設定'!C39,MAX('損益分岐設定'!B39,ROUNDUP(T469/I469,0)),1001))</x:f>
        <x:v>1001</x:v>
      </x:c>
      <x:c r="Y469" s="1" t="n">
        <x:f>IF(I469&lt;=0,1001,IF(MAX('損益分岐設定'!B40,ROUNDUP(U469/I469,0))&lt;='損益分岐設定'!C40,MAX('損益分岐設定'!B40,ROUNDUP(U469/I469,0)),1001))</x:f>
        <x:v>1001</x:v>
      </x:c>
      <x:c r="Z469" s="1" t="n">
        <x:f>IF(I469&lt;=0,'損益分岐設定'!C37,IF('損益分岐設定'!C37*I469-R469&lt;0,'損益分岐設定'!C37,IF('損益分岐設定'!B37*I469-R469&gt;=0,0,ROUNDUP(R469/I469,0)-1)))</x:f>
        <x:v>10</x:v>
      </x:c>
      <x:c r="AA469" s="1" t="n">
        <x:f>IF(I469&lt;=0,'損益分岐設定'!C38,IF('損益分岐設定'!C38*I469-S469&lt;0,'損益分岐設定'!C38,IF('損益分岐設定'!B38*I469-S469&gt;=0,0,ROUNDUP(S469/I469,0)-1)))</x:f>
        <x:v>100</x:v>
      </x:c>
      <x:c r="AB469" s="1" t="n">
        <x:f>IF(I469&lt;=0,'損益分岐設定'!C39,IF('損益分岐設定'!C39*I469-T469&lt;0,'損益分岐設定'!C39,IF('損益分岐設定'!B39*I469-T469&gt;=0,0,ROUNDUP(T469/I469,0)-1)))</x:f>
        <x:v>500</x:v>
      </x:c>
      <x:c r="AC469" s="1" t="n">
        <x:f>IF(I469&lt;=0,'損益分岐設定'!C40,IF('損益分岐設定'!C40*I469-U469&lt;0,'損益分岐設定'!C40,IF('損益分岐設定'!B40*I469-U469&gt;=0,0,ROUNDUP(U469/I469,0)-1)))</x:f>
        <x:v>1000</x:v>
      </x:c>
      <x:c r="AD469" s="1" t="n">
        <x:f>'損益分岐設定'!$D$5/SUM('損益分岐設定'!$D$5:$D$7)</x:f>
        <x:v>0.5</x:v>
      </x:c>
      <x:c r="AE469" s="1" t="n">
        <x:f>'損益分岐設定'!$D$6/SUM('損益分岐設定'!$D$5:$D$7)</x:f>
        <x:v>0.3</x:v>
      </x:c>
      <x:c r="AF469" s="1" t="n">
        <x:f>'損益分岐設定'!$D$7/SUM('損益分岐設定'!$D$5:$D$7)</x:f>
        <x:v>0.2</x:v>
      </x:c>
      <x:c r="AG469" s="1" t="n">
        <x:f>AD469*'損益分岐設定'!$C$58+AE469*'損益分岐設定'!$C$61+AF469*'損益分岐設定'!$C$64</x:f>
        <x:v>9174.852856689453</x:v>
      </x:c>
      <x:c r="AH469" s="1" t="n">
        <x:f>AD469*'損益分岐設定'!$D$58+AE469*'損益分岐設定'!$D$61+AF469*'損益分岐設定'!$D$64</x:f>
        <x:v>444</x:v>
      </x:c>
      <x:c r="AI469" s="1" t="n">
        <x:f>AD469*'損益分岐設定'!$E$58+AE469*'損益分岐設定'!$E$61+AF469*'損益分岐設定'!$E$64</x:f>
        <x:v>592</x:v>
      </x:c>
      <x:c r="AJ469" s="1" t="n">
        <x:f>(AD469*'損益分岐設定'!$F$58+AE469*'損益分岐設定'!$F$61+AF469*'損益分岐設定'!$F$64*1)*'損益分岐設定'!$B$22</x:f>
        <x:v>6660</x:v>
      </x:c>
      <x:c r="AK469" s="1" t="n">
        <x:f>AD469*'損益分岐設定'!$G$58+AE469*'損益分岐設定'!$G$61+AF469*'損益分岐設定'!$G$64</x:f>
        <x:v>4440</x:v>
      </x:c>
      <x:c r="AL469" s="1" t="n">
        <x:f>AD469*'損益分岐設定'!$H$58+AE469*'損益分岐設定'!$H$61+AF469*'損益分岐設定'!$H$64</x:f>
        <x:v>1456.6666666666665</x:v>
      </x:c>
      <x:c r="AM469" s="1" t="n">
        <x:f>MAX(1,ROUNDUP('損益分岐設定'!C37*AJ469/('損益分岐設定'!$B$23*'損益分岐設定'!$B$24*3600*'損益分岐設定'!$B$25),0))</x:f>
        <x:v>1</x:v>
      </x:c>
      <x:c r="AN469" s="1" t="n">
        <x:f>MAX(2,ROUNDUP('損益分岐設定'!C38*AJ469/('損益分岐設定'!$B$23*'損益分岐設定'!$B$24*3600*'損益分岐設定'!$B$25),0))</x:f>
        <x:v>2</x:v>
      </x:c>
      <x:c r="AO469" s="1" t="n">
        <x:f>MAX(2,ROUNDUP('損益分岐設定'!C39*AJ469/('損益分岐設定'!$B$23*'損益分岐設定'!$B$24*3600*'損益分岐設定'!$B$25),0))</x:f>
        <x:v>7</x:v>
      </x:c>
      <x:c r="AP469" s="1" t="n">
        <x:f>MAX(2,ROUNDUP('損益分岐設定'!C40*AJ469/('損益分岐設定'!$B$23*'損益分岐設定'!$B$24*3600*'損益分岐設定'!$B$25),0))</x:f>
        <x:v>14</x:v>
      </x:c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 ht="23" customHeight="1">
      <x:c r="A470" s="1" t="str">
        <x:v>VM</x:v>
      </x:c>
      <x:c r="B470" s="1" t="str">
        <x:v>混在</x:v>
      </x:c>
      <x:c r="C470" s="1" t="str">
        <x:v>高位</x:v>
      </x:c>
      <x:c r="D470" s="21" t="n">
        <x:v>0.3</x:v>
      </x:c>
      <x:c r="E470" s="1" t="n">
        <x:v>1</x:v>
      </x:c>
      <x:c r="F470" s="7" t="n">
        <x:f>AD470*'損益分岐設定'!$B$5+AE470*'損益分岐設定'!$B$6+AF470*'損益分岐設定'!$B$7</x:f>
        <x:v>4600</x:v>
      </x:c>
      <x:c r="G470" s="7" t="n">
        <x:f>AG470+0+AK470*'損益分岐設定'!$B$33</x:f>
        <x:v>9174.902477556228</x:v>
      </x:c>
      <x:c r="H470" s="7" t="n">
        <x:f>AL470*E470</x:f>
        <x:v>1456.6666666666665</x:v>
      </x:c>
      <x:c r="I470" s="7" t="n">
        <x:f>F470*(1-D470-'損益分岐設定'!$B$10)-G470-H470</x:f>
        <x:v>-7577.169144222895</x:v>
      </x:c>
      <x:c r="J470" s="1" t="str">
        <x:f>IF(MIN(V470:Y470)&gt;1000,"範囲内なし",MIN(V470:Y470))</x:f>
        <x:v>範囲内なし</x:v>
      </x:c>
      <x:c r="K470" s="1" t="str">
        <x:f>IF(MAX(Z470:AC470)&gt;=1000,"範囲内なし",MAX(1,MAX(Z470:AC470)+1))</x:f>
        <x:v>範囲内なし</x:v>
      </x:c>
      <x:c r="L470" s="7" t="n">
        <x:f>10*I470-R470</x:f>
        <x:v>-158530.8782034502</x:v>
      </x:c>
      <x:c r="M470" s="7" t="n">
        <x:f>30*I470-S470</x:f>
        <x:v>-372333.4478491294</x:v>
      </x:c>
      <x:c r="N470" s="7" t="n">
        <x:f>50*I470-S470</x:f>
        <x:v>-523876.83073358727</x:v>
      </x:c>
      <x:c r="O470" s="7" t="n">
        <x:f>100*I470-S470</x:f>
        <x:v>-902735.287944732</x:v>
      </x:c>
      <x:c r="P470" s="7" t="n">
        <x:f>300*I470-T470</x:f>
        <x:v>-2502368.100240838</x:v>
      </x:c>
      <x:c r="Q470" s="7" t="n">
        <x:f>1000*I470-U470</x:f>
        <x:v>-7948344.671409612</x:v>
      </x:c>
      <x:c r="R470" s="7" t="n">
        <x:f>'損益分岐設定'!$B$18+'損益分岐設定'!$B$19+'損益分岐設定'!$B$20+'損益分岐設定'!E37+('損益分岐設定'!F37+2*'損益分岐設定'!G37+AM470)*('損益分岐設定'!$B$15+'損益分岐設定'!$B$16)+'損益分岐設定'!$B$17+'損益分岐設定'!$B$21+E470*'損益分岐設定'!H37*'損益分岐設定'!$B$11</x:f>
        <x:v>82759.18676122127</x:v>
      </x:c>
      <x:c r="S470" s="7" t="n">
        <x:f>'損益分岐設定'!$B$18+'損益分岐設定'!$B$19+'損益分岐設定'!$B$20+'損益分岐設定'!E38+('損益分岐設定'!F38+2*'損益分岐設定'!G38+AN470)*('損益分岐設定'!$B$15+'損益分岐設定'!$B$16)+'損益分岐設定'!$B$17+'損益分岐設定'!$B$21+E470*'損益分岐設定'!H38*'損益分岐設定'!$B$11</x:f>
        <x:v>145018.37352244253</x:v>
      </x:c>
      <x:c r="T470" s="7" t="n">
        <x:f>'損益分岐設定'!$B$18+'損益分岐設定'!$B$19+'損益分岐設定'!$B$20+'損益分岐設定'!E39+('損益分岐設定'!F39+2*'損益分岐設定'!G39+AO470)*('損益分岐設定'!$B$15+'損益分岐設定'!$B$16)+'損益分岐設定'!$B$17+'損益分岐設定'!$B$21+E470*'損益分岐設定'!H39*'損益分岐設定'!$B$11</x:f>
        <x:v>229217.35697396914</x:v>
      </x:c>
      <x:c r="U470" s="7" t="n">
        <x:f>'損益分岐設定'!$B$18+'損益分岐設定'!$B$19+'損益分岐設定'!$B$20+'損益分岐設定'!E40+('損益分岐設定'!F40+2*'損益分岐設定'!G40+AP470)*('損益分岐設定'!$B$15+'損益分岐設定'!$B$16)+'損益分岐設定'!$B$17+'損益分岐設定'!$B$21+E470*'損益分岐設定'!H40*'損益分岐設定'!$B$11</x:f>
        <x:v>371175.527186717</x:v>
      </x:c>
      <x:c r="V470" s="1" t="n">
        <x:f>IF(I470&lt;=0,1001,IF(MAX('損益分岐設定'!B37,ROUNDUP(R470/I470,0))&lt;='損益分岐設定'!C37,MAX('損益分岐設定'!B37,ROUNDUP(R470/I470,0)),1001))</x:f>
        <x:v>1001</x:v>
      </x:c>
      <x:c r="W470" s="1" t="n">
        <x:f>IF(I470&lt;=0,1001,IF(MAX('損益分岐設定'!B38,ROUNDUP(S470/I470,0))&lt;='損益分岐設定'!C38,MAX('損益分岐設定'!B38,ROUNDUP(S470/I470,0)),1001))</x:f>
        <x:v>1001</x:v>
      </x:c>
      <x:c r="X470" s="1" t="n">
        <x:f>IF(I470&lt;=0,1001,IF(MAX('損益分岐設定'!B39,ROUNDUP(T470/I470,0))&lt;='損益分岐設定'!C39,MAX('損益分岐設定'!B39,ROUNDUP(T470/I470,0)),1001))</x:f>
        <x:v>1001</x:v>
      </x:c>
      <x:c r="Y470" s="1" t="n">
        <x:f>IF(I470&lt;=0,1001,IF(MAX('損益分岐設定'!B40,ROUNDUP(U470/I470,0))&lt;='損益分岐設定'!C40,MAX('損益分岐設定'!B40,ROUNDUP(U470/I470,0)),1001))</x:f>
        <x:v>1001</x:v>
      </x:c>
      <x:c r="Z470" s="1" t="n">
        <x:f>IF(I470&lt;=0,'損益分岐設定'!C37,IF('損益分岐設定'!C37*I470-R470&lt;0,'損益分岐設定'!C37,IF('損益分岐設定'!B37*I470-R470&gt;=0,0,ROUNDUP(R470/I470,0)-1)))</x:f>
        <x:v>10</x:v>
      </x:c>
      <x:c r="AA470" s="1" t="n">
        <x:f>IF(I470&lt;=0,'損益分岐設定'!C38,IF('損益分岐設定'!C38*I470-S470&lt;0,'損益分岐設定'!C38,IF('損益分岐設定'!B38*I470-S470&gt;=0,0,ROUNDUP(S470/I470,0)-1)))</x:f>
        <x:v>100</x:v>
      </x:c>
      <x:c r="AB470" s="1" t="n">
        <x:f>IF(I470&lt;=0,'損益分岐設定'!C39,IF('損益分岐設定'!C39*I470-T470&lt;0,'損益分岐設定'!C39,IF('損益分岐設定'!B39*I470-T470&gt;=0,0,ROUNDUP(T470/I470,0)-1)))</x:f>
        <x:v>500</x:v>
      </x:c>
      <x:c r="AC470" s="1" t="n">
        <x:f>IF(I470&lt;=0,'損益分岐設定'!C40,IF('損益分岐設定'!C40*I470-U470&lt;0,'損益分岐設定'!C40,IF('損益分岐設定'!B40*I470-U470&gt;=0,0,ROUNDUP(U470/I470,0)-1)))</x:f>
        <x:v>1000</x:v>
      </x:c>
      <x:c r="AD470" s="1" t="n">
        <x:f>'損益分岐設定'!$D$5/SUM('損益分岐設定'!$D$5:$D$7)</x:f>
        <x:v>0.5</x:v>
      </x:c>
      <x:c r="AE470" s="1" t="n">
        <x:f>'損益分岐設定'!$D$6/SUM('損益分岐設定'!$D$5:$D$7)</x:f>
        <x:v>0.3</x:v>
      </x:c>
      <x:c r="AF470" s="1" t="n">
        <x:f>'損益分岐設定'!$D$7/SUM('損益分岐設定'!$D$5:$D$7)</x:f>
        <x:v>0.2</x:v>
      </x:c>
      <x:c r="AG470" s="1" t="n">
        <x:f>AD470*'損益分岐設定'!$C$58+AE470*'損益分岐設定'!$C$61+AF470*'損益分岐設定'!$C$64</x:f>
        <x:v>9174.852856689453</x:v>
      </x:c>
      <x:c r="AH470" s="1" t="n">
        <x:f>AD470*'損益分岐設定'!$D$58+AE470*'損益分岐設定'!$D$61+AF470*'損益分岐設定'!$D$64</x:f>
        <x:v>444</x:v>
      </x:c>
      <x:c r="AI470" s="1" t="n">
        <x:f>AD470*'損益分岐設定'!$E$58+AE470*'損益分岐設定'!$E$61+AF470*'損益分岐設定'!$E$64</x:f>
        <x:v>592</x:v>
      </x:c>
      <x:c r="AJ470" s="1" t="n">
        <x:f>(AD470*'損益分岐設定'!$F$58+AE470*'損益分岐設定'!$F$61+AF470*'損益分岐設定'!$F$64*1)*'損益分岐設定'!$B$22</x:f>
        <x:v>6660</x:v>
      </x:c>
      <x:c r="AK470" s="1" t="n">
        <x:f>AD470*'損益分岐設定'!$G$58+AE470*'損益分岐設定'!$G$61+AF470*'損益分岐設定'!$G$64</x:f>
        <x:v>4440</x:v>
      </x:c>
      <x:c r="AL470" s="1" t="n">
        <x:f>AD470*'損益分岐設定'!$H$58+AE470*'損益分岐設定'!$H$61+AF470*'損益分岐設定'!$H$64</x:f>
        <x:v>1456.6666666666665</x:v>
      </x:c>
      <x:c r="AM470" s="1" t="n">
        <x:f>MAX(1,ROUNDUP('損益分岐設定'!C37*AJ470/('損益分岐設定'!$B$23*'損益分岐設定'!$B$24*3600*'損益分岐設定'!$B$25),0))</x:f>
        <x:v>1</x:v>
      </x:c>
      <x:c r="AN470" s="1" t="n">
        <x:f>MAX(2,ROUNDUP('損益分岐設定'!C38*AJ470/('損益分岐設定'!$B$23*'損益分岐設定'!$B$24*3600*'損益分岐設定'!$B$25),0))</x:f>
        <x:v>2</x:v>
      </x:c>
      <x:c r="AO470" s="1" t="n">
        <x:f>MAX(2,ROUNDUP('損益分岐設定'!C39*AJ470/('損益分岐設定'!$B$23*'損益分岐設定'!$B$24*3600*'損益分岐設定'!$B$25),0))</x:f>
        <x:v>7</x:v>
      </x:c>
      <x:c r="AP470" s="1" t="n">
        <x:f>MAX(2,ROUNDUP('損益分岐設定'!C40*AJ470/('損益分岐設定'!$B$23*'損益分岐設定'!$B$24*3600*'損益分岐設定'!$B$25),0))</x:f>
        <x:v>14</x:v>
      </x:c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 ht="23" customHeight="1">
      <x:c r="A471" s="1" t="str">
        <x:v>VM</x:v>
      </x:c>
      <x:c r="B471" s="1" t="str">
        <x:v>混在</x:v>
      </x:c>
      <x:c r="C471" s="1" t="str">
        <x:v>高位</x:v>
      </x:c>
      <x:c r="D471" s="21" t="n">
        <x:v>0.4</x:v>
      </x:c>
      <x:c r="E471" s="1" t="n">
        <x:v>0</x:v>
      </x:c>
      <x:c r="F471" s="7" t="n">
        <x:f>AD471*'損益分岐設定'!$B$5+AE471*'損益分岐設定'!$B$6+AF471*'損益分岐設定'!$B$7</x:f>
        <x:v>4600</x:v>
      </x:c>
      <x:c r="G471" s="7" t="n">
        <x:f>AG471+0+AK471*'損益分岐設定'!$B$33</x:f>
        <x:v>9174.902477556228</x:v>
      </x:c>
      <x:c r="H471" s="7" t="n">
        <x:f>AL471*E471</x:f>
        <x:v>0</x:v>
      </x:c>
      <x:c r="I471" s="7" t="n">
        <x:f>F471*(1-D471-'損益分岐設定'!$B$10)-G471-H471</x:f>
        <x:v>-6580.502477556229</x:v>
      </x:c>
      <x:c r="J471" s="1" t="str">
        <x:f>IF(MIN(V471:Y471)&gt;1000,"範囲内なし",MIN(V471:Y471))</x:f>
        <x:v>範囲内なし</x:v>
      </x:c>
      <x:c r="K471" s="1" t="str">
        <x:f>IF(MAX(Z471:AC471)&gt;=1000,"範囲内なし",MAX(1,MAX(Z471:AC471)+1))</x:f>
        <x:v>範囲内なし</x:v>
      </x:c>
      <x:c r="L471" s="7" t="n">
        <x:f>10*I471-R471</x:f>
        <x:v>-116564.21153678355</x:v>
      </x:c>
      <x:c r="M471" s="7" t="n">
        <x:f>30*I471-S471</x:f>
        <x:v>-294433.4478491294</x:v>
      </x:c>
      <x:c r="N471" s="7" t="n">
        <x:f>50*I471-S471</x:f>
        <x:v>-426043.49740025395</x:v>
      </x:c>
      <x:c r="O471" s="7" t="n">
        <x:f>100*I471-S471</x:f>
        <x:v>-755068.6212780654</x:v>
      </x:c>
      <x:c r="P471" s="7" t="n">
        <x:f>300*I471-T471</x:f>
        <x:v>-2123368.100240838</x:v>
      </x:c>
      <x:c r="Q471" s="7" t="n">
        <x:f>1000*I471-U471</x:f>
        <x:v>-6823678.004742946</x:v>
      </x:c>
      <x:c r="R471" s="7" t="n">
        <x:f>'損益分岐設定'!$B$18+'損益分岐設定'!$B$19+'損益分岐設定'!$B$20+'損益分岐設定'!E37+('損益分岐設定'!F37+2*'損益分岐設定'!G37+AM471)*('損益分岐設定'!$B$15+'損益分岐設定'!$B$16)+'損益分岐設定'!$B$17+'損益分岐設定'!$B$21+E471*'損益分岐設定'!H37*'損益分岐設定'!$B$11</x:f>
        <x:v>50759.18676122127</x:v>
      </x:c>
      <x:c r="S471" s="7" t="n">
        <x:f>'損益分岐設定'!$B$18+'損益分岐設定'!$B$19+'損益分岐設定'!$B$20+'損益分岐設定'!E38+('損益分岐設定'!F38+2*'損益分岐設定'!G38+AN471)*('損益分岐設定'!$B$15+'損益分岐設定'!$B$16)+'損益分岐設定'!$B$17+'損益分岐設定'!$B$21+E471*'損益分岐設定'!H38*'損益分岐設定'!$B$11</x:f>
        <x:v>97018.37352244255</x:v>
      </x:c>
      <x:c r="T471" s="7" t="n">
        <x:f>'損益分岐設定'!$B$18+'損益分岐設定'!$B$19+'損益分岐設定'!$B$20+'損益分岐設定'!E39+('損益分岐設定'!F39+2*'損益分岐設定'!G39+AO471)*('損益分岐設定'!$B$15+'損益分岐設定'!$B$16)+'損益分岐設定'!$B$17+'損益分岐設定'!$B$21+E471*'損益分岐設定'!H39*'損益分岐設定'!$B$11</x:f>
        <x:v>149217.35697396914</x:v>
      </x:c>
      <x:c r="U471" s="7" t="n">
        <x:f>'損益分岐設定'!$B$18+'損益分岐設定'!$B$19+'損益分岐設定'!$B$20+'損益分岐設定'!E40+('損益分岐設定'!F40+2*'損益分岐設定'!G40+AP471)*('損益分岐設定'!$B$15+'損益分岐設定'!$B$16)+'損益分岐設定'!$B$17+'損益分岐設定'!$B$21+E471*'損益分岐設定'!H40*'損益分岐設定'!$B$11</x:f>
        <x:v>243175.527186717</x:v>
      </x:c>
      <x:c r="V471" s="1" t="n">
        <x:f>IF(I471&lt;=0,1001,IF(MAX('損益分岐設定'!B37,ROUNDUP(R471/I471,0))&lt;='損益分岐設定'!C37,MAX('損益分岐設定'!B37,ROUNDUP(R471/I471,0)),1001))</x:f>
        <x:v>1001</x:v>
      </x:c>
      <x:c r="W471" s="1" t="n">
        <x:f>IF(I471&lt;=0,1001,IF(MAX('損益分岐設定'!B38,ROUNDUP(S471/I471,0))&lt;='損益分岐設定'!C38,MAX('損益分岐設定'!B38,ROUNDUP(S471/I471,0)),1001))</x:f>
        <x:v>1001</x:v>
      </x:c>
      <x:c r="X471" s="1" t="n">
        <x:f>IF(I471&lt;=0,1001,IF(MAX('損益分岐設定'!B39,ROUNDUP(T471/I471,0))&lt;='損益分岐設定'!C39,MAX('損益分岐設定'!B39,ROUNDUP(T471/I471,0)),1001))</x:f>
        <x:v>1001</x:v>
      </x:c>
      <x:c r="Y471" s="1" t="n">
        <x:f>IF(I471&lt;=0,1001,IF(MAX('損益分岐設定'!B40,ROUNDUP(U471/I471,0))&lt;='損益分岐設定'!C40,MAX('損益分岐設定'!B40,ROUNDUP(U471/I471,0)),1001))</x:f>
        <x:v>1001</x:v>
      </x:c>
      <x:c r="Z471" s="1" t="n">
        <x:f>IF(I471&lt;=0,'損益分岐設定'!C37,IF('損益分岐設定'!C37*I471-R471&lt;0,'損益分岐設定'!C37,IF('損益分岐設定'!B37*I471-R471&gt;=0,0,ROUNDUP(R471/I471,0)-1)))</x:f>
        <x:v>10</x:v>
      </x:c>
      <x:c r="AA471" s="1" t="n">
        <x:f>IF(I471&lt;=0,'損益分岐設定'!C38,IF('損益分岐設定'!C38*I471-S471&lt;0,'損益分岐設定'!C38,IF('損益分岐設定'!B38*I471-S471&gt;=0,0,ROUNDUP(S471/I471,0)-1)))</x:f>
        <x:v>100</x:v>
      </x:c>
      <x:c r="AB471" s="1" t="n">
        <x:f>IF(I471&lt;=0,'損益分岐設定'!C39,IF('損益分岐設定'!C39*I471-T471&lt;0,'損益分岐設定'!C39,IF('損益分岐設定'!B39*I471-T471&gt;=0,0,ROUNDUP(T471/I471,0)-1)))</x:f>
        <x:v>500</x:v>
      </x:c>
      <x:c r="AC471" s="1" t="n">
        <x:f>IF(I471&lt;=0,'損益分岐設定'!C40,IF('損益分岐設定'!C40*I471-U471&lt;0,'損益分岐設定'!C40,IF('損益分岐設定'!B40*I471-U471&gt;=0,0,ROUNDUP(U471/I471,0)-1)))</x:f>
        <x:v>1000</x:v>
      </x:c>
      <x:c r="AD471" s="1" t="n">
        <x:f>'損益分岐設定'!$D$5/SUM('損益分岐設定'!$D$5:$D$7)</x:f>
        <x:v>0.5</x:v>
      </x:c>
      <x:c r="AE471" s="1" t="n">
        <x:f>'損益分岐設定'!$D$6/SUM('損益分岐設定'!$D$5:$D$7)</x:f>
        <x:v>0.3</x:v>
      </x:c>
      <x:c r="AF471" s="1" t="n">
        <x:f>'損益分岐設定'!$D$7/SUM('損益分岐設定'!$D$5:$D$7)</x:f>
        <x:v>0.2</x:v>
      </x:c>
      <x:c r="AG471" s="1" t="n">
        <x:f>AD471*'損益分岐設定'!$C$58+AE471*'損益分岐設定'!$C$61+AF471*'損益分岐設定'!$C$64</x:f>
        <x:v>9174.852856689453</x:v>
      </x:c>
      <x:c r="AH471" s="1" t="n">
        <x:f>AD471*'損益分岐設定'!$D$58+AE471*'損益分岐設定'!$D$61+AF471*'損益分岐設定'!$D$64</x:f>
        <x:v>444</x:v>
      </x:c>
      <x:c r="AI471" s="1" t="n">
        <x:f>AD471*'損益分岐設定'!$E$58+AE471*'損益分岐設定'!$E$61+AF471*'損益分岐設定'!$E$64</x:f>
        <x:v>592</x:v>
      </x:c>
      <x:c r="AJ471" s="1" t="n">
        <x:f>(AD471*'損益分岐設定'!$F$58+AE471*'損益分岐設定'!$F$61+AF471*'損益分岐設定'!$F$64*1)*'損益分岐設定'!$B$22</x:f>
        <x:v>6660</x:v>
      </x:c>
      <x:c r="AK471" s="1" t="n">
        <x:f>AD471*'損益分岐設定'!$G$58+AE471*'損益分岐設定'!$G$61+AF471*'損益分岐設定'!$G$64</x:f>
        <x:v>4440</x:v>
      </x:c>
      <x:c r="AL471" s="1" t="n">
        <x:f>AD471*'損益分岐設定'!$H$58+AE471*'損益分岐設定'!$H$61+AF471*'損益分岐設定'!$H$64</x:f>
        <x:v>1456.6666666666665</x:v>
      </x:c>
      <x:c r="AM471" s="1" t="n">
        <x:f>MAX(1,ROUNDUP('損益分岐設定'!C37*AJ471/('損益分岐設定'!$B$23*'損益分岐設定'!$B$24*3600*'損益分岐設定'!$B$25),0))</x:f>
        <x:v>1</x:v>
      </x:c>
      <x:c r="AN471" s="1" t="n">
        <x:f>MAX(2,ROUNDUP('損益分岐設定'!C38*AJ471/('損益分岐設定'!$B$23*'損益分岐設定'!$B$24*3600*'損益分岐設定'!$B$25),0))</x:f>
        <x:v>2</x:v>
      </x:c>
      <x:c r="AO471" s="1" t="n">
        <x:f>MAX(2,ROUNDUP('損益分岐設定'!C39*AJ471/('損益分岐設定'!$B$23*'損益分岐設定'!$B$24*3600*'損益分岐設定'!$B$25),0))</x:f>
        <x:v>7</x:v>
      </x:c>
      <x:c r="AP471" s="1" t="n">
        <x:f>MAX(2,ROUNDUP('損益分岐設定'!C40*AJ471/('損益分岐設定'!$B$23*'損益分岐設定'!$B$24*3600*'損益分岐設定'!$B$25),0))</x:f>
        <x:v>14</x:v>
      </x:c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 ht="23" customHeight="1">
      <x:c r="A472" s="1" t="str">
        <x:v>VM</x:v>
      </x:c>
      <x:c r="B472" s="1" t="str">
        <x:v>混在</x:v>
      </x:c>
      <x:c r="C472" s="1" t="str">
        <x:v>高位</x:v>
      </x:c>
      <x:c r="D472" s="21" t="n">
        <x:v>0.4</x:v>
      </x:c>
      <x:c r="E472" s="1" t="n">
        <x:v>1</x:v>
      </x:c>
      <x:c r="F472" s="7" t="n">
        <x:f>AD472*'損益分岐設定'!$B$5+AE472*'損益分岐設定'!$B$6+AF472*'損益分岐設定'!$B$7</x:f>
        <x:v>4600</x:v>
      </x:c>
      <x:c r="G472" s="7" t="n">
        <x:f>AG472+0+AK472*'損益分岐設定'!$B$33</x:f>
        <x:v>9174.902477556228</x:v>
      </x:c>
      <x:c r="H472" s="7" t="n">
        <x:f>AL472*E472</x:f>
        <x:v>1456.6666666666665</x:v>
      </x:c>
      <x:c r="I472" s="7" t="n">
        <x:f>F472*(1-D472-'損益分岐設定'!$B$10)-G472-H472</x:f>
        <x:v>-8037.169144222895</x:v>
      </x:c>
      <x:c r="J472" s="1" t="str">
        <x:f>IF(MIN(V472:Y472)&gt;1000,"範囲内なし",MIN(V472:Y472))</x:f>
        <x:v>範囲内なし</x:v>
      </x:c>
      <x:c r="K472" s="1" t="str">
        <x:f>IF(MAX(Z472:AC472)&gt;=1000,"範囲内なし",MAX(1,MAX(Z472:AC472)+1))</x:f>
        <x:v>範囲内なし</x:v>
      </x:c>
      <x:c r="L472" s="7" t="n">
        <x:f>10*I472-R472</x:f>
        <x:v>-163130.8782034502</x:v>
      </x:c>
      <x:c r="M472" s="7" t="n">
        <x:f>30*I472-S472</x:f>
        <x:v>-386133.4478491294</x:v>
      </x:c>
      <x:c r="N472" s="7" t="n">
        <x:f>50*I472-S472</x:f>
        <x:v>-546876.8307335873</x:v>
      </x:c>
      <x:c r="O472" s="7" t="n">
        <x:f>100*I472-S472</x:f>
        <x:v>-948735.287944732</x:v>
      </x:c>
      <x:c r="P472" s="7" t="n">
        <x:f>300*I472-T472</x:f>
        <x:v>-2640368.100240838</x:v>
      </x:c>
      <x:c r="Q472" s="7" t="n">
        <x:f>1000*I472-U472</x:f>
        <x:v>-8408344.671409613</x:v>
      </x:c>
      <x:c r="R472" s="7" t="n">
        <x:f>'損益分岐設定'!$B$18+'損益分岐設定'!$B$19+'損益分岐設定'!$B$20+'損益分岐設定'!E37+('損益分岐設定'!F37+2*'損益分岐設定'!G37+AM472)*('損益分岐設定'!$B$15+'損益分岐設定'!$B$16)+'損益分岐設定'!$B$17+'損益分岐設定'!$B$21+E472*'損益分岐設定'!H37*'損益分岐設定'!$B$11</x:f>
        <x:v>82759.18676122127</x:v>
      </x:c>
      <x:c r="S472" s="7" t="n">
        <x:f>'損益分岐設定'!$B$18+'損益分岐設定'!$B$19+'損益分岐設定'!$B$20+'損益分岐設定'!E38+('損益分岐設定'!F38+2*'損益分岐設定'!G38+AN472)*('損益分岐設定'!$B$15+'損益分岐設定'!$B$16)+'損益分岐設定'!$B$17+'損益分岐設定'!$B$21+E472*'損益分岐設定'!H38*'損益分岐設定'!$B$11</x:f>
        <x:v>145018.37352244253</x:v>
      </x:c>
      <x:c r="T472" s="7" t="n">
        <x:f>'損益分岐設定'!$B$18+'損益分岐設定'!$B$19+'損益分岐設定'!$B$20+'損益分岐設定'!E39+('損益分岐設定'!F39+2*'損益分岐設定'!G39+AO472)*('損益分岐設定'!$B$15+'損益分岐設定'!$B$16)+'損益分岐設定'!$B$17+'損益分岐設定'!$B$21+E472*'損益分岐設定'!H39*'損益分岐設定'!$B$11</x:f>
        <x:v>229217.35697396914</x:v>
      </x:c>
      <x:c r="U472" s="7" t="n">
        <x:f>'損益分岐設定'!$B$18+'損益分岐設定'!$B$19+'損益分岐設定'!$B$20+'損益分岐設定'!E40+('損益分岐設定'!F40+2*'損益分岐設定'!G40+AP472)*('損益分岐設定'!$B$15+'損益分岐設定'!$B$16)+'損益分岐設定'!$B$17+'損益分岐設定'!$B$21+E472*'損益分岐設定'!H40*'損益分岐設定'!$B$11</x:f>
        <x:v>371175.527186717</x:v>
      </x:c>
      <x:c r="V472" s="1" t="n">
        <x:f>IF(I472&lt;=0,1001,IF(MAX('損益分岐設定'!B37,ROUNDUP(R472/I472,0))&lt;='損益分岐設定'!C37,MAX('損益分岐設定'!B37,ROUNDUP(R472/I472,0)),1001))</x:f>
        <x:v>1001</x:v>
      </x:c>
      <x:c r="W472" s="1" t="n">
        <x:f>IF(I472&lt;=0,1001,IF(MAX('損益分岐設定'!B38,ROUNDUP(S472/I472,0))&lt;='損益分岐設定'!C38,MAX('損益分岐設定'!B38,ROUNDUP(S472/I472,0)),1001))</x:f>
        <x:v>1001</x:v>
      </x:c>
      <x:c r="X472" s="1" t="n">
        <x:f>IF(I472&lt;=0,1001,IF(MAX('損益分岐設定'!B39,ROUNDUP(T472/I472,0))&lt;='損益分岐設定'!C39,MAX('損益分岐設定'!B39,ROUNDUP(T472/I472,0)),1001))</x:f>
        <x:v>1001</x:v>
      </x:c>
      <x:c r="Y472" s="1" t="n">
        <x:f>IF(I472&lt;=0,1001,IF(MAX('損益分岐設定'!B40,ROUNDUP(U472/I472,0))&lt;='損益分岐設定'!C40,MAX('損益分岐設定'!B40,ROUNDUP(U472/I472,0)),1001))</x:f>
        <x:v>1001</x:v>
      </x:c>
      <x:c r="Z472" s="1" t="n">
        <x:f>IF(I472&lt;=0,'損益分岐設定'!C37,IF('損益分岐設定'!C37*I472-R472&lt;0,'損益分岐設定'!C37,IF('損益分岐設定'!B37*I472-R472&gt;=0,0,ROUNDUP(R472/I472,0)-1)))</x:f>
        <x:v>10</x:v>
      </x:c>
      <x:c r="AA472" s="1" t="n">
        <x:f>IF(I472&lt;=0,'損益分岐設定'!C38,IF('損益分岐設定'!C38*I472-S472&lt;0,'損益分岐設定'!C38,IF('損益分岐設定'!B38*I472-S472&gt;=0,0,ROUNDUP(S472/I472,0)-1)))</x:f>
        <x:v>100</x:v>
      </x:c>
      <x:c r="AB472" s="1" t="n">
        <x:f>IF(I472&lt;=0,'損益分岐設定'!C39,IF('損益分岐設定'!C39*I472-T472&lt;0,'損益分岐設定'!C39,IF('損益分岐設定'!B39*I472-T472&gt;=0,0,ROUNDUP(T472/I472,0)-1)))</x:f>
        <x:v>500</x:v>
      </x:c>
      <x:c r="AC472" s="1" t="n">
        <x:f>IF(I472&lt;=0,'損益分岐設定'!C40,IF('損益分岐設定'!C40*I472-U472&lt;0,'損益分岐設定'!C40,IF('損益分岐設定'!B40*I472-U472&gt;=0,0,ROUNDUP(U472/I472,0)-1)))</x:f>
        <x:v>1000</x:v>
      </x:c>
      <x:c r="AD472" s="1" t="n">
        <x:f>'損益分岐設定'!$D$5/SUM('損益分岐設定'!$D$5:$D$7)</x:f>
        <x:v>0.5</x:v>
      </x:c>
      <x:c r="AE472" s="1" t="n">
        <x:f>'損益分岐設定'!$D$6/SUM('損益分岐設定'!$D$5:$D$7)</x:f>
        <x:v>0.3</x:v>
      </x:c>
      <x:c r="AF472" s="1" t="n">
        <x:f>'損益分岐設定'!$D$7/SUM('損益分岐設定'!$D$5:$D$7)</x:f>
        <x:v>0.2</x:v>
      </x:c>
      <x:c r="AG472" s="1" t="n">
        <x:f>AD472*'損益分岐設定'!$C$58+AE472*'損益分岐設定'!$C$61+AF472*'損益分岐設定'!$C$64</x:f>
        <x:v>9174.852856689453</x:v>
      </x:c>
      <x:c r="AH472" s="1" t="n">
        <x:f>AD472*'損益分岐設定'!$D$58+AE472*'損益分岐設定'!$D$61+AF472*'損益分岐設定'!$D$64</x:f>
        <x:v>444</x:v>
      </x:c>
      <x:c r="AI472" s="1" t="n">
        <x:f>AD472*'損益分岐設定'!$E$58+AE472*'損益分岐設定'!$E$61+AF472*'損益分岐設定'!$E$64</x:f>
        <x:v>592</x:v>
      </x:c>
      <x:c r="AJ472" s="1" t="n">
        <x:f>(AD472*'損益分岐設定'!$F$58+AE472*'損益分岐設定'!$F$61+AF472*'損益分岐設定'!$F$64*1)*'損益分岐設定'!$B$22</x:f>
        <x:v>6660</x:v>
      </x:c>
      <x:c r="AK472" s="1" t="n">
        <x:f>AD472*'損益分岐設定'!$G$58+AE472*'損益分岐設定'!$G$61+AF472*'損益分岐設定'!$G$64</x:f>
        <x:v>4440</x:v>
      </x:c>
      <x:c r="AL472" s="1" t="n">
        <x:f>AD472*'損益分岐設定'!$H$58+AE472*'損益分岐設定'!$H$61+AF472*'損益分岐設定'!$H$64</x:f>
        <x:v>1456.6666666666665</x:v>
      </x:c>
      <x:c r="AM472" s="1" t="n">
        <x:f>MAX(1,ROUNDUP('損益分岐設定'!C37*AJ472/('損益分岐設定'!$B$23*'損益分岐設定'!$B$24*3600*'損益分岐設定'!$B$25),0))</x:f>
        <x:v>1</x:v>
      </x:c>
      <x:c r="AN472" s="1" t="n">
        <x:f>MAX(2,ROUNDUP('損益分岐設定'!C38*AJ472/('損益分岐設定'!$B$23*'損益分岐設定'!$B$24*3600*'損益分岐設定'!$B$25),0))</x:f>
        <x:v>2</x:v>
      </x:c>
      <x:c r="AO472" s="1" t="n">
        <x:f>MAX(2,ROUNDUP('損益分岐設定'!C39*AJ472/('損益分岐設定'!$B$23*'損益分岐設定'!$B$24*3600*'損益分岐設定'!$B$25),0))</x:f>
        <x:v>7</x:v>
      </x:c>
      <x:c r="AP472" s="1" t="n">
        <x:f>MAX(2,ROUNDUP('損益分岐設定'!C40*AJ472/('損益分岐設定'!$B$23*'損益分岐設定'!$B$24*3600*'損益分岐設定'!$B$25),0))</x:f>
        <x:v>14</x:v>
      </x:c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 ht="23" customHeight="1">
      <x:c r="A473" s="1" t="str">
        <x:v>VM</x:v>
      </x:c>
      <x:c r="B473" s="1" t="str">
        <x:v>混在</x:v>
      </x:c>
      <x:c r="C473" s="1" t="str">
        <x:v>高位</x:v>
      </x:c>
      <x:c r="D473" s="21" t="n">
        <x:v>0.5</x:v>
      </x:c>
      <x:c r="E473" s="1" t="n">
        <x:v>0</x:v>
      </x:c>
      <x:c r="F473" s="7" t="n">
        <x:f>AD473*'損益分岐設定'!$B$5+AE473*'損益分岐設定'!$B$6+AF473*'損益分岐設定'!$B$7</x:f>
        <x:v>4600</x:v>
      </x:c>
      <x:c r="G473" s="7" t="n">
        <x:f>AG473+0+AK473*'損益分岐設定'!$B$33</x:f>
        <x:v>9174.902477556228</x:v>
      </x:c>
      <x:c r="H473" s="7" t="n">
        <x:f>AL473*E473</x:f>
        <x:v>0</x:v>
      </x:c>
      <x:c r="I473" s="7" t="n">
        <x:f>F473*(1-D473-'損益分岐設定'!$B$10)-G473-H473</x:f>
        <x:v>-7040.502477556229</x:v>
      </x:c>
      <x:c r="J473" s="1" t="str">
        <x:f>IF(MIN(V473:Y473)&gt;1000,"範囲内なし",MIN(V473:Y473))</x:f>
        <x:v>範囲内なし</x:v>
      </x:c>
      <x:c r="K473" s="1" t="str">
        <x:f>IF(MAX(Z473:AC473)&gt;=1000,"範囲内なし",MAX(1,MAX(Z473:AC473)+1))</x:f>
        <x:v>範囲内なし</x:v>
      </x:c>
      <x:c r="L473" s="7" t="n">
        <x:f>10*I473-R473</x:f>
        <x:v>-121164.21153678355</x:v>
      </x:c>
      <x:c r="M473" s="7" t="n">
        <x:f>30*I473-S473</x:f>
        <x:v>-308233.4478491294</x:v>
      </x:c>
      <x:c r="N473" s="7" t="n">
        <x:f>50*I473-S473</x:f>
        <x:v>-449043.49740025395</x:v>
      </x:c>
      <x:c r="O473" s="7" t="n">
        <x:f>100*I473-S473</x:f>
        <x:v>-801068.6212780654</x:v>
      </x:c>
      <x:c r="P473" s="7" t="n">
        <x:f>300*I473-T473</x:f>
        <x:v>-2261368.100240838</x:v>
      </x:c>
      <x:c r="Q473" s="7" t="n">
        <x:f>1000*I473-U473</x:f>
        <x:v>-7283678.004742946</x:v>
      </x:c>
      <x:c r="R473" s="7" t="n">
        <x:f>'損益分岐設定'!$B$18+'損益分岐設定'!$B$19+'損益分岐設定'!$B$20+'損益分岐設定'!E37+('損益分岐設定'!F37+2*'損益分岐設定'!G37+AM473)*('損益分岐設定'!$B$15+'損益分岐設定'!$B$16)+'損益分岐設定'!$B$17+'損益分岐設定'!$B$21+E473*'損益分岐設定'!H37*'損益分岐設定'!$B$11</x:f>
        <x:v>50759.18676122127</x:v>
      </x:c>
      <x:c r="S473" s="7" t="n">
        <x:f>'損益分岐設定'!$B$18+'損益分岐設定'!$B$19+'損益分岐設定'!$B$20+'損益分岐設定'!E38+('損益分岐設定'!F38+2*'損益分岐設定'!G38+AN473)*('損益分岐設定'!$B$15+'損益分岐設定'!$B$16)+'損益分岐設定'!$B$17+'損益分岐設定'!$B$21+E473*'損益分岐設定'!H38*'損益分岐設定'!$B$11</x:f>
        <x:v>97018.37352244255</x:v>
      </x:c>
      <x:c r="T473" s="7" t="n">
        <x:f>'損益分岐設定'!$B$18+'損益分岐設定'!$B$19+'損益分岐設定'!$B$20+'損益分岐設定'!E39+('損益分岐設定'!F39+2*'損益分岐設定'!G39+AO473)*('損益分岐設定'!$B$15+'損益分岐設定'!$B$16)+'損益分岐設定'!$B$17+'損益分岐設定'!$B$21+E473*'損益分岐設定'!H39*'損益分岐設定'!$B$11</x:f>
        <x:v>149217.35697396914</x:v>
      </x:c>
      <x:c r="U473" s="7" t="n">
        <x:f>'損益分岐設定'!$B$18+'損益分岐設定'!$B$19+'損益分岐設定'!$B$20+'損益分岐設定'!E40+('損益分岐設定'!F40+2*'損益分岐設定'!G40+AP473)*('損益分岐設定'!$B$15+'損益分岐設定'!$B$16)+'損益分岐設定'!$B$17+'損益分岐設定'!$B$21+E473*'損益分岐設定'!H40*'損益分岐設定'!$B$11</x:f>
        <x:v>243175.527186717</x:v>
      </x:c>
      <x:c r="V473" s="1" t="n">
        <x:f>IF(I473&lt;=0,1001,IF(MAX('損益分岐設定'!B37,ROUNDUP(R473/I473,0))&lt;='損益分岐設定'!C37,MAX('損益分岐設定'!B37,ROUNDUP(R473/I473,0)),1001))</x:f>
        <x:v>1001</x:v>
      </x:c>
      <x:c r="W473" s="1" t="n">
        <x:f>IF(I473&lt;=0,1001,IF(MAX('損益分岐設定'!B38,ROUNDUP(S473/I473,0))&lt;='損益分岐設定'!C38,MAX('損益分岐設定'!B38,ROUNDUP(S473/I473,0)),1001))</x:f>
        <x:v>1001</x:v>
      </x:c>
      <x:c r="X473" s="1" t="n">
        <x:f>IF(I473&lt;=0,1001,IF(MAX('損益分岐設定'!B39,ROUNDUP(T473/I473,0))&lt;='損益分岐設定'!C39,MAX('損益分岐設定'!B39,ROUNDUP(T473/I473,0)),1001))</x:f>
        <x:v>1001</x:v>
      </x:c>
      <x:c r="Y473" s="1" t="n">
        <x:f>IF(I473&lt;=0,1001,IF(MAX('損益分岐設定'!B40,ROUNDUP(U473/I473,0))&lt;='損益分岐設定'!C40,MAX('損益分岐設定'!B40,ROUNDUP(U473/I473,0)),1001))</x:f>
        <x:v>1001</x:v>
      </x:c>
      <x:c r="Z473" s="1" t="n">
        <x:f>IF(I473&lt;=0,'損益分岐設定'!C37,IF('損益分岐設定'!C37*I473-R473&lt;0,'損益分岐設定'!C37,IF('損益分岐設定'!B37*I473-R473&gt;=0,0,ROUNDUP(R473/I473,0)-1)))</x:f>
        <x:v>10</x:v>
      </x:c>
      <x:c r="AA473" s="1" t="n">
        <x:f>IF(I473&lt;=0,'損益分岐設定'!C38,IF('損益分岐設定'!C38*I473-S473&lt;0,'損益分岐設定'!C38,IF('損益分岐設定'!B38*I473-S473&gt;=0,0,ROUNDUP(S473/I473,0)-1)))</x:f>
        <x:v>100</x:v>
      </x:c>
      <x:c r="AB473" s="1" t="n">
        <x:f>IF(I473&lt;=0,'損益分岐設定'!C39,IF('損益分岐設定'!C39*I473-T473&lt;0,'損益分岐設定'!C39,IF('損益分岐設定'!B39*I473-T473&gt;=0,0,ROUNDUP(T473/I473,0)-1)))</x:f>
        <x:v>500</x:v>
      </x:c>
      <x:c r="AC473" s="1" t="n">
        <x:f>IF(I473&lt;=0,'損益分岐設定'!C40,IF('損益分岐設定'!C40*I473-U473&lt;0,'損益分岐設定'!C40,IF('損益分岐設定'!B40*I473-U473&gt;=0,0,ROUNDUP(U473/I473,0)-1)))</x:f>
        <x:v>1000</x:v>
      </x:c>
      <x:c r="AD473" s="1" t="n">
        <x:f>'損益分岐設定'!$D$5/SUM('損益分岐設定'!$D$5:$D$7)</x:f>
        <x:v>0.5</x:v>
      </x:c>
      <x:c r="AE473" s="1" t="n">
        <x:f>'損益分岐設定'!$D$6/SUM('損益分岐設定'!$D$5:$D$7)</x:f>
        <x:v>0.3</x:v>
      </x:c>
      <x:c r="AF473" s="1" t="n">
        <x:f>'損益分岐設定'!$D$7/SUM('損益分岐設定'!$D$5:$D$7)</x:f>
        <x:v>0.2</x:v>
      </x:c>
      <x:c r="AG473" s="1" t="n">
        <x:f>AD473*'損益分岐設定'!$C$58+AE473*'損益分岐設定'!$C$61+AF473*'損益分岐設定'!$C$64</x:f>
        <x:v>9174.852856689453</x:v>
      </x:c>
      <x:c r="AH473" s="1" t="n">
        <x:f>AD473*'損益分岐設定'!$D$58+AE473*'損益分岐設定'!$D$61+AF473*'損益分岐設定'!$D$64</x:f>
        <x:v>444</x:v>
      </x:c>
      <x:c r="AI473" s="1" t="n">
        <x:f>AD473*'損益分岐設定'!$E$58+AE473*'損益分岐設定'!$E$61+AF473*'損益分岐設定'!$E$64</x:f>
        <x:v>592</x:v>
      </x:c>
      <x:c r="AJ473" s="1" t="n">
        <x:f>(AD473*'損益分岐設定'!$F$58+AE473*'損益分岐設定'!$F$61+AF473*'損益分岐設定'!$F$64*1)*'損益分岐設定'!$B$22</x:f>
        <x:v>6660</x:v>
      </x:c>
      <x:c r="AK473" s="1" t="n">
        <x:f>AD473*'損益分岐設定'!$G$58+AE473*'損益分岐設定'!$G$61+AF473*'損益分岐設定'!$G$64</x:f>
        <x:v>4440</x:v>
      </x:c>
      <x:c r="AL473" s="1" t="n">
        <x:f>AD473*'損益分岐設定'!$H$58+AE473*'損益分岐設定'!$H$61+AF473*'損益分岐設定'!$H$64</x:f>
        <x:v>1456.6666666666665</x:v>
      </x:c>
      <x:c r="AM473" s="1" t="n">
        <x:f>MAX(1,ROUNDUP('損益分岐設定'!C37*AJ473/('損益分岐設定'!$B$23*'損益分岐設定'!$B$24*3600*'損益分岐設定'!$B$25),0))</x:f>
        <x:v>1</x:v>
      </x:c>
      <x:c r="AN473" s="1" t="n">
        <x:f>MAX(2,ROUNDUP('損益分岐設定'!C38*AJ473/('損益分岐設定'!$B$23*'損益分岐設定'!$B$24*3600*'損益分岐設定'!$B$25),0))</x:f>
        <x:v>2</x:v>
      </x:c>
      <x:c r="AO473" s="1" t="n">
        <x:f>MAX(2,ROUNDUP('損益分岐設定'!C39*AJ473/('損益分岐設定'!$B$23*'損益分岐設定'!$B$24*3600*'損益分岐設定'!$B$25),0))</x:f>
        <x:v>7</x:v>
      </x:c>
      <x:c r="AP473" s="1" t="n">
        <x:f>MAX(2,ROUNDUP('損益分岐設定'!C40*AJ473/('損益分岐設定'!$B$23*'損益分岐設定'!$B$24*3600*'損益分岐設定'!$B$25),0))</x:f>
        <x:v>14</x:v>
      </x:c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 ht="23" customHeight="1">
      <x:c r="A474" s="1" t="str">
        <x:v>VM</x:v>
      </x:c>
      <x:c r="B474" s="1" t="str">
        <x:v>混在</x:v>
      </x:c>
      <x:c r="C474" s="1" t="str">
        <x:v>高位</x:v>
      </x:c>
      <x:c r="D474" s="21" t="n">
        <x:v>0.5</x:v>
      </x:c>
      <x:c r="E474" s="1" t="n">
        <x:v>1</x:v>
      </x:c>
      <x:c r="F474" s="7" t="n">
        <x:f>AD474*'損益分岐設定'!$B$5+AE474*'損益分岐設定'!$B$6+AF474*'損益分岐設定'!$B$7</x:f>
        <x:v>4600</x:v>
      </x:c>
      <x:c r="G474" s="7" t="n">
        <x:f>AG474+0+AK474*'損益分岐設定'!$B$33</x:f>
        <x:v>9174.902477556228</x:v>
      </x:c>
      <x:c r="H474" s="7" t="n">
        <x:f>AL474*E474</x:f>
        <x:v>1456.6666666666665</x:v>
      </x:c>
      <x:c r="I474" s="7" t="n">
        <x:f>F474*(1-D474-'損益分岐設定'!$B$10)-G474-H474</x:f>
        <x:v>-8497.169144222895</x:v>
      </x:c>
      <x:c r="J474" s="1" t="str">
        <x:f>IF(MIN(V474:Y474)&gt;1000,"範囲内なし",MIN(V474:Y474))</x:f>
        <x:v>範囲内なし</x:v>
      </x:c>
      <x:c r="K474" s="1" t="str">
        <x:f>IF(MAX(Z474:AC474)&gt;=1000,"範囲内なし",MAX(1,MAX(Z474:AC474)+1))</x:f>
        <x:v>範囲内なし</x:v>
      </x:c>
      <x:c r="L474" s="7" t="n">
        <x:f>10*I474-R474</x:f>
        <x:v>-167730.8782034502</x:v>
      </x:c>
      <x:c r="M474" s="7" t="n">
        <x:f>30*I474-S474</x:f>
        <x:v>-399933.4478491294</x:v>
      </x:c>
      <x:c r="N474" s="7" t="n">
        <x:f>50*I474-S474</x:f>
        <x:v>-569876.8307335873</x:v>
      </x:c>
      <x:c r="O474" s="7" t="n">
        <x:f>100*I474-S474</x:f>
        <x:v>-994735.287944732</x:v>
      </x:c>
      <x:c r="P474" s="7" t="n">
        <x:f>300*I474-T474</x:f>
        <x:v>-2778368.100240838</x:v>
      </x:c>
      <x:c r="Q474" s="7" t="n">
        <x:f>1000*I474-U474</x:f>
        <x:v>-8868344.671409613</x:v>
      </x:c>
      <x:c r="R474" s="7" t="n">
        <x:f>'損益分岐設定'!$B$18+'損益分岐設定'!$B$19+'損益分岐設定'!$B$20+'損益分岐設定'!E37+('損益分岐設定'!F37+2*'損益分岐設定'!G37+AM474)*('損益分岐設定'!$B$15+'損益分岐設定'!$B$16)+'損益分岐設定'!$B$17+'損益分岐設定'!$B$21+E474*'損益分岐設定'!H37*'損益分岐設定'!$B$11</x:f>
        <x:v>82759.18676122127</x:v>
      </x:c>
      <x:c r="S474" s="7" t="n">
        <x:f>'損益分岐設定'!$B$18+'損益分岐設定'!$B$19+'損益分岐設定'!$B$20+'損益分岐設定'!E38+('損益分岐設定'!F38+2*'損益分岐設定'!G38+AN474)*('損益分岐設定'!$B$15+'損益分岐設定'!$B$16)+'損益分岐設定'!$B$17+'損益分岐設定'!$B$21+E474*'損益分岐設定'!H38*'損益分岐設定'!$B$11</x:f>
        <x:v>145018.37352244253</x:v>
      </x:c>
      <x:c r="T474" s="7" t="n">
        <x:f>'損益分岐設定'!$B$18+'損益分岐設定'!$B$19+'損益分岐設定'!$B$20+'損益分岐設定'!E39+('損益分岐設定'!F39+2*'損益分岐設定'!G39+AO474)*('損益分岐設定'!$B$15+'損益分岐設定'!$B$16)+'損益分岐設定'!$B$17+'損益分岐設定'!$B$21+E474*'損益分岐設定'!H39*'損益分岐設定'!$B$11</x:f>
        <x:v>229217.35697396914</x:v>
      </x:c>
      <x:c r="U474" s="7" t="n">
        <x:f>'損益分岐設定'!$B$18+'損益分岐設定'!$B$19+'損益分岐設定'!$B$20+'損益分岐設定'!E40+('損益分岐設定'!F40+2*'損益分岐設定'!G40+AP474)*('損益分岐設定'!$B$15+'損益分岐設定'!$B$16)+'損益分岐設定'!$B$17+'損益分岐設定'!$B$21+E474*'損益分岐設定'!H40*'損益分岐設定'!$B$11</x:f>
        <x:v>371175.527186717</x:v>
      </x:c>
      <x:c r="V474" s="1" t="n">
        <x:f>IF(I474&lt;=0,1001,IF(MAX('損益分岐設定'!B37,ROUNDUP(R474/I474,0))&lt;='損益分岐設定'!C37,MAX('損益分岐設定'!B37,ROUNDUP(R474/I474,0)),1001))</x:f>
        <x:v>1001</x:v>
      </x:c>
      <x:c r="W474" s="1" t="n">
        <x:f>IF(I474&lt;=0,1001,IF(MAX('損益分岐設定'!B38,ROUNDUP(S474/I474,0))&lt;='損益分岐設定'!C38,MAX('損益分岐設定'!B38,ROUNDUP(S474/I474,0)),1001))</x:f>
        <x:v>1001</x:v>
      </x:c>
      <x:c r="X474" s="1" t="n">
        <x:f>IF(I474&lt;=0,1001,IF(MAX('損益分岐設定'!B39,ROUNDUP(T474/I474,0))&lt;='損益分岐設定'!C39,MAX('損益分岐設定'!B39,ROUNDUP(T474/I474,0)),1001))</x:f>
        <x:v>1001</x:v>
      </x:c>
      <x:c r="Y474" s="1" t="n">
        <x:f>IF(I474&lt;=0,1001,IF(MAX('損益分岐設定'!B40,ROUNDUP(U474/I474,0))&lt;='損益分岐設定'!C40,MAX('損益分岐設定'!B40,ROUNDUP(U474/I474,0)),1001))</x:f>
        <x:v>1001</x:v>
      </x:c>
      <x:c r="Z474" s="1" t="n">
        <x:f>IF(I474&lt;=0,'損益分岐設定'!C37,IF('損益分岐設定'!C37*I474-R474&lt;0,'損益分岐設定'!C37,IF('損益分岐設定'!B37*I474-R474&gt;=0,0,ROUNDUP(R474/I474,0)-1)))</x:f>
        <x:v>10</x:v>
      </x:c>
      <x:c r="AA474" s="1" t="n">
        <x:f>IF(I474&lt;=0,'損益分岐設定'!C38,IF('損益分岐設定'!C38*I474-S474&lt;0,'損益分岐設定'!C38,IF('損益分岐設定'!B38*I474-S474&gt;=0,0,ROUNDUP(S474/I474,0)-1)))</x:f>
        <x:v>100</x:v>
      </x:c>
      <x:c r="AB474" s="1" t="n">
        <x:f>IF(I474&lt;=0,'損益分岐設定'!C39,IF('損益分岐設定'!C39*I474-T474&lt;0,'損益分岐設定'!C39,IF('損益分岐設定'!B39*I474-T474&gt;=0,0,ROUNDUP(T474/I474,0)-1)))</x:f>
        <x:v>500</x:v>
      </x:c>
      <x:c r="AC474" s="1" t="n">
        <x:f>IF(I474&lt;=0,'損益分岐設定'!C40,IF('損益分岐設定'!C40*I474-U474&lt;0,'損益分岐設定'!C40,IF('損益分岐設定'!B40*I474-U474&gt;=0,0,ROUNDUP(U474/I474,0)-1)))</x:f>
        <x:v>1000</x:v>
      </x:c>
      <x:c r="AD474" s="1" t="n">
        <x:f>'損益分岐設定'!$D$5/SUM('損益分岐設定'!$D$5:$D$7)</x:f>
        <x:v>0.5</x:v>
      </x:c>
      <x:c r="AE474" s="1" t="n">
        <x:f>'損益分岐設定'!$D$6/SUM('損益分岐設定'!$D$5:$D$7)</x:f>
        <x:v>0.3</x:v>
      </x:c>
      <x:c r="AF474" s="1" t="n">
        <x:f>'損益分岐設定'!$D$7/SUM('損益分岐設定'!$D$5:$D$7)</x:f>
        <x:v>0.2</x:v>
      </x:c>
      <x:c r="AG474" s="1" t="n">
        <x:f>AD474*'損益分岐設定'!$C$58+AE474*'損益分岐設定'!$C$61+AF474*'損益分岐設定'!$C$64</x:f>
        <x:v>9174.852856689453</x:v>
      </x:c>
      <x:c r="AH474" s="1" t="n">
        <x:f>AD474*'損益分岐設定'!$D$58+AE474*'損益分岐設定'!$D$61+AF474*'損益分岐設定'!$D$64</x:f>
        <x:v>444</x:v>
      </x:c>
      <x:c r="AI474" s="1" t="n">
        <x:f>AD474*'損益分岐設定'!$E$58+AE474*'損益分岐設定'!$E$61+AF474*'損益分岐設定'!$E$64</x:f>
        <x:v>592</x:v>
      </x:c>
      <x:c r="AJ474" s="1" t="n">
        <x:f>(AD474*'損益分岐設定'!$F$58+AE474*'損益分岐設定'!$F$61+AF474*'損益分岐設定'!$F$64*1)*'損益分岐設定'!$B$22</x:f>
        <x:v>6660</x:v>
      </x:c>
      <x:c r="AK474" s="1" t="n">
        <x:f>AD474*'損益分岐設定'!$G$58+AE474*'損益分岐設定'!$G$61+AF474*'損益分岐設定'!$G$64</x:f>
        <x:v>4440</x:v>
      </x:c>
      <x:c r="AL474" s="1" t="n">
        <x:f>AD474*'損益分岐設定'!$H$58+AE474*'損益分岐設定'!$H$61+AF474*'損益分岐設定'!$H$64</x:f>
        <x:v>1456.6666666666665</x:v>
      </x:c>
      <x:c r="AM474" s="1" t="n">
        <x:f>MAX(1,ROUNDUP('損益分岐設定'!C37*AJ474/('損益分岐設定'!$B$23*'損益分岐設定'!$B$24*3600*'損益分岐設定'!$B$25),0))</x:f>
        <x:v>1</x:v>
      </x:c>
      <x:c r="AN474" s="1" t="n">
        <x:f>MAX(2,ROUNDUP('損益分岐設定'!C38*AJ474/('損益分岐設定'!$B$23*'損益分岐設定'!$B$24*3600*'損益分岐設定'!$B$25),0))</x:f>
        <x:v>2</x:v>
      </x:c>
      <x:c r="AO474" s="1" t="n">
        <x:f>MAX(2,ROUNDUP('損益分岐設定'!C39*AJ474/('損益分岐設定'!$B$23*'損益分岐設定'!$B$24*3600*'損益分岐設定'!$B$25),0))</x:f>
        <x:v>7</x:v>
      </x:c>
      <x:c r="AP474" s="1" t="n">
        <x:f>MAX(2,ROUNDUP('損益分岐設定'!C40*AJ474/('損益分岐設定'!$B$23*'損益分岐設定'!$B$24*3600*'損益分岐設定'!$B$25),0))</x:f>
        <x:v>14</x:v>
      </x:c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 ht="23" customHeight="1">
      <x:c r="A475" s="1" t="str">
        <x:v>VM</x:v>
      </x:c>
      <x:c r="B475" s="1" t="str">
        <x:v>混在</x:v>
      </x:c>
      <x:c r="C475" s="1" t="str">
        <x:v>標準+高位混在</x:v>
      </x:c>
      <x:c r="D475" s="21" t="n">
        <x:v>0</x:v>
      </x:c>
      <x:c r="E475" s="1" t="n">
        <x:v>0</x:v>
      </x:c>
      <x:c r="F475" s="7" t="n">
        <x:f>AD475*'損益分岐設定'!$B$5+AE475*'損益分岐設定'!$B$6+AF475*'損益分岐設定'!$B$7</x:f>
        <x:v>4600</x:v>
      </x:c>
      <x:c r="G475" s="7" t="n">
        <x:f>AG475+0+AK475*'損益分岐設定'!$B$33</x:f>
        <x:v>2164.7596954647065</x:v>
      </x:c>
      <x:c r="H475" s="7" t="n">
        <x:f>AL475*E475</x:f>
        <x:v>0</x:v>
      </x:c>
      <x:c r="I475" s="7" t="n">
        <x:f>F475*(1-D475-'損益分岐設定'!$B$10)-G475-H475</x:f>
        <x:v>2269.640304535293</x:v>
      </x:c>
      <x:c r="J475" s="1" t="n">
        <x:f>IF(MIN(V475:Y475)&gt;1000,"範囲内なし",MIN(V475:Y475))</x:f>
        <x:v>43</x:v>
      </x:c>
      <x:c r="K475" s="1" t="n">
        <x:f>IF(MAX(Z475:AC475)&gt;=1000,"範囲内なし",MAX(1,MAX(Z475:AC475)+1))</x:f>
        <x:v>43</x:v>
      </x:c>
      <x:c r="L475" s="7" t="n">
        <x:f>10*I475-R475</x:f>
        <x:v>-28062.783715868343</x:v>
      </x:c>
      <x:c r="M475" s="7" t="n">
        <x:f>30*I475-S475</x:f>
        <x:v>-28929.164386383753</x:v>
      </x:c>
      <x:c r="N475" s="7" t="n">
        <x:f>50*I475-S475</x:f>
        <x:v>16463.641704322115</x:v>
      </x:c>
      <x:c r="O475" s="7" t="n">
        <x:f>100*I475-S475</x:f>
        <x:v>129945.65693108678</x:v>
      </x:c>
      <x:c r="P475" s="7" t="n">
        <x:f>300*I475-T475</x:f>
        <x:v>583873.7178381454</x:v>
      </x:c>
      <x:c r="Q475" s="7" t="n">
        <x:f>1000*I475-U475</x:f>
        <x:v>2130862.7442516293</x:v>
      </x:c>
      <x:c r="R475" s="7" t="n">
        <x:f>'損益分岐設定'!$B$18+'損益分岐設定'!$B$19+'損益分岐設定'!$B$20+'損益分岐設定'!E37+('損益分岐設定'!F37+2*'損益分岐設定'!G37+AM475)*('損益分岐設定'!$B$15+'損益分岐設定'!$B$16)+'損益分岐設定'!$B$17+'損益分岐設定'!$B$21+E475*'損益分岐設定'!H37*'損益分岐設定'!$B$11</x:f>
        <x:v>50759.18676122127</x:v>
      </x:c>
      <x:c r="S475" s="7" t="n">
        <x:f>'損益分岐設定'!$B$18+'損益分岐設定'!$B$19+'損益分岐設定'!$B$20+'損益分岐設定'!E38+('損益分岐設定'!F38+2*'損益分岐設定'!G38+AN475)*('損益分岐設定'!$B$15+'損益分岐設定'!$B$16)+'損益分岐設定'!$B$17+'損益分岐設定'!$B$21+E475*'損益分岐設定'!H38*'損益分岐設定'!$B$11</x:f>
        <x:v>97018.37352244255</x:v>
      </x:c>
      <x:c r="T475" s="7" t="n">
        <x:f>'損益分岐設定'!$B$18+'損益分岐設定'!$B$19+'損益分岐設定'!$B$20+'損益分岐設定'!E39+('損益分岐設定'!F39+2*'損益分岐設定'!G39+AO475)*('損益分岐設定'!$B$15+'損益分岐設定'!$B$16)+'損益分岐設定'!$B$17+'損益分岐設定'!$B$21+E475*'損益分岐設定'!H39*'損益分岐設定'!$B$11</x:f>
        <x:v>97018.37352244255</x:v>
      </x:c>
      <x:c r="U475" s="7" t="n">
        <x:f>'損益分岐設定'!$B$18+'損益分岐設定'!$B$19+'損益分岐設定'!$B$20+'損益分岐設定'!E40+('損益分岐設定'!F40+2*'損益分岐設定'!G40+AP475)*('損益分岐設定'!$B$15+'損益分岐設定'!$B$16)+'損益分岐設定'!$B$17+'損益分岐設定'!$B$21+E475*'損益分岐設定'!H40*'損益分岐設定'!$B$11</x:f>
        <x:v>138777.56028366383</x:v>
      </x:c>
      <x:c r="V475" s="1" t="n">
        <x:f>IF(I475&lt;=0,1001,IF(MAX('損益分岐設定'!B37,ROUNDUP(R475/I475,0))&lt;='損益分岐設定'!C37,MAX('損益分岐設定'!B37,ROUNDUP(R475/I475,0)),1001))</x:f>
        <x:v>1001</x:v>
      </x:c>
      <x:c r="W475" s="1" t="n">
        <x:f>IF(I475&lt;=0,1001,IF(MAX('損益分岐設定'!B38,ROUNDUP(S475/I475,0))&lt;='損益分岐設定'!C38,MAX('損益分岐設定'!B38,ROUNDUP(S475/I475,0)),1001))</x:f>
        <x:v>43</x:v>
      </x:c>
      <x:c r="X475" s="1" t="n">
        <x:f>IF(I475&lt;=0,1001,IF(MAX('損益分岐設定'!B39,ROUNDUP(T475/I475,0))&lt;='損益分岐設定'!C39,MAX('損益分岐設定'!B39,ROUNDUP(T475/I475,0)),1001))</x:f>
        <x:v>101</x:v>
      </x:c>
      <x:c r="Y475" s="1" t="n">
        <x:f>IF(I475&lt;=0,1001,IF(MAX('損益分岐設定'!B40,ROUNDUP(U475/I475,0))&lt;='損益分岐設定'!C40,MAX('損益分岐設定'!B40,ROUNDUP(U475/I475,0)),1001))</x:f>
        <x:v>501</x:v>
      </x:c>
      <x:c r="Z475" s="1" t="n">
        <x:f>IF(I475&lt;=0,'損益分岐設定'!C37,IF('損益分岐設定'!C37*I475-R475&lt;0,'損益分岐設定'!C37,IF('損益分岐設定'!B37*I475-R475&gt;=0,0,ROUNDUP(R475/I475,0)-1)))</x:f>
        <x:v>10</x:v>
      </x:c>
      <x:c r="AA475" s="1" t="n">
        <x:f>IF(I475&lt;=0,'損益分岐設定'!C38,IF('損益分岐設定'!C38*I475-S475&lt;0,'損益分岐設定'!C38,IF('損益分岐設定'!B38*I475-S475&gt;=0,0,ROUNDUP(S475/I475,0)-1)))</x:f>
        <x:v>42</x:v>
      </x:c>
      <x:c r="AB475" s="1" t="n">
        <x:f>IF(I475&lt;=0,'損益分岐設定'!C39,IF('損益分岐設定'!C39*I475-T475&lt;0,'損益分岐設定'!C39,IF('損益分岐設定'!B39*I475-T475&gt;=0,0,ROUNDUP(T475/I475,0)-1)))</x:f>
        <x:v>0</x:v>
      </x:c>
      <x:c r="AC475" s="1" t="n">
        <x:f>IF(I475&lt;=0,'損益分岐設定'!C40,IF('損益分岐設定'!C40*I475-U475&lt;0,'損益分岐設定'!C40,IF('損益分岐設定'!B40*I475-U475&gt;=0,0,ROUNDUP(U475/I475,0)-1)))</x:f>
        <x:v>0</x:v>
      </x:c>
      <x:c r="AD475" s="1" t="n">
        <x:f>'損益分岐設定'!$D$5/SUM('損益分岐設定'!$D$5:$D$7)</x:f>
        <x:v>0.5</x:v>
      </x:c>
      <x:c r="AE475" s="1" t="n">
        <x:f>'損益分岐設定'!$D$6/SUM('損益分岐設定'!$D$5:$D$7)</x:f>
        <x:v>0.3</x:v>
      </x:c>
      <x:c r="AF475" s="1" t="n">
        <x:f>'損益分岐設定'!$D$7/SUM('損益分岐設定'!$D$5:$D$7)</x:f>
        <x:v>0.2</x:v>
      </x:c>
      <x:c r="AG475" s="1" t="n">
        <x:f>AD475*('損益分岐設定'!$C$57*(1-'損益分岐設定'!$B$51)+'損益分岐設定'!$C$58*'損益分岐設定'!$B$51)+AE475*('損益分岐設定'!$C$60*(1-'損益分岐設定'!$B$51)+'損益分岐設定'!$C$61*'損益分岐設定'!$B$51)+AF475*('損益分岐設定'!$C$63*(1-'損益分岐設定'!$B$51)+'損益分岐設定'!$C$64*'損益分岐設定'!$B$51)</x:f>
        <x:v>2164.7431551757813</x:v>
      </x:c>
      <x:c r="AH475" s="1" t="n">
        <x:f>AD475*('損益分岐設定'!$D$57*(1-'損益分岐設定'!$B$51)+'損益分岐設定'!$D$58*'損益分岐設定'!$B$51)+AE475*('損益分岐設定'!$D$60*(1-'損益分岐設定'!$B$51)+'損益分岐設定'!$D$61*'損益分岐設定'!$B$51)+AF475*('損益分岐設定'!$D$63*(1-'損益分岐設定'!$B$51)+'損益分岐設定'!$D$64*'損益分岐設定'!$B$51)</x:f>
        <x:v>177.6</x:v>
      </x:c>
      <x:c r="AI475" s="1" t="n">
        <x:f>AD475*('損益分岐設定'!$E$57*(1-'損益分岐設定'!$B$51)+'損益分岐設定'!$E$58*'損益分岐設定'!$B$51)+AE475*('損益分岐設定'!$E$60*(1-'損益分岐設定'!$B$51)+'損益分岐設定'!$E$61*'損益分岐設定'!$B$51)+AF475*('損益分岐設定'!$E$63*(1-'損益分岐設定'!$B$51)+'損益分岐設定'!$E$64*'損益分岐設定'!$B$51)</x:f>
        <x:v>207.2</x:v>
      </x:c>
      <x:c r="AJ475" s="1" t="n">
        <x:f>(AD475*('損益分岐設定'!$F$57*(1-'損益分岐設定'!$B$51)+'損益分岐設定'!$F$58*'損益分岐設定'!$B$51)+AE475*('損益分岐設定'!$F$60*(1-'損益分岐設定'!$B$51)+'損益分岐設定'!$F$61*'損益分岐設定'!$B$51)+AF475*('損益分岐設定'!$F$63*(1-'損益分岐設定'!$B$51)+'損益分岐設定'!$F$64*'損益分岐設定'!$B$51)*1)*'損益分岐設定'!$B$22</x:f>
        <x:v>1687.2</x:v>
      </x:c>
      <x:c r="AK475" s="1" t="n">
        <x:f>AD475*('損益分岐設定'!$G$57*(1-'損益分岐設定'!$B$51)+'損益分岐設定'!$G$58*'損益分岐設定'!$B$51)+AE475*('損益分岐設定'!$G$60*(1-'損益分岐設定'!$B$51)+'損益分岐設定'!$G$61*'損益分岐設定'!$B$51)+AF475*('損益分岐設定'!$G$63*(1-'損益分岐設定'!$B$51)+'損益分岐設定'!$G$64*'損益分岐設定'!$B$51)</x:f>
        <x:v>1480</x:v>
      </x:c>
      <x:c r="AL475" s="1" t="n">
        <x:f>AD475*('損益分岐設定'!$H$57*(1-'損益分岐設定'!$B$51)+'損益分岐設定'!$H$58*'損益分岐設定'!$B$51)+AE475*('損益分岐設定'!$H$60*(1-'損益分岐設定'!$B$51)+'損益分岐設定'!$H$61*'損益分岐設定'!$B$51)+AF475*('損益分岐設定'!$H$63*(1-'損益分岐設定'!$B$51)+'損益分岐設定'!$H$64*'損益分岐設定'!$B$51)</x:f>
        <x:v>816.6666666666667</x:v>
      </x:c>
      <x:c r="AM475" s="1" t="n">
        <x:f>MAX(1,ROUNDUP('損益分岐設定'!C37*AJ475/('損益分岐設定'!$B$23*'損益分岐設定'!$B$24*3600*'損益分岐設定'!$B$25),0))</x:f>
        <x:v>1</x:v>
      </x:c>
      <x:c r="AN475" s="1" t="n">
        <x:f>MAX(2,ROUNDUP('損益分岐設定'!C38*AJ475/('損益分岐設定'!$B$23*'損益分岐設定'!$B$24*3600*'損益分岐設定'!$B$25),0))</x:f>
        <x:v>2</x:v>
      </x:c>
      <x:c r="AO475" s="1" t="n">
        <x:f>MAX(2,ROUNDUP('損益分岐設定'!C39*AJ475/('損益分岐設定'!$B$23*'損益分岐設定'!$B$24*3600*'損益分岐設定'!$B$25),0))</x:f>
        <x:v>2</x:v>
      </x:c>
      <x:c r="AP475" s="1" t="n">
        <x:f>MAX(2,ROUNDUP('損益分岐設定'!C40*AJ475/('損益分岐設定'!$B$23*'損益分岐設定'!$B$24*3600*'損益分岐設定'!$B$25),0))</x:f>
        <x:v>4</x:v>
      </x:c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 ht="23" customHeight="1">
      <x:c r="A476" s="1" t="str">
        <x:v>VM</x:v>
      </x:c>
      <x:c r="B476" s="1" t="str">
        <x:v>混在</x:v>
      </x:c>
      <x:c r="C476" s="1" t="str">
        <x:v>標準+高位混在</x:v>
      </x:c>
      <x:c r="D476" s="21" t="n">
        <x:v>0</x:v>
      </x:c>
      <x:c r="E476" s="1" t="n">
        <x:v>1</x:v>
      </x:c>
      <x:c r="F476" s="7" t="n">
        <x:f>AD476*'損益分岐設定'!$B$5+AE476*'損益分岐設定'!$B$6+AF476*'損益分岐設定'!$B$7</x:f>
        <x:v>4600</x:v>
      </x:c>
      <x:c r="G476" s="7" t="n">
        <x:f>AG476+0+AK476*'損益分岐設定'!$B$33</x:f>
        <x:v>2164.7596954647065</x:v>
      </x:c>
      <x:c r="H476" s="7" t="n">
        <x:f>AL476*E476</x:f>
        <x:v>816.6666666666667</x:v>
      </x:c>
      <x:c r="I476" s="7" t="n">
        <x:f>F476*(1-D476-'損益分岐設定'!$B$10)-G476-H476</x:f>
        <x:v>1452.9736378686264</x:v>
      </x:c>
      <x:c r="J476" s="1" t="n">
        <x:f>IF(MIN(V476:Y476)&gt;1000,"範囲内なし",MIN(V476:Y476))</x:f>
        <x:v>100</x:v>
      </x:c>
      <x:c r="K476" s="1" t="n">
        <x:f>IF(MAX(Z476:AC476)&gt;=1000,"範囲内なし",MAX(1,MAX(Z476:AC476)+1))</x:f>
        <x:v>122</x:v>
      </x:c>
      <x:c r="L476" s="7" t="n">
        <x:f>10*I476-R476</x:f>
        <x:v>-68229.450382535</x:v>
      </x:c>
      <x:c r="M476" s="7" t="n">
        <x:f>30*I476-S476</x:f>
        <x:v>-101429.16438638374</x:v>
      </x:c>
      <x:c r="N476" s="7" t="n">
        <x:f>50*I476-S476</x:f>
        <x:v>-72369.69162901121</x:v>
      </x:c>
      <x:c r="O476" s="7" t="n">
        <x:f>100*I476-S476</x:f>
        <x:v>278.99026442010654</x:v>
      </x:c>
      <x:c r="P476" s="7" t="n">
        <x:f>300*I476-T476</x:f>
        <x:v>258873.71783814539</x:v>
      </x:c>
      <x:c r="Q476" s="7" t="n">
        <x:f>1000*I476-U476</x:f>
        <x:v>1186196.0775849624</x:v>
      </x:c>
      <x:c r="R476" s="7" t="n">
        <x:f>'損益分岐設定'!$B$18+'損益分岐設定'!$B$19+'損益分岐設定'!$B$20+'損益分岐設定'!E37+('損益分岐設定'!F37+2*'損益分岐設定'!G37+AM476)*('損益分岐設定'!$B$15+'損益分岐設定'!$B$16)+'損益分岐設定'!$B$17+'損益分岐設定'!$B$21+E476*'損益分岐設定'!H37*'損益分岐設定'!$B$11</x:f>
        <x:v>82759.18676122127</x:v>
      </x:c>
      <x:c r="S476" s="7" t="n">
        <x:f>'損益分岐設定'!$B$18+'損益分岐設定'!$B$19+'損益分岐設定'!$B$20+'損益分岐設定'!E38+('損益分岐設定'!F38+2*'損益分岐設定'!G38+AN476)*('損益分岐設定'!$B$15+'損益分岐設定'!$B$16)+'損益分岐設定'!$B$17+'損益分岐設定'!$B$21+E476*'損益分岐設定'!H38*'損益分岐設定'!$B$11</x:f>
        <x:v>145018.37352244253</x:v>
      </x:c>
      <x:c r="T476" s="7" t="n">
        <x:f>'損益分岐設定'!$B$18+'損益分岐設定'!$B$19+'損益分岐設定'!$B$20+'損益分岐設定'!E39+('損益分岐設定'!F39+2*'損益分岐設定'!G39+AO476)*('損益分岐設定'!$B$15+'損益分岐設定'!$B$16)+'損益分岐設定'!$B$17+'損益分岐設定'!$B$21+E476*'損益分岐設定'!H39*'損益分岐設定'!$B$11</x:f>
        <x:v>177018.37352244253</x:v>
      </x:c>
      <x:c r="U476" s="7" t="n">
        <x:f>'損益分岐設定'!$B$18+'損益分岐設定'!$B$19+'損益分岐設定'!$B$20+'損益分岐設定'!E40+('損益分岐設定'!F40+2*'損益分岐設定'!G40+AP476)*('損益分岐設定'!$B$15+'損益分岐設定'!$B$16)+'損益分岐設定'!$B$17+'損益分岐設定'!$B$21+E476*'損益分岐設定'!H40*'損益分岐設定'!$B$11</x:f>
        <x:v>266777.5602836638</x:v>
      </x:c>
      <x:c r="V476" s="1" t="n">
        <x:f>IF(I476&lt;=0,1001,IF(MAX('損益分岐設定'!B37,ROUNDUP(R476/I476,0))&lt;='損益分岐設定'!C37,MAX('損益分岐設定'!B37,ROUNDUP(R476/I476,0)),1001))</x:f>
        <x:v>1001</x:v>
      </x:c>
      <x:c r="W476" s="1" t="n">
        <x:f>IF(I476&lt;=0,1001,IF(MAX('損益分岐設定'!B38,ROUNDUP(S476/I476,0))&lt;='損益分岐設定'!C38,MAX('損益分岐設定'!B38,ROUNDUP(S476/I476,0)),1001))</x:f>
        <x:v>100</x:v>
      </x:c>
      <x:c r="X476" s="1" t="n">
        <x:f>IF(I476&lt;=0,1001,IF(MAX('損益分岐設定'!B39,ROUNDUP(T476/I476,0))&lt;='損益分岐設定'!C39,MAX('損益分岐設定'!B39,ROUNDUP(T476/I476,0)),1001))</x:f>
        <x:v>122</x:v>
      </x:c>
      <x:c r="Y476" s="1" t="n">
        <x:f>IF(I476&lt;=0,1001,IF(MAX('損益分岐設定'!B40,ROUNDUP(U476/I476,0))&lt;='損益分岐設定'!C40,MAX('損益分岐設定'!B40,ROUNDUP(U476/I476,0)),1001))</x:f>
        <x:v>501</x:v>
      </x:c>
      <x:c r="Z476" s="1" t="n">
        <x:f>IF(I476&lt;=0,'損益分岐設定'!C37,IF('損益分岐設定'!C37*I476-R476&lt;0,'損益分岐設定'!C37,IF('損益分岐設定'!B37*I476-R476&gt;=0,0,ROUNDUP(R476/I476,0)-1)))</x:f>
        <x:v>10</x:v>
      </x:c>
      <x:c r="AA476" s="1" t="n">
        <x:f>IF(I476&lt;=0,'損益分岐設定'!C38,IF('損益分岐設定'!C38*I476-S476&lt;0,'損益分岐設定'!C38,IF('損益分岐設定'!B38*I476-S476&gt;=0,0,ROUNDUP(S476/I476,0)-1)))</x:f>
        <x:v>99</x:v>
      </x:c>
      <x:c r="AB476" s="1" t="n">
        <x:f>IF(I476&lt;=0,'損益分岐設定'!C39,IF('損益分岐設定'!C39*I476-T476&lt;0,'損益分岐設定'!C39,IF('損益分岐設定'!B39*I476-T476&gt;=0,0,ROUNDUP(T476/I476,0)-1)))</x:f>
        <x:v>121</x:v>
      </x:c>
      <x:c r="AC476" s="1" t="n">
        <x:f>IF(I476&lt;=0,'損益分岐設定'!C40,IF('損益分岐設定'!C40*I476-U476&lt;0,'損益分岐設定'!C40,IF('損益分岐設定'!B40*I476-U476&gt;=0,0,ROUNDUP(U476/I476,0)-1)))</x:f>
        <x:v>0</x:v>
      </x:c>
      <x:c r="AD476" s="1" t="n">
        <x:f>'損益分岐設定'!$D$5/SUM('損益分岐設定'!$D$5:$D$7)</x:f>
        <x:v>0.5</x:v>
      </x:c>
      <x:c r="AE476" s="1" t="n">
        <x:f>'損益分岐設定'!$D$6/SUM('損益分岐設定'!$D$5:$D$7)</x:f>
        <x:v>0.3</x:v>
      </x:c>
      <x:c r="AF476" s="1" t="n">
        <x:f>'損益分岐設定'!$D$7/SUM('損益分岐設定'!$D$5:$D$7)</x:f>
        <x:v>0.2</x:v>
      </x:c>
      <x:c r="AG476" s="1" t="n">
        <x:f>AD476*('損益分岐設定'!$C$57*(1-'損益分岐設定'!$B$51)+'損益分岐設定'!$C$58*'損益分岐設定'!$B$51)+AE476*('損益分岐設定'!$C$60*(1-'損益分岐設定'!$B$51)+'損益分岐設定'!$C$61*'損益分岐設定'!$B$51)+AF476*('損益分岐設定'!$C$63*(1-'損益分岐設定'!$B$51)+'損益分岐設定'!$C$64*'損益分岐設定'!$B$51)</x:f>
        <x:v>2164.7431551757813</x:v>
      </x:c>
      <x:c r="AH476" s="1" t="n">
        <x:f>AD476*('損益分岐設定'!$D$57*(1-'損益分岐設定'!$B$51)+'損益分岐設定'!$D$58*'損益分岐設定'!$B$51)+AE476*('損益分岐設定'!$D$60*(1-'損益分岐設定'!$B$51)+'損益分岐設定'!$D$61*'損益分岐設定'!$B$51)+AF476*('損益分岐設定'!$D$63*(1-'損益分岐設定'!$B$51)+'損益分岐設定'!$D$64*'損益分岐設定'!$B$51)</x:f>
        <x:v>177.6</x:v>
      </x:c>
      <x:c r="AI476" s="1" t="n">
        <x:f>AD476*('損益分岐設定'!$E$57*(1-'損益分岐設定'!$B$51)+'損益分岐設定'!$E$58*'損益分岐設定'!$B$51)+AE476*('損益分岐設定'!$E$60*(1-'損益分岐設定'!$B$51)+'損益分岐設定'!$E$61*'損益分岐設定'!$B$51)+AF476*('損益分岐設定'!$E$63*(1-'損益分岐設定'!$B$51)+'損益分岐設定'!$E$64*'損益分岐設定'!$B$51)</x:f>
        <x:v>207.2</x:v>
      </x:c>
      <x:c r="AJ476" s="1" t="n">
        <x:f>(AD476*('損益分岐設定'!$F$57*(1-'損益分岐設定'!$B$51)+'損益分岐設定'!$F$58*'損益分岐設定'!$B$51)+AE476*('損益分岐設定'!$F$60*(1-'損益分岐設定'!$B$51)+'損益分岐設定'!$F$61*'損益分岐設定'!$B$51)+AF476*('損益分岐設定'!$F$63*(1-'損益分岐設定'!$B$51)+'損益分岐設定'!$F$64*'損益分岐設定'!$B$51)*1)*'損益分岐設定'!$B$22</x:f>
        <x:v>1687.2</x:v>
      </x:c>
      <x:c r="AK476" s="1" t="n">
        <x:f>AD476*('損益分岐設定'!$G$57*(1-'損益分岐設定'!$B$51)+'損益分岐設定'!$G$58*'損益分岐設定'!$B$51)+AE476*('損益分岐設定'!$G$60*(1-'損益分岐設定'!$B$51)+'損益分岐設定'!$G$61*'損益分岐設定'!$B$51)+AF476*('損益分岐設定'!$G$63*(1-'損益分岐設定'!$B$51)+'損益分岐設定'!$G$64*'損益分岐設定'!$B$51)</x:f>
        <x:v>1480</x:v>
      </x:c>
      <x:c r="AL476" s="1" t="n">
        <x:f>AD476*('損益分岐設定'!$H$57*(1-'損益分岐設定'!$B$51)+'損益分岐設定'!$H$58*'損益分岐設定'!$B$51)+AE476*('損益分岐設定'!$H$60*(1-'損益分岐設定'!$B$51)+'損益分岐設定'!$H$61*'損益分岐設定'!$B$51)+AF476*('損益分岐設定'!$H$63*(1-'損益分岐設定'!$B$51)+'損益分岐設定'!$H$64*'損益分岐設定'!$B$51)</x:f>
        <x:v>816.6666666666667</x:v>
      </x:c>
      <x:c r="AM476" s="1" t="n">
        <x:f>MAX(1,ROUNDUP('損益分岐設定'!C37*AJ476/('損益分岐設定'!$B$23*'損益分岐設定'!$B$24*3600*'損益分岐設定'!$B$25),0))</x:f>
        <x:v>1</x:v>
      </x:c>
      <x:c r="AN476" s="1" t="n">
        <x:f>MAX(2,ROUNDUP('損益分岐設定'!C38*AJ476/('損益分岐設定'!$B$23*'損益分岐設定'!$B$24*3600*'損益分岐設定'!$B$25),0))</x:f>
        <x:v>2</x:v>
      </x:c>
      <x:c r="AO476" s="1" t="n">
        <x:f>MAX(2,ROUNDUP('損益分岐設定'!C39*AJ476/('損益分岐設定'!$B$23*'損益分岐設定'!$B$24*3600*'損益分岐設定'!$B$25),0))</x:f>
        <x:v>2</x:v>
      </x:c>
      <x:c r="AP476" s="1" t="n">
        <x:f>MAX(2,ROUNDUP('損益分岐設定'!C40*AJ476/('損益分岐設定'!$B$23*'損益分岐設定'!$B$24*3600*'損益分岐設定'!$B$25),0))</x:f>
        <x:v>4</x:v>
      </x:c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 ht="23" customHeight="1">
      <x:c r="A477" s="1" t="str">
        <x:v>VM</x:v>
      </x:c>
      <x:c r="B477" s="1" t="str">
        <x:v>混在</x:v>
      </x:c>
      <x:c r="C477" s="1" t="str">
        <x:v>標準+高位混在</x:v>
      </x:c>
      <x:c r="D477" s="21" t="n">
        <x:v>0.2</x:v>
      </x:c>
      <x:c r="E477" s="1" t="n">
        <x:v>0</x:v>
      </x:c>
      <x:c r="F477" s="7" t="n">
        <x:f>AD477*'損益分岐設定'!$B$5+AE477*'損益分岐設定'!$B$6+AF477*'損益分岐設定'!$B$7</x:f>
        <x:v>4600</x:v>
      </x:c>
      <x:c r="G477" s="7" t="n">
        <x:f>AG477+0+AK477*'損益分岐設定'!$B$33</x:f>
        <x:v>2164.7596954647065</x:v>
      </x:c>
      <x:c r="H477" s="7" t="n">
        <x:f>AL477*E477</x:f>
        <x:v>0</x:v>
      </x:c>
      <x:c r="I477" s="7" t="n">
        <x:f>F477*(1-D477-'損益分岐設定'!$B$10)-G477-H477</x:f>
        <x:v>1349.6403045352936</x:v>
      </x:c>
      <x:c r="J477" s="1" t="n">
        <x:f>IF(MIN(V477:Y477)&gt;1000,"範囲内なし",MIN(V477:Y477))</x:f>
        <x:v>72</x:v>
      </x:c>
      <x:c r="K477" s="1" t="n">
        <x:f>IF(MAX(Z477:AC477)&gt;=1000,"範囲内なし",MAX(1,MAX(Z477:AC477)+1))</x:f>
        <x:v>72</x:v>
      </x:c>
      <x:c r="L477" s="7" t="n">
        <x:f>10*I477-R477</x:f>
        <x:v>-37262.78371586834</x:v>
      </x:c>
      <x:c r="M477" s="7" t="n">
        <x:f>30*I477-S477</x:f>
        <x:v>-56529.16438638374</x:v>
      </x:c>
      <x:c r="N477" s="7" t="n">
        <x:f>50*I477-S477</x:f>
        <x:v>-29536.35829567787</x:v>
      </x:c>
      <x:c r="O477" s="7" t="n">
        <x:f>100*I477-S477</x:f>
        <x:v>37945.65693108681</x:v>
      </x:c>
      <x:c r="P477" s="7" t="n">
        <x:f>300*I477-T477</x:f>
        <x:v>307873.71783814556</x:v>
      </x:c>
      <x:c r="Q477" s="7" t="n">
        <x:f>1000*I477-U477</x:f>
        <x:v>1210862.7442516296</x:v>
      </x:c>
      <x:c r="R477" s="7" t="n">
        <x:f>'損益分岐設定'!$B$18+'損益分岐設定'!$B$19+'損益分岐設定'!$B$20+'損益分岐設定'!E37+('損益分岐設定'!F37+2*'損益分岐設定'!G37+AM477)*('損益分岐設定'!$B$15+'損益分岐設定'!$B$16)+'損益分岐設定'!$B$17+'損益分岐設定'!$B$21+E477*'損益分岐設定'!H37*'損益分岐設定'!$B$11</x:f>
        <x:v>50759.18676122127</x:v>
      </x:c>
      <x:c r="S477" s="7" t="n">
        <x:f>'損益分岐設定'!$B$18+'損益分岐設定'!$B$19+'損益分岐設定'!$B$20+'損益分岐設定'!E38+('損益分岐設定'!F38+2*'損益分岐設定'!G38+AN477)*('損益分岐設定'!$B$15+'損益分岐設定'!$B$16)+'損益分岐設定'!$B$17+'損益分岐設定'!$B$21+E477*'損益分岐設定'!H38*'損益分岐設定'!$B$11</x:f>
        <x:v>97018.37352244255</x:v>
      </x:c>
      <x:c r="T477" s="7" t="n">
        <x:f>'損益分岐設定'!$B$18+'損益分岐設定'!$B$19+'損益分岐設定'!$B$20+'損益分岐設定'!E39+('損益分岐設定'!F39+2*'損益分岐設定'!G39+AO477)*('損益分岐設定'!$B$15+'損益分岐設定'!$B$16)+'損益分岐設定'!$B$17+'損益分岐設定'!$B$21+E477*'損益分岐設定'!H39*'損益分岐設定'!$B$11</x:f>
        <x:v>97018.37352244255</x:v>
      </x:c>
      <x:c r="U477" s="7" t="n">
        <x:f>'損益分岐設定'!$B$18+'損益分岐設定'!$B$19+'損益分岐設定'!$B$20+'損益分岐設定'!E40+('損益分岐設定'!F40+2*'損益分岐設定'!G40+AP477)*('損益分岐設定'!$B$15+'損益分岐設定'!$B$16)+'損益分岐設定'!$B$17+'損益分岐設定'!$B$21+E477*'損益分岐設定'!H40*'損益分岐設定'!$B$11</x:f>
        <x:v>138777.56028366383</x:v>
      </x:c>
      <x:c r="V477" s="1" t="n">
        <x:f>IF(I477&lt;=0,1001,IF(MAX('損益分岐設定'!B37,ROUNDUP(R477/I477,0))&lt;='損益分岐設定'!C37,MAX('損益分岐設定'!B37,ROUNDUP(R477/I477,0)),1001))</x:f>
        <x:v>1001</x:v>
      </x:c>
      <x:c r="W477" s="1" t="n">
        <x:f>IF(I477&lt;=0,1001,IF(MAX('損益分岐設定'!B38,ROUNDUP(S477/I477,0))&lt;='損益分岐設定'!C38,MAX('損益分岐設定'!B38,ROUNDUP(S477/I477,0)),1001))</x:f>
        <x:v>72</x:v>
      </x:c>
      <x:c r="X477" s="1" t="n">
        <x:f>IF(I477&lt;=0,1001,IF(MAX('損益分岐設定'!B39,ROUNDUP(T477/I477,0))&lt;='損益分岐設定'!C39,MAX('損益分岐設定'!B39,ROUNDUP(T477/I477,0)),1001))</x:f>
        <x:v>101</x:v>
      </x:c>
      <x:c r="Y477" s="1" t="n">
        <x:f>IF(I477&lt;=0,1001,IF(MAX('損益分岐設定'!B40,ROUNDUP(U477/I477,0))&lt;='損益分岐設定'!C40,MAX('損益分岐設定'!B40,ROUNDUP(U477/I477,0)),1001))</x:f>
        <x:v>501</x:v>
      </x:c>
      <x:c r="Z477" s="1" t="n">
        <x:f>IF(I477&lt;=0,'損益分岐設定'!C37,IF('損益分岐設定'!C37*I477-R477&lt;0,'損益分岐設定'!C37,IF('損益分岐設定'!B37*I477-R477&gt;=0,0,ROUNDUP(R477/I477,0)-1)))</x:f>
        <x:v>10</x:v>
      </x:c>
      <x:c r="AA477" s="1" t="n">
        <x:f>IF(I477&lt;=0,'損益分岐設定'!C38,IF('損益分岐設定'!C38*I477-S477&lt;0,'損益分岐設定'!C38,IF('損益分岐設定'!B38*I477-S477&gt;=0,0,ROUNDUP(S477/I477,0)-1)))</x:f>
        <x:v>71</x:v>
      </x:c>
      <x:c r="AB477" s="1" t="n">
        <x:f>IF(I477&lt;=0,'損益分岐設定'!C39,IF('損益分岐設定'!C39*I477-T477&lt;0,'損益分岐設定'!C39,IF('損益分岐設定'!B39*I477-T477&gt;=0,0,ROUNDUP(T477/I477,0)-1)))</x:f>
        <x:v>0</x:v>
      </x:c>
      <x:c r="AC477" s="1" t="n">
        <x:f>IF(I477&lt;=0,'損益分岐設定'!C40,IF('損益分岐設定'!C40*I477-U477&lt;0,'損益分岐設定'!C40,IF('損益分岐設定'!B40*I477-U477&gt;=0,0,ROUNDUP(U477/I477,0)-1)))</x:f>
        <x:v>0</x:v>
      </x:c>
      <x:c r="AD477" s="1" t="n">
        <x:f>'損益分岐設定'!$D$5/SUM('損益分岐設定'!$D$5:$D$7)</x:f>
        <x:v>0.5</x:v>
      </x:c>
      <x:c r="AE477" s="1" t="n">
        <x:f>'損益分岐設定'!$D$6/SUM('損益分岐設定'!$D$5:$D$7)</x:f>
        <x:v>0.3</x:v>
      </x:c>
      <x:c r="AF477" s="1" t="n">
        <x:f>'損益分岐設定'!$D$7/SUM('損益分岐設定'!$D$5:$D$7)</x:f>
        <x:v>0.2</x:v>
      </x:c>
      <x:c r="AG477" s="1" t="n">
        <x:f>AD477*('損益分岐設定'!$C$57*(1-'損益分岐設定'!$B$51)+'損益分岐設定'!$C$58*'損益分岐設定'!$B$51)+AE477*('損益分岐設定'!$C$60*(1-'損益分岐設定'!$B$51)+'損益分岐設定'!$C$61*'損益分岐設定'!$B$51)+AF477*('損益分岐設定'!$C$63*(1-'損益分岐設定'!$B$51)+'損益分岐設定'!$C$64*'損益分岐設定'!$B$51)</x:f>
        <x:v>2164.7431551757813</x:v>
      </x:c>
      <x:c r="AH477" s="1" t="n">
        <x:f>AD477*('損益分岐設定'!$D$57*(1-'損益分岐設定'!$B$51)+'損益分岐設定'!$D$58*'損益分岐設定'!$B$51)+AE477*('損益分岐設定'!$D$60*(1-'損益分岐設定'!$B$51)+'損益分岐設定'!$D$61*'損益分岐設定'!$B$51)+AF477*('損益分岐設定'!$D$63*(1-'損益分岐設定'!$B$51)+'損益分岐設定'!$D$64*'損益分岐設定'!$B$51)</x:f>
        <x:v>177.6</x:v>
      </x:c>
      <x:c r="AI477" s="1" t="n">
        <x:f>AD477*('損益分岐設定'!$E$57*(1-'損益分岐設定'!$B$51)+'損益分岐設定'!$E$58*'損益分岐設定'!$B$51)+AE477*('損益分岐設定'!$E$60*(1-'損益分岐設定'!$B$51)+'損益分岐設定'!$E$61*'損益分岐設定'!$B$51)+AF477*('損益分岐設定'!$E$63*(1-'損益分岐設定'!$B$51)+'損益分岐設定'!$E$64*'損益分岐設定'!$B$51)</x:f>
        <x:v>207.2</x:v>
      </x:c>
      <x:c r="AJ477" s="1" t="n">
        <x:f>(AD477*('損益分岐設定'!$F$57*(1-'損益分岐設定'!$B$51)+'損益分岐設定'!$F$58*'損益分岐設定'!$B$51)+AE477*('損益分岐設定'!$F$60*(1-'損益分岐設定'!$B$51)+'損益分岐設定'!$F$61*'損益分岐設定'!$B$51)+AF477*('損益分岐設定'!$F$63*(1-'損益分岐設定'!$B$51)+'損益分岐設定'!$F$64*'損益分岐設定'!$B$51)*1)*'損益分岐設定'!$B$22</x:f>
        <x:v>1687.2</x:v>
      </x:c>
      <x:c r="AK477" s="1" t="n">
        <x:f>AD477*('損益分岐設定'!$G$57*(1-'損益分岐設定'!$B$51)+'損益分岐設定'!$G$58*'損益分岐設定'!$B$51)+AE477*('損益分岐設定'!$G$60*(1-'損益分岐設定'!$B$51)+'損益分岐設定'!$G$61*'損益分岐設定'!$B$51)+AF477*('損益分岐設定'!$G$63*(1-'損益分岐設定'!$B$51)+'損益分岐設定'!$G$64*'損益分岐設定'!$B$51)</x:f>
        <x:v>1480</x:v>
      </x:c>
      <x:c r="AL477" s="1" t="n">
        <x:f>AD477*('損益分岐設定'!$H$57*(1-'損益分岐設定'!$B$51)+'損益分岐設定'!$H$58*'損益分岐設定'!$B$51)+AE477*('損益分岐設定'!$H$60*(1-'損益分岐設定'!$B$51)+'損益分岐設定'!$H$61*'損益分岐設定'!$B$51)+AF477*('損益分岐設定'!$H$63*(1-'損益分岐設定'!$B$51)+'損益分岐設定'!$H$64*'損益分岐設定'!$B$51)</x:f>
        <x:v>816.6666666666667</x:v>
      </x:c>
      <x:c r="AM477" s="1" t="n">
        <x:f>MAX(1,ROUNDUP('損益分岐設定'!C37*AJ477/('損益分岐設定'!$B$23*'損益分岐設定'!$B$24*3600*'損益分岐設定'!$B$25),0))</x:f>
        <x:v>1</x:v>
      </x:c>
      <x:c r="AN477" s="1" t="n">
        <x:f>MAX(2,ROUNDUP('損益分岐設定'!C38*AJ477/('損益分岐設定'!$B$23*'損益分岐設定'!$B$24*3600*'損益分岐設定'!$B$25),0))</x:f>
        <x:v>2</x:v>
      </x:c>
      <x:c r="AO477" s="1" t="n">
        <x:f>MAX(2,ROUNDUP('損益分岐設定'!C39*AJ477/('損益分岐設定'!$B$23*'損益分岐設定'!$B$24*3600*'損益分岐設定'!$B$25),0))</x:f>
        <x:v>2</x:v>
      </x:c>
      <x:c r="AP477" s="1" t="n">
        <x:f>MAX(2,ROUNDUP('損益分岐設定'!C40*AJ477/('損益分岐設定'!$B$23*'損益分岐設定'!$B$24*3600*'損益分岐設定'!$B$25),0))</x:f>
        <x:v>4</x:v>
      </x:c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 ht="23" customHeight="1">
      <x:c r="A478" s="1" t="str">
        <x:v>VM</x:v>
      </x:c>
      <x:c r="B478" s="1" t="str">
        <x:v>混在</x:v>
      </x:c>
      <x:c r="C478" s="1" t="str">
        <x:v>標準+高位混在</x:v>
      </x:c>
      <x:c r="D478" s="21" t="n">
        <x:v>0.2</x:v>
      </x:c>
      <x:c r="E478" s="1" t="n">
        <x:v>1</x:v>
      </x:c>
      <x:c r="F478" s="7" t="n">
        <x:f>AD478*'損益分岐設定'!$B$5+AE478*'損益分岐設定'!$B$6+AF478*'損益分岐設定'!$B$7</x:f>
        <x:v>4600</x:v>
      </x:c>
      <x:c r="G478" s="7" t="n">
        <x:f>AG478+0+AK478*'損益分岐設定'!$B$33</x:f>
        <x:v>2164.7596954647065</x:v>
      </x:c>
      <x:c r="H478" s="7" t="n">
        <x:f>AL478*E478</x:f>
        <x:v>816.6666666666667</x:v>
      </x:c>
      <x:c r="I478" s="7" t="n">
        <x:f>F478*(1-D478-'損益分岐設定'!$B$10)-G478-H478</x:f>
        <x:v>532.9736378686268</x:v>
      </x:c>
      <x:c r="J478" s="1" t="n">
        <x:f>IF(MIN(V478:Y478)&gt;1000,"範囲内なし",MIN(V478:Y478))</x:f>
        <x:v>333</x:v>
      </x:c>
      <x:c r="K478" s="1" t="n">
        <x:f>IF(MAX(Z478:AC478)&gt;=1000,"範囲内なし",MAX(1,MAX(Z478:AC478)+1))</x:f>
        <x:v>333</x:v>
      </x:c>
      <x:c r="L478" s="7" t="n">
        <x:f>10*I478-R478</x:f>
        <x:v>-77429.450382535</x:v>
      </x:c>
      <x:c r="M478" s="7" t="n">
        <x:f>30*I478-S478</x:f>
        <x:v>-129029.16438638372</x:v>
      </x:c>
      <x:c r="N478" s="7" t="n">
        <x:f>50*I478-S478</x:f>
        <x:v>-118369.69162901118</x:v>
      </x:c>
      <x:c r="O478" s="7" t="n">
        <x:f>100*I478-S478</x:f>
        <x:v>-91721.00973557985</x:v>
      </x:c>
      <x:c r="P478" s="7" t="n">
        <x:f>300*I478-T478</x:f>
        <x:v>-17126.28216185447</x:v>
      </x:c>
      <x:c r="Q478" s="7" t="n">
        <x:f>1000*I478-U478</x:f>
        <x:v>266196.07758496306</x:v>
      </x:c>
      <x:c r="R478" s="7" t="n">
        <x:f>'損益分岐設定'!$B$18+'損益分岐設定'!$B$19+'損益分岐設定'!$B$20+'損益分岐設定'!E37+('損益分岐設定'!F37+2*'損益分岐設定'!G37+AM478)*('損益分岐設定'!$B$15+'損益分岐設定'!$B$16)+'損益分岐設定'!$B$17+'損益分岐設定'!$B$21+E478*'損益分岐設定'!H37*'損益分岐設定'!$B$11</x:f>
        <x:v>82759.18676122127</x:v>
      </x:c>
      <x:c r="S478" s="7" t="n">
        <x:f>'損益分岐設定'!$B$18+'損益分岐設定'!$B$19+'損益分岐設定'!$B$20+'損益分岐設定'!E38+('損益分岐設定'!F38+2*'損益分岐設定'!G38+AN478)*('損益分岐設定'!$B$15+'損益分岐設定'!$B$16)+'損益分岐設定'!$B$17+'損益分岐設定'!$B$21+E478*'損益分岐設定'!H38*'損益分岐設定'!$B$11</x:f>
        <x:v>145018.37352244253</x:v>
      </x:c>
      <x:c r="T478" s="7" t="n">
        <x:f>'損益分岐設定'!$B$18+'損益分岐設定'!$B$19+'損益分岐設定'!$B$20+'損益分岐設定'!E39+('損益分岐設定'!F39+2*'損益分岐設定'!G39+AO478)*('損益分岐設定'!$B$15+'損益分岐設定'!$B$16)+'損益分岐設定'!$B$17+'損益分岐設定'!$B$21+E478*'損益分岐設定'!H39*'損益分岐設定'!$B$11</x:f>
        <x:v>177018.37352244253</x:v>
      </x:c>
      <x:c r="U478" s="7" t="n">
        <x:f>'損益分岐設定'!$B$18+'損益分岐設定'!$B$19+'損益分岐設定'!$B$20+'損益分岐設定'!E40+('損益分岐設定'!F40+2*'損益分岐設定'!G40+AP478)*('損益分岐設定'!$B$15+'損益分岐設定'!$B$16)+'損益分岐設定'!$B$17+'損益分岐設定'!$B$21+E478*'損益分岐設定'!H40*'損益分岐設定'!$B$11</x:f>
        <x:v>266777.5602836638</x:v>
      </x:c>
      <x:c r="V478" s="1" t="n">
        <x:f>IF(I478&lt;=0,1001,IF(MAX('損益分岐設定'!B37,ROUNDUP(R478/I478,0))&lt;='損益分岐設定'!C37,MAX('損益分岐設定'!B37,ROUNDUP(R478/I478,0)),1001))</x:f>
        <x:v>1001</x:v>
      </x:c>
      <x:c r="W478" s="1" t="n">
        <x:f>IF(I478&lt;=0,1001,IF(MAX('損益分岐設定'!B38,ROUNDUP(S478/I478,0))&lt;='損益分岐設定'!C38,MAX('損益分岐設定'!B38,ROUNDUP(S478/I478,0)),1001))</x:f>
        <x:v>1001</x:v>
      </x:c>
      <x:c r="X478" s="1" t="n">
        <x:f>IF(I478&lt;=0,1001,IF(MAX('損益分岐設定'!B39,ROUNDUP(T478/I478,0))&lt;='損益分岐設定'!C39,MAX('損益分岐設定'!B39,ROUNDUP(T478/I478,0)),1001))</x:f>
        <x:v>333</x:v>
      </x:c>
      <x:c r="Y478" s="1" t="n">
        <x:f>IF(I478&lt;=0,1001,IF(MAX('損益分岐設定'!B40,ROUNDUP(U478/I478,0))&lt;='損益分岐設定'!C40,MAX('損益分岐設定'!B40,ROUNDUP(U478/I478,0)),1001))</x:f>
        <x:v>501</x:v>
      </x:c>
      <x:c r="Z478" s="1" t="n">
        <x:f>IF(I478&lt;=0,'損益分岐設定'!C37,IF('損益分岐設定'!C37*I478-R478&lt;0,'損益分岐設定'!C37,IF('損益分岐設定'!B37*I478-R478&gt;=0,0,ROUNDUP(R478/I478,0)-1)))</x:f>
        <x:v>10</x:v>
      </x:c>
      <x:c r="AA478" s="1" t="n">
        <x:f>IF(I478&lt;=0,'損益分岐設定'!C38,IF('損益分岐設定'!C38*I478-S478&lt;0,'損益分岐設定'!C38,IF('損益分岐設定'!B38*I478-S478&gt;=0,0,ROUNDUP(S478/I478,0)-1)))</x:f>
        <x:v>100</x:v>
      </x:c>
      <x:c r="AB478" s="1" t="n">
        <x:f>IF(I478&lt;=0,'損益分岐設定'!C39,IF('損益分岐設定'!C39*I478-T478&lt;0,'損益分岐設定'!C39,IF('損益分岐設定'!B39*I478-T478&gt;=0,0,ROUNDUP(T478/I478,0)-1)))</x:f>
        <x:v>332</x:v>
      </x:c>
      <x:c r="AC478" s="1" t="n">
        <x:f>IF(I478&lt;=0,'損益分岐設定'!C40,IF('損益分岐設定'!C40*I478-U478&lt;0,'損益分岐設定'!C40,IF('損益分岐設定'!B40*I478-U478&gt;=0,0,ROUNDUP(U478/I478,0)-1)))</x:f>
        <x:v>0</x:v>
      </x:c>
      <x:c r="AD478" s="1" t="n">
        <x:f>'損益分岐設定'!$D$5/SUM('損益分岐設定'!$D$5:$D$7)</x:f>
        <x:v>0.5</x:v>
      </x:c>
      <x:c r="AE478" s="1" t="n">
        <x:f>'損益分岐設定'!$D$6/SUM('損益分岐設定'!$D$5:$D$7)</x:f>
        <x:v>0.3</x:v>
      </x:c>
      <x:c r="AF478" s="1" t="n">
        <x:f>'損益分岐設定'!$D$7/SUM('損益分岐設定'!$D$5:$D$7)</x:f>
        <x:v>0.2</x:v>
      </x:c>
      <x:c r="AG478" s="1" t="n">
        <x:f>AD478*('損益分岐設定'!$C$57*(1-'損益分岐設定'!$B$51)+'損益分岐設定'!$C$58*'損益分岐設定'!$B$51)+AE478*('損益分岐設定'!$C$60*(1-'損益分岐設定'!$B$51)+'損益分岐設定'!$C$61*'損益分岐設定'!$B$51)+AF478*('損益分岐設定'!$C$63*(1-'損益分岐設定'!$B$51)+'損益分岐設定'!$C$64*'損益分岐設定'!$B$51)</x:f>
        <x:v>2164.7431551757813</x:v>
      </x:c>
      <x:c r="AH478" s="1" t="n">
        <x:f>AD478*('損益分岐設定'!$D$57*(1-'損益分岐設定'!$B$51)+'損益分岐設定'!$D$58*'損益分岐設定'!$B$51)+AE478*('損益分岐設定'!$D$60*(1-'損益分岐設定'!$B$51)+'損益分岐設定'!$D$61*'損益分岐設定'!$B$51)+AF478*('損益分岐設定'!$D$63*(1-'損益分岐設定'!$B$51)+'損益分岐設定'!$D$64*'損益分岐設定'!$B$51)</x:f>
        <x:v>177.6</x:v>
      </x:c>
      <x:c r="AI478" s="1" t="n">
        <x:f>AD478*('損益分岐設定'!$E$57*(1-'損益分岐設定'!$B$51)+'損益分岐設定'!$E$58*'損益分岐設定'!$B$51)+AE478*('損益分岐設定'!$E$60*(1-'損益分岐設定'!$B$51)+'損益分岐設定'!$E$61*'損益分岐設定'!$B$51)+AF478*('損益分岐設定'!$E$63*(1-'損益分岐設定'!$B$51)+'損益分岐設定'!$E$64*'損益分岐設定'!$B$51)</x:f>
        <x:v>207.2</x:v>
      </x:c>
      <x:c r="AJ478" s="1" t="n">
        <x:f>(AD478*('損益分岐設定'!$F$57*(1-'損益分岐設定'!$B$51)+'損益分岐設定'!$F$58*'損益分岐設定'!$B$51)+AE478*('損益分岐設定'!$F$60*(1-'損益分岐設定'!$B$51)+'損益分岐設定'!$F$61*'損益分岐設定'!$B$51)+AF478*('損益分岐設定'!$F$63*(1-'損益分岐設定'!$B$51)+'損益分岐設定'!$F$64*'損益分岐設定'!$B$51)*1)*'損益分岐設定'!$B$22</x:f>
        <x:v>1687.2</x:v>
      </x:c>
      <x:c r="AK478" s="1" t="n">
        <x:f>AD478*('損益分岐設定'!$G$57*(1-'損益分岐設定'!$B$51)+'損益分岐設定'!$G$58*'損益分岐設定'!$B$51)+AE478*('損益分岐設定'!$G$60*(1-'損益分岐設定'!$B$51)+'損益分岐設定'!$G$61*'損益分岐設定'!$B$51)+AF478*('損益分岐設定'!$G$63*(1-'損益分岐設定'!$B$51)+'損益分岐設定'!$G$64*'損益分岐設定'!$B$51)</x:f>
        <x:v>1480</x:v>
      </x:c>
      <x:c r="AL478" s="1" t="n">
        <x:f>AD478*('損益分岐設定'!$H$57*(1-'損益分岐設定'!$B$51)+'損益分岐設定'!$H$58*'損益分岐設定'!$B$51)+AE478*('損益分岐設定'!$H$60*(1-'損益分岐設定'!$B$51)+'損益分岐設定'!$H$61*'損益分岐設定'!$B$51)+AF478*('損益分岐設定'!$H$63*(1-'損益分岐設定'!$B$51)+'損益分岐設定'!$H$64*'損益分岐設定'!$B$51)</x:f>
        <x:v>816.6666666666667</x:v>
      </x:c>
      <x:c r="AM478" s="1" t="n">
        <x:f>MAX(1,ROUNDUP('損益分岐設定'!C37*AJ478/('損益分岐設定'!$B$23*'損益分岐設定'!$B$24*3600*'損益分岐設定'!$B$25),0))</x:f>
        <x:v>1</x:v>
      </x:c>
      <x:c r="AN478" s="1" t="n">
        <x:f>MAX(2,ROUNDUP('損益分岐設定'!C38*AJ478/('損益分岐設定'!$B$23*'損益分岐設定'!$B$24*3600*'損益分岐設定'!$B$25),0))</x:f>
        <x:v>2</x:v>
      </x:c>
      <x:c r="AO478" s="1" t="n">
        <x:f>MAX(2,ROUNDUP('損益分岐設定'!C39*AJ478/('損益分岐設定'!$B$23*'損益分岐設定'!$B$24*3600*'損益分岐設定'!$B$25),0))</x:f>
        <x:v>2</x:v>
      </x:c>
      <x:c r="AP478" s="1" t="n">
        <x:f>MAX(2,ROUNDUP('損益分岐設定'!C40*AJ478/('損益分岐設定'!$B$23*'損益分岐設定'!$B$24*3600*'損益分岐設定'!$B$25),0))</x:f>
        <x:v>4</x:v>
      </x:c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 ht="23" customHeight="1">
      <x:c r="A479" s="1" t="str">
        <x:v>VM</x:v>
      </x:c>
      <x:c r="B479" s="1" t="str">
        <x:v>混在</x:v>
      </x:c>
      <x:c r="C479" s="1" t="str">
        <x:v>標準+高位混在</x:v>
      </x:c>
      <x:c r="D479" s="21" t="n">
        <x:v>0.3</x:v>
      </x:c>
      <x:c r="E479" s="1" t="n">
        <x:v>0</x:v>
      </x:c>
      <x:c r="F479" s="7" t="n">
        <x:f>AD479*'損益分岐設定'!$B$5+AE479*'損益分岐設定'!$B$6+AF479*'損益分岐設定'!$B$7</x:f>
        <x:v>4600</x:v>
      </x:c>
      <x:c r="G479" s="7" t="n">
        <x:f>AG479+0+AK479*'損益分岐設定'!$B$33</x:f>
        <x:v>2164.7596954647065</x:v>
      </x:c>
      <x:c r="H479" s="7" t="n">
        <x:f>AL479*E479</x:f>
        <x:v>0</x:v>
      </x:c>
      <x:c r="I479" s="7" t="n">
        <x:f>F479*(1-D479-'損益分岐設定'!$B$10)-G479-H479</x:f>
        <x:v>889.6403045352931</x:v>
      </x:c>
      <x:c r="J479" s="1" t="n">
        <x:f>IF(MIN(V479:Y479)&gt;1000,"範囲内なし",MIN(V479:Y479))</x:f>
        <x:v>110</x:v>
      </x:c>
      <x:c r="K479" s="1" t="n">
        <x:f>IF(MAX(Z479:AC479)&gt;=1000,"範囲内なし",MAX(1,MAX(Z479:AC479)+1))</x:f>
        <x:v>110</x:v>
      </x:c>
      <x:c r="L479" s="7" t="n">
        <x:f>10*I479-R479</x:f>
        <x:v>-41862.78371586834</x:v>
      </x:c>
      <x:c r="M479" s="7" t="n">
        <x:f>30*I479-S479</x:f>
        <x:v>-70329.16438638375</x:v>
      </x:c>
      <x:c r="N479" s="7" t="n">
        <x:f>50*I479-S479</x:f>
        <x:v>-52536.35829567789</x:v>
      </x:c>
      <x:c r="O479" s="7" t="n">
        <x:f>100*I479-S479</x:f>
        <x:v>-8054.3430689132365</x:v>
      </x:c>
      <x:c r="P479" s="7" t="n">
        <x:f>300*I479-T479</x:f>
        <x:v>169873.71783814539</x:v>
      </x:c>
      <x:c r="Q479" s="7" t="n">
        <x:f>1000*I479-U479</x:f>
        <x:v>750862.7442516293</x:v>
      </x:c>
      <x:c r="R479" s="7" t="n">
        <x:f>'損益分岐設定'!$B$18+'損益分岐設定'!$B$19+'損益分岐設定'!$B$20+'損益分岐設定'!E37+('損益分岐設定'!F37+2*'損益分岐設定'!G37+AM479)*('損益分岐設定'!$B$15+'損益分岐設定'!$B$16)+'損益分岐設定'!$B$17+'損益分岐設定'!$B$21+E479*'損益分岐設定'!H37*'損益分岐設定'!$B$11</x:f>
        <x:v>50759.18676122127</x:v>
      </x:c>
      <x:c r="S479" s="7" t="n">
        <x:f>'損益分岐設定'!$B$18+'損益分岐設定'!$B$19+'損益分岐設定'!$B$20+'損益分岐設定'!E38+('損益分岐設定'!F38+2*'損益分岐設定'!G38+AN479)*('損益分岐設定'!$B$15+'損益分岐設定'!$B$16)+'損益分岐設定'!$B$17+'損益分岐設定'!$B$21+E479*'損益分岐設定'!H38*'損益分岐設定'!$B$11</x:f>
        <x:v>97018.37352244255</x:v>
      </x:c>
      <x:c r="T479" s="7" t="n">
        <x:f>'損益分岐設定'!$B$18+'損益分岐設定'!$B$19+'損益分岐設定'!$B$20+'損益分岐設定'!E39+('損益分岐設定'!F39+2*'損益分岐設定'!G39+AO479)*('損益分岐設定'!$B$15+'損益分岐設定'!$B$16)+'損益分岐設定'!$B$17+'損益分岐設定'!$B$21+E479*'損益分岐設定'!H39*'損益分岐設定'!$B$11</x:f>
        <x:v>97018.37352244255</x:v>
      </x:c>
      <x:c r="U479" s="7" t="n">
        <x:f>'損益分岐設定'!$B$18+'損益分岐設定'!$B$19+'損益分岐設定'!$B$20+'損益分岐設定'!E40+('損益分岐設定'!F40+2*'損益分岐設定'!G40+AP479)*('損益分岐設定'!$B$15+'損益分岐設定'!$B$16)+'損益分岐設定'!$B$17+'損益分岐設定'!$B$21+E479*'損益分岐設定'!H40*'損益分岐設定'!$B$11</x:f>
        <x:v>138777.56028366383</x:v>
      </x:c>
      <x:c r="V479" s="1" t="n">
        <x:f>IF(I479&lt;=0,1001,IF(MAX('損益分岐設定'!B37,ROUNDUP(R479/I479,0))&lt;='損益分岐設定'!C37,MAX('損益分岐設定'!B37,ROUNDUP(R479/I479,0)),1001))</x:f>
        <x:v>1001</x:v>
      </x:c>
      <x:c r="W479" s="1" t="n">
        <x:f>IF(I479&lt;=0,1001,IF(MAX('損益分岐設定'!B38,ROUNDUP(S479/I479,0))&lt;='損益分岐設定'!C38,MAX('損益分岐設定'!B38,ROUNDUP(S479/I479,0)),1001))</x:f>
        <x:v>1001</x:v>
      </x:c>
      <x:c r="X479" s="1" t="n">
        <x:f>IF(I479&lt;=0,1001,IF(MAX('損益分岐設定'!B39,ROUNDUP(T479/I479,0))&lt;='損益分岐設定'!C39,MAX('損益分岐設定'!B39,ROUNDUP(T479/I479,0)),1001))</x:f>
        <x:v>110</x:v>
      </x:c>
      <x:c r="Y479" s="1" t="n">
        <x:f>IF(I479&lt;=0,1001,IF(MAX('損益分岐設定'!B40,ROUNDUP(U479/I479,0))&lt;='損益分岐設定'!C40,MAX('損益分岐設定'!B40,ROUNDUP(U479/I479,0)),1001))</x:f>
        <x:v>501</x:v>
      </x:c>
      <x:c r="Z479" s="1" t="n">
        <x:f>IF(I479&lt;=0,'損益分岐設定'!C37,IF('損益分岐設定'!C37*I479-R479&lt;0,'損益分岐設定'!C37,IF('損益分岐設定'!B37*I479-R479&gt;=0,0,ROUNDUP(R479/I479,0)-1)))</x:f>
        <x:v>10</x:v>
      </x:c>
      <x:c r="AA479" s="1" t="n">
        <x:f>IF(I479&lt;=0,'損益分岐設定'!C38,IF('損益分岐設定'!C38*I479-S479&lt;0,'損益分岐設定'!C38,IF('損益分岐設定'!B38*I479-S479&gt;=0,0,ROUNDUP(S479/I479,0)-1)))</x:f>
        <x:v>100</x:v>
      </x:c>
      <x:c r="AB479" s="1" t="n">
        <x:f>IF(I479&lt;=0,'損益分岐設定'!C39,IF('損益分岐設定'!C39*I479-T479&lt;0,'損益分岐設定'!C39,IF('損益分岐設定'!B39*I479-T479&gt;=0,0,ROUNDUP(T479/I479,0)-1)))</x:f>
        <x:v>109</x:v>
      </x:c>
      <x:c r="AC479" s="1" t="n">
        <x:f>IF(I479&lt;=0,'損益分岐設定'!C40,IF('損益分岐設定'!C40*I479-U479&lt;0,'損益分岐設定'!C40,IF('損益分岐設定'!B40*I479-U479&gt;=0,0,ROUNDUP(U479/I479,0)-1)))</x:f>
        <x:v>0</x:v>
      </x:c>
      <x:c r="AD479" s="1" t="n">
        <x:f>'損益分岐設定'!$D$5/SUM('損益分岐設定'!$D$5:$D$7)</x:f>
        <x:v>0.5</x:v>
      </x:c>
      <x:c r="AE479" s="1" t="n">
        <x:f>'損益分岐設定'!$D$6/SUM('損益分岐設定'!$D$5:$D$7)</x:f>
        <x:v>0.3</x:v>
      </x:c>
      <x:c r="AF479" s="1" t="n">
        <x:f>'損益分岐設定'!$D$7/SUM('損益分岐設定'!$D$5:$D$7)</x:f>
        <x:v>0.2</x:v>
      </x:c>
      <x:c r="AG479" s="1" t="n">
        <x:f>AD479*('損益分岐設定'!$C$57*(1-'損益分岐設定'!$B$51)+'損益分岐設定'!$C$58*'損益分岐設定'!$B$51)+AE479*('損益分岐設定'!$C$60*(1-'損益分岐設定'!$B$51)+'損益分岐設定'!$C$61*'損益分岐設定'!$B$51)+AF479*('損益分岐設定'!$C$63*(1-'損益分岐設定'!$B$51)+'損益分岐設定'!$C$64*'損益分岐設定'!$B$51)</x:f>
        <x:v>2164.7431551757813</x:v>
      </x:c>
      <x:c r="AH479" s="1" t="n">
        <x:f>AD479*('損益分岐設定'!$D$57*(1-'損益分岐設定'!$B$51)+'損益分岐設定'!$D$58*'損益分岐設定'!$B$51)+AE479*('損益分岐設定'!$D$60*(1-'損益分岐設定'!$B$51)+'損益分岐設定'!$D$61*'損益分岐設定'!$B$51)+AF479*('損益分岐設定'!$D$63*(1-'損益分岐設定'!$B$51)+'損益分岐設定'!$D$64*'損益分岐設定'!$B$51)</x:f>
        <x:v>177.6</x:v>
      </x:c>
      <x:c r="AI479" s="1" t="n">
        <x:f>AD479*('損益分岐設定'!$E$57*(1-'損益分岐設定'!$B$51)+'損益分岐設定'!$E$58*'損益分岐設定'!$B$51)+AE479*('損益分岐設定'!$E$60*(1-'損益分岐設定'!$B$51)+'損益分岐設定'!$E$61*'損益分岐設定'!$B$51)+AF479*('損益分岐設定'!$E$63*(1-'損益分岐設定'!$B$51)+'損益分岐設定'!$E$64*'損益分岐設定'!$B$51)</x:f>
        <x:v>207.2</x:v>
      </x:c>
      <x:c r="AJ479" s="1" t="n">
        <x:f>(AD479*('損益分岐設定'!$F$57*(1-'損益分岐設定'!$B$51)+'損益分岐設定'!$F$58*'損益分岐設定'!$B$51)+AE479*('損益分岐設定'!$F$60*(1-'損益分岐設定'!$B$51)+'損益分岐設定'!$F$61*'損益分岐設定'!$B$51)+AF479*('損益分岐設定'!$F$63*(1-'損益分岐設定'!$B$51)+'損益分岐設定'!$F$64*'損益分岐設定'!$B$51)*1)*'損益分岐設定'!$B$22</x:f>
        <x:v>1687.2</x:v>
      </x:c>
      <x:c r="AK479" s="1" t="n">
        <x:f>AD479*('損益分岐設定'!$G$57*(1-'損益分岐設定'!$B$51)+'損益分岐設定'!$G$58*'損益分岐設定'!$B$51)+AE479*('損益分岐設定'!$G$60*(1-'損益分岐設定'!$B$51)+'損益分岐設定'!$G$61*'損益分岐設定'!$B$51)+AF479*('損益分岐設定'!$G$63*(1-'損益分岐設定'!$B$51)+'損益分岐設定'!$G$64*'損益分岐設定'!$B$51)</x:f>
        <x:v>1480</x:v>
      </x:c>
      <x:c r="AL479" s="1" t="n">
        <x:f>AD479*('損益分岐設定'!$H$57*(1-'損益分岐設定'!$B$51)+'損益分岐設定'!$H$58*'損益分岐設定'!$B$51)+AE479*('損益分岐設定'!$H$60*(1-'損益分岐設定'!$B$51)+'損益分岐設定'!$H$61*'損益分岐設定'!$B$51)+AF479*('損益分岐設定'!$H$63*(1-'損益分岐設定'!$B$51)+'損益分岐設定'!$H$64*'損益分岐設定'!$B$51)</x:f>
        <x:v>816.6666666666667</x:v>
      </x:c>
      <x:c r="AM479" s="1" t="n">
        <x:f>MAX(1,ROUNDUP('損益分岐設定'!C37*AJ479/('損益分岐設定'!$B$23*'損益分岐設定'!$B$24*3600*'損益分岐設定'!$B$25),0))</x:f>
        <x:v>1</x:v>
      </x:c>
      <x:c r="AN479" s="1" t="n">
        <x:f>MAX(2,ROUNDUP('損益分岐設定'!C38*AJ479/('損益分岐設定'!$B$23*'損益分岐設定'!$B$24*3600*'損益分岐設定'!$B$25),0))</x:f>
        <x:v>2</x:v>
      </x:c>
      <x:c r="AO479" s="1" t="n">
        <x:f>MAX(2,ROUNDUP('損益分岐設定'!C39*AJ479/('損益分岐設定'!$B$23*'損益分岐設定'!$B$24*3600*'損益分岐設定'!$B$25),0))</x:f>
        <x:v>2</x:v>
      </x:c>
      <x:c r="AP479" s="1" t="n">
        <x:f>MAX(2,ROUNDUP('損益分岐設定'!C40*AJ479/('損益分岐設定'!$B$23*'損益分岐設定'!$B$24*3600*'損益分岐設定'!$B$25),0))</x:f>
        <x:v>4</x:v>
      </x:c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 ht="23" customHeight="1">
      <x:c r="A480" s="1" t="str">
        <x:v>VM</x:v>
      </x:c>
      <x:c r="B480" s="1" t="str">
        <x:v>混在</x:v>
      </x:c>
      <x:c r="C480" s="1" t="str">
        <x:v>標準+高位混在</x:v>
      </x:c>
      <x:c r="D480" s="21" t="n">
        <x:v>0.3</x:v>
      </x:c>
      <x:c r="E480" s="1" t="n">
        <x:v>1</x:v>
      </x:c>
      <x:c r="F480" s="7" t="n">
        <x:f>AD480*'損益分岐設定'!$B$5+AE480*'損益分岐設定'!$B$6+AF480*'損益分岐設定'!$B$7</x:f>
        <x:v>4600</x:v>
      </x:c>
      <x:c r="G480" s="7" t="n">
        <x:f>AG480+0+AK480*'損益分岐設定'!$B$33</x:f>
        <x:v>2164.7596954647065</x:v>
      </x:c>
      <x:c r="H480" s="7" t="n">
        <x:f>AL480*E480</x:f>
        <x:v>816.6666666666667</x:v>
      </x:c>
      <x:c r="I480" s="7" t="n">
        <x:f>F480*(1-D480-'損益分岐設定'!$B$10)-G480-H480</x:f>
        <x:v>72.97363786862638</x:v>
      </x:c>
      <x:c r="J480" s="1" t="str">
        <x:f>IF(MIN(V480:Y480)&gt;1000,"範囲内なし",MIN(V480:Y480))</x:f>
        <x:v>範囲内なし</x:v>
      </x:c>
      <x:c r="K480" s="1" t="str">
        <x:f>IF(MAX(Z480:AC480)&gt;=1000,"範囲内なし",MAX(1,MAX(Z480:AC480)+1))</x:f>
        <x:v>範囲内なし</x:v>
      </x:c>
      <x:c r="L480" s="7" t="n">
        <x:f>10*I480-R480</x:f>
        <x:v>-82029.450382535</x:v>
      </x:c>
      <x:c r="M480" s="7" t="n">
        <x:f>30*I480-S480</x:f>
        <x:v>-142829.16438638375</x:v>
      </x:c>
      <x:c r="N480" s="7" t="n">
        <x:f>50*I480-S480</x:f>
        <x:v>-141369.6916290112</x:v>
      </x:c>
      <x:c r="O480" s="7" t="n">
        <x:f>100*I480-S480</x:f>
        <x:v>-137721.0097355799</x:v>
      </x:c>
      <x:c r="P480" s="7" t="n">
        <x:f>300*I480-T480</x:f>
        <x:v>-155126.28216185461</x:v>
      </x:c>
      <x:c r="Q480" s="7" t="n">
        <x:f>1000*I480-U480</x:f>
        <x:v>-193803.9224150374</x:v>
      </x:c>
      <x:c r="R480" s="7" t="n">
        <x:f>'損益分岐設定'!$B$18+'損益分岐設定'!$B$19+'損益分岐設定'!$B$20+'損益分岐設定'!E37+('損益分岐設定'!F37+2*'損益分岐設定'!G37+AM480)*('損益分岐設定'!$B$15+'損益分岐設定'!$B$16)+'損益分岐設定'!$B$17+'損益分岐設定'!$B$21+E480*'損益分岐設定'!H37*'損益分岐設定'!$B$11</x:f>
        <x:v>82759.18676122127</x:v>
      </x:c>
      <x:c r="S480" s="7" t="n">
        <x:f>'損益分岐設定'!$B$18+'損益分岐設定'!$B$19+'損益分岐設定'!$B$20+'損益分岐設定'!E38+('損益分岐設定'!F38+2*'損益分岐設定'!G38+AN480)*('損益分岐設定'!$B$15+'損益分岐設定'!$B$16)+'損益分岐設定'!$B$17+'損益分岐設定'!$B$21+E480*'損益分岐設定'!H38*'損益分岐設定'!$B$11</x:f>
        <x:v>145018.37352244253</x:v>
      </x:c>
      <x:c r="T480" s="7" t="n">
        <x:f>'損益分岐設定'!$B$18+'損益分岐設定'!$B$19+'損益分岐設定'!$B$20+'損益分岐設定'!E39+('損益分岐設定'!F39+2*'損益分岐設定'!G39+AO480)*('損益分岐設定'!$B$15+'損益分岐設定'!$B$16)+'損益分岐設定'!$B$17+'損益分岐設定'!$B$21+E480*'損益分岐設定'!H39*'損益分岐設定'!$B$11</x:f>
        <x:v>177018.37352244253</x:v>
      </x:c>
      <x:c r="U480" s="7" t="n">
        <x:f>'損益分岐設定'!$B$18+'損益分岐設定'!$B$19+'損益分岐設定'!$B$20+'損益分岐設定'!E40+('損益分岐設定'!F40+2*'損益分岐設定'!G40+AP480)*('損益分岐設定'!$B$15+'損益分岐設定'!$B$16)+'損益分岐設定'!$B$17+'損益分岐設定'!$B$21+E480*'損益分岐設定'!H40*'損益分岐設定'!$B$11</x:f>
        <x:v>266777.5602836638</x:v>
      </x:c>
      <x:c r="V480" s="1" t="n">
        <x:f>IF(I480&lt;=0,1001,IF(MAX('損益分岐設定'!B37,ROUNDUP(R480/I480,0))&lt;='損益分岐設定'!C37,MAX('損益分岐設定'!B37,ROUNDUP(R480/I480,0)),1001))</x:f>
        <x:v>1001</x:v>
      </x:c>
      <x:c r="W480" s="1" t="n">
        <x:f>IF(I480&lt;=0,1001,IF(MAX('損益分岐設定'!B38,ROUNDUP(S480/I480,0))&lt;='損益分岐設定'!C38,MAX('損益分岐設定'!B38,ROUNDUP(S480/I480,0)),1001))</x:f>
        <x:v>1001</x:v>
      </x:c>
      <x:c r="X480" s="1" t="n">
        <x:f>IF(I480&lt;=0,1001,IF(MAX('損益分岐設定'!B39,ROUNDUP(T480/I480,0))&lt;='損益分岐設定'!C39,MAX('損益分岐設定'!B39,ROUNDUP(T480/I480,0)),1001))</x:f>
        <x:v>1001</x:v>
      </x:c>
      <x:c r="Y480" s="1" t="n">
        <x:f>IF(I480&lt;=0,1001,IF(MAX('損益分岐設定'!B40,ROUNDUP(U480/I480,0))&lt;='損益分岐設定'!C40,MAX('損益分岐設定'!B40,ROUNDUP(U480/I480,0)),1001))</x:f>
        <x:v>1001</x:v>
      </x:c>
      <x:c r="Z480" s="1" t="n">
        <x:f>IF(I480&lt;=0,'損益分岐設定'!C37,IF('損益分岐設定'!C37*I480-R480&lt;0,'損益分岐設定'!C37,IF('損益分岐設定'!B37*I480-R480&gt;=0,0,ROUNDUP(R480/I480,0)-1)))</x:f>
        <x:v>10</x:v>
      </x:c>
      <x:c r="AA480" s="1" t="n">
        <x:f>IF(I480&lt;=0,'損益分岐設定'!C38,IF('損益分岐設定'!C38*I480-S480&lt;0,'損益分岐設定'!C38,IF('損益分岐設定'!B38*I480-S480&gt;=0,0,ROUNDUP(S480/I480,0)-1)))</x:f>
        <x:v>100</x:v>
      </x:c>
      <x:c r="AB480" s="1" t="n">
        <x:f>IF(I480&lt;=0,'損益分岐設定'!C39,IF('損益分岐設定'!C39*I480-T480&lt;0,'損益分岐設定'!C39,IF('損益分岐設定'!B39*I480-T480&gt;=0,0,ROUNDUP(T480/I480,0)-1)))</x:f>
        <x:v>500</x:v>
      </x:c>
      <x:c r="AC480" s="1" t="n">
        <x:f>IF(I480&lt;=0,'損益分岐設定'!C40,IF('損益分岐設定'!C40*I480-U480&lt;0,'損益分岐設定'!C40,IF('損益分岐設定'!B40*I480-U480&gt;=0,0,ROUNDUP(U480/I480,0)-1)))</x:f>
        <x:v>1000</x:v>
      </x:c>
      <x:c r="AD480" s="1" t="n">
        <x:f>'損益分岐設定'!$D$5/SUM('損益分岐設定'!$D$5:$D$7)</x:f>
        <x:v>0.5</x:v>
      </x:c>
      <x:c r="AE480" s="1" t="n">
        <x:f>'損益分岐設定'!$D$6/SUM('損益分岐設定'!$D$5:$D$7)</x:f>
        <x:v>0.3</x:v>
      </x:c>
      <x:c r="AF480" s="1" t="n">
        <x:f>'損益分岐設定'!$D$7/SUM('損益分岐設定'!$D$5:$D$7)</x:f>
        <x:v>0.2</x:v>
      </x:c>
      <x:c r="AG480" s="1" t="n">
        <x:f>AD480*('損益分岐設定'!$C$57*(1-'損益分岐設定'!$B$51)+'損益分岐設定'!$C$58*'損益分岐設定'!$B$51)+AE480*('損益分岐設定'!$C$60*(1-'損益分岐設定'!$B$51)+'損益分岐設定'!$C$61*'損益分岐設定'!$B$51)+AF480*('損益分岐設定'!$C$63*(1-'損益分岐設定'!$B$51)+'損益分岐設定'!$C$64*'損益分岐設定'!$B$51)</x:f>
        <x:v>2164.7431551757813</x:v>
      </x:c>
      <x:c r="AH480" s="1" t="n">
        <x:f>AD480*('損益分岐設定'!$D$57*(1-'損益分岐設定'!$B$51)+'損益分岐設定'!$D$58*'損益分岐設定'!$B$51)+AE480*('損益分岐設定'!$D$60*(1-'損益分岐設定'!$B$51)+'損益分岐設定'!$D$61*'損益分岐設定'!$B$51)+AF480*('損益分岐設定'!$D$63*(1-'損益分岐設定'!$B$51)+'損益分岐設定'!$D$64*'損益分岐設定'!$B$51)</x:f>
        <x:v>177.6</x:v>
      </x:c>
      <x:c r="AI480" s="1" t="n">
        <x:f>AD480*('損益分岐設定'!$E$57*(1-'損益分岐設定'!$B$51)+'損益分岐設定'!$E$58*'損益分岐設定'!$B$51)+AE480*('損益分岐設定'!$E$60*(1-'損益分岐設定'!$B$51)+'損益分岐設定'!$E$61*'損益分岐設定'!$B$51)+AF480*('損益分岐設定'!$E$63*(1-'損益分岐設定'!$B$51)+'損益分岐設定'!$E$64*'損益分岐設定'!$B$51)</x:f>
        <x:v>207.2</x:v>
      </x:c>
      <x:c r="AJ480" s="1" t="n">
        <x:f>(AD480*('損益分岐設定'!$F$57*(1-'損益分岐設定'!$B$51)+'損益分岐設定'!$F$58*'損益分岐設定'!$B$51)+AE480*('損益分岐設定'!$F$60*(1-'損益分岐設定'!$B$51)+'損益分岐設定'!$F$61*'損益分岐設定'!$B$51)+AF480*('損益分岐設定'!$F$63*(1-'損益分岐設定'!$B$51)+'損益分岐設定'!$F$64*'損益分岐設定'!$B$51)*1)*'損益分岐設定'!$B$22</x:f>
        <x:v>1687.2</x:v>
      </x:c>
      <x:c r="AK480" s="1" t="n">
        <x:f>AD480*('損益分岐設定'!$G$57*(1-'損益分岐設定'!$B$51)+'損益分岐設定'!$G$58*'損益分岐設定'!$B$51)+AE480*('損益分岐設定'!$G$60*(1-'損益分岐設定'!$B$51)+'損益分岐設定'!$G$61*'損益分岐設定'!$B$51)+AF480*('損益分岐設定'!$G$63*(1-'損益分岐設定'!$B$51)+'損益分岐設定'!$G$64*'損益分岐設定'!$B$51)</x:f>
        <x:v>1480</x:v>
      </x:c>
      <x:c r="AL480" s="1" t="n">
        <x:f>AD480*('損益分岐設定'!$H$57*(1-'損益分岐設定'!$B$51)+'損益分岐設定'!$H$58*'損益分岐設定'!$B$51)+AE480*('損益分岐設定'!$H$60*(1-'損益分岐設定'!$B$51)+'損益分岐設定'!$H$61*'損益分岐設定'!$B$51)+AF480*('損益分岐設定'!$H$63*(1-'損益分岐設定'!$B$51)+'損益分岐設定'!$H$64*'損益分岐設定'!$B$51)</x:f>
        <x:v>816.6666666666667</x:v>
      </x:c>
      <x:c r="AM480" s="1" t="n">
        <x:f>MAX(1,ROUNDUP('損益分岐設定'!C37*AJ480/('損益分岐設定'!$B$23*'損益分岐設定'!$B$24*3600*'損益分岐設定'!$B$25),0))</x:f>
        <x:v>1</x:v>
      </x:c>
      <x:c r="AN480" s="1" t="n">
        <x:f>MAX(2,ROUNDUP('損益分岐設定'!C38*AJ480/('損益分岐設定'!$B$23*'損益分岐設定'!$B$24*3600*'損益分岐設定'!$B$25),0))</x:f>
        <x:v>2</x:v>
      </x:c>
      <x:c r="AO480" s="1" t="n">
        <x:f>MAX(2,ROUNDUP('損益分岐設定'!C39*AJ480/('損益分岐設定'!$B$23*'損益分岐設定'!$B$24*3600*'損益分岐設定'!$B$25),0))</x:f>
        <x:v>2</x:v>
      </x:c>
      <x:c r="AP480" s="1" t="n">
        <x:f>MAX(2,ROUNDUP('損益分岐設定'!C40*AJ480/('損益分岐設定'!$B$23*'損益分岐設定'!$B$24*3600*'損益分岐設定'!$B$25),0))</x:f>
        <x:v>4</x:v>
      </x:c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 ht="23" customHeight="1">
      <x:c r="A481" s="1" t="str">
        <x:v>VM</x:v>
      </x:c>
      <x:c r="B481" s="1" t="str">
        <x:v>混在</x:v>
      </x:c>
      <x:c r="C481" s="1" t="str">
        <x:v>標準+高位混在</x:v>
      </x:c>
      <x:c r="D481" s="21" t="n">
        <x:v>0.4</x:v>
      </x:c>
      <x:c r="E481" s="1" t="n">
        <x:v>0</x:v>
      </x:c>
      <x:c r="F481" s="7" t="n">
        <x:f>AD481*'損益分岐設定'!$B$5+AE481*'損益分岐設定'!$B$6+AF481*'損益分岐設定'!$B$7</x:f>
        <x:v>4600</x:v>
      </x:c>
      <x:c r="G481" s="7" t="n">
        <x:f>AG481+0+AK481*'損益分岐設定'!$B$33</x:f>
        <x:v>2164.7596954647065</x:v>
      </x:c>
      <x:c r="H481" s="7" t="n">
        <x:f>AL481*E481</x:f>
        <x:v>0</x:v>
      </x:c>
      <x:c r="I481" s="7" t="n">
        <x:f>F481*(1-D481-'損益分岐設定'!$B$10)-G481-H481</x:f>
        <x:v>429.6403045352931</x:v>
      </x:c>
      <x:c r="J481" s="1" t="n">
        <x:f>IF(MIN(V481:Y481)&gt;1000,"範囲内なし",MIN(V481:Y481))</x:f>
        <x:v>226</x:v>
      </x:c>
      <x:c r="K481" s="1" t="n">
        <x:f>IF(MAX(Z481:AC481)&gt;=1000,"範囲内なし",MAX(1,MAX(Z481:AC481)+1))</x:f>
        <x:v>226</x:v>
      </x:c>
      <x:c r="L481" s="7" t="n">
        <x:f>10*I481-R481</x:f>
        <x:v>-46462.78371586834</x:v>
      </x:c>
      <x:c r="M481" s="7" t="n">
        <x:f>30*I481-S481</x:f>
        <x:v>-84129.16438638375</x:v>
      </x:c>
      <x:c r="N481" s="7" t="n">
        <x:f>50*I481-S481</x:f>
        <x:v>-75536.3582956779</x:v>
      </x:c>
      <x:c r="O481" s="7" t="n">
        <x:f>100*I481-S481</x:f>
        <x:v>-54054.34306891324</x:v>
      </x:c>
      <x:c r="P481" s="7" t="n">
        <x:f>300*I481-T481</x:f>
        <x:v>31873.717838145385</x:v>
      </x:c>
      <x:c r="Q481" s="7" t="n">
        <x:f>1000*I481-U481</x:f>
        <x:v>290862.74425162934</x:v>
      </x:c>
      <x:c r="R481" s="7" t="n">
        <x:f>'損益分岐設定'!$B$18+'損益分岐設定'!$B$19+'損益分岐設定'!$B$20+'損益分岐設定'!E37+('損益分岐設定'!F37+2*'損益分岐設定'!G37+AM481)*('損益分岐設定'!$B$15+'損益分岐設定'!$B$16)+'損益分岐設定'!$B$17+'損益分岐設定'!$B$21+E481*'損益分岐設定'!H37*'損益分岐設定'!$B$11</x:f>
        <x:v>50759.18676122127</x:v>
      </x:c>
      <x:c r="S481" s="7" t="n">
        <x:f>'損益分岐設定'!$B$18+'損益分岐設定'!$B$19+'損益分岐設定'!$B$20+'損益分岐設定'!E38+('損益分岐設定'!F38+2*'損益分岐設定'!G38+AN481)*('損益分岐設定'!$B$15+'損益分岐設定'!$B$16)+'損益分岐設定'!$B$17+'損益分岐設定'!$B$21+E481*'損益分岐設定'!H38*'損益分岐設定'!$B$11</x:f>
        <x:v>97018.37352244255</x:v>
      </x:c>
      <x:c r="T481" s="7" t="n">
        <x:f>'損益分岐設定'!$B$18+'損益分岐設定'!$B$19+'損益分岐設定'!$B$20+'損益分岐設定'!E39+('損益分岐設定'!F39+2*'損益分岐設定'!G39+AO481)*('損益分岐設定'!$B$15+'損益分岐設定'!$B$16)+'損益分岐設定'!$B$17+'損益分岐設定'!$B$21+E481*'損益分岐設定'!H39*'損益分岐設定'!$B$11</x:f>
        <x:v>97018.37352244255</x:v>
      </x:c>
      <x:c r="U481" s="7" t="n">
        <x:f>'損益分岐設定'!$B$18+'損益分岐設定'!$B$19+'損益分岐設定'!$B$20+'損益分岐設定'!E40+('損益分岐設定'!F40+2*'損益分岐設定'!G40+AP481)*('損益分岐設定'!$B$15+'損益分岐設定'!$B$16)+'損益分岐設定'!$B$17+'損益分岐設定'!$B$21+E481*'損益分岐設定'!H40*'損益分岐設定'!$B$11</x:f>
        <x:v>138777.56028366383</x:v>
      </x:c>
      <x:c r="V481" s="1" t="n">
        <x:f>IF(I481&lt;=0,1001,IF(MAX('損益分岐設定'!B37,ROUNDUP(R481/I481,0))&lt;='損益分岐設定'!C37,MAX('損益分岐設定'!B37,ROUNDUP(R481/I481,0)),1001))</x:f>
        <x:v>1001</x:v>
      </x:c>
      <x:c r="W481" s="1" t="n">
        <x:f>IF(I481&lt;=0,1001,IF(MAX('損益分岐設定'!B38,ROUNDUP(S481/I481,0))&lt;='損益分岐設定'!C38,MAX('損益分岐設定'!B38,ROUNDUP(S481/I481,0)),1001))</x:f>
        <x:v>1001</x:v>
      </x:c>
      <x:c r="X481" s="1" t="n">
        <x:f>IF(I481&lt;=0,1001,IF(MAX('損益分岐設定'!B39,ROUNDUP(T481/I481,0))&lt;='損益分岐設定'!C39,MAX('損益分岐設定'!B39,ROUNDUP(T481/I481,0)),1001))</x:f>
        <x:v>226</x:v>
      </x:c>
      <x:c r="Y481" s="1" t="n">
        <x:f>IF(I481&lt;=0,1001,IF(MAX('損益分岐設定'!B40,ROUNDUP(U481/I481,0))&lt;='損益分岐設定'!C40,MAX('損益分岐設定'!B40,ROUNDUP(U481/I481,0)),1001))</x:f>
        <x:v>501</x:v>
      </x:c>
      <x:c r="Z481" s="1" t="n">
        <x:f>IF(I481&lt;=0,'損益分岐設定'!C37,IF('損益分岐設定'!C37*I481-R481&lt;0,'損益分岐設定'!C37,IF('損益分岐設定'!B37*I481-R481&gt;=0,0,ROUNDUP(R481/I481,0)-1)))</x:f>
        <x:v>10</x:v>
      </x:c>
      <x:c r="AA481" s="1" t="n">
        <x:f>IF(I481&lt;=0,'損益分岐設定'!C38,IF('損益分岐設定'!C38*I481-S481&lt;0,'損益分岐設定'!C38,IF('損益分岐設定'!B38*I481-S481&gt;=0,0,ROUNDUP(S481/I481,0)-1)))</x:f>
        <x:v>100</x:v>
      </x:c>
      <x:c r="AB481" s="1" t="n">
        <x:f>IF(I481&lt;=0,'損益分岐設定'!C39,IF('損益分岐設定'!C39*I481-T481&lt;0,'損益分岐設定'!C39,IF('損益分岐設定'!B39*I481-T481&gt;=0,0,ROUNDUP(T481/I481,0)-1)))</x:f>
        <x:v>225</x:v>
      </x:c>
      <x:c r="AC481" s="1" t="n">
        <x:f>IF(I481&lt;=0,'損益分岐設定'!C40,IF('損益分岐設定'!C40*I481-U481&lt;0,'損益分岐設定'!C40,IF('損益分岐設定'!B40*I481-U481&gt;=0,0,ROUNDUP(U481/I481,0)-1)))</x:f>
        <x:v>0</x:v>
      </x:c>
      <x:c r="AD481" s="1" t="n">
        <x:f>'損益分岐設定'!$D$5/SUM('損益分岐設定'!$D$5:$D$7)</x:f>
        <x:v>0.5</x:v>
      </x:c>
      <x:c r="AE481" s="1" t="n">
        <x:f>'損益分岐設定'!$D$6/SUM('損益分岐設定'!$D$5:$D$7)</x:f>
        <x:v>0.3</x:v>
      </x:c>
      <x:c r="AF481" s="1" t="n">
        <x:f>'損益分岐設定'!$D$7/SUM('損益分岐設定'!$D$5:$D$7)</x:f>
        <x:v>0.2</x:v>
      </x:c>
      <x:c r="AG481" s="1" t="n">
        <x:f>AD481*('損益分岐設定'!$C$57*(1-'損益分岐設定'!$B$51)+'損益分岐設定'!$C$58*'損益分岐設定'!$B$51)+AE481*('損益分岐設定'!$C$60*(1-'損益分岐設定'!$B$51)+'損益分岐設定'!$C$61*'損益分岐設定'!$B$51)+AF481*('損益分岐設定'!$C$63*(1-'損益分岐設定'!$B$51)+'損益分岐設定'!$C$64*'損益分岐設定'!$B$51)</x:f>
        <x:v>2164.7431551757813</x:v>
      </x:c>
      <x:c r="AH481" s="1" t="n">
        <x:f>AD481*('損益分岐設定'!$D$57*(1-'損益分岐設定'!$B$51)+'損益分岐設定'!$D$58*'損益分岐設定'!$B$51)+AE481*('損益分岐設定'!$D$60*(1-'損益分岐設定'!$B$51)+'損益分岐設定'!$D$61*'損益分岐設定'!$B$51)+AF481*('損益分岐設定'!$D$63*(1-'損益分岐設定'!$B$51)+'損益分岐設定'!$D$64*'損益分岐設定'!$B$51)</x:f>
        <x:v>177.6</x:v>
      </x:c>
      <x:c r="AI481" s="1" t="n">
        <x:f>AD481*('損益分岐設定'!$E$57*(1-'損益分岐設定'!$B$51)+'損益分岐設定'!$E$58*'損益分岐設定'!$B$51)+AE481*('損益分岐設定'!$E$60*(1-'損益分岐設定'!$B$51)+'損益分岐設定'!$E$61*'損益分岐設定'!$B$51)+AF481*('損益分岐設定'!$E$63*(1-'損益分岐設定'!$B$51)+'損益分岐設定'!$E$64*'損益分岐設定'!$B$51)</x:f>
        <x:v>207.2</x:v>
      </x:c>
      <x:c r="AJ481" s="1" t="n">
        <x:f>(AD481*('損益分岐設定'!$F$57*(1-'損益分岐設定'!$B$51)+'損益分岐設定'!$F$58*'損益分岐設定'!$B$51)+AE481*('損益分岐設定'!$F$60*(1-'損益分岐設定'!$B$51)+'損益分岐設定'!$F$61*'損益分岐設定'!$B$51)+AF481*('損益分岐設定'!$F$63*(1-'損益分岐設定'!$B$51)+'損益分岐設定'!$F$64*'損益分岐設定'!$B$51)*1)*'損益分岐設定'!$B$22</x:f>
        <x:v>1687.2</x:v>
      </x:c>
      <x:c r="AK481" s="1" t="n">
        <x:f>AD481*('損益分岐設定'!$G$57*(1-'損益分岐設定'!$B$51)+'損益分岐設定'!$G$58*'損益分岐設定'!$B$51)+AE481*('損益分岐設定'!$G$60*(1-'損益分岐設定'!$B$51)+'損益分岐設定'!$G$61*'損益分岐設定'!$B$51)+AF481*('損益分岐設定'!$G$63*(1-'損益分岐設定'!$B$51)+'損益分岐設定'!$G$64*'損益分岐設定'!$B$51)</x:f>
        <x:v>1480</x:v>
      </x:c>
      <x:c r="AL481" s="1" t="n">
        <x:f>AD481*('損益分岐設定'!$H$57*(1-'損益分岐設定'!$B$51)+'損益分岐設定'!$H$58*'損益分岐設定'!$B$51)+AE481*('損益分岐設定'!$H$60*(1-'損益分岐設定'!$B$51)+'損益分岐設定'!$H$61*'損益分岐設定'!$B$51)+AF481*('損益分岐設定'!$H$63*(1-'損益分岐設定'!$B$51)+'損益分岐設定'!$H$64*'損益分岐設定'!$B$51)</x:f>
        <x:v>816.6666666666667</x:v>
      </x:c>
      <x:c r="AM481" s="1" t="n">
        <x:f>MAX(1,ROUNDUP('損益分岐設定'!C37*AJ481/('損益分岐設定'!$B$23*'損益分岐設定'!$B$24*3600*'損益分岐設定'!$B$25),0))</x:f>
        <x:v>1</x:v>
      </x:c>
      <x:c r="AN481" s="1" t="n">
        <x:f>MAX(2,ROUNDUP('損益分岐設定'!C38*AJ481/('損益分岐設定'!$B$23*'損益分岐設定'!$B$24*3600*'損益分岐設定'!$B$25),0))</x:f>
        <x:v>2</x:v>
      </x:c>
      <x:c r="AO481" s="1" t="n">
        <x:f>MAX(2,ROUNDUP('損益分岐設定'!C39*AJ481/('損益分岐設定'!$B$23*'損益分岐設定'!$B$24*3600*'損益分岐設定'!$B$25),0))</x:f>
        <x:v>2</x:v>
      </x:c>
      <x:c r="AP481" s="1" t="n">
        <x:f>MAX(2,ROUNDUP('損益分岐設定'!C40*AJ481/('損益分岐設定'!$B$23*'損益分岐設定'!$B$24*3600*'損益分岐設定'!$B$25),0))</x:f>
        <x:v>4</x:v>
      </x:c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 ht="23" customHeight="1">
      <x:c r="A482" s="1" t="str">
        <x:v>VM</x:v>
      </x:c>
      <x:c r="B482" s="1" t="str">
        <x:v>混在</x:v>
      </x:c>
      <x:c r="C482" s="1" t="str">
        <x:v>標準+高位混在</x:v>
      </x:c>
      <x:c r="D482" s="21" t="n">
        <x:v>0.4</x:v>
      </x:c>
      <x:c r="E482" s="1" t="n">
        <x:v>1</x:v>
      </x:c>
      <x:c r="F482" s="7" t="n">
        <x:f>AD482*'損益分岐設定'!$B$5+AE482*'損益分岐設定'!$B$6+AF482*'損益分岐設定'!$B$7</x:f>
        <x:v>4600</x:v>
      </x:c>
      <x:c r="G482" s="7" t="n">
        <x:f>AG482+0+AK482*'損益分岐設定'!$B$33</x:f>
        <x:v>2164.7596954647065</x:v>
      </x:c>
      <x:c r="H482" s="7" t="n">
        <x:f>AL482*E482</x:f>
        <x:v>816.6666666666667</x:v>
      </x:c>
      <x:c r="I482" s="7" t="n">
        <x:f>F482*(1-D482-'損益分岐設定'!$B$10)-G482-H482</x:f>
        <x:v>-387.0263621313736</x:v>
      </x:c>
      <x:c r="J482" s="1" t="str">
        <x:f>IF(MIN(V482:Y482)&gt;1000,"範囲内なし",MIN(V482:Y482))</x:f>
        <x:v>範囲内なし</x:v>
      </x:c>
      <x:c r="K482" s="1" t="str">
        <x:f>IF(MAX(Z482:AC482)&gt;=1000,"範囲内なし",MAX(1,MAX(Z482:AC482)+1))</x:f>
        <x:v>範囲内なし</x:v>
      </x:c>
      <x:c r="L482" s="7" t="n">
        <x:f>10*I482-R482</x:f>
        <x:v>-86629.450382535</x:v>
      </x:c>
      <x:c r="M482" s="7" t="n">
        <x:f>30*I482-S482</x:f>
        <x:v>-156629.16438638375</x:v>
      </x:c>
      <x:c r="N482" s="7" t="n">
        <x:f>50*I482-S482</x:f>
        <x:v>-164369.6916290112</x:v>
      </x:c>
      <x:c r="O482" s="7" t="n">
        <x:f>100*I482-S482</x:f>
        <x:v>-183721.0097355799</x:v>
      </x:c>
      <x:c r="P482" s="7" t="n">
        <x:f>300*I482-T482</x:f>
        <x:v>-293126.2821618546</x:v>
      </x:c>
      <x:c r="Q482" s="7" t="n">
        <x:f>1000*I482-U482</x:f>
        <x:v>-653803.9224150374</x:v>
      </x:c>
      <x:c r="R482" s="7" t="n">
        <x:f>'損益分岐設定'!$B$18+'損益分岐設定'!$B$19+'損益分岐設定'!$B$20+'損益分岐設定'!E37+('損益分岐設定'!F37+2*'損益分岐設定'!G37+AM482)*('損益分岐設定'!$B$15+'損益分岐設定'!$B$16)+'損益分岐設定'!$B$17+'損益分岐設定'!$B$21+E482*'損益分岐設定'!H37*'損益分岐設定'!$B$11</x:f>
        <x:v>82759.18676122127</x:v>
      </x:c>
      <x:c r="S482" s="7" t="n">
        <x:f>'損益分岐設定'!$B$18+'損益分岐設定'!$B$19+'損益分岐設定'!$B$20+'損益分岐設定'!E38+('損益分岐設定'!F38+2*'損益分岐設定'!G38+AN482)*('損益分岐設定'!$B$15+'損益分岐設定'!$B$16)+'損益分岐設定'!$B$17+'損益分岐設定'!$B$21+E482*'損益分岐設定'!H38*'損益分岐設定'!$B$11</x:f>
        <x:v>145018.37352244253</x:v>
      </x:c>
      <x:c r="T482" s="7" t="n">
        <x:f>'損益分岐設定'!$B$18+'損益分岐設定'!$B$19+'損益分岐設定'!$B$20+'損益分岐設定'!E39+('損益分岐設定'!F39+2*'損益分岐設定'!G39+AO482)*('損益分岐設定'!$B$15+'損益分岐設定'!$B$16)+'損益分岐設定'!$B$17+'損益分岐設定'!$B$21+E482*'損益分岐設定'!H39*'損益分岐設定'!$B$11</x:f>
        <x:v>177018.37352244253</x:v>
      </x:c>
      <x:c r="U482" s="7" t="n">
        <x:f>'損益分岐設定'!$B$18+'損益分岐設定'!$B$19+'損益分岐設定'!$B$20+'損益分岐設定'!E40+('損益分岐設定'!F40+2*'損益分岐設定'!G40+AP482)*('損益分岐設定'!$B$15+'損益分岐設定'!$B$16)+'損益分岐設定'!$B$17+'損益分岐設定'!$B$21+E482*'損益分岐設定'!H40*'損益分岐設定'!$B$11</x:f>
        <x:v>266777.5602836638</x:v>
      </x:c>
      <x:c r="V482" s="1" t="n">
        <x:f>IF(I482&lt;=0,1001,IF(MAX('損益分岐設定'!B37,ROUNDUP(R482/I482,0))&lt;='損益分岐設定'!C37,MAX('損益分岐設定'!B37,ROUNDUP(R482/I482,0)),1001))</x:f>
        <x:v>1001</x:v>
      </x:c>
      <x:c r="W482" s="1" t="n">
        <x:f>IF(I482&lt;=0,1001,IF(MAX('損益分岐設定'!B38,ROUNDUP(S482/I482,0))&lt;='損益分岐設定'!C38,MAX('損益分岐設定'!B38,ROUNDUP(S482/I482,0)),1001))</x:f>
        <x:v>1001</x:v>
      </x:c>
      <x:c r="X482" s="1" t="n">
        <x:f>IF(I482&lt;=0,1001,IF(MAX('損益分岐設定'!B39,ROUNDUP(T482/I482,0))&lt;='損益分岐設定'!C39,MAX('損益分岐設定'!B39,ROUNDUP(T482/I482,0)),1001))</x:f>
        <x:v>1001</x:v>
      </x:c>
      <x:c r="Y482" s="1" t="n">
        <x:f>IF(I482&lt;=0,1001,IF(MAX('損益分岐設定'!B40,ROUNDUP(U482/I482,0))&lt;='損益分岐設定'!C40,MAX('損益分岐設定'!B40,ROUNDUP(U482/I482,0)),1001))</x:f>
        <x:v>1001</x:v>
      </x:c>
      <x:c r="Z482" s="1" t="n">
        <x:f>IF(I482&lt;=0,'損益分岐設定'!C37,IF('損益分岐設定'!C37*I482-R482&lt;0,'損益分岐設定'!C37,IF('損益分岐設定'!B37*I482-R482&gt;=0,0,ROUNDUP(R482/I482,0)-1)))</x:f>
        <x:v>10</x:v>
      </x:c>
      <x:c r="AA482" s="1" t="n">
        <x:f>IF(I482&lt;=0,'損益分岐設定'!C38,IF('損益分岐設定'!C38*I482-S482&lt;0,'損益分岐設定'!C38,IF('損益分岐設定'!B38*I482-S482&gt;=0,0,ROUNDUP(S482/I482,0)-1)))</x:f>
        <x:v>100</x:v>
      </x:c>
      <x:c r="AB482" s="1" t="n">
        <x:f>IF(I482&lt;=0,'損益分岐設定'!C39,IF('損益分岐設定'!C39*I482-T482&lt;0,'損益分岐設定'!C39,IF('損益分岐設定'!B39*I482-T482&gt;=0,0,ROUNDUP(T482/I482,0)-1)))</x:f>
        <x:v>500</x:v>
      </x:c>
      <x:c r="AC482" s="1" t="n">
        <x:f>IF(I482&lt;=0,'損益分岐設定'!C40,IF('損益分岐設定'!C40*I482-U482&lt;0,'損益分岐設定'!C40,IF('損益分岐設定'!B40*I482-U482&gt;=0,0,ROUNDUP(U482/I482,0)-1)))</x:f>
        <x:v>1000</x:v>
      </x:c>
      <x:c r="AD482" s="1" t="n">
        <x:f>'損益分岐設定'!$D$5/SUM('損益分岐設定'!$D$5:$D$7)</x:f>
        <x:v>0.5</x:v>
      </x:c>
      <x:c r="AE482" s="1" t="n">
        <x:f>'損益分岐設定'!$D$6/SUM('損益分岐設定'!$D$5:$D$7)</x:f>
        <x:v>0.3</x:v>
      </x:c>
      <x:c r="AF482" s="1" t="n">
        <x:f>'損益分岐設定'!$D$7/SUM('損益分岐設定'!$D$5:$D$7)</x:f>
        <x:v>0.2</x:v>
      </x:c>
      <x:c r="AG482" s="1" t="n">
        <x:f>AD482*('損益分岐設定'!$C$57*(1-'損益分岐設定'!$B$51)+'損益分岐設定'!$C$58*'損益分岐設定'!$B$51)+AE482*('損益分岐設定'!$C$60*(1-'損益分岐設定'!$B$51)+'損益分岐設定'!$C$61*'損益分岐設定'!$B$51)+AF482*('損益分岐設定'!$C$63*(1-'損益分岐設定'!$B$51)+'損益分岐設定'!$C$64*'損益分岐設定'!$B$51)</x:f>
        <x:v>2164.7431551757813</x:v>
      </x:c>
      <x:c r="AH482" s="1" t="n">
        <x:f>AD482*('損益分岐設定'!$D$57*(1-'損益分岐設定'!$B$51)+'損益分岐設定'!$D$58*'損益分岐設定'!$B$51)+AE482*('損益分岐設定'!$D$60*(1-'損益分岐設定'!$B$51)+'損益分岐設定'!$D$61*'損益分岐設定'!$B$51)+AF482*('損益分岐設定'!$D$63*(1-'損益分岐設定'!$B$51)+'損益分岐設定'!$D$64*'損益分岐設定'!$B$51)</x:f>
        <x:v>177.6</x:v>
      </x:c>
      <x:c r="AI482" s="1" t="n">
        <x:f>AD482*('損益分岐設定'!$E$57*(1-'損益分岐設定'!$B$51)+'損益分岐設定'!$E$58*'損益分岐設定'!$B$51)+AE482*('損益分岐設定'!$E$60*(1-'損益分岐設定'!$B$51)+'損益分岐設定'!$E$61*'損益分岐設定'!$B$51)+AF482*('損益分岐設定'!$E$63*(1-'損益分岐設定'!$B$51)+'損益分岐設定'!$E$64*'損益分岐設定'!$B$51)</x:f>
        <x:v>207.2</x:v>
      </x:c>
      <x:c r="AJ482" s="1" t="n">
        <x:f>(AD482*('損益分岐設定'!$F$57*(1-'損益分岐設定'!$B$51)+'損益分岐設定'!$F$58*'損益分岐設定'!$B$51)+AE482*('損益分岐設定'!$F$60*(1-'損益分岐設定'!$B$51)+'損益分岐設定'!$F$61*'損益分岐設定'!$B$51)+AF482*('損益分岐設定'!$F$63*(1-'損益分岐設定'!$B$51)+'損益分岐設定'!$F$64*'損益分岐設定'!$B$51)*1)*'損益分岐設定'!$B$22</x:f>
        <x:v>1687.2</x:v>
      </x:c>
      <x:c r="AK482" s="1" t="n">
        <x:f>AD482*('損益分岐設定'!$G$57*(1-'損益分岐設定'!$B$51)+'損益分岐設定'!$G$58*'損益分岐設定'!$B$51)+AE482*('損益分岐設定'!$G$60*(1-'損益分岐設定'!$B$51)+'損益分岐設定'!$G$61*'損益分岐設定'!$B$51)+AF482*('損益分岐設定'!$G$63*(1-'損益分岐設定'!$B$51)+'損益分岐設定'!$G$64*'損益分岐設定'!$B$51)</x:f>
        <x:v>1480</x:v>
      </x:c>
      <x:c r="AL482" s="1" t="n">
        <x:f>AD482*('損益分岐設定'!$H$57*(1-'損益分岐設定'!$B$51)+'損益分岐設定'!$H$58*'損益分岐設定'!$B$51)+AE482*('損益分岐設定'!$H$60*(1-'損益分岐設定'!$B$51)+'損益分岐設定'!$H$61*'損益分岐設定'!$B$51)+AF482*('損益分岐設定'!$H$63*(1-'損益分岐設定'!$B$51)+'損益分岐設定'!$H$64*'損益分岐設定'!$B$51)</x:f>
        <x:v>816.6666666666667</x:v>
      </x:c>
      <x:c r="AM482" s="1" t="n">
        <x:f>MAX(1,ROUNDUP('損益分岐設定'!C37*AJ482/('損益分岐設定'!$B$23*'損益分岐設定'!$B$24*3600*'損益分岐設定'!$B$25),0))</x:f>
        <x:v>1</x:v>
      </x:c>
      <x:c r="AN482" s="1" t="n">
        <x:f>MAX(2,ROUNDUP('損益分岐設定'!C38*AJ482/('損益分岐設定'!$B$23*'損益分岐設定'!$B$24*3600*'損益分岐設定'!$B$25),0))</x:f>
        <x:v>2</x:v>
      </x:c>
      <x:c r="AO482" s="1" t="n">
        <x:f>MAX(2,ROUNDUP('損益分岐設定'!C39*AJ482/('損益分岐設定'!$B$23*'損益分岐設定'!$B$24*3600*'損益分岐設定'!$B$25),0))</x:f>
        <x:v>2</x:v>
      </x:c>
      <x:c r="AP482" s="1" t="n">
        <x:f>MAX(2,ROUNDUP('損益分岐設定'!C40*AJ482/('損益分岐設定'!$B$23*'損益分岐設定'!$B$24*3600*'損益分岐設定'!$B$25),0))</x:f>
        <x:v>4</x:v>
      </x:c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 ht="23" customHeight="1">
      <x:c r="A483" s="1" t="str">
        <x:v>VM</x:v>
      </x:c>
      <x:c r="B483" s="1" t="str">
        <x:v>混在</x:v>
      </x:c>
      <x:c r="C483" s="1" t="str">
        <x:v>標準+高位混在</x:v>
      </x:c>
      <x:c r="D483" s="21" t="n">
        <x:v>0.5</x:v>
      </x:c>
      <x:c r="E483" s="1" t="n">
        <x:v>0</x:v>
      </x:c>
      <x:c r="F483" s="7" t="n">
        <x:f>AD483*'損益分岐設定'!$B$5+AE483*'損益分岐設定'!$B$6+AF483*'損益分岐設定'!$B$7</x:f>
        <x:v>4600</x:v>
      </x:c>
      <x:c r="G483" s="7" t="n">
        <x:f>AG483+0+AK483*'損益分岐設定'!$B$33</x:f>
        <x:v>2164.7596954647065</x:v>
      </x:c>
      <x:c r="H483" s="7" t="n">
        <x:f>AL483*E483</x:f>
        <x:v>0</x:v>
      </x:c>
      <x:c r="I483" s="7" t="n">
        <x:f>F483*(1-D483-'損益分岐設定'!$B$10)-G483-H483</x:f>
        <x:v>-30.35969546470642</x:v>
      </x:c>
      <x:c r="J483" s="1" t="str">
        <x:f>IF(MIN(V483:Y483)&gt;1000,"範囲内なし",MIN(V483:Y483))</x:f>
        <x:v>範囲内なし</x:v>
      </x:c>
      <x:c r="K483" s="1" t="str">
        <x:f>IF(MAX(Z483:AC483)&gt;=1000,"範囲内なし",MAX(1,MAX(Z483:AC483)+1))</x:f>
        <x:v>範囲内なし</x:v>
      </x:c>
      <x:c r="L483" s="7" t="n">
        <x:f>10*I483-R483</x:f>
        <x:v>-51062.78371586834</x:v>
      </x:c>
      <x:c r="M483" s="7" t="n">
        <x:f>30*I483-S483</x:f>
        <x:v>-97929.16438638374</x:v>
      </x:c>
      <x:c r="N483" s="7" t="n">
        <x:f>50*I483-S483</x:f>
        <x:v>-98536.35829567787</x:v>
      </x:c>
      <x:c r="O483" s="7" t="n">
        <x:f>100*I483-S483</x:f>
        <x:v>-100054.3430689132</x:v>
      </x:c>
      <x:c r="P483" s="7" t="n">
        <x:f>300*I483-T483</x:f>
        <x:v>-106126.28216185447</x:v>
      </x:c>
      <x:c r="Q483" s="7" t="n">
        <x:f>1000*I483-U483</x:f>
        <x:v>-169137.25574837025</x:v>
      </x:c>
      <x:c r="R483" s="7" t="n">
        <x:f>'損益分岐設定'!$B$18+'損益分岐設定'!$B$19+'損益分岐設定'!$B$20+'損益分岐設定'!E37+('損益分岐設定'!F37+2*'損益分岐設定'!G37+AM483)*('損益分岐設定'!$B$15+'損益分岐設定'!$B$16)+'損益分岐設定'!$B$17+'損益分岐設定'!$B$21+E483*'損益分岐設定'!H37*'損益分岐設定'!$B$11</x:f>
        <x:v>50759.18676122127</x:v>
      </x:c>
      <x:c r="S483" s="7" t="n">
        <x:f>'損益分岐設定'!$B$18+'損益分岐設定'!$B$19+'損益分岐設定'!$B$20+'損益分岐設定'!E38+('損益分岐設定'!F38+2*'損益分岐設定'!G38+AN483)*('損益分岐設定'!$B$15+'損益分岐設定'!$B$16)+'損益分岐設定'!$B$17+'損益分岐設定'!$B$21+E483*'損益分岐設定'!H38*'損益分岐設定'!$B$11</x:f>
        <x:v>97018.37352244255</x:v>
      </x:c>
      <x:c r="T483" s="7" t="n">
        <x:f>'損益分岐設定'!$B$18+'損益分岐設定'!$B$19+'損益分岐設定'!$B$20+'損益分岐設定'!E39+('損益分岐設定'!F39+2*'損益分岐設定'!G39+AO483)*('損益分岐設定'!$B$15+'損益分岐設定'!$B$16)+'損益分岐設定'!$B$17+'損益分岐設定'!$B$21+E483*'損益分岐設定'!H39*'損益分岐設定'!$B$11</x:f>
        <x:v>97018.37352244255</x:v>
      </x:c>
      <x:c r="U483" s="7" t="n">
        <x:f>'損益分岐設定'!$B$18+'損益分岐設定'!$B$19+'損益分岐設定'!$B$20+'損益分岐設定'!E40+('損益分岐設定'!F40+2*'損益分岐設定'!G40+AP483)*('損益分岐設定'!$B$15+'損益分岐設定'!$B$16)+'損益分岐設定'!$B$17+'損益分岐設定'!$B$21+E483*'損益分岐設定'!H40*'損益分岐設定'!$B$11</x:f>
        <x:v>138777.56028366383</x:v>
      </x:c>
      <x:c r="V483" s="1" t="n">
        <x:f>IF(I483&lt;=0,1001,IF(MAX('損益分岐設定'!B37,ROUNDUP(R483/I483,0))&lt;='損益分岐設定'!C37,MAX('損益分岐設定'!B37,ROUNDUP(R483/I483,0)),1001))</x:f>
        <x:v>1001</x:v>
      </x:c>
      <x:c r="W483" s="1" t="n">
        <x:f>IF(I483&lt;=0,1001,IF(MAX('損益分岐設定'!B38,ROUNDUP(S483/I483,0))&lt;='損益分岐設定'!C38,MAX('損益分岐設定'!B38,ROUNDUP(S483/I483,0)),1001))</x:f>
        <x:v>1001</x:v>
      </x:c>
      <x:c r="X483" s="1" t="n">
        <x:f>IF(I483&lt;=0,1001,IF(MAX('損益分岐設定'!B39,ROUNDUP(T483/I483,0))&lt;='損益分岐設定'!C39,MAX('損益分岐設定'!B39,ROUNDUP(T483/I483,0)),1001))</x:f>
        <x:v>1001</x:v>
      </x:c>
      <x:c r="Y483" s="1" t="n">
        <x:f>IF(I483&lt;=0,1001,IF(MAX('損益分岐設定'!B40,ROUNDUP(U483/I483,0))&lt;='損益分岐設定'!C40,MAX('損益分岐設定'!B40,ROUNDUP(U483/I483,0)),1001))</x:f>
        <x:v>1001</x:v>
      </x:c>
      <x:c r="Z483" s="1" t="n">
        <x:f>IF(I483&lt;=0,'損益分岐設定'!C37,IF('損益分岐設定'!C37*I483-R483&lt;0,'損益分岐設定'!C37,IF('損益分岐設定'!B37*I483-R483&gt;=0,0,ROUNDUP(R483/I483,0)-1)))</x:f>
        <x:v>10</x:v>
      </x:c>
      <x:c r="AA483" s="1" t="n">
        <x:f>IF(I483&lt;=0,'損益分岐設定'!C38,IF('損益分岐設定'!C38*I483-S483&lt;0,'損益分岐設定'!C38,IF('損益分岐設定'!B38*I483-S483&gt;=0,0,ROUNDUP(S483/I483,0)-1)))</x:f>
        <x:v>100</x:v>
      </x:c>
      <x:c r="AB483" s="1" t="n">
        <x:f>IF(I483&lt;=0,'損益分岐設定'!C39,IF('損益分岐設定'!C39*I483-T483&lt;0,'損益分岐設定'!C39,IF('損益分岐設定'!B39*I483-T483&gt;=0,0,ROUNDUP(T483/I483,0)-1)))</x:f>
        <x:v>500</x:v>
      </x:c>
      <x:c r="AC483" s="1" t="n">
        <x:f>IF(I483&lt;=0,'損益分岐設定'!C40,IF('損益分岐設定'!C40*I483-U483&lt;0,'損益分岐設定'!C40,IF('損益分岐設定'!B40*I483-U483&gt;=0,0,ROUNDUP(U483/I483,0)-1)))</x:f>
        <x:v>1000</x:v>
      </x:c>
      <x:c r="AD483" s="1" t="n">
        <x:f>'損益分岐設定'!$D$5/SUM('損益分岐設定'!$D$5:$D$7)</x:f>
        <x:v>0.5</x:v>
      </x:c>
      <x:c r="AE483" s="1" t="n">
        <x:f>'損益分岐設定'!$D$6/SUM('損益分岐設定'!$D$5:$D$7)</x:f>
        <x:v>0.3</x:v>
      </x:c>
      <x:c r="AF483" s="1" t="n">
        <x:f>'損益分岐設定'!$D$7/SUM('損益分岐設定'!$D$5:$D$7)</x:f>
        <x:v>0.2</x:v>
      </x:c>
      <x:c r="AG483" s="1" t="n">
        <x:f>AD483*('損益分岐設定'!$C$57*(1-'損益分岐設定'!$B$51)+'損益分岐設定'!$C$58*'損益分岐設定'!$B$51)+AE483*('損益分岐設定'!$C$60*(1-'損益分岐設定'!$B$51)+'損益分岐設定'!$C$61*'損益分岐設定'!$B$51)+AF483*('損益分岐設定'!$C$63*(1-'損益分岐設定'!$B$51)+'損益分岐設定'!$C$64*'損益分岐設定'!$B$51)</x:f>
        <x:v>2164.7431551757813</x:v>
      </x:c>
      <x:c r="AH483" s="1" t="n">
        <x:f>AD483*('損益分岐設定'!$D$57*(1-'損益分岐設定'!$B$51)+'損益分岐設定'!$D$58*'損益分岐設定'!$B$51)+AE483*('損益分岐設定'!$D$60*(1-'損益分岐設定'!$B$51)+'損益分岐設定'!$D$61*'損益分岐設定'!$B$51)+AF483*('損益分岐設定'!$D$63*(1-'損益分岐設定'!$B$51)+'損益分岐設定'!$D$64*'損益分岐設定'!$B$51)</x:f>
        <x:v>177.6</x:v>
      </x:c>
      <x:c r="AI483" s="1" t="n">
        <x:f>AD483*('損益分岐設定'!$E$57*(1-'損益分岐設定'!$B$51)+'損益分岐設定'!$E$58*'損益分岐設定'!$B$51)+AE483*('損益分岐設定'!$E$60*(1-'損益分岐設定'!$B$51)+'損益分岐設定'!$E$61*'損益分岐設定'!$B$51)+AF483*('損益分岐設定'!$E$63*(1-'損益分岐設定'!$B$51)+'損益分岐設定'!$E$64*'損益分岐設定'!$B$51)</x:f>
        <x:v>207.2</x:v>
      </x:c>
      <x:c r="AJ483" s="1" t="n">
        <x:f>(AD483*('損益分岐設定'!$F$57*(1-'損益分岐設定'!$B$51)+'損益分岐設定'!$F$58*'損益分岐設定'!$B$51)+AE483*('損益分岐設定'!$F$60*(1-'損益分岐設定'!$B$51)+'損益分岐設定'!$F$61*'損益分岐設定'!$B$51)+AF483*('損益分岐設定'!$F$63*(1-'損益分岐設定'!$B$51)+'損益分岐設定'!$F$64*'損益分岐設定'!$B$51)*1)*'損益分岐設定'!$B$22</x:f>
        <x:v>1687.2</x:v>
      </x:c>
      <x:c r="AK483" s="1" t="n">
        <x:f>AD483*('損益分岐設定'!$G$57*(1-'損益分岐設定'!$B$51)+'損益分岐設定'!$G$58*'損益分岐設定'!$B$51)+AE483*('損益分岐設定'!$G$60*(1-'損益分岐設定'!$B$51)+'損益分岐設定'!$G$61*'損益分岐設定'!$B$51)+AF483*('損益分岐設定'!$G$63*(1-'損益分岐設定'!$B$51)+'損益分岐設定'!$G$64*'損益分岐設定'!$B$51)</x:f>
        <x:v>1480</x:v>
      </x:c>
      <x:c r="AL483" s="1" t="n">
        <x:f>AD483*('損益分岐設定'!$H$57*(1-'損益分岐設定'!$B$51)+'損益分岐設定'!$H$58*'損益分岐設定'!$B$51)+AE483*('損益分岐設定'!$H$60*(1-'損益分岐設定'!$B$51)+'損益分岐設定'!$H$61*'損益分岐設定'!$B$51)+AF483*('損益分岐設定'!$H$63*(1-'損益分岐設定'!$B$51)+'損益分岐設定'!$H$64*'損益分岐設定'!$B$51)</x:f>
        <x:v>816.6666666666667</x:v>
      </x:c>
      <x:c r="AM483" s="1" t="n">
        <x:f>MAX(1,ROUNDUP('損益分岐設定'!C37*AJ483/('損益分岐設定'!$B$23*'損益分岐設定'!$B$24*3600*'損益分岐設定'!$B$25),0))</x:f>
        <x:v>1</x:v>
      </x:c>
      <x:c r="AN483" s="1" t="n">
        <x:f>MAX(2,ROUNDUP('損益分岐設定'!C38*AJ483/('損益分岐設定'!$B$23*'損益分岐設定'!$B$24*3600*'損益分岐設定'!$B$25),0))</x:f>
        <x:v>2</x:v>
      </x:c>
      <x:c r="AO483" s="1" t="n">
        <x:f>MAX(2,ROUNDUP('損益分岐設定'!C39*AJ483/('損益分岐設定'!$B$23*'損益分岐設定'!$B$24*3600*'損益分岐設定'!$B$25),0))</x:f>
        <x:v>2</x:v>
      </x:c>
      <x:c r="AP483" s="1" t="n">
        <x:f>MAX(2,ROUNDUP('損益分岐設定'!C40*AJ483/('損益分岐設定'!$B$23*'損益分岐設定'!$B$24*3600*'損益分岐設定'!$B$25),0))</x:f>
        <x:v>4</x:v>
      </x:c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 ht="23" customHeight="1">
      <x:c r="A484" s="1" t="str">
        <x:v>VM</x:v>
      </x:c>
      <x:c r="B484" s="1" t="str">
        <x:v>混在</x:v>
      </x:c>
      <x:c r="C484" s="1" t="str">
        <x:v>標準+高位混在</x:v>
      </x:c>
      <x:c r="D484" s="21" t="n">
        <x:v>0.5</x:v>
      </x:c>
      <x:c r="E484" s="1" t="n">
        <x:v>1</x:v>
      </x:c>
      <x:c r="F484" s="7" t="n">
        <x:f>AD484*'損益分岐設定'!$B$5+AE484*'損益分岐設定'!$B$6+AF484*'損益分岐設定'!$B$7</x:f>
        <x:v>4600</x:v>
      </x:c>
      <x:c r="G484" s="7" t="n">
        <x:f>AG484+0+AK484*'損益分岐設定'!$B$33</x:f>
        <x:v>2164.7596954647065</x:v>
      </x:c>
      <x:c r="H484" s="7" t="n">
        <x:f>AL484*E484</x:f>
        <x:v>816.6666666666667</x:v>
      </x:c>
      <x:c r="I484" s="7" t="n">
        <x:f>F484*(1-D484-'損益分岐設定'!$B$10)-G484-H484</x:f>
        <x:v>-847.0263621313732</x:v>
      </x:c>
      <x:c r="J484" s="1" t="str">
        <x:f>IF(MIN(V484:Y484)&gt;1000,"範囲内なし",MIN(V484:Y484))</x:f>
        <x:v>範囲内なし</x:v>
      </x:c>
      <x:c r="K484" s="1" t="str">
        <x:f>IF(MAX(Z484:AC484)&gt;=1000,"範囲内なし",MAX(1,MAX(Z484:AC484)+1))</x:f>
        <x:v>範囲内なし</x:v>
      </x:c>
      <x:c r="L484" s="7" t="n">
        <x:f>10*I484-R484</x:f>
        <x:v>-91229.450382535</x:v>
      </x:c>
      <x:c r="M484" s="7" t="n">
        <x:f>30*I484-S484</x:f>
        <x:v>-170429.16438638372</x:v>
      </x:c>
      <x:c r="N484" s="7" t="n">
        <x:f>50*I484-S484</x:f>
        <x:v>-187369.69162901118</x:v>
      </x:c>
      <x:c r="O484" s="7" t="n">
        <x:f>100*I484-S484</x:f>
        <x:v>-229721.00973557984</x:v>
      </x:c>
      <x:c r="P484" s="7" t="n">
        <x:f>300*I484-T484</x:f>
        <x:v>-431126.28216185444</x:v>
      </x:c>
      <x:c r="Q484" s="7" t="n">
        <x:f>1000*I484-U484</x:f>
        <x:v>-1113803.922415037</x:v>
      </x:c>
      <x:c r="R484" s="7" t="n">
        <x:f>'損益分岐設定'!$B$18+'損益分岐設定'!$B$19+'損益分岐設定'!$B$20+'損益分岐設定'!E37+('損益分岐設定'!F37+2*'損益分岐設定'!G37+AM484)*('損益分岐設定'!$B$15+'損益分岐設定'!$B$16)+'損益分岐設定'!$B$17+'損益分岐設定'!$B$21+E484*'損益分岐設定'!H37*'損益分岐設定'!$B$11</x:f>
        <x:v>82759.18676122127</x:v>
      </x:c>
      <x:c r="S484" s="7" t="n">
        <x:f>'損益分岐設定'!$B$18+'損益分岐設定'!$B$19+'損益分岐設定'!$B$20+'損益分岐設定'!E38+('損益分岐設定'!F38+2*'損益分岐設定'!G38+AN484)*('損益分岐設定'!$B$15+'損益分岐設定'!$B$16)+'損益分岐設定'!$B$17+'損益分岐設定'!$B$21+E484*'損益分岐設定'!H38*'損益分岐設定'!$B$11</x:f>
        <x:v>145018.37352244253</x:v>
      </x:c>
      <x:c r="T484" s="7" t="n">
        <x:f>'損益分岐設定'!$B$18+'損益分岐設定'!$B$19+'損益分岐設定'!$B$20+'損益分岐設定'!E39+('損益分岐設定'!F39+2*'損益分岐設定'!G39+AO484)*('損益分岐設定'!$B$15+'損益分岐設定'!$B$16)+'損益分岐設定'!$B$17+'損益分岐設定'!$B$21+E484*'損益分岐設定'!H39*'損益分岐設定'!$B$11</x:f>
        <x:v>177018.37352244253</x:v>
      </x:c>
      <x:c r="U484" s="7" t="n">
        <x:f>'損益分岐設定'!$B$18+'損益分岐設定'!$B$19+'損益分岐設定'!$B$20+'損益分岐設定'!E40+('損益分岐設定'!F40+2*'損益分岐設定'!G40+AP484)*('損益分岐設定'!$B$15+'損益分岐設定'!$B$16)+'損益分岐設定'!$B$17+'損益分岐設定'!$B$21+E484*'損益分岐設定'!H40*'損益分岐設定'!$B$11</x:f>
        <x:v>266777.5602836638</x:v>
      </x:c>
      <x:c r="V484" s="1" t="n">
        <x:f>IF(I484&lt;=0,1001,IF(MAX('損益分岐設定'!B37,ROUNDUP(R484/I484,0))&lt;='損益分岐設定'!C37,MAX('損益分岐設定'!B37,ROUNDUP(R484/I484,0)),1001))</x:f>
        <x:v>1001</x:v>
      </x:c>
      <x:c r="W484" s="1" t="n">
        <x:f>IF(I484&lt;=0,1001,IF(MAX('損益分岐設定'!B38,ROUNDUP(S484/I484,0))&lt;='損益分岐設定'!C38,MAX('損益分岐設定'!B38,ROUNDUP(S484/I484,0)),1001))</x:f>
        <x:v>1001</x:v>
      </x:c>
      <x:c r="X484" s="1" t="n">
        <x:f>IF(I484&lt;=0,1001,IF(MAX('損益分岐設定'!B39,ROUNDUP(T484/I484,0))&lt;='損益分岐設定'!C39,MAX('損益分岐設定'!B39,ROUNDUP(T484/I484,0)),1001))</x:f>
        <x:v>1001</x:v>
      </x:c>
      <x:c r="Y484" s="1" t="n">
        <x:f>IF(I484&lt;=0,1001,IF(MAX('損益分岐設定'!B40,ROUNDUP(U484/I484,0))&lt;='損益分岐設定'!C40,MAX('損益分岐設定'!B40,ROUNDUP(U484/I484,0)),1001))</x:f>
        <x:v>1001</x:v>
      </x:c>
      <x:c r="Z484" s="1" t="n">
        <x:f>IF(I484&lt;=0,'損益分岐設定'!C37,IF('損益分岐設定'!C37*I484-R484&lt;0,'損益分岐設定'!C37,IF('損益分岐設定'!B37*I484-R484&gt;=0,0,ROUNDUP(R484/I484,0)-1)))</x:f>
        <x:v>10</x:v>
      </x:c>
      <x:c r="AA484" s="1" t="n">
        <x:f>IF(I484&lt;=0,'損益分岐設定'!C38,IF('損益分岐設定'!C38*I484-S484&lt;0,'損益分岐設定'!C38,IF('損益分岐設定'!B38*I484-S484&gt;=0,0,ROUNDUP(S484/I484,0)-1)))</x:f>
        <x:v>100</x:v>
      </x:c>
      <x:c r="AB484" s="1" t="n">
        <x:f>IF(I484&lt;=0,'損益分岐設定'!C39,IF('損益分岐設定'!C39*I484-T484&lt;0,'損益分岐設定'!C39,IF('損益分岐設定'!B39*I484-T484&gt;=0,0,ROUNDUP(T484/I484,0)-1)))</x:f>
        <x:v>500</x:v>
      </x:c>
      <x:c r="AC484" s="1" t="n">
        <x:f>IF(I484&lt;=0,'損益分岐設定'!C40,IF('損益分岐設定'!C40*I484-U484&lt;0,'損益分岐設定'!C40,IF('損益分岐設定'!B40*I484-U484&gt;=0,0,ROUNDUP(U484/I484,0)-1)))</x:f>
        <x:v>1000</x:v>
      </x:c>
      <x:c r="AD484" s="1" t="n">
        <x:f>'損益分岐設定'!$D$5/SUM('損益分岐設定'!$D$5:$D$7)</x:f>
        <x:v>0.5</x:v>
      </x:c>
      <x:c r="AE484" s="1" t="n">
        <x:f>'損益分岐設定'!$D$6/SUM('損益分岐設定'!$D$5:$D$7)</x:f>
        <x:v>0.3</x:v>
      </x:c>
      <x:c r="AF484" s="1" t="n">
        <x:f>'損益分岐設定'!$D$7/SUM('損益分岐設定'!$D$5:$D$7)</x:f>
        <x:v>0.2</x:v>
      </x:c>
      <x:c r="AG484" s="1" t="n">
        <x:f>AD484*('損益分岐設定'!$C$57*(1-'損益分岐設定'!$B$51)+'損益分岐設定'!$C$58*'損益分岐設定'!$B$51)+AE484*('損益分岐設定'!$C$60*(1-'損益分岐設定'!$B$51)+'損益分岐設定'!$C$61*'損益分岐設定'!$B$51)+AF484*('損益分岐設定'!$C$63*(1-'損益分岐設定'!$B$51)+'損益分岐設定'!$C$64*'損益分岐設定'!$B$51)</x:f>
        <x:v>2164.7431551757813</x:v>
      </x:c>
      <x:c r="AH484" s="1" t="n">
        <x:f>AD484*('損益分岐設定'!$D$57*(1-'損益分岐設定'!$B$51)+'損益分岐設定'!$D$58*'損益分岐設定'!$B$51)+AE484*('損益分岐設定'!$D$60*(1-'損益分岐設定'!$B$51)+'損益分岐設定'!$D$61*'損益分岐設定'!$B$51)+AF484*('損益分岐設定'!$D$63*(1-'損益分岐設定'!$B$51)+'損益分岐設定'!$D$64*'損益分岐設定'!$B$51)</x:f>
        <x:v>177.6</x:v>
      </x:c>
      <x:c r="AI484" s="1" t="n">
        <x:f>AD484*('損益分岐設定'!$E$57*(1-'損益分岐設定'!$B$51)+'損益分岐設定'!$E$58*'損益分岐設定'!$B$51)+AE484*('損益分岐設定'!$E$60*(1-'損益分岐設定'!$B$51)+'損益分岐設定'!$E$61*'損益分岐設定'!$B$51)+AF484*('損益分岐設定'!$E$63*(1-'損益分岐設定'!$B$51)+'損益分岐設定'!$E$64*'損益分岐設定'!$B$51)</x:f>
        <x:v>207.2</x:v>
      </x:c>
      <x:c r="AJ484" s="1" t="n">
        <x:f>(AD484*('損益分岐設定'!$F$57*(1-'損益分岐設定'!$B$51)+'損益分岐設定'!$F$58*'損益分岐設定'!$B$51)+AE484*('損益分岐設定'!$F$60*(1-'損益分岐設定'!$B$51)+'損益分岐設定'!$F$61*'損益分岐設定'!$B$51)+AF484*('損益分岐設定'!$F$63*(1-'損益分岐設定'!$B$51)+'損益分岐設定'!$F$64*'損益分岐設定'!$B$51)*1)*'損益分岐設定'!$B$22</x:f>
        <x:v>1687.2</x:v>
      </x:c>
      <x:c r="AK484" s="1" t="n">
        <x:f>AD484*('損益分岐設定'!$G$57*(1-'損益分岐設定'!$B$51)+'損益分岐設定'!$G$58*'損益分岐設定'!$B$51)+AE484*('損益分岐設定'!$G$60*(1-'損益分岐設定'!$B$51)+'損益分岐設定'!$G$61*'損益分岐設定'!$B$51)+AF484*('損益分岐設定'!$G$63*(1-'損益分岐設定'!$B$51)+'損益分岐設定'!$G$64*'損益分岐設定'!$B$51)</x:f>
        <x:v>1480</x:v>
      </x:c>
      <x:c r="AL484" s="1" t="n">
        <x:f>AD484*('損益分岐設定'!$H$57*(1-'損益分岐設定'!$B$51)+'損益分岐設定'!$H$58*'損益分岐設定'!$B$51)+AE484*('損益分岐設定'!$H$60*(1-'損益分岐設定'!$B$51)+'損益分岐設定'!$H$61*'損益分岐設定'!$B$51)+AF484*('損益分岐設定'!$H$63*(1-'損益分岐設定'!$B$51)+'損益分岐設定'!$H$64*'損益分岐設定'!$B$51)</x:f>
        <x:v>816.6666666666667</x:v>
      </x:c>
      <x:c r="AM484" s="1" t="n">
        <x:f>MAX(1,ROUNDUP('損益分岐設定'!C37*AJ484/('損益分岐設定'!$B$23*'損益分岐設定'!$B$24*3600*'損益分岐設定'!$B$25),0))</x:f>
        <x:v>1</x:v>
      </x:c>
      <x:c r="AN484" s="1" t="n">
        <x:f>MAX(2,ROUNDUP('損益分岐設定'!C38*AJ484/('損益分岐設定'!$B$23*'損益分岐設定'!$B$24*3600*'損益分岐設定'!$B$25),0))</x:f>
        <x:v>2</x:v>
      </x:c>
      <x:c r="AO484" s="1" t="n">
        <x:f>MAX(2,ROUNDUP('損益分岐設定'!C39*AJ484/('損益分岐設定'!$B$23*'損益分岐設定'!$B$24*3600*'損益分岐設定'!$B$25),0))</x:f>
        <x:v>2</x:v>
      </x:c>
      <x:c r="AP484" s="1" t="n">
        <x:f>MAX(2,ROUNDUP('損益分岐設定'!C40*AJ484/('損益分岐設定'!$B$23*'損益分岐設定'!$B$24*3600*'損益分岐設定'!$B$25),0))</x:f>
        <x:v>4</x:v>
      </x:c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 ht="23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 ht="23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 ht="23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 ht="23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 ht="23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 ht="23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 ht="23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 ht="23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 ht="23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 ht="23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 ht="23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 ht="23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 ht="23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 ht="23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 ht="23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 ht="23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  <x:row r="501" ht="23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</x:row>
    <x:row r="502" ht="23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</x:row>
    <x:row r="503" ht="23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</x:row>
    <x:row r="504" ht="23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</x:row>
    <x:row r="505" ht="23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</x:row>
    <x:row r="506" ht="23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</x:row>
    <x:row r="507" ht="23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</x:row>
    <x:row r="508" ht="23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</x:row>
    <x:row r="509" ht="23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</x:row>
    <x:row r="510" ht="23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</x:row>
    <x:row r="511" ht="23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</x:row>
    <x:row r="512" ht="23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</x:row>
    <x:row r="513" ht="23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</x:row>
    <x:row r="514" ht="23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</x:row>
    <x:row r="515" ht="23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</x:row>
    <x:row r="516" ht="23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</x:row>
    <x:row r="517" ht="23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</x:row>
    <x:row r="518" ht="23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</x:row>
    <x:row r="519" ht="23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</x:row>
    <x:row r="520" ht="23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</x:row>
  </x:sheetData>
  <x:conditionalFormatting sqref="I5:Q484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</x:cols>
  <x:sheetData>
    <x:row r="1" ht="23" customHeight="1">
      <x:c r="A1" s="1" t="str">
        <x:v>契約増加と累積営業差引（資金繰り予測とは別）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3" customHeight="1">
      <x:c r="A2" s="1" t="str">
        <x:v>初期赤字許容額は未設定。開発・初期導入・営業費・税・入金時差は未計上。累積赤字は運営差引のみ。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23" customHeight="1">
      <x:c r="A4" s="1" t="str">
        <x:v>比較ケース行（損益分岐比較）</x:v>
      </x:c>
      <x:c r="B4" s="18" t="n">
        <x:v>140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23" customHeight="1">
      <x:c r="A5" s="1" t="str">
        <x:v>月間新規契約数</x:v>
      </x:c>
      <x:c r="B5" s="18" t="n">
        <x:v>3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23" customHeight="1">
      <x:c r="A6" s="1" t="str">
        <x:v>初月開始契約数</x:v>
      </x:c>
      <x:c r="B6" s="18" t="n">
        <x:v>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23" customHeight="1">
      <x:c r="A7" s="1" t="str">
        <x:v>月間解約率</x:v>
      </x:c>
      <x:c r="B7" s="18" t="n">
        <x:v>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23" customHeight="1">
      <x:c r="A8" s="1" t="str">
        <x:v>選択ケース</x:v>
      </x:c>
      <x:c r="B8" s="1" t="str">
        <x:f>INDEX('損益分岐比較'!A5:A484,B4-4)&amp;" / "&amp;INDEX('損益分岐比較'!B5:B484,B4-4)&amp;" / "&amp;INDEX('損益分岐比較'!C5:C484,B4-4)</x:f>
        <x:v>Run / 混在 / 標準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36" customHeight="1">
      <x:c r="A10" s="17" t="str">
        <x:v>月</x:v>
      </x:c>
      <x:c r="B10" s="17" t="str">
        <x:v>契約社数</x:v>
      </x:c>
      <x:c r="C10" s="17" t="str">
        <x:v>月額差引</x:v>
      </x:c>
      <x:c r="D10" s="17" t="str">
        <x:v>累積差引</x:v>
      </x:c>
      <x:c r="E10" s="17" t="str">
        <x:v>累計赤字月損失</x:v>
      </x:c>
      <x:c r="F10" s="17" t="str">
        <x:v>必要運営資金・最大谷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23" customHeight="1">
      <x:c r="A11" s="1" t="n">
        <x:v>1</x:v>
      </x:c>
      <x:c r="B11" s="1" t="n">
        <x:f>$B$6+$B$5</x:f>
        <x:v>3</x:v>
      </x:c>
      <x:c r="C11" s="7" t="n">
        <x:f>IF(B11&gt;1000,"範囲外",B11*INDEX('損益分岐比較'!I5:I484,$B$4-4)-IF(B11&lt;=10,INDEX('損益分岐比較'!R5:R484,$B$4-4),IF(B11&lt;=100,INDEX('損益分岐比較'!S5:S484,$B$4-4),IF(B11&lt;=500,INDEX('損益分岐比較'!T5:T484,$B$4-4),INDEX('損益分岐比較'!U5:U484,$B$4-4)))))</x:f>
        <x:v>-24065.026484898517</x:v>
      </x:c>
      <x:c r="D11" s="7" t="n">
        <x:f>C11</x:f>
        <x:v>-24065.026484898517</x:v>
      </x:c>
      <x:c r="E11" s="7" t="n">
        <x:f>MAX(0,-C11)</x:f>
        <x:v>24065.026484898517</x:v>
      </x:c>
      <x:c r="F11" s="7" t="n">
        <x:f>MAX(0,-MIN($D$11:D11))</x:f>
        <x:v>24065.026484898517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23" customHeight="1">
      <x:c r="A12" s="1" t="n">
        <x:v>2</x:v>
      </x:c>
      <x:c r="B12" s="1" t="n">
        <x:f>B11*(1-$B$7)+$B$5</x:f>
        <x:v>6</x:v>
      </x:c>
      <x:c r="C12" s="7" t="n">
        <x:f>IF(B12&gt;1000,"範囲外",B12*INDEX('損益分岐比較'!I5:I484,$B$4-4)-IF(B12&lt;=10,INDEX('損益分岐比較'!R5:R484,$B$4-4),IF(B12&lt;=100,INDEX('損益分岐比較'!S5:S484,$B$4-4),IF(B12&lt;=500,INDEX('損益分岐比較'!T5:T484,$B$4-4),INDEX('損益分岐比較'!U5:U484,$B$4-4)))))</x:f>
        <x:v>-18119.118343489237</x:v>
      </x:c>
      <x:c r="D12" s="7" t="n">
        <x:f>D11+C12</x:f>
        <x:v>-42184.144828387754</x:v>
      </x:c>
      <x:c r="E12" s="7" t="n">
        <x:f>E11+MAX(0,-C12)</x:f>
        <x:v>42184.144828387754</x:v>
      </x:c>
      <x:c r="F12" s="7" t="n">
        <x:f>MAX(0,-MIN($D$11:D12))</x:f>
        <x:v>42184.144828387754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23" customHeight="1">
      <x:c r="A13" s="1" t="n">
        <x:v>3</x:v>
      </x:c>
      <x:c r="B13" s="1" t="n">
        <x:f>B12*(1-$B$7)+$B$5</x:f>
        <x:v>9</x:v>
      </x:c>
      <x:c r="C13" s="7" t="n">
        <x:f>IF(B13&gt;1000,"範囲外",B13*INDEX('損益分岐比較'!I5:I484,$B$4-4)-IF(B13&lt;=10,INDEX('損益分岐比較'!R5:R484,$B$4-4),IF(B13&lt;=100,INDEX('損益分岐比較'!S5:S484,$B$4-4),IF(B13&lt;=500,INDEX('損益分岐比較'!T5:T484,$B$4-4),INDEX('損益分岐比較'!U5:U484,$B$4-4)))))</x:f>
        <x:v>-12173.210202079958</x:v>
      </x:c>
      <x:c r="D13" s="7" t="n">
        <x:f>D12+C13</x:f>
        <x:v>-54357.35503046771</x:v>
      </x:c>
      <x:c r="E13" s="7" t="n">
        <x:f>E12+MAX(0,-C13)</x:f>
        <x:v>54357.35503046771</x:v>
      </x:c>
      <x:c r="F13" s="7" t="n">
        <x:f>MAX(0,-MIN($D$11:D13))</x:f>
        <x:v>54357.35503046771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23" customHeight="1">
      <x:c r="A14" s="1" t="n">
        <x:v>4</x:v>
      </x:c>
      <x:c r="B14" s="1" t="n">
        <x:f>B13*(1-$B$7)+$B$5</x:f>
        <x:v>12</x:v>
      </x:c>
      <x:c r="C14" s="7" t="n">
        <x:f>IF(B14&gt;1000,"範囲外",B14*INDEX('損益分岐比較'!I5:I484,$B$4-4)-IF(B14&lt;=10,INDEX('損益分岐比較'!R5:R484,$B$4-4),IF(B14&lt;=100,INDEX('損益分岐比較'!S5:S484,$B$4-4),IF(B14&lt;=500,INDEX('損益分岐比較'!T5:T484,$B$4-4),INDEX('損益分岐比較'!U5:U484,$B$4-4)))))</x:f>
        <x:v>-10727.302060670678</x:v>
      </x:c>
      <x:c r="D14" s="7" t="n">
        <x:f>D13+C14</x:f>
        <x:v>-65084.65709113839</x:v>
      </x:c>
      <x:c r="E14" s="7" t="n">
        <x:f>E13+MAX(0,-C14)</x:f>
        <x:v>65084.65709113839</x:v>
      </x:c>
      <x:c r="F14" s="7" t="n">
        <x:f>MAX(0,-MIN($D$11:D14))</x:f>
        <x:v>65084.65709113839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23" customHeight="1">
      <x:c r="A15" s="1" t="n">
        <x:v>5</x:v>
      </x:c>
      <x:c r="B15" s="1" t="n">
        <x:f>B14*(1-$B$7)+$B$5</x:f>
        <x:v>15</x:v>
      </x:c>
      <x:c r="C15" s="7" t="n">
        <x:f>IF(B15&gt;1000,"範囲外",B15*INDEX('損益分岐比較'!I5:I484,$B$4-4)-IF(B15&lt;=10,INDEX('損益分岐比較'!R5:R484,$B$4-4),IF(B15&lt;=100,INDEX('損益分岐比較'!S5:S484,$B$4-4),IF(B15&lt;=500,INDEX('損益分岐比較'!T5:T484,$B$4-4),INDEX('損益分岐比較'!U5:U484,$B$4-4)))))</x:f>
        <x:v>-4781.393919261398</x:v>
      </x:c>
      <x:c r="D15" s="7" t="n">
        <x:f>D14+C15</x:f>
        <x:v>-69866.0510103998</x:v>
      </x:c>
      <x:c r="E15" s="7" t="n">
        <x:f>E14+MAX(0,-C15)</x:f>
        <x:v>69866.0510103998</x:v>
      </x:c>
      <x:c r="F15" s="7" t="n">
        <x:f>MAX(0,-MIN($D$11:D15))</x:f>
        <x:v>69866.0510103998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23" customHeight="1">
      <x:c r="A16" s="1" t="n">
        <x:v>6</x:v>
      </x:c>
      <x:c r="B16" s="1" t="n">
        <x:f>B15*(1-$B$7)+$B$5</x:f>
        <x:v>18</x:v>
      </x:c>
      <x:c r="C16" s="7" t="n">
        <x:f>IF(B16&gt;1000,"範囲外",B16*INDEX('損益分岐比較'!I5:I484,$B$4-4)-IF(B16&lt;=10,INDEX('損益分岐比較'!R5:R484,$B$4-4),IF(B16&lt;=100,INDEX('損益分岐比較'!S5:S484,$B$4-4),IF(B16&lt;=500,INDEX('損益分岐比較'!T5:T484,$B$4-4),INDEX('損益分岐比較'!U5:U484,$B$4-4)))))</x:f>
        <x:v>1164.5142221478818</x:v>
      </x:c>
      <x:c r="D16" s="7" t="n">
        <x:f>D15+C16</x:f>
        <x:v>-68701.53678825192</x:v>
      </x:c>
      <x:c r="E16" s="7" t="n">
        <x:f>E15+MAX(0,-C16)</x:f>
        <x:v>69866.0510103998</x:v>
      </x:c>
      <x:c r="F16" s="7" t="n">
        <x:f>MAX(0,-MIN($D$11:D16))</x:f>
        <x:v>69866.0510103998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23" customHeight="1">
      <x:c r="A17" s="1" t="n">
        <x:v>7</x:v>
      </x:c>
      <x:c r="B17" s="1" t="n">
        <x:f>B16*(1-$B$7)+$B$5</x:f>
        <x:v>21</x:v>
      </x:c>
      <x:c r="C17" s="7" t="n">
        <x:f>IF(B17&gt;1000,"範囲外",B17*INDEX('損益分岐比較'!I5:I484,$B$4-4)-IF(B17&lt;=10,INDEX('損益分岐比較'!R5:R484,$B$4-4),IF(B17&lt;=100,INDEX('損益分岐比較'!S5:S484,$B$4-4),IF(B17&lt;=500,INDEX('損益分岐比較'!T5:T484,$B$4-4),INDEX('損益分岐比較'!U5:U484,$B$4-4)))))</x:f>
        <x:v>7110.422363557162</x:v>
      </x:c>
      <x:c r="D17" s="7" t="n">
        <x:f>D16+C17</x:f>
        <x:v>-61591.11442469476</x:v>
      </x:c>
      <x:c r="E17" s="7" t="n">
        <x:f>E16+MAX(0,-C17)</x:f>
        <x:v>69866.0510103998</x:v>
      </x:c>
      <x:c r="F17" s="7" t="n">
        <x:f>MAX(0,-MIN($D$11:D17))</x:f>
        <x:v>69866.0510103998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23" customHeight="1">
      <x:c r="A18" s="1" t="n">
        <x:v>8</x:v>
      </x:c>
      <x:c r="B18" s="1" t="n">
        <x:f>B17*(1-$B$7)+$B$5</x:f>
        <x:v>24</x:v>
      </x:c>
      <x:c r="C18" s="7" t="n">
        <x:f>IF(B18&gt;1000,"範囲外",B18*INDEX('損益分岐比較'!I5:I484,$B$4-4)-IF(B18&lt;=10,INDEX('損益分岐比較'!R5:R484,$B$4-4),IF(B18&lt;=100,INDEX('損益分岐比較'!S5:S484,$B$4-4),IF(B18&lt;=500,INDEX('損益分岐比較'!T5:T484,$B$4-4),INDEX('損益分岐比較'!U5:U484,$B$4-4)))))</x:f>
        <x:v>13056.330504966441</x:v>
      </x:c>
      <x:c r="D18" s="7" t="n">
        <x:f>D17+C18</x:f>
        <x:v>-48534.78391972832</x:v>
      </x:c>
      <x:c r="E18" s="7" t="n">
        <x:f>E17+MAX(0,-C18)</x:f>
        <x:v>69866.0510103998</x:v>
      </x:c>
      <x:c r="F18" s="7" t="n">
        <x:f>MAX(0,-MIN($D$11:D18))</x:f>
        <x:v>69866.0510103998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23" customHeight="1">
      <x:c r="A19" s="1" t="n">
        <x:v>9</x:v>
      </x:c>
      <x:c r="B19" s="1" t="n">
        <x:f>B18*(1-$B$7)+$B$5</x:f>
        <x:v>27</x:v>
      </x:c>
      <x:c r="C19" s="7" t="n">
        <x:f>IF(B19&gt;1000,"範囲外",B19*INDEX('損益分岐比較'!I5:I484,$B$4-4)-IF(B19&lt;=10,INDEX('損益分岐比較'!R5:R484,$B$4-4),IF(B19&lt;=100,INDEX('損益分岐比較'!S5:S484,$B$4-4),IF(B19&lt;=500,INDEX('損益分岐比較'!T5:T484,$B$4-4),INDEX('損益分岐比較'!U5:U484,$B$4-4)))))</x:f>
        <x:v>19002.23864637572</x:v>
      </x:c>
      <x:c r="D19" s="7" t="n">
        <x:f>D18+C19</x:f>
        <x:v>-29532.545273352596</x:v>
      </x:c>
      <x:c r="E19" s="7" t="n">
        <x:f>E18+MAX(0,-C19)</x:f>
        <x:v>69866.0510103998</x:v>
      </x:c>
      <x:c r="F19" s="7" t="n">
        <x:f>MAX(0,-MIN($D$11:D19))</x:f>
        <x:v>69866.0510103998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23" customHeight="1">
      <x:c r="A20" s="1" t="n">
        <x:v>10</x:v>
      </x:c>
      <x:c r="B20" s="1" t="n">
        <x:f>B19*(1-$B$7)+$B$5</x:f>
        <x:v>30</x:v>
      </x:c>
      <x:c r="C20" s="7" t="n">
        <x:f>IF(B20&gt;1000,"範囲外",B20*INDEX('損益分岐比較'!I5:I484,$B$4-4)-IF(B20&lt;=10,INDEX('損益分岐比較'!R5:R484,$B$4-4),IF(B20&lt;=100,INDEX('損益分岐比較'!S5:S484,$B$4-4),IF(B20&lt;=500,INDEX('損益分岐比較'!T5:T484,$B$4-4),INDEX('損益分岐比較'!U5:U484,$B$4-4)))))</x:f>
        <x:v>24948.146787785</x:v>
      </x:c>
      <x:c r="D20" s="7" t="n">
        <x:f>D19+C20</x:f>
        <x:v>-4584.398485567595</x:v>
      </x:c>
      <x:c r="E20" s="7" t="n">
        <x:f>E19+MAX(0,-C20)</x:f>
        <x:v>69866.0510103998</x:v>
      </x:c>
      <x:c r="F20" s="7" t="n">
        <x:f>MAX(0,-MIN($D$11:D20))</x:f>
        <x:v>69866.0510103998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23" customHeight="1">
      <x:c r="A21" s="1" t="n">
        <x:v>11</x:v>
      </x:c>
      <x:c r="B21" s="1" t="n">
        <x:f>B20*(1-$B$7)+$B$5</x:f>
        <x:v>33</x:v>
      </x:c>
      <x:c r="C21" s="7" t="n">
        <x:f>IF(B21&gt;1000,"範囲外",B21*INDEX('損益分岐比較'!I5:I484,$B$4-4)-IF(B21&lt;=10,INDEX('損益分岐比較'!R5:R484,$B$4-4),IF(B21&lt;=100,INDEX('損益分岐比較'!S5:S484,$B$4-4),IF(B21&lt;=500,INDEX('損益分岐比較'!T5:T484,$B$4-4),INDEX('損益分岐比較'!U5:U484,$B$4-4)))))</x:f>
        <x:v>30894.05492919428</x:v>
      </x:c>
      <x:c r="D21" s="7" t="n">
        <x:f>D20+C21</x:f>
        <x:v>26309.656443626685</x:v>
      </x:c>
      <x:c r="E21" s="7" t="n">
        <x:f>E20+MAX(0,-C21)</x:f>
        <x:v>69866.0510103998</x:v>
      </x:c>
      <x:c r="F21" s="7" t="n">
        <x:f>MAX(0,-MIN($D$11:D21))</x:f>
        <x:v>69866.0510103998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23" customHeight="1">
      <x:c r="A22" s="1" t="n">
        <x:v>12</x:v>
      </x:c>
      <x:c r="B22" s="1" t="n">
        <x:f>B21*(1-$B$7)+$B$5</x:f>
        <x:v>36</x:v>
      </x:c>
      <x:c r="C22" s="7" t="n">
        <x:f>IF(B22&gt;1000,"範囲外",B22*INDEX('損益分岐比較'!I5:I484,$B$4-4)-IF(B22&lt;=10,INDEX('損益分岐比較'!R5:R484,$B$4-4),IF(B22&lt;=100,INDEX('損益分岐比較'!S5:S484,$B$4-4),IF(B22&lt;=500,INDEX('損益分岐比較'!T5:T484,$B$4-4),INDEX('損益分岐比較'!U5:U484,$B$4-4)))))</x:f>
        <x:v>36839.96307060356</x:v>
      </x:c>
      <x:c r="D22" s="7" t="n">
        <x:f>D21+C22</x:f>
        <x:v>63149.619514230246</x:v>
      </x:c>
      <x:c r="E22" s="7" t="n">
        <x:f>E21+MAX(0,-C22)</x:f>
        <x:v>69866.0510103998</x:v>
      </x:c>
      <x:c r="F22" s="7" t="n">
        <x:f>MAX(0,-MIN($D$11:D22))</x:f>
        <x:v>69866.0510103998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23" customHeight="1">
      <x:c r="A23" s="1" t="n">
        <x:v>13</x:v>
      </x:c>
      <x:c r="B23" s="1" t="n">
        <x:f>B22*(1-$B$7)+$B$5</x:f>
        <x:v>39</x:v>
      </x:c>
      <x:c r="C23" s="7" t="n">
        <x:f>IF(B23&gt;1000,"範囲外",B23*INDEX('損益分岐比較'!I5:I484,$B$4-4)-IF(B23&lt;=10,INDEX('損益分岐比較'!R5:R484,$B$4-4),IF(B23&lt;=100,INDEX('損益分岐比較'!S5:S484,$B$4-4),IF(B23&lt;=500,INDEX('損益分岐比較'!T5:T484,$B$4-4),INDEX('損益分岐比較'!U5:U484,$B$4-4)))))</x:f>
        <x:v>42785.87121201284</x:v>
      </x:c>
      <x:c r="D23" s="7" t="n">
        <x:f>D22+C23</x:f>
        <x:v>105935.4907262431</x:v>
      </x:c>
      <x:c r="E23" s="7" t="n">
        <x:f>E22+MAX(0,-C23)</x:f>
        <x:v>69866.0510103998</x:v>
      </x:c>
      <x:c r="F23" s="7" t="n">
        <x:f>MAX(0,-MIN($D$11:D23))</x:f>
        <x:v>69866.0510103998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23" customHeight="1">
      <x:c r="A24" s="1" t="n">
        <x:v>14</x:v>
      </x:c>
      <x:c r="B24" s="1" t="n">
        <x:f>B23*(1-$B$7)+$B$5</x:f>
        <x:v>42</x:v>
      </x:c>
      <x:c r="C24" s="7" t="n">
        <x:f>IF(B24&gt;1000,"範囲外",B24*INDEX('損益分岐比較'!I5:I484,$B$4-4)-IF(B24&lt;=10,INDEX('損益分岐比較'!R5:R484,$B$4-4),IF(B24&lt;=100,INDEX('損益分岐比較'!S5:S484,$B$4-4),IF(B24&lt;=500,INDEX('損益分岐比較'!T5:T484,$B$4-4),INDEX('損益分岐比較'!U5:U484,$B$4-4)))))</x:f>
        <x:v>48731.77935342212</x:v>
      </x:c>
      <x:c r="D24" s="7" t="n">
        <x:f>D23+C24</x:f>
        <x:v>154667.2700796652</x:v>
      </x:c>
      <x:c r="E24" s="7" t="n">
        <x:f>E23+MAX(0,-C24)</x:f>
        <x:v>69866.0510103998</x:v>
      </x:c>
      <x:c r="F24" s="7" t="n">
        <x:f>MAX(0,-MIN($D$11:D24))</x:f>
        <x:v>69866.0510103998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23" customHeight="1">
      <x:c r="A25" s="1" t="n">
        <x:v>15</x:v>
      </x:c>
      <x:c r="B25" s="1" t="n">
        <x:f>B24*(1-$B$7)+$B$5</x:f>
        <x:v>45</x:v>
      </x:c>
      <x:c r="C25" s="7" t="n">
        <x:f>IF(B25&gt;1000,"範囲外",B25*INDEX('損益分岐比較'!I5:I484,$B$4-4)-IF(B25&lt;=10,INDEX('損益分岐比較'!R5:R484,$B$4-4),IF(B25&lt;=100,INDEX('損益分岐比較'!S5:S484,$B$4-4),IF(B25&lt;=500,INDEX('損益分岐比較'!T5:T484,$B$4-4),INDEX('損益分岐比較'!U5:U484,$B$4-4)))))</x:f>
        <x:v>54677.6874948314</x:v>
      </x:c>
      <x:c r="D25" s="7" t="n">
        <x:f>D24+C25</x:f>
        <x:v>209344.9575744966</x:v>
      </x:c>
      <x:c r="E25" s="7" t="n">
        <x:f>E24+MAX(0,-C25)</x:f>
        <x:v>69866.0510103998</x:v>
      </x:c>
      <x:c r="F25" s="7" t="n">
        <x:f>MAX(0,-MIN($D$11:D25))</x:f>
        <x:v>69866.0510103998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23" customHeight="1">
      <x:c r="A26" s="1" t="n">
        <x:v>16</x:v>
      </x:c>
      <x:c r="B26" s="1" t="n">
        <x:f>B25*(1-$B$7)+$B$5</x:f>
        <x:v>48</x:v>
      </x:c>
      <x:c r="C26" s="7" t="n">
        <x:f>IF(B26&gt;1000,"範囲外",B26*INDEX('損益分岐比較'!I5:I484,$B$4-4)-IF(B26&lt;=10,INDEX('損益分岐比較'!R5:R484,$B$4-4),IF(B26&lt;=100,INDEX('損益分岐比較'!S5:S484,$B$4-4),IF(B26&lt;=500,INDEX('損益分岐比較'!T5:T484,$B$4-4),INDEX('損益分岐比較'!U5:U484,$B$4-4)))))</x:f>
        <x:v>60623.59563624068</x:v>
      </x:c>
      <x:c r="D26" s="7" t="n">
        <x:f>D25+C26</x:f>
        <x:v>269968.5532107373</x:v>
      </x:c>
      <x:c r="E26" s="7" t="n">
        <x:f>E25+MAX(0,-C26)</x:f>
        <x:v>69866.0510103998</x:v>
      </x:c>
      <x:c r="F26" s="7" t="n">
        <x:f>MAX(0,-MIN($D$11:D26))</x:f>
        <x:v>69866.0510103998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23" customHeight="1">
      <x:c r="A27" s="1" t="n">
        <x:v>17</x:v>
      </x:c>
      <x:c r="B27" s="1" t="n">
        <x:f>B26*(1-$B$7)+$B$5</x:f>
        <x:v>51</x:v>
      </x:c>
      <x:c r="C27" s="7" t="n">
        <x:f>IF(B27&gt;1000,"範囲外",B27*INDEX('損益分岐比較'!I5:I484,$B$4-4)-IF(B27&lt;=10,INDEX('損益分岐比較'!R5:R484,$B$4-4),IF(B27&lt;=100,INDEX('損益分岐比較'!S5:S484,$B$4-4),IF(B27&lt;=500,INDEX('損益分岐比較'!T5:T484,$B$4-4),INDEX('損益分岐比較'!U5:U484,$B$4-4)))))</x:f>
        <x:v>66569.50377764995</x:v>
      </x:c>
      <x:c r="D27" s="7" t="n">
        <x:f>D26+C27</x:f>
        <x:v>336538.05698838725</x:v>
      </x:c>
      <x:c r="E27" s="7" t="n">
        <x:f>E26+MAX(0,-C27)</x:f>
        <x:v>69866.0510103998</x:v>
      </x:c>
      <x:c r="F27" s="7" t="n">
        <x:f>MAX(0,-MIN($D$11:D27))</x:f>
        <x:v>69866.0510103998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23" customHeight="1">
      <x:c r="A28" s="1" t="n">
        <x:v>18</x:v>
      </x:c>
      <x:c r="B28" s="1" t="n">
        <x:f>B27*(1-$B$7)+$B$5</x:f>
        <x:v>54</x:v>
      </x:c>
      <x:c r="C28" s="7" t="n">
        <x:f>IF(B28&gt;1000,"範囲外",B28*INDEX('損益分岐比較'!I5:I484,$B$4-4)-IF(B28&lt;=10,INDEX('損益分岐比較'!R5:R484,$B$4-4),IF(B28&lt;=100,INDEX('損益分岐比較'!S5:S484,$B$4-4),IF(B28&lt;=500,INDEX('損益分岐比較'!T5:T484,$B$4-4),INDEX('損益分岐比較'!U5:U484,$B$4-4)))))</x:f>
        <x:v>72515.41191905923</x:v>
      </x:c>
      <x:c r="D28" s="7" t="n">
        <x:f>D27+C28</x:f>
        <x:v>409053.4689074465</x:v>
      </x:c>
      <x:c r="E28" s="7" t="n">
        <x:f>E27+MAX(0,-C28)</x:f>
        <x:v>69866.0510103998</x:v>
      </x:c>
      <x:c r="F28" s="7" t="n">
        <x:f>MAX(0,-MIN($D$11:D28))</x:f>
        <x:v>69866.0510103998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23" customHeight="1">
      <x:c r="A29" s="1" t="n">
        <x:v>19</x:v>
      </x:c>
      <x:c r="B29" s="1" t="n">
        <x:f>B28*(1-$B$7)+$B$5</x:f>
        <x:v>57</x:v>
      </x:c>
      <x:c r="C29" s="7" t="n">
        <x:f>IF(B29&gt;1000,"範囲外",B29*INDEX('損益分岐比較'!I5:I484,$B$4-4)-IF(B29&lt;=10,INDEX('損益分岐比較'!R5:R484,$B$4-4),IF(B29&lt;=100,INDEX('損益分岐比較'!S5:S484,$B$4-4),IF(B29&lt;=500,INDEX('損益分岐比較'!T5:T484,$B$4-4),INDEX('損益分岐比較'!U5:U484,$B$4-4)))))</x:f>
        <x:v>78461.32006046851</x:v>
      </x:c>
      <x:c r="D29" s="7" t="n">
        <x:f>D28+C29</x:f>
        <x:v>487514.788967915</x:v>
      </x:c>
      <x:c r="E29" s="7" t="n">
        <x:f>E28+MAX(0,-C29)</x:f>
        <x:v>69866.0510103998</x:v>
      </x:c>
      <x:c r="F29" s="7" t="n">
        <x:f>MAX(0,-MIN($D$11:D29))</x:f>
        <x:v>69866.0510103998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23" customHeight="1">
      <x:c r="A30" s="1" t="n">
        <x:v>20</x:v>
      </x:c>
      <x:c r="B30" s="1" t="n">
        <x:f>B29*(1-$B$7)+$B$5</x:f>
        <x:v>60</x:v>
      </x:c>
      <x:c r="C30" s="7" t="n">
        <x:f>IF(B30&gt;1000,"範囲外",B30*INDEX('損益分岐比較'!I5:I484,$B$4-4)-IF(B30&lt;=10,INDEX('損益分岐比較'!R5:R484,$B$4-4),IF(B30&lt;=100,INDEX('損益分岐比較'!S5:S484,$B$4-4),IF(B30&lt;=500,INDEX('損益分岐比較'!T5:T484,$B$4-4),INDEX('損益分岐比較'!U5:U484,$B$4-4)))))</x:f>
        <x:v>84407.22820187779</x:v>
      </x:c>
      <x:c r="D30" s="7" t="n">
        <x:f>D29+C30</x:f>
        <x:v>571922.0171697928</x:v>
      </x:c>
      <x:c r="E30" s="7" t="n">
        <x:f>E29+MAX(0,-C30)</x:f>
        <x:v>69866.0510103998</x:v>
      </x:c>
      <x:c r="F30" s="7" t="n">
        <x:f>MAX(0,-MIN($D$11:D30))</x:f>
        <x:v>69866.0510103998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23" customHeight="1">
      <x:c r="A31" s="1" t="n">
        <x:v>21</x:v>
      </x:c>
      <x:c r="B31" s="1" t="n">
        <x:f>B30*(1-$B$7)+$B$5</x:f>
        <x:v>63</x:v>
      </x:c>
      <x:c r="C31" s="7" t="n">
        <x:f>IF(B31&gt;1000,"範囲外",B31*INDEX('損益分岐比較'!I5:I484,$B$4-4)-IF(B31&lt;=10,INDEX('損益分岐比較'!R5:R484,$B$4-4),IF(B31&lt;=100,INDEX('損益分岐比較'!S5:S484,$B$4-4),IF(B31&lt;=500,INDEX('損益分岐比較'!T5:T484,$B$4-4),INDEX('損益分岐比較'!U5:U484,$B$4-4)))))</x:f>
        <x:v>90353.13634328707</x:v>
      </x:c>
      <x:c r="D31" s="7" t="n">
        <x:f>D30+C31</x:f>
        <x:v>662275.1535130799</x:v>
      </x:c>
      <x:c r="E31" s="7" t="n">
        <x:f>E30+MAX(0,-C31)</x:f>
        <x:v>69866.0510103998</x:v>
      </x:c>
      <x:c r="F31" s="7" t="n">
        <x:f>MAX(0,-MIN($D$11:D31))</x:f>
        <x:v>69866.0510103998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23" customHeight="1">
      <x:c r="A32" s="1" t="n">
        <x:v>22</x:v>
      </x:c>
      <x:c r="B32" s="1" t="n">
        <x:f>B31*(1-$B$7)+$B$5</x:f>
        <x:v>66</x:v>
      </x:c>
      <x:c r="C32" s="7" t="n">
        <x:f>IF(B32&gt;1000,"範囲外",B32*INDEX('損益分岐比較'!I5:I484,$B$4-4)-IF(B32&lt;=10,INDEX('損益分岐比較'!R5:R484,$B$4-4),IF(B32&lt;=100,INDEX('損益分岐比較'!S5:S484,$B$4-4),IF(B32&lt;=500,INDEX('損益分岐比較'!T5:T484,$B$4-4),INDEX('損益分岐比較'!U5:U484,$B$4-4)))))</x:f>
        <x:v>96299.04448469635</x:v>
      </x:c>
      <x:c r="D32" s="7" t="n">
        <x:f>D31+C32</x:f>
        <x:v>758574.1979977762</x:v>
      </x:c>
      <x:c r="E32" s="7" t="n">
        <x:f>E31+MAX(0,-C32)</x:f>
        <x:v>69866.0510103998</x:v>
      </x:c>
      <x:c r="F32" s="7" t="n">
        <x:f>MAX(0,-MIN($D$11:D32))</x:f>
        <x:v>69866.0510103998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23" customHeight="1">
      <x:c r="A33" s="1" t="n">
        <x:v>23</x:v>
      </x:c>
      <x:c r="B33" s="1" t="n">
        <x:f>B32*(1-$B$7)+$B$5</x:f>
        <x:v>69</x:v>
      </x:c>
      <x:c r="C33" s="7" t="n">
        <x:f>IF(B33&gt;1000,"範囲外",B33*INDEX('損益分岐比較'!I5:I484,$B$4-4)-IF(B33&lt;=10,INDEX('損益分岐比較'!R5:R484,$B$4-4),IF(B33&lt;=100,INDEX('損益分岐比較'!S5:S484,$B$4-4),IF(B33&lt;=500,INDEX('損益分岐比較'!T5:T484,$B$4-4),INDEX('損益分岐比較'!U5:U484,$B$4-4)))))</x:f>
        <x:v>102244.95262610563</x:v>
      </x:c>
      <x:c r="D33" s="7" t="n">
        <x:f>D32+C33</x:f>
        <x:v>860819.1506238818</x:v>
      </x:c>
      <x:c r="E33" s="7" t="n">
        <x:f>E32+MAX(0,-C33)</x:f>
        <x:v>69866.0510103998</x:v>
      </x:c>
      <x:c r="F33" s="7" t="n">
        <x:f>MAX(0,-MIN($D$11:D33))</x:f>
        <x:v>69866.0510103998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23" customHeight="1">
      <x:c r="A34" s="1" t="n">
        <x:v>24</x:v>
      </x:c>
      <x:c r="B34" s="1" t="n">
        <x:f>B33*(1-$B$7)+$B$5</x:f>
        <x:v>72</x:v>
      </x:c>
      <x:c r="C34" s="7" t="n">
        <x:f>IF(B34&gt;1000,"範囲外",B34*INDEX('損益分岐比較'!I5:I484,$B$4-4)-IF(B34&lt;=10,INDEX('損益分岐比較'!R5:R484,$B$4-4),IF(B34&lt;=100,INDEX('損益分岐比較'!S5:S484,$B$4-4),IF(B34&lt;=500,INDEX('損益分岐比較'!T5:T484,$B$4-4),INDEX('損益分岐比較'!U5:U484,$B$4-4)))))</x:f>
        <x:v>108190.86076751491</x:v>
      </x:c>
      <x:c r="D34" s="7" t="n">
        <x:f>D33+C34</x:f>
        <x:v>969010.0113913968</x:v>
      </x:c>
      <x:c r="E34" s="7" t="n">
        <x:f>E33+MAX(0,-C34)</x:f>
        <x:v>69866.0510103998</x:v>
      </x:c>
      <x:c r="F34" s="7" t="n">
        <x:f>MAX(0,-MIN($D$11:D34))</x:f>
        <x:v>69866.0510103998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23" customHeight="1">
      <x:c r="A35" s="1" t="n">
        <x:v>25</x:v>
      </x:c>
      <x:c r="B35" s="1" t="n">
        <x:f>B34*(1-$B$7)+$B$5</x:f>
        <x:v>75</x:v>
      </x:c>
      <x:c r="C35" s="7" t="n">
        <x:f>IF(B35&gt;1000,"範囲外",B35*INDEX('損益分岐比較'!I5:I484,$B$4-4)-IF(B35&lt;=10,INDEX('損益分岐比較'!R5:R484,$B$4-4),IF(B35&lt;=100,INDEX('損益分岐比較'!S5:S484,$B$4-4),IF(B35&lt;=500,INDEX('損益分岐比較'!T5:T484,$B$4-4),INDEX('損益分岐比較'!U5:U484,$B$4-4)))))</x:f>
        <x:v>114136.76890892419</x:v>
      </x:c>
      <x:c r="D35" s="7" t="n">
        <x:f>D34+C35</x:f>
        <x:v>1083146.780300321</x:v>
      </x:c>
      <x:c r="E35" s="7" t="n">
        <x:f>E34+MAX(0,-C35)</x:f>
        <x:v>69866.0510103998</x:v>
      </x:c>
      <x:c r="F35" s="7" t="n">
        <x:f>MAX(0,-MIN($D$11:D35))</x:f>
        <x:v>69866.0510103998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 ht="23" customHeight="1">
      <x:c r="A36" s="1" t="n">
        <x:v>26</x:v>
      </x:c>
      <x:c r="B36" s="1" t="n">
        <x:f>B35*(1-$B$7)+$B$5</x:f>
        <x:v>78</x:v>
      </x:c>
      <x:c r="C36" s="7" t="n">
        <x:f>IF(B36&gt;1000,"範囲外",B36*INDEX('損益分岐比較'!I5:I484,$B$4-4)-IF(B36&lt;=10,INDEX('損益分岐比較'!R5:R484,$B$4-4),IF(B36&lt;=100,INDEX('損益分岐比較'!S5:S484,$B$4-4),IF(B36&lt;=500,INDEX('損益分岐比較'!T5:T484,$B$4-4),INDEX('損益分岐比較'!U5:U484,$B$4-4)))))</x:f>
        <x:v>120082.67705033347</x:v>
      </x:c>
      <x:c r="D36" s="7" t="n">
        <x:f>D35+C36</x:f>
        <x:v>1203229.4573506545</x:v>
      </x:c>
      <x:c r="E36" s="7" t="n">
        <x:f>E35+MAX(0,-C36)</x:f>
        <x:v>69866.0510103998</x:v>
      </x:c>
      <x:c r="F36" s="7" t="n">
        <x:f>MAX(0,-MIN($D$11:D36))</x:f>
        <x:v>69866.0510103998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 ht="23" customHeight="1">
      <x:c r="A37" s="1" t="n">
        <x:v>27</x:v>
      </x:c>
      <x:c r="B37" s="1" t="n">
        <x:f>B36*(1-$B$7)+$B$5</x:f>
        <x:v>81</x:v>
      </x:c>
      <x:c r="C37" s="7" t="n">
        <x:f>IF(B37&gt;1000,"範囲外",B37*INDEX('損益分岐比較'!I5:I484,$B$4-4)-IF(B37&lt;=10,INDEX('損益分岐比較'!R5:R484,$B$4-4),IF(B37&lt;=100,INDEX('損益分岐比較'!S5:S484,$B$4-4),IF(B37&lt;=500,INDEX('損益分岐比較'!T5:T484,$B$4-4),INDEX('損益分岐比較'!U5:U484,$B$4-4)))))</x:f>
        <x:v>126028.58519174275</x:v>
      </x:c>
      <x:c r="D37" s="7" t="n">
        <x:f>D36+C37</x:f>
        <x:v>1329258.0425423973</x:v>
      </x:c>
      <x:c r="E37" s="7" t="n">
        <x:f>E36+MAX(0,-C37)</x:f>
        <x:v>69866.0510103998</x:v>
      </x:c>
      <x:c r="F37" s="7" t="n">
        <x:f>MAX(0,-MIN($D$11:D37))</x:f>
        <x:v>69866.0510103998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 ht="23" customHeight="1">
      <x:c r="A38" s="1" t="n">
        <x:v>28</x:v>
      </x:c>
      <x:c r="B38" s="1" t="n">
        <x:f>B37*(1-$B$7)+$B$5</x:f>
        <x:v>84</x:v>
      </x:c>
      <x:c r="C38" s="7" t="n">
        <x:f>IF(B38&gt;1000,"範囲外",B38*INDEX('損益分岐比較'!I5:I484,$B$4-4)-IF(B38&lt;=10,INDEX('損益分岐比較'!R5:R484,$B$4-4),IF(B38&lt;=100,INDEX('損益分岐比較'!S5:S484,$B$4-4),IF(B38&lt;=500,INDEX('損益分岐比較'!T5:T484,$B$4-4),INDEX('損益分岐比較'!U5:U484,$B$4-4)))))</x:f>
        <x:v>131974.49333315203</x:v>
      </x:c>
      <x:c r="D38" s="7" t="n">
        <x:f>D37+C38</x:f>
        <x:v>1461232.5358755493</x:v>
      </x:c>
      <x:c r="E38" s="7" t="n">
        <x:f>E37+MAX(0,-C38)</x:f>
        <x:v>69866.0510103998</x:v>
      </x:c>
      <x:c r="F38" s="7" t="n">
        <x:f>MAX(0,-MIN($D$11:D38))</x:f>
        <x:v>69866.0510103998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 ht="23" customHeight="1">
      <x:c r="A39" s="1" t="n">
        <x:v>29</x:v>
      </x:c>
      <x:c r="B39" s="1" t="n">
        <x:f>B38*(1-$B$7)+$B$5</x:f>
        <x:v>87</x:v>
      </x:c>
      <x:c r="C39" s="7" t="n">
        <x:f>IF(B39&gt;1000,"範囲外",B39*INDEX('損益分岐比較'!I5:I484,$B$4-4)-IF(B39&lt;=10,INDEX('損益分岐比較'!R5:R484,$B$4-4),IF(B39&lt;=100,INDEX('損益分岐比較'!S5:S484,$B$4-4),IF(B39&lt;=500,INDEX('損益分岐比較'!T5:T484,$B$4-4),INDEX('損益分岐比較'!U5:U484,$B$4-4)))))</x:f>
        <x:v>137920.4014745613</x:v>
      </x:c>
      <x:c r="D39" s="7" t="n">
        <x:f>D38+C39</x:f>
        <x:v>1599152.9373501106</x:v>
      </x:c>
      <x:c r="E39" s="7" t="n">
        <x:f>E38+MAX(0,-C39)</x:f>
        <x:v>69866.0510103998</x:v>
      </x:c>
      <x:c r="F39" s="7" t="n">
        <x:f>MAX(0,-MIN($D$11:D39))</x:f>
        <x:v>69866.0510103998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 ht="23" customHeight="1">
      <x:c r="A40" s="1" t="n">
        <x:v>30</x:v>
      </x:c>
      <x:c r="B40" s="1" t="n">
        <x:f>B39*(1-$B$7)+$B$5</x:f>
        <x:v>90</x:v>
      </x:c>
      <x:c r="C40" s="7" t="n">
        <x:f>IF(B40&gt;1000,"範囲外",B40*INDEX('損益分岐比較'!I5:I484,$B$4-4)-IF(B40&lt;=10,INDEX('損益分岐比較'!R5:R484,$B$4-4),IF(B40&lt;=100,INDEX('損益分岐比較'!S5:S484,$B$4-4),IF(B40&lt;=500,INDEX('損益分岐比較'!T5:T484,$B$4-4),INDEX('損益分岐比較'!U5:U484,$B$4-4)))))</x:f>
        <x:v>143866.3096159706</x:v>
      </x:c>
      <x:c r="D40" s="7" t="n">
        <x:f>D39+C40</x:f>
        <x:v>1743019.2469660812</x:v>
      </x:c>
      <x:c r="E40" s="7" t="n">
        <x:f>E39+MAX(0,-C40)</x:f>
        <x:v>69866.0510103998</x:v>
      </x:c>
      <x:c r="F40" s="7" t="n">
        <x:f>MAX(0,-MIN($D$11:D40))</x:f>
        <x:v>69866.0510103998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 ht="23" customHeight="1">
      <x:c r="A41" s="1" t="n">
        <x:v>31</x:v>
      </x:c>
      <x:c r="B41" s="1" t="n">
        <x:f>B40*(1-$B$7)+$B$5</x:f>
        <x:v>93</x:v>
      </x:c>
      <x:c r="C41" s="7" t="n">
        <x:f>IF(B41&gt;1000,"範囲外",B41*INDEX('損益分岐比較'!I5:I484,$B$4-4)-IF(B41&lt;=10,INDEX('損益分岐比較'!R5:R484,$B$4-4),IF(B41&lt;=100,INDEX('損益分岐比較'!S5:S484,$B$4-4),IF(B41&lt;=500,INDEX('損益分岐比較'!T5:T484,$B$4-4),INDEX('損益分岐比較'!U5:U484,$B$4-4)))))</x:f>
        <x:v>149812.21775737987</x:v>
      </x:c>
      <x:c r="D41" s="7" t="n">
        <x:f>D40+C41</x:f>
        <x:v>1892831.464723461</x:v>
      </x:c>
      <x:c r="E41" s="7" t="n">
        <x:f>E40+MAX(0,-C41)</x:f>
        <x:v>69866.0510103998</x:v>
      </x:c>
      <x:c r="F41" s="7" t="n">
        <x:f>MAX(0,-MIN($D$11:D41))</x:f>
        <x:v>69866.0510103998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 ht="23" customHeight="1">
      <x:c r="A42" s="1" t="n">
        <x:v>32</x:v>
      </x:c>
      <x:c r="B42" s="1" t="n">
        <x:f>B41*(1-$B$7)+$B$5</x:f>
        <x:v>96</x:v>
      </x:c>
      <x:c r="C42" s="7" t="n">
        <x:f>IF(B42&gt;1000,"範囲外",B42*INDEX('損益分岐比較'!I5:I484,$B$4-4)-IF(B42&lt;=10,INDEX('損益分岐比較'!R5:R484,$B$4-4),IF(B42&lt;=100,INDEX('損益分岐比較'!S5:S484,$B$4-4),IF(B42&lt;=500,INDEX('損益分岐比較'!T5:T484,$B$4-4),INDEX('損益分岐比較'!U5:U484,$B$4-4)))))</x:f>
        <x:v>155758.12589878915</x:v>
      </x:c>
      <x:c r="D42" s="7" t="n">
        <x:f>D41+C42</x:f>
        <x:v>2048589.5906222502</x:v>
      </x:c>
      <x:c r="E42" s="7" t="n">
        <x:f>E41+MAX(0,-C42)</x:f>
        <x:v>69866.0510103998</x:v>
      </x:c>
      <x:c r="F42" s="7" t="n">
        <x:f>MAX(0,-MIN($D$11:D42))</x:f>
        <x:v>69866.0510103998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 ht="23" customHeight="1">
      <x:c r="A43" s="1" t="n">
        <x:v>33</x:v>
      </x:c>
      <x:c r="B43" s="1" t="n">
        <x:f>B42*(1-$B$7)+$B$5</x:f>
        <x:v>99</x:v>
      </x:c>
      <x:c r="C43" s="7" t="n">
        <x:f>IF(B43&gt;1000,"範囲外",B43*INDEX('損益分岐比較'!I5:I484,$B$4-4)-IF(B43&lt;=10,INDEX('損益分岐比較'!R5:R484,$B$4-4),IF(B43&lt;=100,INDEX('損益分岐比較'!S5:S484,$B$4-4),IF(B43&lt;=500,INDEX('損益分岐比較'!T5:T484,$B$4-4),INDEX('損益分岐比較'!U5:U484,$B$4-4)))))</x:f>
        <x:v>161704.03404019843</x:v>
      </x:c>
      <x:c r="D43" s="7" t="n">
        <x:f>D42+C43</x:f>
        <x:v>2210293.6246624487</x:v>
      </x:c>
      <x:c r="E43" s="7" t="n">
        <x:f>E42+MAX(0,-C43)</x:f>
        <x:v>69866.0510103998</x:v>
      </x:c>
      <x:c r="F43" s="7" t="n">
        <x:f>MAX(0,-MIN($D$11:D43))</x:f>
        <x:v>69866.0510103998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 ht="23" customHeight="1">
      <x:c r="A44" s="1" t="n">
        <x:v>34</x:v>
      </x:c>
      <x:c r="B44" s="1" t="n">
        <x:f>B43*(1-$B$7)+$B$5</x:f>
        <x:v>102</x:v>
      </x:c>
      <x:c r="C44" s="7" t="n">
        <x:f>IF(B44&gt;1000,"範囲外",B44*INDEX('損益分岐比較'!I5:I484,$B$4-4)-IF(B44&lt;=10,INDEX('損益分岐比較'!R5:R484,$B$4-4),IF(B44&lt;=100,INDEX('損益分岐比較'!S5:S484,$B$4-4),IF(B44&lt;=500,INDEX('損益分岐比較'!T5:T484,$B$4-4),INDEX('損益分岐比較'!U5:U484,$B$4-4)))))</x:f>
        <x:v>145649.9421816077</x:v>
      </x:c>
      <x:c r="D44" s="7" t="n">
        <x:f>D43+C44</x:f>
        <x:v>2355943.5668440564</x:v>
      </x:c>
      <x:c r="E44" s="7" t="n">
        <x:f>E43+MAX(0,-C44)</x:f>
        <x:v>69866.0510103998</x:v>
      </x:c>
      <x:c r="F44" s="7" t="n">
        <x:f>MAX(0,-MIN($D$11:D44))</x:f>
        <x:v>69866.0510103998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 ht="23" customHeight="1">
      <x:c r="A45" s="1" t="n">
        <x:v>35</x:v>
      </x:c>
      <x:c r="B45" s="1" t="n">
        <x:f>B44*(1-$B$7)+$B$5</x:f>
        <x:v>105</x:v>
      </x:c>
      <x:c r="C45" s="7" t="n">
        <x:f>IF(B45&gt;1000,"範囲外",B45*INDEX('損益分岐比較'!I5:I484,$B$4-4)-IF(B45&lt;=10,INDEX('損益分岐比較'!R5:R484,$B$4-4),IF(B45&lt;=100,INDEX('損益分岐比較'!S5:S484,$B$4-4),IF(B45&lt;=500,INDEX('損益分岐比較'!T5:T484,$B$4-4),INDEX('損益分岐比較'!U5:U484,$B$4-4)))))</x:f>
        <x:v>151595.850323017</x:v>
      </x:c>
      <x:c r="D45" s="7" t="n">
        <x:f>D44+C45</x:f>
        <x:v>2507539.417167073</x:v>
      </x:c>
      <x:c r="E45" s="7" t="n">
        <x:f>E44+MAX(0,-C45)</x:f>
        <x:v>69866.0510103998</x:v>
      </x:c>
      <x:c r="F45" s="7" t="n">
        <x:f>MAX(0,-MIN($D$11:D45))</x:f>
        <x:v>69866.0510103998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 ht="23" customHeight="1">
      <x:c r="A46" s="1" t="n">
        <x:v>36</x:v>
      </x:c>
      <x:c r="B46" s="1" t="n">
        <x:f>B45*(1-$B$7)+$B$5</x:f>
        <x:v>108</x:v>
      </x:c>
      <x:c r="C46" s="7" t="n">
        <x:f>IF(B46&gt;1000,"範囲外",B46*INDEX('損益分岐比較'!I5:I484,$B$4-4)-IF(B46&lt;=10,INDEX('損益分岐比較'!R5:R484,$B$4-4),IF(B46&lt;=100,INDEX('損益分岐比較'!S5:S484,$B$4-4),IF(B46&lt;=500,INDEX('損益分岐比較'!T5:T484,$B$4-4),INDEX('損益分岐比較'!U5:U484,$B$4-4)))))</x:f>
        <x:v>157541.75846442627</x:v>
      </x:c>
      <x:c r="D46" s="7" t="n">
        <x:f>D45+C46</x:f>
        <x:v>2665081.1756314994</x:v>
      </x:c>
      <x:c r="E46" s="7" t="n">
        <x:f>E45+MAX(0,-C46)</x:f>
        <x:v>69866.0510103998</x:v>
      </x:c>
      <x:c r="F46" s="7" t="n">
        <x:f>MAX(0,-MIN($D$11:D46))</x:f>
        <x:v>69866.0510103998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 ht="23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 ht="23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 ht="23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 ht="23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 ht="23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 ht="23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 ht="23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 ht="23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 ht="23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 ht="23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 ht="23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 ht="23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 ht="23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 ht="23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 ht="23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 ht="23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 ht="23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 ht="23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 ht="23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 ht="23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 ht="23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 ht="23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 ht="23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 ht="23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 ht="23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 ht="23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 ht="23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 ht="23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 ht="23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 ht="23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 ht="23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 ht="23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 ht="23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 ht="23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 ht="23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 ht="23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 ht="23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 ht="23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 ht="23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 ht="23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 ht="23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 ht="23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 ht="23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 ht="23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 ht="23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 ht="23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 ht="23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 ht="23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 ht="23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 ht="23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 ht="23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 ht="23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 ht="23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 ht="23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 ht="23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 ht="23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 ht="23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 ht="23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 ht="23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 ht="23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 ht="23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 ht="23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 ht="23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 ht="23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 ht="23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 ht="23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 ht="23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 ht="23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 ht="23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 ht="23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 ht="23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 ht="23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 ht="23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 ht="23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 ht="23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 ht="23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 ht="23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 ht="23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 ht="23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 ht="23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 ht="23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 ht="23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 ht="23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 ht="23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 ht="23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 ht="23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 ht="23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 ht="23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 ht="23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 ht="23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 ht="23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 ht="23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 ht="23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 ht="23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 ht="23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 ht="23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 ht="23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 ht="23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 ht="23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 ht="23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 ht="23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 ht="23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 ht="23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 ht="23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 ht="23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 ht="23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 ht="23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 ht="23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 ht="23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 ht="23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 ht="23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 ht="23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 ht="23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 ht="23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 ht="23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 ht="23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 ht="23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 ht="23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 ht="23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 ht="23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 ht="23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 ht="23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 ht="23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 ht="23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 ht="23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 ht="23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 ht="23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 ht="23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 ht="23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 ht="23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 ht="23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 ht="23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 ht="23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 ht="23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 ht="23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 ht="23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 ht="23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 ht="23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 ht="23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 ht="23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 ht="23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 ht="23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 ht="23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 ht="23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 ht="23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 ht="23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 ht="23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 ht="23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 ht="23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 ht="23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 ht="23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 ht="23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 ht="23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 ht="23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 ht="23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 ht="23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 ht="23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 ht="23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 ht="23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 ht="23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 ht="23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 ht="23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 ht="23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 ht="23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 ht="23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 ht="23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 ht="23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 ht="23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 ht="23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 ht="23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 ht="23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 ht="23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 ht="23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 ht="23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 ht="23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 ht="23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 ht="23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 ht="23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 ht="23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 ht="23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 ht="23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 ht="23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 ht="23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 ht="23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 ht="23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 ht="23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 ht="23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 ht="23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 ht="23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 ht="23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 ht="23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 ht="23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 ht="23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 ht="23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 ht="23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 ht="23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 ht="23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 ht="23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 ht="23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 ht="23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 ht="23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 ht="23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 ht="23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 ht="23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 ht="23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 ht="23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 ht="23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 ht="23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 ht="23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 ht="23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 ht="23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 ht="23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 ht="23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 ht="23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 ht="23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 ht="23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 ht="23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 ht="23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 ht="23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 ht="23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 ht="23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 ht="23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 ht="23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 ht="23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 ht="23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 ht="23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 ht="23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 ht="23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 ht="23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 ht="23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 ht="23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 ht="23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 ht="23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 ht="23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 ht="23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 ht="23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 ht="23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 ht="23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 ht="23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 ht="23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  <x:row r="501" ht="23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</x:row>
    <x:row r="502" ht="23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</x:row>
    <x:row r="503" ht="23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</x:row>
    <x:row r="504" ht="23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</x:row>
    <x:row r="505" ht="23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</x:row>
    <x:row r="506" ht="23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</x:row>
    <x:row r="507" ht="23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</x:row>
    <x:row r="508" ht="23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</x:row>
    <x:row r="509" ht="23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</x:row>
    <x:row r="510" ht="23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</x:row>
    <x:row r="511" ht="23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</x:row>
    <x:row r="512" ht="23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</x:row>
    <x:row r="513" ht="23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</x:row>
    <x:row r="514" ht="23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</x:row>
    <x:row r="515" ht="23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</x:row>
    <x:row r="516" ht="23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</x:row>
    <x:row r="517" ht="23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</x:row>
    <x:row r="518" ht="23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</x:row>
    <x:row r="519" ht="23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</x:row>
    <x:row r="520" ht="23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</x:row>
  </x:sheetData>
  <x:pageMargins left="0.7" right="0.7" top="0.75" bottom="0.75" header="0.3" footer="0.3"/>
</x:worksheet>
</file>