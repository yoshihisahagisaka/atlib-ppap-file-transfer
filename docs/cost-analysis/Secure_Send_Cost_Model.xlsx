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4c7824980f4b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判断サマリー" sheetId="1" r:id="Rc633babfa78848e7"/>
    <x:sheet xmlns:r="http://schemas.openxmlformats.org/officeDocument/2006/relationships" name="設定と出典" sheetId="2" r:id="R2b84874bb62a4df4"/>
    <x:sheet xmlns:r="http://schemas.openxmlformats.org/officeDocument/2006/relationships" name="収益試算" sheetId="3" r:id="Rc16274ddc78b4649"/>
    <x:sheet xmlns:r="http://schemas.openxmlformats.org/officeDocument/2006/relationships" name="実績取得状況" sheetId="4" r:id="R24b6c12d482a486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;(#,##0);&quot;-&quot;"/>
    <x:numFmt numFmtId="201" formatCode="0.0%;(0.0%);&quot;-&quot;"/>
    <x:numFmt numFmtId="202" formatCode="#,##0.0;(#,##0.0);&quot;-&quot;"/>
    <x:numFmt numFmtId="203" formatCode="#,##0.00;(#,##0.00);&quot;-&quot;"/>
  </x:numFmts>
  <x:fonts count="5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5"/>
      <x:color rgb="FF1F355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556"/>
      </x:patternFill>
    </x:fill>
    <x:fill>
      <x:patternFill patternType="solid">
        <x:fgColor rgb="FFFFF2CC"/>
      </x:patternFill>
    </x:fill>
    <x:fill>
      <x:patternFill patternType="solid">
        <x:fgColor rgb="FF1F3556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4" fillId="0" borderId="0" xfId="0" applyNumberFormat="1" applyFont="1" applyFill="1" applyBorder="1"/>
    <x:xf numFmtId="0" fontId="1" fillId="4" borderId="0" xfId="0" applyNumberFormat="1" applyFont="1" applyFill="1" applyBorder="1"/>
    <x:xf numFmtId="0" fontId="2" fillId="4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B71C1C"/>
      </x:font>
      <x:fill>
        <x:patternFill>
          <x:bgColor rgb="FFFDE9E7"/>
        </x:patternFill>
      </x:fill>
    </x:dxf>
    <x:dxf>
      <x:font>
        <x:color rgb="FFB71C1C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2a0da3ea5a4775" /><Relationship Type="http://schemas.openxmlformats.org/officeDocument/2006/relationships/theme" Target="/xl/theme/theme1.xml" Id="R6b00c0a32411453b" /><Relationship Type="http://schemas.openxmlformats.org/officeDocument/2006/relationships/sharedStrings" Target="/xl/sharedStrings.xml" Id="R396f6fafa2ed46ef" /><Relationship Type="http://schemas.openxmlformats.org/officeDocument/2006/relationships/worksheet" Target="/xl/worksheets/sheet1.xml" Id="Rc633babfa78848e7" /><Relationship Type="http://schemas.openxmlformats.org/officeDocument/2006/relationships/worksheet" Target="/xl/worksheets/sheet2.xml" Id="R2b84874bb62a4df4" /><Relationship Type="http://schemas.openxmlformats.org/officeDocument/2006/relationships/worksheet" Target="/xl/worksheets/sheet3.xml" Id="Rc16274ddc78b4649" /><Relationship Type="http://schemas.openxmlformats.org/officeDocument/2006/relationships/worksheet" Target="/xl/worksheets/sheet4.xml" Id="R24b6c12d482a486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0" hidden="0" customWidth="1"/>
    <x:col min="3" max="3" width="10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21" hidden="0" customWidth="1"/>
    <x:col min="11" max="11" width="21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</x:row>
    <x:row r="2" ht="22" customHeight="1">
      <x:c r="A2" s="10" t="str">
        <x:v>Secure Send 料金採算比較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</x:row>
    <x:row r="3" ht="22" customHeight="1">
      <x:c r="A3" s="1" t="str">
        <x:v>共有請求取得済。Run単価を校正した将来試算。Secure Send実原価の確定値ではない。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</x:row>
    <x:row r="5" ht="34" customHeight="1">
      <x:c r="A5" s="4" t="str">
        <x:v>企業数</x:v>
      </x:c>
      <x:c r="B5" s="4" t="str">
        <x:v>プラン</x:v>
      </x:c>
      <x:c r="C5" s="4" t="str">
        <x:v>利用</x:v>
      </x:c>
      <x:c r="D5" s="4" t="str">
        <x:v>月額売上</x:v>
      </x:c>
      <x:c r="E5" s="4" t="str">
        <x:v>インフラ/月</x:v>
      </x:c>
      <x:c r="F5" s="4" t="str">
        <x:v>サポート等/月</x:v>
      </x:c>
      <x:c r="G5" s="4" t="str">
        <x:v>配分前差引/月</x:v>
      </x:c>
      <x:c r="H5" s="4" t="str">
        <x:v>売上50%後/月</x:v>
      </x:c>
      <x:c r="I5" s="4" t="str">
        <x:v>基本料50%後/月</x:v>
      </x:c>
      <x:c r="J5" s="4" t="str">
        <x:v>赤字回避配分上限</x:v>
      </x:c>
      <x:c r="K5" s="4" t="str">
        <x:v>目標20%確保上限</x:v>
      </x:c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</x:row>
    <x:row r="6" ht="22" customHeight="1">
      <x:c r="A6" s="1" t="n">
        <x:f>'収益試算'!A6</x:f>
        <x:v>10</x:v>
      </x:c>
      <x:c r="B6" s="1" t="str">
        <x:f>'収益試算'!B6</x:f>
        <x:v>Starter</x:v>
      </x:c>
      <x:c r="C6" s="1" t="str">
        <x:f>'収益試算'!C6</x:f>
        <x:v>低位</x:v>
      </x:c>
      <x:c r="D6" s="7" t="n">
        <x:f>'収益試算'!T6</x:f>
        <x:v>30000</x:v>
      </x:c>
      <x:c r="E6" s="7" t="n">
        <x:f>'収益試算'!AF6</x:f>
        <x:v>14294.933397311817</x:v>
      </x:c>
      <x:c r="F6" s="7" t="n">
        <x:f>SUM('収益試算'!AH6:AI6)</x:f>
        <x:v>10333.333333333334</x:v>
      </x:c>
      <x:c r="G6" s="7" t="n">
        <x:f>'収益試算'!AJ6</x:f>
        <x:v>4291.733269354849</x:v>
      </x:c>
      <x:c r="H6" s="7" t="n">
        <x:f>'収益試算'!AK6</x:f>
        <x:v>-10708.266730645151</x:v>
      </x:c>
      <x:c r="I6" s="7" t="n">
        <x:f>'収益試算'!AL6</x:f>
        <x:v>-708.2667306451513</x:v>
      </x:c>
      <x:c r="J6" s="8" t="n">
        <x:f>'収益試算'!AO6</x:f>
        <x:v>0.14305777564516162</x:v>
      </x:c>
      <x:c r="K6" s="8" t="n">
        <x:f>'収益試算'!AP6</x:f>
        <x:v>-0.056942224354838394</x:v>
      </x:c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</x:row>
    <x:row r="7" ht="22" customHeight="1">
      <x:c r="A7" s="1" t="n">
        <x:f>'収益試算'!A7</x:f>
        <x:v>10</x:v>
      </x:c>
      <x:c r="B7" s="1" t="str">
        <x:f>'収益試算'!B7</x:f>
        <x:v>Starter</x:v>
      </x:c>
      <x:c r="C7" s="1" t="str">
        <x:f>'収益試算'!C7</x:f>
        <x:v>標準</x:v>
      </x:c>
      <x:c r="D7" s="7" t="n">
        <x:f>'収益試算'!T7</x:f>
        <x:v>30000</x:v>
      </x:c>
      <x:c r="E7" s="7" t="n">
        <x:f>'収益試算'!AF7</x:f>
        <x:v>15140.595112834477</x:v>
      </x:c>
      <x:c r="F7" s="7" t="n">
        <x:f>SUM('収益試算'!AH7:AI7)</x:f>
        <x:v>13666.666666666668</x:v>
      </x:c>
      <x:c r="G7" s="7" t="n">
        <x:f>'収益試算'!AJ7</x:f>
        <x:v>112.73822049885712</x:v>
      </x:c>
      <x:c r="H7" s="7" t="n">
        <x:f>'収益試算'!AK7</x:f>
        <x:v>-14887.261779501143</x:v>
      </x:c>
      <x:c r="I7" s="7" t="n">
        <x:f>'収益試算'!AL7</x:f>
        <x:v>-4887.261779501143</x:v>
      </x:c>
      <x:c r="J7" s="8" t="n">
        <x:f>'収益試算'!AO7</x:f>
        <x:v>0.003757940683295237</x:v>
      </x:c>
      <x:c r="K7" s="8" t="n">
        <x:f>'収益試算'!AP7</x:f>
        <x:v>-0.19624205931670477</x:v>
      </x:c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</x:row>
    <x:row r="8" ht="22" customHeight="1">
      <x:c r="A8" s="1" t="n">
        <x:f>'収益試算'!A8</x:f>
        <x:v>10</x:v>
      </x:c>
      <x:c r="B8" s="1" t="str">
        <x:f>'収益試算'!B8</x:f>
        <x:v>Starter</x:v>
      </x:c>
      <x:c r="C8" s="1" t="str">
        <x:f>'収益試算'!C8</x:f>
        <x:v>高位</x:v>
      </x:c>
      <x:c r="D8" s="7" t="n">
        <x:f>'収益試算'!T8</x:f>
        <x:v>30000</x:v>
      </x:c>
      <x:c r="E8" s="7" t="n">
        <x:f>'収益試算'!AF8</x:f>
        <x:v>39255.37782163064</x:v>
      </x:c>
      <x:c r="F8" s="7" t="n">
        <x:f>SUM('収益試算'!AH8:AI8)</x:f>
        <x:v>21666.666666666664</x:v>
      </x:c>
      <x:c r="G8" s="7" t="n">
        <x:f>'収益試算'!AJ8</x:f>
        <x:v>-32002.044488297302</x:v>
      </x:c>
      <x:c r="H8" s="7" t="n">
        <x:f>'収益試算'!AK8</x:f>
        <x:v>-47002.0444882973</x:v>
      </x:c>
      <x:c r="I8" s="7" t="n">
        <x:f>'収益試算'!AL8</x:f>
        <x:v>-37002.0444882973</x:v>
      </x:c>
      <x:c r="J8" s="8" t="n">
        <x:f>'収益試算'!AO8</x:f>
        <x:v>-1.0667348162765768</x:v>
      </x:c>
      <x:c r="K8" s="8" t="n">
        <x:f>'収益試算'!AP8</x:f>
        <x:v>-1.2667348162765768</x:v>
      </x:c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</x:row>
    <x:row r="9" ht="22" customHeight="1">
      <x:c r="A9" s="1" t="n">
        <x:f>'収益試算'!A9</x:f>
        <x:v>10</x:v>
      </x:c>
      <x:c r="B9" s="1" t="str">
        <x:f>'収益試算'!B9</x:f>
        <x:v>Business</x:v>
      </x:c>
      <x:c r="C9" s="1" t="str">
        <x:f>'収益試算'!C9</x:f>
        <x:v>低位</x:v>
      </x:c>
      <x:c r="D9" s="7" t="n">
        <x:f>'収益試算'!T9</x:f>
        <x:v>50000</x:v>
      </x:c>
      <x:c r="E9" s="7" t="n">
        <x:f>'収益試算'!AF9</x:f>
        <x:v>14792.825333968543</x:v>
      </x:c>
      <x:c r="F9" s="7" t="n">
        <x:f>SUM('収益試算'!AH9:AI9)</x:f>
        <x:v>11333.333333333334</x:v>
      </x:c>
      <x:c r="G9" s="7" t="n">
        <x:f>'収益試算'!AJ9</x:f>
        <x:v>22073.841332698124</x:v>
      </x:c>
      <x:c r="H9" s="7" t="n">
        <x:f>'収益試算'!AK9</x:f>
        <x:v>-2926.1586673018755</x:v>
      </x:c>
      <x:c r="I9" s="7" t="n">
        <x:f>'収益試算'!AL9</x:f>
        <x:v>17073.841332698124</x:v>
      </x:c>
      <x:c r="J9" s="8" t="n">
        <x:f>'収益試算'!AO9</x:f>
        <x:v>0.4414768266539625</x:v>
      </x:c>
      <x:c r="K9" s="8" t="n">
        <x:f>'収益試算'!AP9</x:f>
        <x:v>0.24147682665396247</x:v>
      </x:c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</x:row>
    <x:row r="10" ht="22" customHeight="1">
      <x:c r="A10" s="1" t="n">
        <x:f>'収益試算'!A10</x:f>
        <x:v>10</x:v>
      </x:c>
      <x:c r="B10" s="1" t="str">
        <x:f>'収益試算'!B10</x:f>
        <x:v>Business</x:v>
      </x:c>
      <x:c r="C10" s="1" t="str">
        <x:f>'収益試算'!C10</x:f>
        <x:v>標準</x:v>
      </x:c>
      <x:c r="D10" s="7" t="n">
        <x:f>'収益試算'!T10</x:f>
        <x:v>50000</x:v>
      </x:c>
      <x:c r="E10" s="7" t="n">
        <x:f>'収益試算'!AF10</x:f>
        <x:v>18175.47219605918</x:v>
      </x:c>
      <x:c r="F10" s="7" t="n">
        <x:f>SUM('収益試算'!AH10:AI10)</x:f>
        <x:v>14666.666666666668</x:v>
      </x:c>
      <x:c r="G10" s="7" t="n">
        <x:f>'収益試算'!AJ10</x:f>
        <x:v>15357.86113727415</x:v>
      </x:c>
      <x:c r="H10" s="7" t="n">
        <x:f>'収益試算'!AK10</x:f>
        <x:v>-9642.13886272585</x:v>
      </x:c>
      <x:c r="I10" s="7" t="n">
        <x:f>'収益試算'!AL10</x:f>
        <x:v>10357.86113727415</x:v>
      </x:c>
      <x:c r="J10" s="8" t="n">
        <x:f>'収益試算'!AO10</x:f>
        <x:v>0.307157222745483</x:v>
      </x:c>
      <x:c r="K10" s="8" t="n">
        <x:f>'収益試算'!AP10</x:f>
        <x:v>0.107157222745483</x:v>
      </x:c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</x:row>
    <x:row r="11" ht="22" customHeight="1">
      <x:c r="A11" s="1" t="n">
        <x:f>'収益試算'!A11</x:f>
        <x:v>10</x:v>
      </x:c>
      <x:c r="B11" s="1" t="str">
        <x:f>'収益試算'!B11</x:f>
        <x:v>Business</x:v>
      </x:c>
      <x:c r="C11" s="1" t="str">
        <x:f>'収益試算'!C11</x:f>
        <x:v>高位</x:v>
      </x:c>
      <x:c r="D11" s="7" t="n">
        <x:f>'収益試算'!T11</x:f>
        <x:v>50000</x:v>
      </x:c>
      <x:c r="E11" s="7" t="n">
        <x:f>'収益試算'!AF11</x:f>
        <x:v>114634.60303124384</x:v>
      </x:c>
      <x:c r="F11" s="7" t="n">
        <x:f>SUM('収益試算'!AH11:AI11)</x:f>
        <x:v>22666.666666666664</x:v>
      </x:c>
      <x:c r="G11" s="7" t="n">
        <x:f>'収益試算'!AJ11</x:f>
        <x:v>-89101.2696979105</x:v>
      </x:c>
      <x:c r="H11" s="7" t="n">
        <x:f>'収益試算'!AK11</x:f>
        <x:v>-114101.2696979105</x:v>
      </x:c>
      <x:c r="I11" s="7" t="n">
        <x:f>'収益試算'!AL11</x:f>
        <x:v>-94101.2696979105</x:v>
      </x:c>
      <x:c r="J11" s="8" t="n">
        <x:f>'収益試算'!AO11</x:f>
        <x:v>-1.7820253939582098</x:v>
      </x:c>
      <x:c r="K11" s="8" t="n">
        <x:f>'収益試算'!AP11</x:f>
        <x:v>-1.9820253939582098</x:v>
      </x:c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</x:row>
    <x:row r="12" ht="22" customHeight="1">
      <x:c r="A12" s="1" t="n">
        <x:f>'収益試算'!A12</x:f>
        <x:v>10</x:v>
      </x:c>
      <x:c r="B12" s="1" t="str">
        <x:f>'収益試算'!B12</x:f>
        <x:v>Business Plus</x:v>
      </x:c>
      <x:c r="C12" s="1" t="str">
        <x:f>'収益試算'!C12</x:f>
        <x:v>低位</x:v>
      </x:c>
      <x:c r="D12" s="7" t="n">
        <x:f>'収益試算'!T12</x:f>
        <x:v>80000</x:v>
      </x:c>
      <x:c r="E12" s="7" t="n">
        <x:f>'収益試算'!AF12</x:f>
        <x:v>15788.609207281996</x:v>
      </x:c>
      <x:c r="F12" s="7" t="n">
        <x:f>SUM('収益試算'!AH12:AI12)</x:f>
        <x:v>13333.333333333332</x:v>
      </x:c>
      <x:c r="G12" s="7" t="n">
        <x:f>'収益試算'!AJ12</x:f>
        <x:v>47998.05745938467</x:v>
      </x:c>
      <x:c r="H12" s="7" t="n">
        <x:f>'収益試算'!AK12</x:f>
        <x:v>7998.057459384669</x:v>
      </x:c>
      <x:c r="I12" s="7" t="n">
        <x:f>'収益試算'!AL12</x:f>
        <x:v>42998.05745938467</x:v>
      </x:c>
      <x:c r="J12" s="8" t="n">
        <x:f>'収益試算'!AO12</x:f>
        <x:v>0.5999757182423083</x:v>
      </x:c>
      <x:c r="K12" s="8" t="n">
        <x:f>'収益試算'!AP12</x:f>
        <x:v>0.3999757182423083</x:v>
      </x:c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</x:row>
    <x:row r="13" ht="22" customHeight="1">
      <x:c r="A13" s="1" t="n">
        <x:f>'収益試算'!A13</x:f>
        <x:v>10</x:v>
      </x:c>
      <x:c r="B13" s="1" t="str">
        <x:f>'収益試算'!B13</x:f>
        <x:v>Business Plus</x:v>
      </x:c>
      <x:c r="C13" s="1" t="str">
        <x:f>'収益試算'!C13</x:f>
        <x:v>標準</x:v>
      </x:c>
      <x:c r="D13" s="7" t="n">
        <x:f>'収益試算'!T13</x:f>
        <x:v>80000</x:v>
      </x:c>
      <x:c r="E13" s="7" t="n">
        <x:f>'収益試算'!AF13</x:f>
        <x:v>24245.22636250859</x:v>
      </x:c>
      <x:c r="F13" s="7" t="n">
        <x:f>SUM('収益試算'!AH13:AI13)</x:f>
        <x:v>16666.666666666664</x:v>
      </x:c>
      <x:c r="G13" s="7" t="n">
        <x:f>'収益試算'!AJ13</x:f>
        <x:v>36208.106970824745</x:v>
      </x:c>
      <x:c r="H13" s="7" t="n">
        <x:f>'収益試算'!AK13</x:f>
        <x:v>-3791.893029175255</x:v>
      </x:c>
      <x:c r="I13" s="7" t="n">
        <x:f>'収益試算'!AL13</x:f>
        <x:v>31208.106970824745</x:v>
      </x:c>
      <x:c r="J13" s="8" t="n">
        <x:f>'収益試算'!AO13</x:f>
        <x:v>0.4526013371353093</x:v>
      </x:c>
      <x:c r="K13" s="8" t="n">
        <x:f>'収益試算'!AP13</x:f>
        <x:v>0.2526013371353093</x:v>
      </x:c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</x:row>
    <x:row r="14" ht="22" customHeight="1">
      <x:c r="A14" s="1" t="n">
        <x:f>'収益試算'!A14</x:f>
        <x:v>10</x:v>
      </x:c>
      <x:c r="B14" s="1" t="str">
        <x:f>'収益試算'!B14</x:f>
        <x:v>Business Plus</x:v>
      </x:c>
      <x:c r="C14" s="1" t="str">
        <x:f>'収益試算'!C14</x:f>
        <x:v>高位</x:v>
      </x:c>
      <x:c r="D14" s="7" t="n">
        <x:f>'収益試算'!T14</x:f>
        <x:v>80000</x:v>
      </x:c>
      <x:c r="E14" s="7" t="n">
        <x:f>'収益試算'!AF14</x:f>
        <x:v>265393.0534504702</x:v>
      </x:c>
      <x:c r="F14" s="7" t="n">
        <x:f>SUM('収益試算'!AH14:AI14)</x:f>
        <x:v>24666.666666666668</x:v>
      </x:c>
      <x:c r="G14" s="7" t="n">
        <x:f>'収益試算'!AJ14</x:f>
        <x:v>-212939.7201171369</x:v>
      </x:c>
      <x:c r="H14" s="7" t="n">
        <x:f>'収益試算'!AK14</x:f>
        <x:v>-252939.7201171369</x:v>
      </x:c>
      <x:c r="I14" s="7" t="n">
        <x:f>'収益試算'!AL14</x:f>
        <x:v>-217939.7201171369</x:v>
      </x:c>
      <x:c r="J14" s="8" t="n">
        <x:f>'収益試算'!AO14</x:f>
        <x:v>-2.661746501464211</x:v>
      </x:c>
      <x:c r="K14" s="8" t="n">
        <x:f>'収益試算'!AP14</x:f>
        <x:v>-2.861746501464211</x:v>
      </x:c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</x:row>
    <x:row r="15" ht="22" customHeight="1">
      <x:c r="A15" s="1" t="n">
        <x:f>'収益試算'!A15</x:f>
        <x:v>100</x:v>
      </x:c>
      <x:c r="B15" s="1" t="str">
        <x:f>'収益試算'!B15</x:f>
        <x:v>Starter</x:v>
      </x:c>
      <x:c r="C15" s="1" t="str">
        <x:f>'収益試算'!C15</x:f>
        <x:v>低位</x:v>
      </x:c>
      <x:c r="D15" s="7" t="n">
        <x:f>'収益試算'!T15</x:f>
        <x:v>300000</x:v>
      </x:c>
      <x:c r="E15" s="7" t="n">
        <x:f>'収益試算'!AF15</x:f>
        <x:v>20288.609207281996</x:v>
      </x:c>
      <x:c r="F15" s="7" t="n">
        <x:f>SUM('収益試算'!AH15:AI15)</x:f>
        <x:v>31333.333333333332</x:v>
      </x:c>
      <x:c r="G15" s="7" t="n">
        <x:f>'収益試算'!AJ15</x:f>
        <x:v>237578.05745938467</x:v>
      </x:c>
      <x:c r="H15" s="7" t="n">
        <x:f>'収益試算'!AK15</x:f>
        <x:v>87578.05745938467</x:v>
      </x:c>
      <x:c r="I15" s="7" t="n">
        <x:f>'収益試算'!AL15</x:f>
        <x:v>187578.05745938467</x:v>
      </x:c>
      <x:c r="J15" s="8" t="n">
        <x:f>'収益試算'!AO15</x:f>
        <x:v>0.791926858197949</x:v>
      </x:c>
      <x:c r="K15" s="8" t="n">
        <x:f>'収益試算'!AP15</x:f>
        <x:v>0.5919268581979489</x:v>
      </x:c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</x:row>
    <x:row r="16" ht="22" customHeight="1">
      <x:c r="A16" s="1" t="n">
        <x:f>'収益試算'!A16</x:f>
        <x:v>100</x:v>
      </x:c>
      <x:c r="B16" s="1" t="str">
        <x:f>'収益試算'!B16</x:f>
        <x:v>Starter</x:v>
      </x:c>
      <x:c r="C16" s="1" t="str">
        <x:f>'収益試算'!C16</x:f>
        <x:v>標準</x:v>
      </x:c>
      <x:c r="D16" s="7" t="n">
        <x:f>'収益試算'!T16</x:f>
        <x:v>300000</x:v>
      </x:c>
      <x:c r="E16" s="7" t="n">
        <x:f>'収益試算'!AF16</x:f>
        <x:v>28745.226362508587</x:v>
      </x:c>
      <x:c r="F16" s="7" t="n">
        <x:f>SUM('収益試算'!AH16:AI16)</x:f>
        <x:v>64666.666666666664</x:v>
      </x:c>
      <x:c r="G16" s="7" t="n">
        <x:f>'収益試算'!AJ16</x:f>
        <x:v>195788.10697082474</x:v>
      </x:c>
      <x:c r="H16" s="7" t="n">
        <x:f>'収益試算'!AK16</x:f>
        <x:v>45788.10697082474</x:v>
      </x:c>
      <x:c r="I16" s="7" t="n">
        <x:f>'収益試算'!AL16</x:f>
        <x:v>145788.10697082474</x:v>
      </x:c>
      <x:c r="J16" s="8" t="n">
        <x:f>'収益試算'!AO16</x:f>
        <x:v>0.6526270232360825</x:v>
      </x:c>
      <x:c r="K16" s="8" t="n">
        <x:f>'収益試算'!AP16</x:f>
        <x:v>0.45262702323608245</x:v>
      </x:c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</x:row>
    <x:row r="17" ht="22" customHeight="1">
      <x:c r="A17" s="1" t="n">
        <x:f>'収益試算'!A17</x:f>
        <x:v>100</x:v>
      </x:c>
      <x:c r="B17" s="1" t="str">
        <x:f>'収益試算'!B17</x:f>
        <x:v>Starter</x:v>
      </x:c>
      <x:c r="C17" s="1" t="str">
        <x:f>'収益試算'!C17</x:f>
        <x:v>高位</x:v>
      </x:c>
      <x:c r="D17" s="7" t="n">
        <x:f>'収益試算'!T17</x:f>
        <x:v>300000</x:v>
      </x:c>
      <x:c r="E17" s="7" t="n">
        <x:f>'収益試算'!AF17</x:f>
        <x:v>269893.0534504702</x:v>
      </x:c>
      <x:c r="F17" s="7" t="n">
        <x:f>SUM('収益試算'!AH17:AI17)</x:f>
        <x:v>144666.66666666666</x:v>
      </x:c>
      <x:c r="G17" s="7" t="n">
        <x:f>'収益試算'!AJ17</x:f>
        <x:v>-125359.72011713684</x:v>
      </x:c>
      <x:c r="H17" s="7" t="n">
        <x:f>'収益試算'!AK17</x:f>
        <x:v>-275359.72011713684</x:v>
      </x:c>
      <x:c r="I17" s="7" t="n">
        <x:f>'収益試算'!AL17</x:f>
        <x:v>-175359.72011713684</x:v>
      </x:c>
      <x:c r="J17" s="8" t="n">
        <x:f>'収益試算'!AO17</x:f>
        <x:v>-0.41786573372378943</x:v>
      </x:c>
      <x:c r="K17" s="8" t="n">
        <x:f>'収益試算'!AP17</x:f>
        <x:v>-0.6178657337237894</x:v>
      </x:c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</x:row>
    <x:row r="18" ht="22" customHeight="1">
      <x:c r="A18" s="1" t="n">
        <x:f>'収益試算'!A18</x:f>
        <x:v>100</x:v>
      </x:c>
      <x:c r="B18" s="1" t="str">
        <x:f>'収益試算'!B18</x:f>
        <x:v>Business</x:v>
      </x:c>
      <x:c r="C18" s="1" t="str">
        <x:f>'収益試算'!C18</x:f>
        <x:v>低位</x:v>
      </x:c>
      <x:c r="D18" s="7" t="n">
        <x:f>'収益試算'!T18</x:f>
        <x:v>500000</x:v>
      </x:c>
      <x:c r="E18" s="7" t="n">
        <x:f>'収益試算'!AF18</x:f>
        <x:v>25267.528573849253</x:v>
      </x:c>
      <x:c r="F18" s="7" t="n">
        <x:f>SUM('収益試算'!AH18:AI18)</x:f>
        <x:v>41333.333333333336</x:v>
      </x:c>
      <x:c r="G18" s="7" t="n">
        <x:f>'収益試算'!AJ18</x:f>
        <x:v>415399.1380928174</x:v>
      </x:c>
      <x:c r="H18" s="7" t="n">
        <x:f>'収益試算'!AK18</x:f>
        <x:v>165399.1380928174</x:v>
      </x:c>
      <x:c r="I18" s="7" t="n">
        <x:f>'収益試算'!AL18</x:f>
        <x:v>365399.1380928174</x:v>
      </x:c>
      <x:c r="J18" s="8" t="n">
        <x:f>'収益試算'!AO18</x:f>
        <x:v>0.8307982761856347</x:v>
      </x:c>
      <x:c r="K18" s="8" t="n">
        <x:f>'収益試算'!AP18</x:f>
        <x:v>0.6307982761856348</x:v>
      </x:c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</x:row>
    <x:row r="19" ht="22" customHeight="1">
      <x:c r="A19" s="1" t="n">
        <x:f>'収益試算'!A19</x:f>
        <x:v>100</x:v>
      </x:c>
      <x:c r="B19" s="1" t="str">
        <x:f>'収益試算'!B19</x:f>
        <x:v>Business</x:v>
      </x:c>
      <x:c r="C19" s="1" t="str">
        <x:f>'収益試算'!C19</x:f>
        <x:v>標準</x:v>
      </x:c>
      <x:c r="D19" s="7" t="n">
        <x:f>'収益試算'!T19</x:f>
        <x:v>500000</x:v>
      </x:c>
      <x:c r="E19" s="7" t="n">
        <x:f>'収益試算'!AF19</x:f>
        <x:v>59093.997194755626</x:v>
      </x:c>
      <x:c r="F19" s="7" t="n">
        <x:f>SUM('収益試算'!AH19:AI19)</x:f>
        <x:v>74666.66666666667</x:v>
      </x:c>
      <x:c r="G19" s="7" t="n">
        <x:f>'収益試算'!AJ19</x:f>
        <x:v>348239.3361385777</x:v>
      </x:c>
      <x:c r="H19" s="7" t="n">
        <x:f>'収益試算'!AK19</x:f>
        <x:v>98239.33613857772</x:v>
      </x:c>
      <x:c r="I19" s="7" t="n">
        <x:f>'収益試算'!AL19</x:f>
        <x:v>298239.3361385777</x:v>
      </x:c>
      <x:c r="J19" s="8" t="n">
        <x:f>'収益試算'!AO19</x:f>
        <x:v>0.6964786722771554</x:v>
      </x:c>
      <x:c r="K19" s="8" t="n">
        <x:f>'収益試算'!AP19</x:f>
        <x:v>0.4964786722771554</x:v>
      </x:c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</x:row>
    <x:row r="20" ht="22" customHeight="1">
      <x:c r="A20" s="1" t="n">
        <x:f>'収益試算'!A20</x:f>
        <x:v>100</x:v>
      </x:c>
      <x:c r="B20" s="1" t="str">
        <x:f>'収益試算'!B20</x:f>
        <x:v>Business</x:v>
      </x:c>
      <x:c r="C20" s="1" t="str">
        <x:f>'収益試算'!C20</x:f>
        <x:v>高位</x:v>
      </x:c>
      <x:c r="D20" s="7" t="n">
        <x:f>'収益試算'!T20</x:f>
        <x:v>500000</x:v>
      </x:c>
      <x:c r="E20" s="7" t="n">
        <x:f>'収益試算'!AF20</x:f>
        <x:v>1023685.3055466022</x:v>
      </x:c>
      <x:c r="F20" s="7" t="n">
        <x:f>SUM('収益試算'!AH20:AI20)</x:f>
        <x:v>154666.66666666666</x:v>
      </x:c>
      <x:c r="G20" s="7" t="n">
        <x:f>'収益試算'!AJ20</x:f>
        <x:v>-696351.972213269</x:v>
      </x:c>
      <x:c r="H20" s="7" t="n">
        <x:f>'収益試算'!AK20</x:f>
        <x:v>-946351.972213269</x:v>
      </x:c>
      <x:c r="I20" s="7" t="n">
        <x:f>'収益試算'!AL20</x:f>
        <x:v>-746351.972213269</x:v>
      </x:c>
      <x:c r="J20" s="8" t="n">
        <x:f>'収益試算'!AO20</x:f>
        <x:v>-1.3927039444265379</x:v>
      </x:c>
      <x:c r="K20" s="8" t="n">
        <x:f>'収益試算'!AP20</x:f>
        <x:v>-1.5927039444265378</x:v>
      </x:c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</x:row>
    <x:row r="21" ht="22" customHeight="1">
      <x:c r="A21" s="1" t="n">
        <x:f>'収益試算'!A21</x:f>
        <x:v>100</x:v>
      </x:c>
      <x:c r="B21" s="1" t="str">
        <x:f>'収益試算'!B21</x:f>
        <x:v>Business Plus</x:v>
      </x:c>
      <x:c r="C21" s="1" t="str">
        <x:f>'収益試算'!C21</x:f>
        <x:v>低位</x:v>
      </x:c>
      <x:c r="D21" s="7" t="n">
        <x:f>'収益試算'!T21</x:f>
        <x:v>800000</x:v>
      </x:c>
      <x:c r="E21" s="7" t="n">
        <x:f>'収益試算'!AF21</x:f>
        <x:v>35225.367306983775</x:v>
      </x:c>
      <x:c r="F21" s="7" t="n">
        <x:f>SUM('収益試算'!AH21:AI21)</x:f>
        <x:v>61333.333333333336</x:v>
      </x:c>
      <x:c r="G21" s="7" t="n">
        <x:f>'収益試算'!AJ21</x:f>
        <x:v>674641.299359683</x:v>
      </x:c>
      <x:c r="H21" s="7" t="n">
        <x:f>'収益試算'!AK21</x:f>
        <x:v>274641.29935968295</x:v>
      </x:c>
      <x:c r="I21" s="7" t="n">
        <x:f>'収益試算'!AL21</x:f>
        <x:v>624641.299359683</x:v>
      </x:c>
      <x:c r="J21" s="8" t="n">
        <x:f>'収益試算'!AO21</x:f>
        <x:v>0.8433016241996036</x:v>
      </x:c>
      <x:c r="K21" s="8" t="n">
        <x:f>'収益試算'!AP21</x:f>
        <x:v>0.6433016241996037</x:v>
      </x:c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</x:row>
    <x:row r="22" ht="22" customHeight="1">
      <x:c r="A22" s="1" t="n">
        <x:f>'収益試算'!A22</x:f>
        <x:v>100</x:v>
      </x:c>
      <x:c r="B22" s="1" t="str">
        <x:f>'収益試算'!B22</x:f>
        <x:v>Business Plus</x:v>
      </x:c>
      <x:c r="C22" s="1" t="str">
        <x:f>'収益試算'!C22</x:f>
        <x:v>標準</x:v>
      </x:c>
      <x:c r="D22" s="7" t="n">
        <x:f>'収益試算'!T22</x:f>
        <x:v>800000</x:v>
      </x:c>
      <x:c r="E22" s="7" t="n">
        <x:f>'収益試算'!AF22</x:f>
        <x:v>119791.5388592497</x:v>
      </x:c>
      <x:c r="F22" s="7" t="n">
        <x:f>SUM('収益試算'!AH22:AI22)</x:f>
        <x:v>94666.66666666667</x:v>
      </x:c>
      <x:c r="G22" s="7" t="n">
        <x:f>'収益試算'!AJ22</x:f>
        <x:v>556741.7944740837</x:v>
      </x:c>
      <x:c r="H22" s="7" t="n">
        <x:f>'収益試算'!AK22</x:f>
        <x:v>156741.7944740837</x:v>
      </x:c>
      <x:c r="I22" s="7" t="n">
        <x:f>'収益試算'!AL22</x:f>
        <x:v>506741.7944740837</x:v>
      </x:c>
      <x:c r="J22" s="8" t="n">
        <x:f>'収益試算'!AO22</x:f>
        <x:v>0.6959272430926047</x:v>
      </x:c>
      <x:c r="K22" s="8" t="n">
        <x:f>'収益試算'!AP22</x:f>
        <x:v>0.49592724309260466</x:v>
      </x:c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</x:row>
    <x:row r="23" ht="22" customHeight="1">
      <x:c r="A23" s="1" t="n">
        <x:f>'収益試算'!A23</x:f>
        <x:v>100</x:v>
      </x:c>
      <x:c r="B23" s="1" t="str">
        <x:f>'収益試算'!B23</x:f>
        <x:v>Business Plus</x:v>
      </x:c>
      <x:c r="C23" s="1" t="str">
        <x:f>'収益試算'!C23</x:f>
        <x:v>高位</x:v>
      </x:c>
      <x:c r="D23" s="7" t="n">
        <x:f>'収益試算'!T23</x:f>
        <x:v>800000</x:v>
      </x:c>
      <x:c r="E23" s="7" t="n">
        <x:f>'収益試算'!AF23</x:f>
        <x:v>2535383.825085315</x:v>
      </x:c>
      <x:c r="F23" s="7" t="n">
        <x:f>SUM('収益試算'!AH23:AI23)</x:f>
        <x:v>174666.66666666666</x:v>
      </x:c>
      <x:c r="G23" s="7" t="n">
        <x:f>'収益試算'!AJ23</x:f>
        <x:v>-1938850.4917519814</x:v>
      </x:c>
      <x:c r="H23" s="7" t="n">
        <x:f>'収益試算'!AK23</x:f>
        <x:v>-2338850.4917519814</x:v>
      </x:c>
      <x:c r="I23" s="7" t="n">
        <x:f>'収益試算'!AL23</x:f>
        <x:v>-1988850.4917519814</x:v>
      </x:c>
      <x:c r="J23" s="8" t="n">
        <x:f>'収益試算'!AO23</x:f>
        <x:v>-2.4235631146899768</x:v>
      </x:c>
      <x:c r="K23" s="8" t="n">
        <x:f>'収益試算'!AP23</x:f>
        <x:v>-2.623563114689977</x:v>
      </x:c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</x:row>
    <x:row r="24" ht="22" customHeight="1">
      <x:c r="A24" s="1" t="n">
        <x:f>'収益試算'!A24</x:f>
        <x:v>500</x:v>
      </x:c>
      <x:c r="B24" s="1" t="str">
        <x:f>'収益試算'!B24</x:f>
        <x:v>Starter</x:v>
      </x:c>
      <x:c r="C24" s="1" t="str">
        <x:f>'収益試算'!C24</x:f>
        <x:v>低位</x:v>
      </x:c>
      <x:c r="D24" s="7" t="n">
        <x:f>'収益試算'!T24</x:f>
        <x:v>1500000</x:v>
      </x:c>
      <x:c r="E24" s="7" t="n">
        <x:f>'収益試算'!AF24</x:f>
        <x:v>46927.168362705</x:v>
      </x:c>
      <x:c r="F24" s="7" t="n">
        <x:f>SUM('収益試算'!AH24:AI24)</x:f>
        <x:v>124666.66666666667</x:v>
      </x:c>
      <x:c r="G24" s="7" t="n">
        <x:f>'収益試算'!AJ24</x:f>
        <x:v>1274406.1649706285</x:v>
      </x:c>
      <x:c r="H24" s="7" t="n">
        <x:f>'収益試算'!AK24</x:f>
        <x:v>524406.1649706285</x:v>
      </x:c>
      <x:c r="I24" s="7" t="n">
        <x:f>'収益試算'!AL24</x:f>
        <x:v>1024406.1649706285</x:v>
      </x:c>
      <x:c r="J24" s="8" t="n">
        <x:f>'収益試算'!AO24</x:f>
        <x:v>0.849604109980419</x:v>
      </x:c>
      <x:c r="K24" s="8" t="n">
        <x:f>'収益試算'!AP24</x:f>
        <x:v>0.6496041099804191</x:v>
      </x:c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</x:row>
    <x:row r="25" ht="22" customHeight="1">
      <x:c r="A25" s="1" t="n">
        <x:f>'収益試算'!A25</x:f>
        <x:v>500</x:v>
      </x:c>
      <x:c r="B25" s="1" t="str">
        <x:f>'収益試算'!B25</x:f>
        <x:v>Starter</x:v>
      </x:c>
      <x:c r="C25" s="1" t="str">
        <x:f>'収益試算'!C25</x:f>
        <x:v>標準</x:v>
      </x:c>
      <x:c r="D25" s="7" t="n">
        <x:f>'収益試算'!T25</x:f>
        <x:v>1500000</x:v>
      </x:c>
      <x:c r="E25" s="7" t="n">
        <x:f>'収益試算'!AF25</x:f>
        <x:v>89210.25413883798</x:v>
      </x:c>
      <x:c r="F25" s="7" t="n">
        <x:f>SUM('収益試算'!AH25:AI25)</x:f>
        <x:v>291333.3333333333</x:v>
      </x:c>
      <x:c r="G25" s="7" t="n">
        <x:f>'収益試算'!AJ25</x:f>
        <x:v>1065456.4125278287</x:v>
      </x:c>
      <x:c r="H25" s="7" t="n">
        <x:f>'収益試算'!AK25</x:f>
        <x:v>315456.4125278287</x:v>
      </x:c>
      <x:c r="I25" s="7" t="n">
        <x:f>'収益試算'!AL25</x:f>
        <x:v>815456.4125278287</x:v>
      </x:c>
      <x:c r="J25" s="8" t="n">
        <x:f>'収益試算'!AO25</x:f>
        <x:v>0.7103042750185524</x:v>
      </x:c>
      <x:c r="K25" s="8" t="n">
        <x:f>'収益試算'!AP25</x:f>
        <x:v>0.5103042750185525</x:v>
      </x:c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</x:row>
    <x:row r="26" ht="22" customHeight="1">
      <x:c r="A26" s="1" t="n">
        <x:f>'収益試算'!A26</x:f>
        <x:v>500</x:v>
      </x:c>
      <x:c r="B26" s="1" t="str">
        <x:f>'収益試算'!B26</x:f>
        <x:v>Starter</x:v>
      </x:c>
      <x:c r="C26" s="1" t="str">
        <x:f>'収益試算'!C26</x:f>
        <x:v>高位</x:v>
      </x:c>
      <x:c r="D26" s="7" t="n">
        <x:f>'収益試算'!T26</x:f>
        <x:v>1500000</x:v>
      </x:c>
      <x:c r="E26" s="7" t="n">
        <x:f>'収益試算'!AF26</x:f>
        <x:v>1295441.9125426577</x:v>
      </x:c>
      <x:c r="F26" s="7" t="n">
        <x:f>SUM('収益試算'!AH26:AI26)</x:f>
        <x:v>691333.3333333334</x:v>
      </x:c>
      <x:c r="G26" s="7" t="n">
        <x:f>'収益試算'!AJ26</x:f>
        <x:v>-540775.245875991</x:v>
      </x:c>
      <x:c r="H26" s="7" t="n">
        <x:f>'収益試算'!AK26</x:f>
        <x:v>-1290775.245875991</x:v>
      </x:c>
      <x:c r="I26" s="7" t="n">
        <x:f>'収益試算'!AL26</x:f>
        <x:v>-790775.245875991</x:v>
      </x:c>
      <x:c r="J26" s="8" t="n">
        <x:f>'収益試算'!AO26</x:f>
        <x:v>-0.360516830583994</x:v>
      </x:c>
      <x:c r="K26" s="8" t="n">
        <x:f>'収益試算'!AP26</x:f>
        <x:v>-0.560516830583994</x:v>
      </x:c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</x:row>
    <x:row r="27" ht="22" customHeight="1">
      <x:c r="A27" s="1" t="n">
        <x:f>'収益試算'!A27</x:f>
        <x:v>500</x:v>
      </x:c>
      <x:c r="B27" s="1" t="str">
        <x:f>'収益試算'!B27</x:f>
        <x:v>Business</x:v>
      </x:c>
      <x:c r="C27" s="1" t="str">
        <x:f>'収益試算'!C27</x:f>
        <x:v>低位</x:v>
      </x:c>
      <x:c r="D27" s="7" t="n">
        <x:f>'収益試算'!T27</x:f>
        <x:v>2500000</x:v>
      </x:c>
      <x:c r="E27" s="7" t="n">
        <x:f>'収益試算'!AF27</x:f>
        <x:v>71821.76519554132</x:v>
      </x:c>
      <x:c r="F27" s="7" t="n">
        <x:f>SUM('収益試算'!AH27:AI27)</x:f>
        <x:v>174666.66666666666</x:v>
      </x:c>
      <x:c r="G27" s="7" t="n">
        <x:f>'収益試算'!AJ27</x:f>
        <x:v>2163511.568137792</x:v>
      </x:c>
      <x:c r="H27" s="7" t="n">
        <x:f>'収益試算'!AK27</x:f>
        <x:v>913511.5681377919</x:v>
      </x:c>
      <x:c r="I27" s="7" t="n">
        <x:f>'収益試算'!AL27</x:f>
        <x:v>1913511.568137792</x:v>
      </x:c>
      <x:c r="J27" s="8" t="n">
        <x:f>'収益試算'!AO27</x:f>
        <x:v>0.8654046272551168</x:v>
      </x:c>
      <x:c r="K27" s="8" t="n">
        <x:f>'収益試算'!AP27</x:f>
        <x:v>0.6654046272551168</x:v>
      </x:c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</x:row>
    <x:row r="28" ht="22" customHeight="1">
      <x:c r="A28" s="1" t="n">
        <x:f>'収益試算'!A28</x:f>
        <x:v>500</x:v>
      </x:c>
      <x:c r="B28" s="1" t="str">
        <x:f>'収益試算'!B28</x:f>
        <x:v>Business</x:v>
      </x:c>
      <x:c r="C28" s="1" t="str">
        <x:f>'収益試算'!C28</x:f>
        <x:v>標準</x:v>
      </x:c>
      <x:c r="D28" s="7" t="n">
        <x:f>'収益試算'!T28</x:f>
        <x:v>2500000</x:v>
      </x:c>
      <x:c r="E28" s="7" t="n">
        <x:f>'収益試算'!AF28</x:f>
        <x:v>240954.10830007316</x:v>
      </x:c>
      <x:c r="F28" s="7" t="n">
        <x:f>SUM('収益試算'!AH28:AI28)</x:f>
        <x:v>341333.3333333333</x:v>
      </x:c>
      <x:c r="G28" s="7" t="n">
        <x:f>'収益試算'!AJ28</x:f>
        <x:v>1827712.5583665934</x:v>
      </x:c>
      <x:c r="H28" s="7" t="n">
        <x:f>'収益試算'!AK28</x:f>
        <x:v>577712.5583665934</x:v>
      </x:c>
      <x:c r="I28" s="7" t="n">
        <x:f>'収益試算'!AL28</x:f>
        <x:v>1577712.5583665934</x:v>
      </x:c>
      <x:c r="J28" s="8" t="n">
        <x:f>'収益試算'!AO28</x:f>
        <x:v>0.7310850233466374</x:v>
      </x:c>
      <x:c r="K28" s="8" t="n">
        <x:f>'収益試算'!AP28</x:f>
        <x:v>0.5310850233466373</x:v>
      </x:c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</x:row>
    <x:row r="29" ht="22" customHeight="1">
      <x:c r="A29" s="1" t="n">
        <x:f>'収益試算'!A29</x:f>
        <x:v>500</x:v>
      </x:c>
      <x:c r="B29" s="1" t="str">
        <x:f>'収益試算'!B29</x:f>
        <x:v>Business</x:v>
      </x:c>
      <x:c r="C29" s="1" t="str">
        <x:f>'収益試算'!C29</x:f>
        <x:v>高位</x:v>
      </x:c>
      <x:c r="D29" s="7" t="n">
        <x:f>'収益試算'!T29</x:f>
        <x:v>2500000</x:v>
      </x:c>
      <x:c r="E29" s="7" t="n">
        <x:f>'収益試算'!AF29</x:f>
        <x:v>5075267.650170631</x:v>
      </x:c>
      <x:c r="F29" s="7" t="n">
        <x:f>SUM('収益試算'!AH29:AI29)</x:f>
        <x:v>741333.3333333334</x:v>
      </x:c>
      <x:c r="G29" s="7" t="n">
        <x:f>'収益試算'!AJ29</x:f>
        <x:v>-3406600.983503964</x:v>
      </x:c>
      <x:c r="H29" s="7" t="n">
        <x:f>'収益試算'!AK29</x:f>
        <x:v>-4656600.983503964</x:v>
      </x:c>
      <x:c r="I29" s="7" t="n">
        <x:f>'収益試算'!AL29</x:f>
        <x:v>-3656600.983503964</x:v>
      </x:c>
      <x:c r="J29" s="8" t="n">
        <x:f>'収益試算'!AO29</x:f>
        <x:v>-1.3626403934015856</x:v>
      </x:c>
      <x:c r="K29" s="8" t="n">
        <x:f>'収益試算'!AP29</x:f>
        <x:v>-1.5626403934015856</x:v>
      </x:c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</x:row>
    <x:row r="30" ht="22" customHeight="1">
      <x:c r="A30" s="1" t="n">
        <x:f>'収益試算'!A30</x:f>
        <x:v>500</x:v>
      </x:c>
      <x:c r="B30" s="1" t="str">
        <x:f>'収益試算'!B30</x:f>
        <x:v>Business Plus</x:v>
      </x:c>
      <x:c r="C30" s="1" t="str">
        <x:f>'収益試算'!C30</x:f>
        <x:v>低位</x:v>
      </x:c>
      <x:c r="D30" s="7" t="n">
        <x:f>'収益試算'!T30</x:f>
        <x:v>4000000</x:v>
      </x:c>
      <x:c r="E30" s="7" t="n">
        <x:f>'収益試算'!AF30</x:f>
        <x:v>121610.95886121393</x:v>
      </x:c>
      <x:c r="F30" s="7" t="n">
        <x:f>SUM('収益試算'!AH30:AI30)</x:f>
        <x:v>274666.6666666667</x:v>
      </x:c>
      <x:c r="G30" s="7" t="n">
        <x:f>'収益試算'!AJ30</x:f>
        <x:v>3459722.3744721194</x:v>
      </x:c>
      <x:c r="H30" s="7" t="n">
        <x:f>'収益試算'!AK30</x:f>
        <x:v>1459722.3744721194</x:v>
      </x:c>
      <x:c r="I30" s="7" t="n">
        <x:f>'収益試算'!AL30</x:f>
        <x:v>3209722.3744721194</x:v>
      </x:c>
      <x:c r="J30" s="8" t="n">
        <x:f>'収益試算'!AO30</x:f>
        <x:v>0.8649305936180298</x:v>
      </x:c>
      <x:c r="K30" s="8" t="n">
        <x:f>'収益試算'!AP30</x:f>
        <x:v>0.6649305936180299</x:v>
      </x:c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</x:row>
    <x:row r="31" ht="22" customHeight="1">
      <x:c r="A31" s="1" t="n">
        <x:f>'収益試算'!A31</x:f>
        <x:v>500</x:v>
      </x:c>
      <x:c r="B31" s="1" t="str">
        <x:f>'収益試算'!B31</x:f>
        <x:v>Business Plus</x:v>
      </x:c>
      <x:c r="C31" s="1" t="str">
        <x:f>'収益試算'!C31</x:f>
        <x:v>標準</x:v>
      </x:c>
      <x:c r="D31" s="7" t="n">
        <x:f>'収益試算'!T31</x:f>
        <x:v>4000000</x:v>
      </x:c>
      <x:c r="E31" s="7" t="n">
        <x:f>'収益試算'!AF31</x:f>
        <x:v>544441.8166225436</x:v>
      </x:c>
      <x:c r="F31" s="7" t="n">
        <x:f>SUM('収益試算'!AH31:AI31)</x:f>
        <x:v>441333.3333333333</x:v>
      </x:c>
      <x:c r="G31" s="7" t="n">
        <x:f>'収益試算'!AJ31</x:f>
        <x:v>2870224.850044123</x:v>
      </x:c>
      <x:c r="H31" s="7" t="n">
        <x:f>'収益試算'!AK31</x:f>
        <x:v>870224.8500441229</x:v>
      </x:c>
      <x:c r="I31" s="7" t="n">
        <x:f>'収益試算'!AL31</x:f>
        <x:v>2620224.850044123</x:v>
      </x:c>
      <x:c r="J31" s="8" t="n">
        <x:f>'収益試算'!AO31</x:f>
        <x:v>0.7175562125110307</x:v>
      </x:c>
      <x:c r="K31" s="8" t="n">
        <x:f>'収益試算'!AP31</x:f>
        <x:v>0.5175562125110307</x:v>
      </x:c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</x:row>
    <x:row r="32" ht="22" customHeight="1">
      <x:c r="A32" s="1" t="n">
        <x:f>'収益試算'!A32</x:f>
        <x:v>500</x:v>
      </x:c>
      <x:c r="B32" s="1" t="str">
        <x:f>'収益試算'!B32</x:f>
        <x:v>Business Plus</x:v>
      </x:c>
      <x:c r="C32" s="1" t="str">
        <x:f>'収益試算'!C32</x:f>
        <x:v>高位</x:v>
      </x:c>
      <x:c r="D32" s="7" t="n">
        <x:f>'収益試算'!T32</x:f>
        <x:v>4000000</x:v>
      </x:c>
      <x:c r="E32" s="7" t="n">
        <x:f>'収益試算'!AF32</x:f>
        <x:v>12634919.125426577</x:v>
      </x:c>
      <x:c r="F32" s="7" t="n">
        <x:f>SUM('収益試算'!AH32:AI32)</x:f>
        <x:v>841333.3333333334</x:v>
      </x:c>
      <x:c r="G32" s="7" t="n">
        <x:f>'収益試算'!AJ32</x:f>
        <x:v>-9620252.458759911</x:v>
      </x:c>
      <x:c r="H32" s="7" t="n">
        <x:f>'収益試算'!AK32</x:f>
        <x:v>-11620252.458759911</x:v>
      </x:c>
      <x:c r="I32" s="7" t="n">
        <x:f>'収益試算'!AL32</x:f>
        <x:v>-9870252.458759911</x:v>
      </x:c>
      <x:c r="J32" s="8" t="n">
        <x:f>'収益試算'!AO32</x:f>
        <x:v>-2.4050631146899777</x:v>
      </x:c>
      <x:c r="K32" s="8" t="n">
        <x:f>'収益試算'!AP32</x:f>
        <x:v>-2.605063114689978</x:v>
      </x:c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</x:row>
    <x:row r="33" ht="22" customHeight="1">
      <x:c r="A33" s="1" t="n">
        <x:f>'収益試算'!A33</x:f>
        <x:v>1000</x:v>
      </x:c>
      <x:c r="B33" s="1" t="str">
        <x:f>'収益試算'!B33</x:f>
        <x:v>Starter</x:v>
      </x:c>
      <x:c r="C33" s="1" t="str">
        <x:f>'収益試算'!C33</x:f>
        <x:v>低位</x:v>
      </x:c>
      <x:c r="D33" s="7" t="n">
        <x:f>'収益試算'!T33</x:f>
        <x:v>3000000</x:v>
      </x:c>
      <x:c r="E33" s="7" t="n">
        <x:f>'収益試算'!AF33</x:f>
        <x:v>80225.36730698377</x:v>
      </x:c>
      <x:c r="F33" s="7" t="n">
        <x:f>SUM('収益試算'!AH33:AI33)</x:f>
        <x:v>241333.33333333334</x:v>
      </x:c>
      <x:c r="G33" s="7" t="n">
        <x:f>'収益試算'!AJ33</x:f>
        <x:v>2570441.299359683</x:v>
      </x:c>
      <x:c r="H33" s="7" t="n">
        <x:f>'収益試算'!AK33</x:f>
        <x:v>1070441.299359683</x:v>
      </x:c>
      <x:c r="I33" s="7" t="n">
        <x:f>'収益試算'!AL33</x:f>
        <x:v>2070441.299359683</x:v>
      </x:c>
      <x:c r="J33" s="8" t="n">
        <x:f>'収益試算'!AO33</x:f>
        <x:v>0.8568137664532276</x:v>
      </x:c>
      <x:c r="K33" s="8" t="n">
        <x:f>'収益試算'!AP33</x:f>
        <x:v>0.6568137664532276</x:v>
      </x:c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</x:row>
    <x:row r="34" ht="22" customHeight="1">
      <x:c r="A34" s="1" t="n">
        <x:f>'収益試算'!A34</x:f>
        <x:v>1000</x:v>
      </x:c>
      <x:c r="B34" s="1" t="str">
        <x:f>'収益試算'!B34</x:f>
        <x:v>Starter</x:v>
      </x:c>
      <x:c r="C34" s="1" t="str">
        <x:f>'収益試算'!C34</x:f>
        <x:v>標準</x:v>
      </x:c>
      <x:c r="D34" s="7" t="n">
        <x:f>'収益試算'!T34</x:f>
        <x:v>3000000</x:v>
      </x:c>
      <x:c r="E34" s="7" t="n">
        <x:f>'収益試算'!AF34</x:f>
        <x:v>164791.5388592497</x:v>
      </x:c>
      <x:c r="F34" s="7" t="n">
        <x:f>SUM('収益試算'!AH34:AI34)</x:f>
        <x:v>574666.6666666666</x:v>
      </x:c>
      <x:c r="G34" s="7" t="n">
        <x:f>'収益試算'!AJ34</x:f>
        <x:v>2152541.794474084</x:v>
      </x:c>
      <x:c r="H34" s="7" t="n">
        <x:f>'収益試算'!AK34</x:f>
        <x:v>652541.7944740839</x:v>
      </x:c>
      <x:c r="I34" s="7" t="n">
        <x:f>'収益試算'!AL34</x:f>
        <x:v>1652541.794474084</x:v>
      </x:c>
      <x:c r="J34" s="8" t="n">
        <x:f>'収益試算'!AO34</x:f>
        <x:v>0.7175139314913613</x:v>
      </x:c>
      <x:c r="K34" s="8" t="n">
        <x:f>'収益試算'!AP34</x:f>
        <x:v>0.5175139314913613</x:v>
      </x:c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</x:row>
    <x:row r="35" ht="22" customHeight="1">
      <x:c r="A35" s="1" t="n">
        <x:f>'収益試算'!A35</x:f>
        <x:v>1000</x:v>
      </x:c>
      <x:c r="B35" s="1" t="str">
        <x:f>'収益試算'!B35</x:f>
        <x:v>Starter</x:v>
      </x:c>
      <x:c r="C35" s="1" t="str">
        <x:f>'収益試算'!C35</x:f>
        <x:v>高位</x:v>
      </x:c>
      <x:c r="D35" s="7" t="n">
        <x:f>'収益試算'!T35</x:f>
        <x:v>3000000</x:v>
      </x:c>
      <x:c r="E35" s="7" t="n">
        <x:f>'収益試算'!AF35</x:f>
        <x:v>2580383.825085315</x:v>
      </x:c>
      <x:c r="F35" s="7" t="n">
        <x:f>SUM('収益試算'!AH35:AI35)</x:f>
        <x:v>1374666.6666666667</x:v>
      </x:c>
      <x:c r="G35" s="7" t="n">
        <x:f>'収益試算'!AJ35</x:f>
        <x:v>-1063050.491751982</x:v>
      </x:c>
      <x:c r="H35" s="7" t="n">
        <x:f>'収益試算'!AK35</x:f>
        <x:v>-2563050.491751982</x:v>
      </x:c>
      <x:c r="I35" s="7" t="n">
        <x:f>'収益試算'!AL35</x:f>
        <x:v>-1563050.491751982</x:v>
      </x:c>
      <x:c r="J35" s="8" t="n">
        <x:f>'収益試算'!AO35</x:f>
        <x:v>-0.3543501639173273</x:v>
      </x:c>
      <x:c r="K35" s="8" t="n">
        <x:f>'収益試算'!AP35</x:f>
        <x:v>-0.5543501639173274</x:v>
      </x:c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</x:row>
    <x:row r="36" ht="22" customHeight="1">
      <x:c r="A36" s="1" t="n">
        <x:f>'収益試算'!A36</x:f>
        <x:v>1000</x:v>
      </x:c>
      <x:c r="B36" s="1" t="str">
        <x:f>'収益試算'!B36</x:f>
        <x:v>Business</x:v>
      </x:c>
      <x:c r="C36" s="1" t="str">
        <x:f>'収益試算'!C36</x:f>
        <x:v>低位</x:v>
      </x:c>
      <x:c r="D36" s="7" t="n">
        <x:f>'収益試算'!T36</x:f>
        <x:v>5000000</x:v>
      </x:c>
      <x:c r="E36" s="7" t="n">
        <x:f>'収益試算'!AF36</x:f>
        <x:v>130014.56097265639</x:v>
      </x:c>
      <x:c r="F36" s="7" t="n">
        <x:f>SUM('収益試算'!AH36:AI36)</x:f>
        <x:v>341333.3333333333</x:v>
      </x:c>
      <x:c r="G36" s="7" t="n">
        <x:f>'収益試算'!AJ36</x:f>
        <x:v>4348652.105694011</x:v>
      </x:c>
      <x:c r="H36" s="7" t="n">
        <x:f>'収益試算'!AK36</x:f>
        <x:v>1848652.1056940109</x:v>
      </x:c>
      <x:c r="I36" s="7" t="n">
        <x:f>'収益試算'!AL36</x:f>
        <x:v>3848652.105694011</x:v>
      </x:c>
      <x:c r="J36" s="8" t="n">
        <x:f>'収益試算'!AO36</x:f>
        <x:v>0.8697304211388022</x:v>
      </x:c>
      <x:c r="K36" s="8" t="n">
        <x:f>'収益試算'!AP36</x:f>
        <x:v>0.6697304211388022</x:v>
      </x:c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</x:row>
    <x:row r="37" ht="22" customHeight="1">
      <x:c r="A37" s="1" t="n">
        <x:f>'収益試算'!A37</x:f>
        <x:v>1000</x:v>
      </x:c>
      <x:c r="B37" s="1" t="str">
        <x:f>'収益試算'!B37</x:f>
        <x:v>Business</x:v>
      </x:c>
      <x:c r="C37" s="1" t="str">
        <x:f>'収益試算'!C37</x:f>
        <x:v>標準</x:v>
      </x:c>
      <x:c r="D37" s="7" t="n">
        <x:f>'収益試算'!T37</x:f>
        <x:v>5000000</x:v>
      </x:c>
      <x:c r="E37" s="7" t="n">
        <x:f>'収益試算'!AF37</x:f>
        <x:v>468279.24718172004</x:v>
      </x:c>
      <x:c r="F37" s="7" t="n">
        <x:f>SUM('収益試算'!AH37:AI37)</x:f>
        <x:v>674666.6666666666</x:v>
      </x:c>
      <x:c r="G37" s="7" t="n">
        <x:f>'収益試算'!AJ37</x:f>
        <x:v>3677054.0861516134</x:v>
      </x:c>
      <x:c r="H37" s="7" t="n">
        <x:f>'収益試算'!AK37</x:f>
        <x:v>1177054.0861516134</x:v>
      </x:c>
      <x:c r="I37" s="7" t="n">
        <x:f>'収益試算'!AL37</x:f>
        <x:v>3177054.0861516134</x:v>
      </x:c>
      <x:c r="J37" s="8" t="n">
        <x:f>'収益試算'!AO37</x:f>
        <x:v>0.7354108172303226</x:v>
      </x:c>
      <x:c r="K37" s="8" t="n">
        <x:f>'収益試算'!AP37</x:f>
        <x:v>0.5354108172303227</x:v>
      </x:c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</x:row>
    <x:row r="38" ht="22" customHeight="1">
      <x:c r="A38" s="1" t="n">
        <x:f>'収益試算'!A38</x:f>
        <x:v>1000</x:v>
      </x:c>
      <x:c r="B38" s="1" t="str">
        <x:f>'収益試算'!B38</x:f>
        <x:v>Business</x:v>
      </x:c>
      <x:c r="C38" s="1" t="str">
        <x:f>'収益試算'!C38</x:f>
        <x:v>高位</x:v>
      </x:c>
      <x:c r="D38" s="7" t="n">
        <x:f>'収益試算'!T38</x:f>
        <x:v>5000000</x:v>
      </x:c>
      <x:c r="E38" s="7" t="n">
        <x:f>'収益試算'!AF38</x:f>
        <x:v>10140035.300341262</x:v>
      </x:c>
      <x:c r="F38" s="7" t="n">
        <x:f>SUM('収益試算'!AH38:AI38)</x:f>
        <x:v>1474666.6666666667</x:v>
      </x:c>
      <x:c r="G38" s="7" t="n">
        <x:f>'収益試算'!AJ38</x:f>
        <x:v>-6794701.967007928</x:v>
      </x:c>
      <x:c r="H38" s="7" t="n">
        <x:f>'収益試算'!AK38</x:f>
        <x:v>-9294701.967007928</x:v>
      </x:c>
      <x:c r="I38" s="7" t="n">
        <x:f>'収益試算'!AL38</x:f>
        <x:v>-7294701.967007928</x:v>
      </x:c>
      <x:c r="J38" s="8" t="n">
        <x:f>'収益試算'!AO38</x:f>
        <x:v>-1.3589403934015856</x:v>
      </x:c>
      <x:c r="K38" s="8" t="n">
        <x:f>'収益試算'!AP38</x:f>
        <x:v>-1.5589403934015855</x:v>
      </x:c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</x:row>
    <x:row r="39" ht="22" customHeight="1">
      <x:c r="A39" s="1" t="n">
        <x:f>'収益試算'!A39</x:f>
        <x:v>1000</x:v>
      </x:c>
      <x:c r="B39" s="1" t="str">
        <x:f>'収益試算'!B39</x:f>
        <x:v>Business Plus</x:v>
      </x:c>
      <x:c r="C39" s="1" t="str">
        <x:f>'収益試算'!C39</x:f>
        <x:v>低位</x:v>
      </x:c>
      <x:c r="D39" s="7" t="n">
        <x:f>'収益試算'!T39</x:f>
        <x:v>8000000</x:v>
      </x:c>
      <x:c r="E39" s="7" t="n">
        <x:f>'収益試算'!AF39</x:f>
        <x:v>229592.94830400162</x:v>
      </x:c>
      <x:c r="F39" s="7" t="n">
        <x:f>SUM('収益試算'!AH39:AI39)</x:f>
        <x:v>541333.3333333334</x:v>
      </x:c>
      <x:c r="G39" s="7" t="n">
        <x:f>'収益試算'!AJ39</x:f>
        <x:v>6941073.718362665</x:v>
      </x:c>
      <x:c r="H39" s="7" t="n">
        <x:f>'収益試算'!AK39</x:f>
        <x:v>2941073.718362665</x:v>
      </x:c>
      <x:c r="I39" s="7" t="n">
        <x:f>'収益試算'!AL39</x:f>
        <x:v>6441073.718362665</x:v>
      </x:c>
      <x:c r="J39" s="8" t="n">
        <x:f>'収益試算'!AO39</x:f>
        <x:v>0.8676342147953331</x:v>
      </x:c>
      <x:c r="K39" s="8" t="n">
        <x:f>'収益試算'!AP39</x:f>
        <x:v>0.6676342147953331</x:v>
      </x:c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</x:row>
    <x:row r="40" ht="22" customHeight="1">
      <x:c r="A40" s="1" t="n">
        <x:f>'収益試算'!A40</x:f>
        <x:v>1000</x:v>
      </x:c>
      <x:c r="B40" s="1" t="str">
        <x:f>'収益試算'!B40</x:f>
        <x:v>Business Plus</x:v>
      </x:c>
      <x:c r="C40" s="1" t="str">
        <x:f>'収益試算'!C40</x:f>
        <x:v>標準</x:v>
      </x:c>
      <x:c r="D40" s="7" t="n">
        <x:f>'収益試算'!T40</x:f>
        <x:v>8000000</x:v>
      </x:c>
      <x:c r="E40" s="7" t="n">
        <x:f>'収益試算'!AF40</x:f>
        <x:v>1076954.3509181517</x:v>
      </x:c>
      <x:c r="F40" s="7" t="n">
        <x:f>SUM('収益試算'!AH40:AI40)</x:f>
        <x:v>874666.6666666666</x:v>
      </x:c>
      <x:c r="G40" s="7" t="n">
        <x:f>'収益試算'!AJ40</x:f>
        <x:v>5760378.982415182</x:v>
      </x:c>
      <x:c r="H40" s="7" t="n">
        <x:f>'収益試算'!AK40</x:f>
        <x:v>1760378.9824151816</x:v>
      </x:c>
      <x:c r="I40" s="7" t="n">
        <x:f>'収益試算'!AL40</x:f>
        <x:v>5260378.982415182</x:v>
      </x:c>
      <x:c r="J40" s="8" t="n">
        <x:f>'収益試算'!AO40</x:f>
        <x:v>0.7200473728018977</x:v>
      </x:c>
      <x:c r="K40" s="8" t="n">
        <x:f>'収益試算'!AP40</x:f>
        <x:v>0.5200473728018977</x:v>
      </x:c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</x:row>
    <x:row r="41" ht="22" customHeight="1">
      <x:c r="A41" s="1" t="n">
        <x:f>'収益試算'!A41</x:f>
        <x:v>1000</x:v>
      </x:c>
      <x:c r="B41" s="1" t="str">
        <x:f>'収益試算'!B41</x:f>
        <x:v>Business Plus</x:v>
      </x:c>
      <x:c r="C41" s="1" t="str">
        <x:f>'収益試算'!C41</x:f>
        <x:v>高位</x:v>
      </x:c>
      <x:c r="D41" s="7" t="n">
        <x:f>'収益試算'!T41</x:f>
        <x:v>8000000</x:v>
      </x:c>
      <x:c r="E41" s="7" t="n">
        <x:f>'収益試算'!AF41</x:f>
        <x:v>25259338.25085315</x:v>
      </x:c>
      <x:c r="F41" s="7" t="n">
        <x:f>SUM('収益試算'!AH41:AI41)</x:f>
        <x:v>1674666.6666666667</x:v>
      </x:c>
      <x:c r="G41" s="7" t="n">
        <x:f>'収益試算'!AJ41</x:f>
        <x:v>-19222004.91751982</x:v>
      </x:c>
      <x:c r="H41" s="7" t="n">
        <x:f>'収益試算'!AK41</x:f>
        <x:v>-23222004.91751982</x:v>
      </x:c>
      <x:c r="I41" s="7" t="n">
        <x:f>'収益試算'!AL41</x:f>
        <x:v>-19722004.91751982</x:v>
      </x:c>
      <x:c r="J41" s="8" t="n">
        <x:f>'収益試算'!AO41</x:f>
        <x:v>-2.4027506146899773</x:v>
      </x:c>
      <x:c r="K41" s="8" t="n">
        <x:f>'収益試算'!AP41</x:f>
        <x:v>-2.6027506146899775</x:v>
      </x:c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</x:row>
    <x:row r="44" ht="22" customHeight="1">
      <x:c r="A44" s="1" t="str">
        <x:v>配分上限が負なら配分なしでも不足。目標20%は未決定の比較基準。基本料は仮に全プラン1,000円/社。</x:v>
      </x:c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</x:row>
    <x:row r="45" ht="22" customHeight="1">
      <x:c r="A45" s="1" t="str">
        <x:v>差引額は営業利益ではない。開発費・営業費・初期導入・税金・事故対応・24時間対応・貸倒れを含まない。</x:v>
      </x:c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</x:row>
    <x:row r="66" ht="22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</x:row>
    <x:row r="67" ht="22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</x:row>
    <x:row r="68" ht="22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</x:row>
    <x:row r="69" ht="22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</x:row>
    <x:row r="70" ht="22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</x:row>
    <x:row r="71" ht="22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</x:row>
    <x:row r="72" ht="22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</x:row>
    <x:row r="73" ht="22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</x:row>
    <x:row r="74" ht="22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</x:row>
    <x:row r="75" ht="22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</x:row>
    <x:row r="76" ht="22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</x:row>
    <x:row r="77" ht="22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</x:row>
    <x:row r="78" ht="22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</x:row>
    <x:row r="79" ht="22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</x:row>
    <x:row r="80" ht="22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</x:row>
    <x:row r="86" ht="22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</x:row>
    <x:row r="87" ht="22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</x:row>
    <x:row r="88" ht="22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</x:row>
    <x:row r="89" ht="22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</x:row>
    <x:row r="90" ht="22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</x:row>
    <x:row r="91" ht="22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</x:row>
    <x:row r="92" ht="22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</x:row>
    <x:row r="93" ht="22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</x:row>
    <x:row r="94" ht="22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</x:row>
    <x:row r="95" ht="22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</x:row>
    <x:row r="96" ht="22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</x:row>
    <x:row r="97" ht="22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</x:row>
    <x:row r="98" ht="22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</x:row>
    <x:row r="99" ht="22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</x:row>
    <x:row r="100" ht="22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</x:row>
  </x:sheetData>
  <x:conditionalFormatting sqref="G6:K41">
    <x:cfRule type="cellIs" dxfId="1" priority="1" operator="less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6" hidden="0" customWidth="1"/>
    <x:col min="3" max="3" width="18" hidden="0" customWidth="1"/>
    <x:col min="4" max="4" width="18" hidden="0" customWidth="1"/>
    <x:col min="5" max="5" width="115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</x:row>
    <x:row r="2" ht="22" customHeight="1">
      <x:c r="A2" s="10" t="str">
        <x:v>Secure Send 原価・料金の入力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</x:row>
    <x:row r="3" ht="22" customHeight="1">
      <x:c r="A3" s="1" t="str">
        <x:v>Run概算単価のみ請求CSVで校正。他の利用量・配賦予算は仮定。価格・人数・利用量は変更可能。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</x:row>
    <x:row r="5" ht="34" customHeight="1">
      <x:c r="A5" s="4" t="str">
        <x:v>入力項目</x:v>
      </x:c>
      <x:c r="B5" s="4" t="str">
        <x:v>値</x:v>
      </x:c>
      <x:c r="C5" s="4" t="str">
        <x:v>単位</x:v>
      </x:c>
      <x:c r="D5" s="4" t="str">
        <x:v>区分</x:v>
      </x:c>
      <x:c r="E5" s="4" t="str">
        <x:v>根拠・出典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</x:row>
    <x:row r="6" ht="22" customHeight="1">
      <x:c r="A6" s="1" t="str">
        <x:v>為替</x:v>
      </x:c>
      <x:c r="B6" s="6" t="n">
        <x:v>150</x:v>
      </x:c>
      <x:c r="C6" s="1" t="str">
        <x:v>円/USD</x:v>
      </x:c>
      <x:c r="D6" s="1" t="str">
        <x:v>仮定</x:v>
      </x:c>
      <x:c r="E6" s="1" t="str">
        <x:v>請求為替ではない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</x:row>
    <x:row r="7" ht="22" customHeight="1">
      <x:c r="A7" s="1" t="str">
        <x:v>月の日数</x:v>
      </x:c>
      <x:c r="B7" s="6" t="n">
        <x:v>30</x:v>
      </x:c>
      <x:c r="C7" s="1" t="str">
        <x:v>日</x:v>
      </x:c>
      <x:c r="D7" s="1" t="str">
        <x:v>仮定</x:v>
      </x:c>
      <x:c r="E7" s="1" t="str">
        <x:v>定常月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</x:row>
    <x:row r="8" ht="22" customHeight="1">
      <x:c r="A8" s="1" t="str">
        <x:v>Cloud Run active CPU</x:v>
      </x:c>
      <x:c r="B8" s="6" t="n">
        <x:v>0.000025908257440771683</x:v>
      </x:c>
      <x:c r="C8" s="1" t="str">
        <x:v>USD/vCPU秒</x:v>
      </x:c>
      <x:c r="D8" s="1" t="str">
        <x:v>請求から逆算・概算</x:v>
      </x:c>
      <x:c r="E8" s="1" t="str">
        <x:v>7〜9月の正規費用（円丸め）÷表示使用量÷150。将来単価保証なし。地域係数は1へ。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</x:row>
    <x:row r="9" ht="22" customHeight="1">
      <x:c r="A9" s="1" t="str">
        <x:v>Cloud Run active memory</x:v>
      </x:c>
      <x:c r="B9" s="6" t="n">
        <x:v>0.0000026351242296379006</x:v>
      </x:c>
      <x:c r="C9" s="1" t="str">
        <x:v>USD/GiB秒</x:v>
      </x:c>
      <x:c r="D9" s="1" t="str">
        <x:v>請求から逆算・概算</x:v>
      </x:c>
      <x:c r="E9" s="1" t="str">
        <x:v>7〜9月の正規費用（円丸め）÷表示使用量÷150。将来単価保証なし。地域係数は1へ。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</x:row>
    <x:row r="10" ht="22" customHeight="1">
      <x:c r="A10" s="1" t="str">
        <x:v>Cloud Run idle CPU</x:v>
      </x:c>
      <x:c r="B10" s="6" t="n">
        <x:v>0.0000026834998308159128</x:v>
      </x:c>
      <x:c r="C10" s="1" t="str">
        <x:v>USD/vCPU秒</x:v>
      </x:c>
      <x:c r="D10" s="1" t="str">
        <x:v>請求から逆算・概算</x:v>
      </x:c>
      <x:c r="E10" s="1" t="str">
        <x:v>7〜9月の正規費用（円丸め）÷表示使用量÷150。将来単価保証なし。地域係数は1へ。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</x:row>
    <x:row r="11" ht="22" customHeight="1">
      <x:c r="A11" s="1" t="str">
        <x:v>Cloud Run idle memory</x:v>
      </x:c>
      <x:c r="B11" s="6" t="n">
        <x:v>0.0000026821305095229113</x:v>
      </x:c>
      <x:c r="C11" s="1" t="str">
        <x:v>USD/GiB秒</x:v>
      </x:c>
      <x:c r="D11" s="1" t="str">
        <x:v>請求から逆算・概算</x:v>
      </x:c>
      <x:c r="E11" s="1" t="str">
        <x:v>7〜9月の正規費用（円丸め）÷表示使用量÷150。将来単価保証なし。地域係数は1へ。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</x:row>
    <x:row r="12" ht="22" customHeight="1">
      <x:c r="A12" s="1" t="str">
        <x:v>Run地域補正係数</x:v>
      </x:c>
      <x:c r="B12" s="6" t="n">
        <x:v>1</x:v>
      </x:c>
      <x:c r="C12" s="1" t="str">
        <x:v>倍</x:v>
      </x:c>
      <x:c r="D12" s="1" t="str">
        <x:v>概算単価へ更新</x:v>
      </x:c>
      <x:c r="E12" s="1" t="str">
        <x:v>日本SKU相当を逆算したため地域係数を重ねない。削減・無料枠を将来へ適用しない。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</x:row>
    <x:row r="13" ht="22" customHeight="1">
      <x:c r="A13" s="1" t="str">
        <x:v>scan vCPU</x:v>
      </x:c>
      <x:c r="B13" s="6" t="n">
        <x:v>1</x:v>
      </x:c>
      <x:c r="C13" s="1" t="str">
        <x:v>vCPU</x:v>
      </x:c>
      <x:c r="D13" s="1" t="str">
        <x:v>構成実測</x:v>
      </x:c>
      <x:c r="E13" s="1" t="str">
        <x:v>2026-10-18読み取り専用構成収集で確認。docs/secure-send-config-evidence-20261018.md</x:v>
      </x:c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</x:row>
    <x:row r="14" ht="22" customHeight="1">
      <x:c r="A14" s="1" t="str">
        <x:v>scan memory</x:v>
      </x:c>
      <x:c r="B14" s="6" t="n">
        <x:v>2</x:v>
      </x:c>
      <x:c r="C14" s="1" t="str">
        <x:v>GiB</x:v>
      </x:c>
      <x:c r="D14" s="1" t="str">
        <x:v>構成実測</x:v>
      </x:c>
      <x:c r="E14" s="1" t="str">
        <x:v>2026-10-18読み取り専用構成収集で確認。docs/secure-send-config-evidence-20261018.md</x:v>
      </x:c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</x:row>
    <x:row r="15" ht="22" customHeight="1">
      <x:c r="A15" s="1" t="str">
        <x:v>scan最小インスタンス</x:v>
      </x:c>
      <x:c r="B15" s="6" t="n">
        <x:v>1</x:v>
      </x:c>
      <x:c r="C15" s="1" t="str">
        <x:v>台</x:v>
      </x:c>
      <x:c r="D15" s="1" t="str">
        <x:v>構成実測</x:v>
      </x:c>
      <x:c r="E15" s="1" t="str">
        <x:v>2026-10-18読み取り専用構成収集で確認。docs/secure-send-config-evidence-20261018.md</x:v>
      </x:c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</x:row>
    <x:row r="16" ht="22" customHeight="1">
      <x:c r="A16" s="1" t="str">
        <x:v>保存単価</x:v>
      </x:c>
      <x:c r="B16" s="6" t="n">
        <x:v>0.025</x:v>
      </x:c>
      <x:c r="C16" s="1" t="str">
        <x:v>USD/GiB月</x:v>
      </x:c>
      <x:c r="D16" s="1" t="str">
        <x:v>仮定</x:v>
      </x:c>
      <x:c r="E16" s="1" t="str">
        <x:v>https://cloud.google.com/storage/pricing 東京SKU未照合の仮置き</x:v>
      </x:c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</x:row>
    <x:row r="17" ht="22" customHeight="1">
      <x:c r="A17" s="1" t="str">
        <x:v>GCS外向き通信</x:v>
      </x:c>
      <x:c r="B17" s="6" t="n">
        <x:v>0.12</x:v>
      </x:c>
      <x:c r="C17" s="1" t="str">
        <x:v>USD/GiB</x:v>
      </x:c>
      <x:c r="D17" s="1" t="str">
        <x:v>公式参考</x:v>
      </x:c>
      <x:c r="E17" s="1" t="str">
        <x:v>https://cloud.google.com/storage/pricing アジア宛10TiB未満。大規模も単一単価で保守試算</x:v>
      </x:c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</x:row>
    <x:row r="18" ht="22" customHeight="1">
      <x:c r="A18" s="1" t="str">
        <x:v>GCS Class A</x:v>
      </x:c>
      <x:c r="B18" s="6" t="n">
        <x:v>0.005</x:v>
      </x:c>
      <x:c r="C18" s="1" t="str">
        <x:v>USD/千回</x:v>
      </x:c>
      <x:c r="D18" s="1" t="str">
        <x:v>公式参考</x:v>
      </x:c>
      <x:c r="E18" s="1" t="str">
        <x:v>https://cloud.google.com/storage/pricing Standard単一region/flat</x:v>
      </x:c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</x:row>
    <x:row r="19" ht="22" customHeight="1">
      <x:c r="A19" s="1" t="str">
        <x:v>GCS Class B</x:v>
      </x:c>
      <x:c r="B19" s="6" t="n">
        <x:v>0.0004</x:v>
      </x:c>
      <x:c r="C19" s="1" t="str">
        <x:v>USD/千回</x:v>
      </x:c>
      <x:c r="D19" s="1" t="str">
        <x:v>公式参考</x:v>
      </x:c>
      <x:c r="E19" s="1" t="str">
        <x:v>https://cloud.google.com/storage/pricing Standard単一region/flat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</x:row>
    <x:row r="20" ht="22" customHeight="1">
      <x:c r="A20" s="1" t="str">
        <x:v>Logging</x:v>
      </x:c>
      <x:c r="B20" s="6" t="n">
        <x:v>0.5</x:v>
      </x:c>
      <x:c r="C20" s="1" t="str">
        <x:v>USD/GiB</x:v>
      </x:c>
      <x:c r="D20" s="1" t="str">
        <x:v>公式参考</x:v>
      </x:c>
      <x:c r="E20" s="1" t="str">
        <x:v>https://cloud.google.com/products/observability/pricing 無料枠は控除しない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</x:row>
    <x:row r="21" ht="22" customHeight="1">
      <x:c r="A21" s="1" t="str">
        <x:v>送信メール従量予備費</x:v>
      </x:c>
      <x:c r="B21" s="6" t="n">
        <x:v>0.1</x:v>
      </x:c>
      <x:c r="C21" s="1" t="str">
        <x:v>円/通</x:v>
      </x:c>
      <x:c r="D21" s="1" t="str">
        <x:v>仮定</x:v>
      </x:c>
      <x:c r="E21" s="1" t="str">
        <x:v>Gmail実測・商用配送単価ではない。配送サービス移行時更新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</x:row>
    <x:row r="22" ht="22" customHeight="1">
      <x:c r="A22" s="1" t="str">
        <x:v>DB固定予算</x:v>
      </x:c>
      <x:c r="B22" s="6" t="n">
        <x:v>6000</x:v>
      </x:c>
      <x:c r="C22" s="1" t="str">
        <x:v>円/月</x:v>
      </x:c>
      <x:c r="D22" s="1" t="str">
        <x:v>仮定</x:v>
      </x:c>
      <x:c r="E22" s="1" t="str">
        <x:v>共有Cloud SQLの実配賦ではない。独立採算用予算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</x:row>
    <x:row r="23" ht="22" customHeight="1">
      <x:c r="A23" s="1" t="str">
        <x:v>LB固定配賦予算</x:v>
      </x:c>
      <x:c r="B23" s="6" t="n">
        <x:v>1500</x:v>
      </x:c>
      <x:c r="C23" s="1" t="str">
        <x:v>円/月</x:v>
      </x:c>
      <x:c r="D23" s="1" t="str">
        <x:v>仮定</x:v>
      </x:c>
      <x:c r="E23" s="1" t="str">
        <x:v>既存共有LB。実配賦未確認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</x:row>
    <x:row r="24" ht="22" customHeight="1">
      <x:c r="A24" s="1" t="str">
        <x:v>メール固定予算</x:v>
      </x:c>
      <x:c r="B24" s="6" t="n">
        <x:v>2000</x:v>
      </x:c>
      <x:c r="C24" s="1" t="str">
        <x:v>円/月</x:v>
      </x:c>
      <x:c r="D24" s="1" t="str">
        <x:v>仮定</x:v>
      </x:c>
      <x:c r="E24" s="1" t="str">
        <x:v>Workspace既存契約の人数課金を送信者人数へ配賦しない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</x:row>
    <x:row r="25" ht="22" customHeight="1">
      <x:c r="A25" s="1" t="str">
        <x:v>その他固定予算</x:v>
      </x:c>
      <x:c r="B25" s="6" t="n">
        <x:v>1000</x:v>
      </x:c>
      <x:c r="C25" s="1" t="str">
        <x:v>円/月</x:v>
      </x:c>
      <x:c r="D25" s="1" t="str">
        <x:v>仮定</x:v>
      </x:c>
      <x:c r="E25" s="1" t="str">
        <x:v>Secret/監視/Registry/Build/DNS等の予備費。実測ではない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</x:row>
    <x:row r="26" ht="22" customHeight="1">
      <x:c r="A26" s="1" t="str">
        <x:v>企業別追加インフラ</x:v>
      </x:c>
      <x:c r="B26" s="6" t="n">
        <x:v>50</x:v>
      </x:c>
      <x:c r="C26" s="1" t="str">
        <x:v>円/社月</x:v>
      </x:c>
      <x:c r="D26" s="1" t="str">
        <x:v>仮定</x:v>
      </x:c>
      <x:c r="E26" s="1" t="str">
        <x:v>DB・ログ等の拡張予備費</x:v>
      </x:c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</x:row>
    <x:row r="27" ht="22" customHeight="1">
      <x:c r="A27" s="1" t="str">
        <x:v>送信者別追加インフラ</x:v>
      </x:c>
      <x:c r="B27" s="6" t="n">
        <x:v>2</x:v>
      </x:c>
      <x:c r="C27" s="1" t="str">
        <x:v>円/人月</x:v>
      </x:c>
      <x:c r="D27" s="1" t="str">
        <x:v>仮定</x:v>
      </x:c>
      <x:c r="E27" s="1" t="str">
        <x:v>SSO等の拡張予備費。Googleの送信者ライセンス費ではない</x:v>
      </x:c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</x:row>
    <x:row r="28" ht="22" customHeight="1">
      <x:c r="A28" s="1" t="str">
        <x:v>決済手数料</x:v>
      </x:c>
      <x:c r="B28" s="6" t="n">
        <x:v>0.036</x:v>
      </x:c>
      <x:c r="C28" s="1" t="str">
        <x:v>売上比</x:v>
      </x:c>
      <x:c r="D28" s="1" t="str">
        <x:v>仮定</x:v>
      </x:c>
      <x:c r="E28" s="1" t="str">
        <x:v>税別売上基準。実契約・税込課金の手数料は要更新</x:v>
      </x:c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</x:row>
    <x:row r="29" ht="22" customHeight="1">
      <x:c r="A29" s="1" t="str">
        <x:v>運用時給</x:v>
      </x:c>
      <x:c r="B29" s="6" t="n">
        <x:v>4000</x:v>
      </x:c>
      <x:c r="C29" s="1" t="str">
        <x:v>円/時間</x:v>
      </x:c>
      <x:c r="D29" s="1" t="str">
        <x:v>仮定</x:v>
      </x:c>
      <x:c r="E29" s="1" t="str">
        <x:v>社内原価</x:v>
      </x:c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</x:row>
    <x:row r="30" ht="22" customHeight="1">
      <x:c r="A30" s="1" t="str">
        <x:v>固定運用工数</x:v>
      </x:c>
      <x:c r="B30" s="6" t="n">
        <x:v>2</x:v>
      </x:c>
      <x:c r="C30" s="1" t="str">
        <x:v>時間/月</x:v>
      </x:c>
      <x:c r="D30" s="1" t="str">
        <x:v>仮定</x:v>
      </x:c>
      <x:c r="E30" s="1" t="str">
        <x:v>監視確認・定期保守。開発・初期導入・24h対応を含まない</x:v>
      </x:c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</x:row>
    <x:row r="31" ht="22" customHeight="1">
      <x:c r="A31" s="1" t="str">
        <x:v>送信者別サポート</x:v>
      </x:c>
      <x:c r="B31" s="6" t="n">
        <x:v>0.1</x:v>
      </x:c>
      <x:c r="C31" s="1" t="str">
        <x:v>分/人月</x:v>
      </x:c>
      <x:c r="D31" s="1" t="str">
        <x:v>仮定</x:v>
      </x:c>
      <x:c r="E31" s="1" t="str">
        <x:v>企業別サポートに加算</x:v>
      </x:c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</x:row>
    <x:row r="32" ht="22" customHeight="1">
      <x:c r="A32" s="1" t="str">
        <x:v>レベニューシェア率</x:v>
      </x:c>
      <x:c r="B32" s="6" t="n">
        <x:v>0.5</x:v>
      </x:c>
      <x:c r="C32" s="1" t="str">
        <x:v>比率</x:v>
      </x:c>
      <x:c r="D32" s="1" t="str">
        <x:v>比較仮定</x:v>
      </x:c>
      <x:c r="E32" s="1" t="str">
        <x:v>正式決定ではない</x:v>
      </x:c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</x:row>
    <x:row r="33" ht="22" customHeight="1">
      <x:c r="A33" s="1" t="str">
        <x:v>目標差引率</x:v>
      </x:c>
      <x:c r="B33" s="6" t="n">
        <x:v>0.2</x:v>
      </x:c>
      <x:c r="C33" s="1" t="str">
        <x:v>売上比</x:v>
      </x:c>
      <x:c r="D33" s="1" t="str">
        <x:v>比較仮定</x:v>
      </x:c>
      <x:c r="E33" s="1" t="str">
        <x:v>営業利益ではない。開発・営業・税・事故対応は除外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</x:row>
    <x:row r="34" ht="22" customHeight="1">
      <x:c r="A34" s="1" t="str">
        <x:v>物理保存日数</x:v>
      </x:c>
      <x:c r="B34" s="6" t="n">
        <x:v>21</x:v>
      </x:c>
      <x:c r="C34" s="1" t="str">
        <x:v>日</x:v>
      </x:c>
      <x:c r="D34" s="1" t="str">
        <x:v>構成実測</x:v>
      </x:c>
      <x:c r="E34" s="1" t="str">
        <x:v>2026-10-18読み取り専用構成収集で確認。docs/secure-send-config-evidence-20261018.md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</x:row>
    <x:row r="35" ht="22" customHeight="1">
      <x:c r="A35" s="1" t="str">
        <x:v>削除後課金日数</x:v>
      </x:c>
      <x:c r="B35" s="6" t="n">
        <x:v>7</x:v>
      </x:c>
      <x:c r="C35" s="1" t="str">
        <x:v>日</x:v>
      </x:c>
      <x:c r="D35" s="1" t="str">
        <x:v>構成実測</x:v>
      </x:c>
      <x:c r="E35" s="1" t="str">
        <x:v>2026-10-18読み取り専用構成収集で確認。docs/secure-send-config-evidence-20261018.md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</x:row>
    <x:row r="36" ht="22" customHeight="1">
      <x:c r="A36" s="1" t="str">
        <x:v>API通常処理秒</x:v>
      </x:c>
      <x:c r="B36" s="6" t="n">
        <x:v>0.3</x:v>
      </x:c>
      <x:c r="C36" s="1" t="str">
        <x:v>秒/送信</x:v>
      </x:c>
      <x:c r="D36" s="1" t="str">
        <x:v>仮定</x:v>
      </x:c>
      <x:c r="E36" s="1" t="str">
        <x:v>upload 1vCPU/0.5GiB。同期scan待ちを別加算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</x:row>
    <x:row r="37" ht="22" customHeight="1">
      <x:c r="A37" s="1" t="str">
        <x:v>download API秒</x:v>
      </x:c>
      <x:c r="B37" s="6" t="n">
        <x:v>0.2</x:v>
      </x:c>
      <x:c r="C37" s="1" t="str">
        <x:v>秒/認可</x:v>
      </x:c>
      <x:c r="D37" s="1" t="str">
        <x:v>仮定</x:v>
      </x:c>
      <x:c r="E37" s="1" t="str">
        <x:v>download 1vCPU/0.5GiB。ファイル本体はGCS直接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</x:row>
    <x:row r="38" ht="22" customHeight="1">
      <x:c r="A38" s="1" t="str">
        <x:v>Runリクエスト</x:v>
      </x:c>
      <x:c r="B38" s="6" t="n">
        <x:v>0.4</x:v>
      </x:c>
      <x:c r="C38" s="1" t="str">
        <x:v>USD/百万回</x:v>
      </x:c>
      <x:c r="D38" s="1" t="str">
        <x:v>公式参考</x:v>
      </x:c>
      <x:c r="E38" s="1" t="str">
        <x:v>https://cloud.google.com/run/pricing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</x:row>
    <x:row r="39" ht="22" customHeight="1">
      <x:c r="A39" s="1" t="str">
        <x:v>API回数</x:v>
      </x:c>
      <x:c r="B39" s="6" t="n">
        <x:v>8</x:v>
      </x:c>
      <x:c r="C39" s="1" t="str">
        <x:v>回/送信</x:v>
      </x:c>
      <x:c r="D39" s="1" t="str">
        <x:v>仮定</x:v>
      </x:c>
      <x:c r="E39" s="1" t="str">
        <x:v>OTP等を含む平均。多宛先・再試行で増加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</x:row>
    <x:row r="40" ht="22" customHeight="1">
      <x:c r="A40" s="1" t="str">
        <x:v>ログ量</x:v>
      </x:c>
      <x:c r="B40" s="6" t="n">
        <x:v>12</x:v>
      </x:c>
      <x:c r="C40" s="1" t="str">
        <x:v>KiB/送信</x:v>
      </x:c>
      <x:c r="D40" s="1" t="str">
        <x:v>仮定</x:v>
      </x:c>
      <x:c r="E40" s="1" t="str">
        <x:v>アクセスログ・監査ログの実測ではない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</x:row>
    <x:row r="41" ht="22" customHeight="1">
      <x:c r="A41" s="1" t="str">
        <x:v>GCS Class A回数</x:v>
      </x:c>
      <x:c r="B41" s="6" t="n">
        <x:v>1</x:v>
      </x:c>
      <x:c r="C41" s="1" t="str">
        <x:v>回/ファイル</x:v>
      </x:c>
      <x:c r="D41" s="1" t="str">
        <x:v>仮定</x:v>
      </x:c>
      <x:c r="E41" s="1" t="str">
        <x:v>PUT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</x:row>
    <x:row r="42" ht="22" customHeight="1">
      <x:c r="A42" s="1" t="str">
        <x:v>GCS Class B基礎回数</x:v>
      </x:c>
      <x:c r="B42" s="6" t="n">
        <x:v>2</x:v>
      </x:c>
      <x:c r="C42" s="1" t="str">
        <x:v>回/ファイル</x:v>
      </x:c>
      <x:c r="D42" s="1" t="str">
        <x:v>仮定</x:v>
      </x:c>
      <x:c r="E42" s="1" t="str">
        <x:v>metadata/scan read。DL分は別加算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</x:row>
    <x:row r="43" ht="22" customHeight="1">
      <x:c r="A43" s="1" t="str">
        <x:v>upload vCPU</x:v>
      </x:c>
      <x:c r="B43" s="6" t="n">
        <x:v>1</x:v>
      </x:c>
      <x:c r="C43" s="1" t="str">
        <x:v>vCPU</x:v>
      </x:c>
      <x:c r="D43" s="1" t="str">
        <x:v>構成実測</x:v>
      </x:c>
      <x:c r="E43" s="1" t="str">
        <x:v>2026-10-18読み取り専用構成収集で確認。docs/secure-send-config-evidence-20261018.md</x:v>
      </x:c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</x:row>
    <x:row r="44" ht="22" customHeight="1">
      <x:c r="A44" s="1" t="str">
        <x:v>upload memory</x:v>
      </x:c>
      <x:c r="B44" s="6" t="n">
        <x:v>0.5</x:v>
      </x:c>
      <x:c r="C44" s="1" t="str">
        <x:v>GiB</x:v>
      </x:c>
      <x:c r="D44" s="1" t="str">
        <x:v>構成実測</x:v>
      </x:c>
      <x:c r="E44" s="1" t="str">
        <x:v>2026-10-18読み取り専用構成収集で確認。docs/secure-send-config-evidence-20261018.md</x:v>
      </x:c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</x:row>
    <x:row r="45" ht="22" customHeight="1">
      <x:c r="A45" s="1" t="str">
        <x:v>download vCPU</x:v>
      </x:c>
      <x:c r="B45" s="6" t="n">
        <x:v>1</x:v>
      </x:c>
      <x:c r="C45" s="1" t="str">
        <x:v>vCPU</x:v>
      </x:c>
      <x:c r="D45" s="1" t="str">
        <x:v>構成実測</x:v>
      </x:c>
      <x:c r="E45" s="1" t="str">
        <x:v>2026-10-18読み取り専用構成収集で確認。docs/secure-send-config-evidence-20261018.md</x:v>
      </x:c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</x:row>
    <x:row r="46" ht="22" customHeight="1">
      <x:c r="A46" s="1" t="str">
        <x:v>download memory</x:v>
      </x:c>
      <x:c r="B46" s="6" t="n">
        <x:v>0.5</x:v>
      </x:c>
      <x:c r="C46" s="1" t="str">
        <x:v>GiB</x:v>
      </x:c>
      <x:c r="D46" s="1" t="str">
        <x:v>構成実測</x:v>
      </x:c>
      <x:c r="E46" s="1" t="str">
        <x:v>2026-10-18読み取り専用構成収集で確認。docs/secure-send-config-evidence-20261018.md</x:v>
      </x:c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</x:row>
    <x:row r="50" ht="34" customHeight="1">
      <x:c r="A50" s="4" t="str">
        <x:v>プラン</x:v>
      </x:c>
      <x:c r="B50" s="4" t="str">
        <x:v>送信者上限</x:v>
      </x:c>
      <x:c r="C50" s="4" t="str">
        <x:v>月額税別</x:v>
      </x:c>
      <x:c r="D50" s="4" t="str">
        <x:v>配分対象基本料</x:v>
      </x:c>
      <x:c r="E50" s="4" t="str">
        <x:v>区分</x:v>
      </x:c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</x:row>
    <x:row r="51" ht="22" customHeight="1">
      <x:c r="A51" s="1" t="str">
        <x:v>Starter</x:v>
      </x:c>
      <x:c r="B51" s="6" t="n">
        <x:v>5</x:v>
      </x:c>
      <x:c r="C51" s="6" t="n">
        <x:v>3000</x:v>
      </x:c>
      <x:c r="D51" s="6" t="n">
        <x:v>1000</x:v>
      </x:c>
      <x:c r="E51" s="1" t="str">
        <x:v>仮プラン／基本料部分は比較仮定</x:v>
      </x:c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</x:row>
    <x:row r="52" ht="22" customHeight="1">
      <x:c r="A52" s="1" t="str">
        <x:v>Business</x:v>
      </x:c>
      <x:c r="B52" s="6" t="n">
        <x:v>20</x:v>
      </x:c>
      <x:c r="C52" s="6" t="n">
        <x:v>5000</x:v>
      </x:c>
      <x:c r="D52" s="6" t="n">
        <x:v>1000</x:v>
      </x:c>
      <x:c r="E52" s="1" t="str">
        <x:v>仮プラン／基本料部分は比較仮定</x:v>
      </x:c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</x:row>
    <x:row r="53" ht="22" customHeight="1">
      <x:c r="A53" s="1" t="str">
        <x:v>Business Plus</x:v>
      </x:c>
      <x:c r="B53" s="6" t="n">
        <x:v>50</x:v>
      </x:c>
      <x:c r="C53" s="6" t="n">
        <x:v>8000</x:v>
      </x:c>
      <x:c r="D53" s="6" t="n">
        <x:v>1000</x:v>
      </x:c>
      <x:c r="E53" s="1" t="str">
        <x:v>仮プラン／基本料部分は比較仮定</x:v>
      </x:c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</x:row>
    <x:row r="56" ht="34" customHeight="1">
      <x:c r="A56" s="4" t="str">
        <x:v>利用ケース</x:v>
      </x:c>
      <x:c r="B56" s="4" t="str">
        <x:v>送信/人月</x:v>
      </x:c>
      <x:c r="C56" s="4" t="str">
        <x:v>ファイル/送信</x:v>
      </x:c>
      <x:c r="D56" s="4" t="str">
        <x:v>平均MiB/ファイル</x:v>
      </x:c>
      <x:c r="E56" s="4" t="str">
        <x:v>DL倍率</x:v>
      </x:c>
      <x:c r="F56" s="4" t="str">
        <x:v>OTP通/送信</x:v>
      </x:c>
      <x:c r="G56" s="4" t="str">
        <x:v>scan秒/ファイル</x:v>
      </x:c>
      <x:c r="H56" s="4" t="str">
        <x:v>サポート分/社月</x:v>
      </x:c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</x:row>
    <x:row r="57" ht="22" customHeight="1">
      <x:c r="A57" s="1" t="str">
        <x:v>低位</x:v>
      </x:c>
      <x:c r="B57" s="6" t="n">
        <x:v>5</x:v>
      </x:c>
      <x:c r="C57" s="6" t="n">
        <x:v>1</x:v>
      </x:c>
      <x:c r="D57" s="6" t="n">
        <x:v>2</x:v>
      </x:c>
      <x:c r="E57" s="6" t="n">
        <x:v>1</x:v>
      </x:c>
      <x:c r="F57" s="6" t="n">
        <x:v>1.1</x:v>
      </x:c>
      <x:c r="G57" s="6" t="n">
        <x:v>1</x:v>
      </x:c>
      <x:c r="H57" s="6" t="n">
        <x:v>3</x:v>
      </x:c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</x:row>
    <x:row r="58" ht="22" customHeight="1">
      <x:c r="A58" s="1" t="str">
        <x:v>標準</x:v>
      </x:c>
      <x:c r="B58" s="6" t="n">
        <x:v>20</x:v>
      </x:c>
      <x:c r="C58" s="6" t="n">
        <x:v>2</x:v>
      </x:c>
      <x:c r="D58" s="6" t="n">
        <x:v>10</x:v>
      </x:c>
      <x:c r="E58" s="6" t="n">
        <x:v>1.5</x:v>
      </x:c>
      <x:c r="F58" s="6" t="n">
        <x:v>1.8</x:v>
      </x:c>
      <x:c r="G58" s="6" t="n">
        <x:v>2</x:v>
      </x:c>
      <x:c r="H58" s="6" t="n">
        <x:v>8</x:v>
      </x:c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</x:row>
    <x:row r="59" ht="22" customHeight="1">
      <x:c r="A59" s="1" t="str">
        <x:v>高位</x:v>
      </x:c>
      <x:c r="B59" s="6" t="n">
        <x:v>80</x:v>
      </x:c>
      <x:c r="C59" s="6" t="n">
        <x:v>3</x:v>
      </x:c>
      <x:c r="D59" s="6" t="n">
        <x:v>50</x:v>
      </x:c>
      <x:c r="E59" s="6" t="n">
        <x:v>2</x:v>
      </x:c>
      <x:c r="F59" s="6" t="n">
        <x:v>2.5</x:v>
      </x:c>
      <x:c r="G59" s="6" t="n">
        <x:v>5</x:v>
      </x:c>
      <x:c r="H59" s="6" t="n">
        <x:v>20</x:v>
      </x:c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</x:row>
    <x:row r="61" ht="22" customHeight="1">
      <x:c r="A61" s="1" t="str">
        <x:v>全ケースは仮定。各社が各パック上限まで送信者を利用。DL倍率は実GET容量倍率で認可回数とは厳密一致しない。</x:v>
      </x:c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</x:row>
    <x:row r="62" ht="22" customHeight="1">
      <x:c r="A62" s="1" t="str">
        <x:v>scan待機基準額 円/月</x:v>
      </x:c>
      <x:c r="B62" s="1" t="n">
        <x:f>'設定と出典'!$B$7*86400*'設定と出典'!$B$15*('設定と出典'!$B$13*'設定と出典'!$B$10+'設定と出典'!$B$14*'設定と出典'!$B$11)*'設定と出典'!$B$12*'設定と出典'!$B$6</x:f>
        <x:v>3128.969418426243</x:v>
      </x:c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</x:row>
    <x:row r="63" ht="22" customHeight="1">
      <x:c r="A63" s="1" t="str">
        <x:v>固定インフラ基準額 円/月</x:v>
      </x:c>
      <x:c r="B63" s="1" t="n">
        <x:f>SUM(B62,'設定と出典'!$B$22,'設定と出典'!$B$23,'設定と出典'!$B$24,'設定と出典'!$B$25)</x:f>
        <x:v>13628.969418426243</x:v>
      </x:c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</x:row>
    <x:row r="66" ht="22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</x:row>
    <x:row r="67" ht="22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</x:row>
    <x:row r="68" ht="22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</x:row>
    <x:row r="69" ht="22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</x:row>
    <x:row r="70" ht="22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</x:row>
    <x:row r="71" ht="22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</x:row>
    <x:row r="72" ht="22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</x:row>
    <x:row r="73" ht="22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</x:row>
    <x:row r="74" ht="22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</x:row>
    <x:row r="75" ht="22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</x:row>
    <x:row r="76" ht="22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</x:row>
    <x:row r="77" ht="22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</x:row>
    <x:row r="78" ht="22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</x:row>
    <x:row r="79" ht="22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</x:row>
    <x:row r="80" ht="22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</x:row>
    <x:row r="86" ht="22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</x:row>
    <x:row r="87" ht="22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</x:row>
    <x:row r="88" ht="22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</x:row>
    <x:row r="89" ht="22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</x:row>
    <x:row r="90" ht="22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</x:row>
    <x:row r="91" ht="22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</x:row>
    <x:row r="92" ht="22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</x:row>
    <x:row r="93" ht="22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</x:row>
    <x:row r="94" ht="22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</x:row>
    <x:row r="95" ht="22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</x:row>
    <x:row r="96" ht="22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</x:row>
    <x:row r="97" ht="22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</x:row>
    <x:row r="98" ht="22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</x:row>
    <x:row r="99" ht="22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</x:row>
    <x:row r="100" ht="22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</x:row>
    <x:row r="2" ht="22" customHeight="1">
      <x:c r="A2" s="10" t="str">
        <x:v>36通りの月額試算（全額税別・定常月・仮定）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</x:row>
    <x:row r="3" ht="22" customHeight="1">
      <x:c r="A3" s="1" t="str">
        <x:v>各行は独立した単一プラン構成。異なる行を合算すると固定費が重複する。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</x:row>
    <x:row r="5" ht="34" customHeight="1">
      <x:c r="A5" s="4" t="str">
        <x:v>企業数</x:v>
      </x:c>
      <x:c r="B5" s="4" t="str">
        <x:v>プラン</x:v>
      </x:c>
      <x:c r="C5" s="4" t="str">
        <x:v>ケース</x:v>
      </x:c>
      <x:c r="D5" s="4" t="str">
        <x:v>送信者/社</x:v>
      </x:c>
      <x:c r="E5" s="4" t="str">
        <x:v>月額/社</x:v>
      </x:c>
      <x:c r="F5" s="4" t="str">
        <x:v>送信/人月</x:v>
      </x:c>
      <x:c r="G5" s="4" t="str">
        <x:v>ファイル/送信</x:v>
      </x:c>
      <x:c r="H5" s="4" t="str">
        <x:v>平均MiB</x:v>
      </x:c>
      <x:c r="I5" s="4" t="str">
        <x:v>DL倍率</x:v>
      </x:c>
      <x:c r="J5" s="4" t="str">
        <x:v>OTP通/送信</x:v>
      </x:c>
      <x:c r="K5" s="4" t="str">
        <x:v>scan秒/ファイル</x:v>
      </x:c>
      <x:c r="L5" s="4" t="str">
        <x:v>サポート分/社</x:v>
      </x:c>
      <x:c r="M5" s="4" t="str">
        <x:v>総送信者</x:v>
      </x:c>
      <x:c r="N5" s="4" t="str">
        <x:v>送信件数</x:v>
      </x:c>
      <x:c r="O5" s="4" t="str">
        <x:v>ファイル数</x:v>
      </x:c>
      <x:c r="P5" s="4" t="str">
        <x:v>UL GiB</x:v>
      </x:c>
      <x:c r="Q5" s="4" t="str">
        <x:v>DL GiB</x:v>
      </x:c>
      <x:c r="R5" s="4" t="str">
        <x:v>平均保存GiB</x:v>
      </x:c>
      <x:c r="S5" s="4" t="str">
        <x:v>scan稼働秒</x:v>
      </x:c>
      <x:c r="T5" s="4" t="str">
        <x:v>売上</x:v>
      </x:c>
      <x:c r="U5" s="4" t="str">
        <x:v>企業比例費</x:v>
      </x:c>
      <x:c r="V5" s="4" t="str">
        <x:v>送信者比例費</x:v>
      </x:c>
      <x:c r="W5" s="4" t="str">
        <x:v>upload処理費</x:v>
      </x:c>
      <x:c r="X5" s="4" t="str">
        <x:v>download処理費</x:v>
      </x:c>
      <x:c r="Y5" s="4" t="str">
        <x:v>scan追加費</x:v>
      </x:c>
      <x:c r="Z5" s="4" t="str">
        <x:v>GCS操作費</x:v>
      </x:c>
      <x:c r="AA5" s="4" t="str">
        <x:v>メール従量費</x:v>
      </x:c>
      <x:c r="AB5" s="4" t="str">
        <x:v>Logging/API回数費</x:v>
      </x:c>
      <x:c r="AC5" s="4" t="str">
        <x:v>保存費</x:v>
      </x:c>
      <x:c r="AD5" s="4" t="str">
        <x:v>DL通信費</x:v>
      </x:c>
      <x:c r="AE5" s="4" t="str">
        <x:v>固定インフラ</x:v>
      </x:c>
      <x:c r="AF5" s="4" t="str">
        <x:v>インフラ合計</x:v>
      </x:c>
      <x:c r="AG5" s="4" t="str">
        <x:v>決済費</x:v>
      </x:c>
      <x:c r="AH5" s="4" t="str">
        <x:v>サポート費</x:v>
      </x:c>
      <x:c r="AI5" s="4" t="str">
        <x:v>固定運用費</x:v>
      </x:c>
      <x:c r="AJ5" s="4" t="str">
        <x:v>配分前差引</x:v>
      </x:c>
      <x:c r="AK5" s="4" t="str">
        <x:v>全売上50%差引</x:v>
      </x:c>
      <x:c r="AL5" s="4" t="str">
        <x:v>基本料配分差引</x:v>
      </x:c>
      <x:c r="AM5" s="4" t="str">
        <x:v>配分前率</x:v>
      </x:c>
      <x:c r="AN5" s="4" t="str">
        <x:v>全売上配分後率</x:v>
      </x:c>
      <x:c r="AO5" s="4" t="str">
        <x:v>赤字回避最大配分率</x:v>
      </x:c>
      <x:c r="AP5" s="4" t="str">
        <x:v>目標率確保最大配分率</x:v>
      </x:c>
      <x:c r="AQ5" s="4" t="str">
        <x:v>送信従量原価/件</x:v>
      </x:c>
      <x:c r="AR5" s="4" t="str">
        <x:v>50%時分岐送信/社 概算</x:v>
      </x:c>
      <x:c r="AS5" s="4" t="str">
        <x:v>配分なし分岐送信/社 概算</x:v>
      </x:c>
      <x:c r="AT5" s="4" t="str">
        <x:v>基本料50%時分岐送信/社 概算</x:v>
      </x:c>
      <x:c r="AU5" s="4" t="str">
        <x:v>50%時分岐企業数 概算</x:v>
      </x:c>
      <x:c r="AV5" s="4" t="str">
        <x:v>配分対象基本料/社</x:v>
      </x:c>
      <x:c r="AW5" s="4" t="str">
        <x:v>目標確保割引上限/社</x:v>
      </x:c>
      <x:c r="AX5" s="1"/>
      <x:c r="AY5" s="1"/>
      <x:c r="AZ5" s="1"/>
      <x:c r="BA5" s="1"/>
    </x:row>
    <x:row r="6" ht="22" customHeight="1">
      <x:c r="A6" s="1" t="n">
        <x:v>10</x:v>
      </x:c>
      <x:c r="B6" s="1" t="str">
        <x:f>'設定と出典'!A51</x:f>
        <x:v>Starter</x:v>
      </x:c>
      <x:c r="C6" s="1" t="str">
        <x:f>'設定と出典'!A57</x:f>
        <x:v>低位</x:v>
      </x:c>
      <x:c r="D6" s="1" t="n">
        <x:f>'設定と出典'!B51</x:f>
        <x:v>5</x:v>
      </x:c>
      <x:c r="E6" s="1" t="n">
        <x:f>'設定と出典'!C51</x:f>
        <x:v>3000</x:v>
      </x:c>
      <x:c r="F6" s="1" t="n">
        <x:f>'設定と出典'!B57</x:f>
        <x:v>5</x:v>
      </x:c>
      <x:c r="G6" s="1" t="n">
        <x:f>'設定と出典'!C57</x:f>
        <x:v>1</x:v>
      </x:c>
      <x:c r="H6" s="1" t="n">
        <x:f>'設定と出典'!D57</x:f>
        <x:v>2</x:v>
      </x:c>
      <x:c r="I6" s="1" t="n">
        <x:f>'設定と出典'!E57</x:f>
        <x:v>1</x:v>
      </x:c>
      <x:c r="J6" s="1" t="n">
        <x:f>'設定と出典'!F57</x:f>
        <x:v>1.1</x:v>
      </x:c>
      <x:c r="K6" s="1" t="n">
        <x:f>'設定と出典'!G57</x:f>
        <x:v>1</x:v>
      </x:c>
      <x:c r="L6" s="1" t="n">
        <x:f>'設定と出典'!H57</x:f>
        <x:v>3</x:v>
      </x:c>
      <x:c r="M6" s="1" t="n">
        <x:f>A6*D6</x:f>
        <x:v>50</x:v>
      </x:c>
      <x:c r="N6" s="1" t="n">
        <x:f>M6*F6</x:f>
        <x:v>250</x:v>
      </x:c>
      <x:c r="O6" s="1" t="n">
        <x:f>N6*G6</x:f>
        <x:v>250</x:v>
      </x:c>
      <x:c r="P6" s="1" t="n">
        <x:f>O6*H6/1024</x:f>
        <x:v>0.48828125</x:v>
      </x:c>
      <x:c r="Q6" s="1" t="n">
        <x:f>P6*I6</x:f>
        <x:v>0.48828125</x:v>
      </x:c>
      <x:c r="R6" s="1" t="n">
        <x:f>P6*('設定と出典'!$B$34+'設定と出典'!$B$35)/'設定と出典'!$B$7</x:f>
        <x:v>0.4557291666666667</x:v>
      </x:c>
      <x:c r="S6" s="1" t="n">
        <x:f>O6*K6</x:f>
        <x:v>250</x:v>
      </x:c>
      <x:c r="T6" s="7" t="n">
        <x:f>A6*E6</x:f>
        <x:v>30000</x:v>
      </x:c>
      <x:c r="U6" s="7" t="n">
        <x:f>A6*'設定と出典'!$B$26</x:f>
        <x:v>500</x:v>
      </x:c>
      <x:c r="V6" s="7" t="n">
        <x:f>M6*'設定と出典'!$B$27</x:f>
        <x:v>100</x:v>
      </x:c>
      <x:c r="W6" s="7" t="n">
        <x:f>(N6*'設定と出典'!$B$36+S6)*('設定と出典'!$B$43*'設定と出典'!$B$8+'設定と出典'!$B$44*'設定と出典'!$B$9)*'設定と出典'!$B$12*'設定と出典'!$B$6</x:f>
        <x:v>1.3272587033350431</x:v>
      </x:c>
      <x:c r="X6" s="7" t="n">
        <x:f>N6*I6*'設定と出典'!$B$37*('設定と出典'!$B$45*'設定と出典'!$B$8+'設定と出典'!$B$46*'設定と出典'!$B$9)*'設定と出典'!$B$12*'設定と出典'!$B$6</x:f>
        <x:v>0.20419364666692974</x:v>
      </x:c>
      <x:c r="Y6" s="7" t="n">
        <x:f>MAX(0,S6*('設定と出典'!$B$13*'設定と出典'!$B$8+'設定と出典'!$B$14*'設定と出典'!$B$9)-MIN(S6,'設定と出典'!$B$7*86400*'設定と出典'!$B$15)*('設定と出典'!$B$13*'設定と出典'!$B$10+'設定と出典'!$B$14*'設定と出典'!$B$11))*'設定と出典'!$B$12*'設定と出典'!$B$6</x:f>
        <x:v>0.8674029393819658</x:v>
      </x:c>
      <x:c r="Z6" s="7" t="n">
        <x:f>O6*('設定と出典'!$B$41*'設定と出典'!$B$18+('設定と出典'!$B$42+I6)*'設定と出典'!$B$19)/1000*'設定と出典'!$B$6</x:f>
        <x:v>0.2325</x:v>
      </x:c>
      <x:c r="AA6" s="7" t="n">
        <x:f>N6*(1+J6)*'設定と出典'!$B$21</x:f>
        <x:v>52.5</x:v>
      </x:c>
      <x:c r="AB6" s="7" t="n">
        <x:f>N6*'設定と出典'!$B$40/1048576*'設定と出典'!$B$20*'設定と出典'!$B$6+N6*'設定と出典'!$B$39/1000000*'設定と出典'!$B$38*'設定と出典'!$B$6</x:f>
        <x:v>0.33457672119140625</x:v>
      </x:c>
      <x:c r="AC6" s="7" t="n">
        <x:f>R6*'設定と出典'!$B$16*'設定と出典'!$B$6</x:f>
        <x:v>1.7089843750000002</x:v>
      </x:c>
      <x:c r="AD6" s="7" t="n">
        <x:f>Q6*'設定と出典'!$B$17*'設定と出典'!$B$6</x:f>
        <x:v>8.7890625</x:v>
      </x:c>
      <x:c r="AE6" s="7" t="n">
        <x:f>'設定と出典'!B63</x:f>
        <x:v>13628.969418426243</x:v>
      </x:c>
      <x:c r="AF6" s="7" t="n">
        <x:f>SUM(U6:AE6)</x:f>
        <x:v>14294.933397311817</x:v>
      </x:c>
      <x:c r="AG6" s="7" t="n">
        <x:f>T6*'設定と出典'!$B$28</x:f>
        <x:v>1080</x:v>
      </x:c>
      <x:c r="AH6" s="7" t="n">
        <x:f>(A6*L6+M6*'設定と出典'!$B$31)/60*'設定と出典'!$B$29</x:f>
        <x:v>2333.3333333333335</x:v>
      </x:c>
      <x:c r="AI6" s="7" t="n">
        <x:f>'設定と出典'!$B$30*'設定と出典'!$B$29</x:f>
        <x:v>8000</x:v>
      </x:c>
      <x:c r="AJ6" s="7" t="n">
        <x:f>T6-SUM(AF6:AI6)</x:f>
        <x:v>4291.733269354849</x:v>
      </x:c>
      <x:c r="AK6" s="7" t="n">
        <x:f>AJ6-T6*'設定と出典'!$B$32</x:f>
        <x:v>-10708.266730645151</x:v>
      </x:c>
      <x:c r="AL6" s="7" t="n">
        <x:f>AJ6-A6*MIN(E6,AV6)*'設定と出典'!$B$32</x:f>
        <x:v>-708.2667306451513</x:v>
      </x:c>
      <x:c r="AM6" s="8" t="n">
        <x:f>AJ6/T6</x:f>
        <x:v>0.14305777564516162</x:v>
      </x:c>
      <x:c r="AN6" s="8" t="n">
        <x:f>AK6/T6</x:f>
        <x:v>-0.35694222435483836</x:v>
      </x:c>
      <x:c r="AO6" s="8" t="n">
        <x:f>AJ6/T6</x:f>
        <x:v>0.14305777564516162</x:v>
      </x:c>
      <x:c r="AP6" s="8" t="n">
        <x:f>AO6-'設定と出典'!$B$33</x:f>
        <x:v>-0.056942224354838394</x:v>
      </x:c>
      <x:c r="AQ6" s="9" t="n">
        <x:f>SUM(W6:AD6)/N6</x:f>
        <x:v>0.26385591554230137</x:v>
      </x:c>
      <x:c r="AR6" s="9" t="n">
        <x:f>MAX(0,(E6*(1-'設定と出典'!$B$28-'設定と出典'!$B$32)-(U6+V6+AH6+AI6+AE6)/A6)/AQ6)</x:f>
        <x:v>0</x:v>
      </x:c>
      <x:c r="AS6" s="9" t="n">
        <x:f>MAX(0,(E6*(1-'設定と出典'!$B$28 )-(U6+V6+AH6+AI6+AE6)/A6)/AQ6)</x:f>
        <x:v>1651.5442677432784</x:v>
      </x:c>
      <x:c r="AT6" s="9" t="n">
        <x:f>MAX(0,(E6*(1-'設定と出典'!$B$28)-MIN(E6,AV6)*'設定と出典'!$B$32-(U6+V6+AH6+AI6+AE6)/A6)/AQ6)</x:f>
        <x:v>0</x:v>
      </x:c>
      <x:c r="AU6" s="9" t="n">
        <x:f>IF((T6*(1-'設定と出典'!$B$28-'設定と出典'!$B$32)-(AF6-AE6)-AH6)&lt;=0,"成立せず",(AE6+AI6)/((T6*(1-'設定と出典'!$B$28-'設定と出典'!$B$32)-(AF6-AE6)-AH6)/A6))</x:f>
        <x:v>19.80547409520302</x:v>
      </x:c>
      <x:c r="AV6" s="9" t="n">
        <x:f>'設定と出典'!D51</x:f>
        <x:v>1000</x:v>
      </x:c>
      <x:c r="AW6" s="9" t="n">
        <x:f>IF(1-'設定と出典'!$B$28-'設定と出典'!$B$32-'設定と出典'!$B$33&lt;=0,0,MAX(0,MIN(E6,(AK6/A6-E6*'設定と出典'!$B$33)/(1-'設定と出典'!$B$28-'設定と出典'!$B$32-'設定と出典'!$B$33))))</x:f>
        <x:v>0</x:v>
      </x:c>
      <x:c r="AX6" s="1"/>
      <x:c r="AY6" s="1"/>
      <x:c r="AZ6" s="1"/>
      <x:c r="BA6" s="1"/>
    </x:row>
    <x:row r="7" ht="22" customHeight="1">
      <x:c r="A7" s="1" t="n">
        <x:v>10</x:v>
      </x:c>
      <x:c r="B7" s="1" t="str">
        <x:f>'設定と出典'!A51</x:f>
        <x:v>Starter</x:v>
      </x:c>
      <x:c r="C7" s="1" t="str">
        <x:f>'設定と出典'!A58</x:f>
        <x:v>標準</x:v>
      </x:c>
      <x:c r="D7" s="1" t="n">
        <x:f>'設定と出典'!B51</x:f>
        <x:v>5</x:v>
      </x:c>
      <x:c r="E7" s="1" t="n">
        <x:f>'設定と出典'!C51</x:f>
        <x:v>3000</x:v>
      </x:c>
      <x:c r="F7" s="1" t="n">
        <x:f>'設定と出典'!B58</x:f>
        <x:v>20</x:v>
      </x:c>
      <x:c r="G7" s="1" t="n">
        <x:f>'設定と出典'!C58</x:f>
        <x:v>2</x:v>
      </x:c>
      <x:c r="H7" s="1" t="n">
        <x:f>'設定と出典'!D58</x:f>
        <x:v>10</x:v>
      </x:c>
      <x:c r="I7" s="1" t="n">
        <x:f>'設定と出典'!E58</x:f>
        <x:v>1.5</x:v>
      </x:c>
      <x:c r="J7" s="1" t="n">
        <x:f>'設定と出典'!F58</x:f>
        <x:v>1.8</x:v>
      </x:c>
      <x:c r="K7" s="1" t="n">
        <x:f>'設定と出典'!G58</x:f>
        <x:v>2</x:v>
      </x:c>
      <x:c r="L7" s="1" t="n">
        <x:f>'設定と出典'!H58</x:f>
        <x:v>8</x:v>
      </x:c>
      <x:c r="M7" s="1" t="n">
        <x:f>A7*D7</x:f>
        <x:v>50</x:v>
      </x:c>
      <x:c r="N7" s="1" t="n">
        <x:f>M7*F7</x:f>
        <x:v>1000</x:v>
      </x:c>
      <x:c r="O7" s="1" t="n">
        <x:f>N7*G7</x:f>
        <x:v>2000</x:v>
      </x:c>
      <x:c r="P7" s="1" t="n">
        <x:f>O7*H7/1024</x:f>
        <x:v>19.53125</x:v>
      </x:c>
      <x:c r="Q7" s="1" t="n">
        <x:f>P7*I7</x:f>
        <x:v>29.296875</x:v>
      </x:c>
      <x:c r="R7" s="1" t="n">
        <x:f>P7*('設定と出典'!$B$34+'設定と出典'!$B$35)/'設定と出典'!$B$7</x:f>
        <x:v>18.229166666666668</x:v>
      </x:c>
      <x:c r="S7" s="1" t="n">
        <x:f>O7*K7</x:f>
        <x:v>4000</x:v>
      </x:c>
      <x:c r="T7" s="7" t="n">
        <x:f>A7*E7</x:f>
        <x:v>30000</x:v>
      </x:c>
      <x:c r="U7" s="7" t="n">
        <x:f>A7*'設定と出典'!$B$26</x:f>
        <x:v>500</x:v>
      </x:c>
      <x:c r="V7" s="7" t="n">
        <x:f>M7*'設定と出典'!$B$27</x:f>
        <x:v>100</x:v>
      </x:c>
      <x:c r="W7" s="7" t="n">
        <x:f>(N7*'設定と出典'!$B$36+S7)*('設定と出典'!$B$43*'設定と出典'!$B$8+'設定と出典'!$B$44*'設定と出典'!$B$9)*'設定と出典'!$B$12*'設定と出典'!$B$6</x:f>
        <x:v>17.560653613355957</x:v>
      </x:c>
      <x:c r="X7" s="7" t="n">
        <x:f>N7*I7*'設定と出典'!$B$37*('設定と出典'!$B$45*'設定と出典'!$B$8+'設定と出典'!$B$46*'設定と出典'!$B$9)*'設定と出典'!$B$12*'設定と出典'!$B$6</x:f>
        <x:v>1.2251618800015787</x:v>
      </x:c>
      <x:c r="Y7" s="7" t="n">
        <x:f>MAX(0,S7*('設定と出典'!$B$13*'設定と出典'!$B$8+'設定と出典'!$B$14*'設定と出典'!$B$9)-MIN(S7,'設定と出典'!$B$7*86400*'設定と出典'!$B$15)*('設定と出典'!$B$13*'設定と出典'!$B$10+'設定と出典'!$B$14*'設定と出典'!$B$11))*'設定と出典'!$B$12*'設定と出典'!$B$6</x:f>
        <x:v>13.878447030111452</x:v>
      </x:c>
      <x:c r="Z7" s="7" t="n">
        <x:f>O7*('設定と出典'!$B$41*'設定と出典'!$B$18+('設定と出典'!$B$42+I7)*'設定と出典'!$B$19)/1000*'設定と出典'!$B$6</x:f>
        <x:v>1.9200000000000002</x:v>
      </x:c>
      <x:c r="AA7" s="7" t="n">
        <x:f>N7*(1+J7)*'設定と出典'!$B$21</x:f>
        <x:v>280</x:v>
      </x:c>
      <x:c r="AB7" s="7" t="n">
        <x:f>N7*'設定と出典'!$B$40/1048576*'設定と出典'!$B$20*'設定と出典'!$B$6+N7*'設定と出典'!$B$39/1000000*'設定と出典'!$B$38*'設定と出典'!$B$6</x:f>
        <x:v>1.338306884765625</x:v>
      </x:c>
      <x:c r="AC7" s="7" t="n">
        <x:f>R7*'設定と出典'!$B$16*'設定と出典'!$B$6</x:f>
        <x:v>68.35937500000001</x:v>
      </x:c>
      <x:c r="AD7" s="7" t="n">
        <x:f>Q7*'設定と出典'!$B$17*'設定と出典'!$B$6</x:f>
        <x:v>527.34375</x:v>
      </x:c>
      <x:c r="AE7" s="7" t="n">
        <x:f>'設定と出典'!B63</x:f>
        <x:v>13628.969418426243</x:v>
      </x:c>
      <x:c r="AF7" s="7" t="n">
        <x:f>SUM(U7:AE7)</x:f>
        <x:v>15140.595112834477</x:v>
      </x:c>
      <x:c r="AG7" s="7" t="n">
        <x:f>T7*'設定と出典'!$B$28</x:f>
        <x:v>1080</x:v>
      </x:c>
      <x:c r="AH7" s="7" t="n">
        <x:f>(A7*L7+M7*'設定と出典'!$B$31)/60*'設定と出典'!$B$29</x:f>
        <x:v>5666.666666666667</x:v>
      </x:c>
      <x:c r="AI7" s="7" t="n">
        <x:f>'設定と出典'!$B$30*'設定と出典'!$B$29</x:f>
        <x:v>8000</x:v>
      </x:c>
      <x:c r="AJ7" s="7" t="n">
        <x:f>T7-SUM(AF7:AI7)</x:f>
        <x:v>112.73822049885712</x:v>
      </x:c>
      <x:c r="AK7" s="7" t="n">
        <x:f>AJ7-T7*'設定と出典'!$B$32</x:f>
        <x:v>-14887.261779501143</x:v>
      </x:c>
      <x:c r="AL7" s="7" t="n">
        <x:f>AJ7-A7*MIN(E7,AV7)*'設定と出典'!$B$32</x:f>
        <x:v>-4887.261779501143</x:v>
      </x:c>
      <x:c r="AM7" s="8" t="n">
        <x:f>AJ7/T7</x:f>
        <x:v>0.003757940683295237</x:v>
      </x:c>
      <x:c r="AN7" s="8" t="n">
        <x:f>AK7/T7</x:f>
        <x:v>-0.4962420593167048</x:v>
      </x:c>
      <x:c r="AO7" s="8" t="n">
        <x:f>AJ7/T7</x:f>
        <x:v>0.003757940683295237</x:v>
      </x:c>
      <x:c r="AP7" s="8" t="n">
        <x:f>AO7-'設定と出典'!$B$33</x:f>
        <x:v>-0.19624205931670477</x:v>
      </x:c>
      <x:c r="AQ7" s="9" t="n">
        <x:f>SUM(W7:AD7)/N7</x:f>
        <x:v>0.9116256944082346</x:v>
      </x:c>
      <x:c r="AR7" s="9" t="n">
        <x:f>MAX(0,(E7*(1-'設定と出典'!$B$28-'設定と出典'!$B$32)-(U7+V7+AH7+AI7+AE7)/A7)/AQ7)</x:f>
        <x:v>0</x:v>
      </x:c>
      <x:c r="AS7" s="9" t="n">
        <x:f>MAX(0,(E7*(1-'設定と出典'!$B$28 )-(U7+V7+AH7+AI7+AE7)/A7)/AQ7)</x:f>
        <x:v>112.36672256940246</x:v>
      </x:c>
      <x:c r="AT7" s="9" t="n">
        <x:f>MAX(0,(E7*(1-'設定と出典'!$B$28)-MIN(E7,AV7)*'設定と出典'!$B$32-(U7+V7+AH7+AI7+AE7)/A7)/AQ7)</x:f>
        <x:v>0</x:v>
      </x:c>
      <x:c r="AU7" s="9" t="n">
        <x:f>IF((T7*(1-'設定と出典'!$B$28-'設定と出典'!$B$32)-(AF7-AE7)-AH7)&lt;=0,"成立せず",(AE7+AI7)/((T7*(1-'設定と出典'!$B$28-'設定と出典'!$B$32)-(AF7-AE7)-AH7)/A7))</x:f>
        <x:v>32.08233073404942</x:v>
      </x:c>
      <x:c r="AV7" s="9" t="n">
        <x:f>'設定と出典'!D51</x:f>
        <x:v>1000</x:v>
      </x:c>
      <x:c r="AW7" s="9" t="n">
        <x:f>IF(1-'設定と出典'!$B$28-'設定と出典'!$B$32-'設定と出典'!$B$33&lt;=0,0,MAX(0,MIN(E7,(AK7/A7-E7*'設定と出典'!$B$33)/(1-'設定と出典'!$B$28-'設定と出典'!$B$32-'設定と出典'!$B$33))))</x:f>
        <x:v>0</x:v>
      </x:c>
      <x:c r="AX7" s="1"/>
      <x:c r="AY7" s="1"/>
      <x:c r="AZ7" s="1"/>
      <x:c r="BA7" s="1"/>
    </x:row>
    <x:row r="8" ht="22" customHeight="1">
      <x:c r="A8" s="1" t="n">
        <x:v>10</x:v>
      </x:c>
      <x:c r="B8" s="1" t="str">
        <x:f>'設定と出典'!A51</x:f>
        <x:v>Starter</x:v>
      </x:c>
      <x:c r="C8" s="1" t="str">
        <x:f>'設定と出典'!A59</x:f>
        <x:v>高位</x:v>
      </x:c>
      <x:c r="D8" s="1" t="n">
        <x:f>'設定と出典'!B51</x:f>
        <x:v>5</x:v>
      </x:c>
      <x:c r="E8" s="1" t="n">
        <x:f>'設定と出典'!C51</x:f>
        <x:v>3000</x:v>
      </x:c>
      <x:c r="F8" s="1" t="n">
        <x:f>'設定と出典'!B59</x:f>
        <x:v>80</x:v>
      </x:c>
      <x:c r="G8" s="1" t="n">
        <x:f>'設定と出典'!C59</x:f>
        <x:v>3</x:v>
      </x:c>
      <x:c r="H8" s="1" t="n">
        <x:f>'設定と出典'!D59</x:f>
        <x:v>50</x:v>
      </x:c>
      <x:c r="I8" s="1" t="n">
        <x:f>'設定と出典'!E59</x:f>
        <x:v>2</x:v>
      </x:c>
      <x:c r="J8" s="1" t="n">
        <x:f>'設定と出典'!F59</x:f>
        <x:v>2.5</x:v>
      </x:c>
      <x:c r="K8" s="1" t="n">
        <x:f>'設定と出典'!G59</x:f>
        <x:v>5</x:v>
      </x:c>
      <x:c r="L8" s="1" t="n">
        <x:f>'設定と出典'!H59</x:f>
        <x:v>20</x:v>
      </x:c>
      <x:c r="M8" s="1" t="n">
        <x:f>A8*D8</x:f>
        <x:v>50</x:v>
      </x:c>
      <x:c r="N8" s="1" t="n">
        <x:f>M8*F8</x:f>
        <x:v>4000</x:v>
      </x:c>
      <x:c r="O8" s="1" t="n">
        <x:f>N8*G8</x:f>
        <x:v>12000</x:v>
      </x:c>
      <x:c r="P8" s="1" t="n">
        <x:f>O8*H8/1024</x:f>
        <x:v>585.9375</x:v>
      </x:c>
      <x:c r="Q8" s="1" t="n">
        <x:f>P8*I8</x:f>
        <x:v>1171.875</x:v>
      </x:c>
      <x:c r="R8" s="1" t="n">
        <x:f>P8*('設定と出典'!$B$34+'設定と出典'!$B$35)/'設定と出典'!$B$7</x:f>
        <x:v>546.875</x:v>
      </x:c>
      <x:c r="S8" s="1" t="n">
        <x:f>O8*K8</x:f>
        <x:v>60000</x:v>
      </x:c>
      <x:c r="T8" s="7" t="n">
        <x:f>A8*E8</x:f>
        <x:v>30000</x:v>
      </x:c>
      <x:c r="U8" s="7" t="n">
        <x:f>A8*'設定と出典'!$B$26</x:f>
        <x:v>500</x:v>
      </x:c>
      <x:c r="V8" s="7" t="n">
        <x:f>M8*'設定と出典'!$B$27</x:f>
        <x:v>100</x:v>
      </x:c>
      <x:c r="W8" s="7" t="n">
        <x:f>(N8*'設定と出典'!$B$36+S8)*('設定と出典'!$B$43*'設定と出典'!$B$8+'設定と出典'!$B$44*'設定と出典'!$B$9)*'設定と出典'!$B$12*'設定と出典'!$B$6</x:f>
        <x:v>249.933023520322</x:v>
      </x:c>
      <x:c r="X8" s="7" t="n">
        <x:f>N8*I8*'設定と出典'!$B$37*('設定と出典'!$B$45*'設定と出典'!$B$8+'設定と出典'!$B$46*'設定と出典'!$B$9)*'設定と出典'!$B$12*'設定と出典'!$B$6</x:f>
        <x:v>6.534196693341752</x:v>
      </x:c>
      <x:c r="Y8" s="7" t="n">
        <x:f>MAX(0,S8*('設定と出典'!$B$13*'設定と出典'!$B$8+'設定と出典'!$B$14*'設定と出典'!$B$9)-MIN(S8,'設定と出典'!$B$7*86400*'設定と出典'!$B$15)*('設定と出典'!$B$13*'設定と出典'!$B$10+'設定と出典'!$B$14*'設定と出典'!$B$11))*'設定と出典'!$B$12*'設定と出典'!$B$6</x:f>
        <x:v>208.17670545167175</x:v>
      </x:c>
      <x:c r="Z8" s="7" t="n">
        <x:f>O8*('設定と出典'!$B$41*'設定と出典'!$B$18+('設定と出典'!$B$42+I8)*'設定と出典'!$B$19)/1000*'設定と出典'!$B$6</x:f>
        <x:v>11.88</x:v>
      </x:c>
      <x:c r="AA8" s="7" t="n">
        <x:f>N8*(1+J8)*'設定と出典'!$B$21</x:f>
        <x:v>1400</x:v>
      </x:c>
      <x:c r="AB8" s="7" t="n">
        <x:f>N8*'設定と出典'!$B$40/1048576*'設定と出典'!$B$20*'設定と出典'!$B$6+N8*'設定と出典'!$B$39/1000000*'設定と出典'!$B$38*'設定と出典'!$B$6</x:f>
        <x:v>5.3532275390625</x:v>
      </x:c>
      <x:c r="AC8" s="7" t="n">
        <x:f>R8*'設定と出典'!$B$16*'設定と出典'!$B$6</x:f>
        <x:v>2050.78125</x:v>
      </x:c>
      <x:c r="AD8" s="7" t="n">
        <x:f>Q8*'設定と出典'!$B$17*'設定と出典'!$B$6</x:f>
        <x:v>21093.75</x:v>
      </x:c>
      <x:c r="AE8" s="7" t="n">
        <x:f>'設定と出典'!B63</x:f>
        <x:v>13628.969418426243</x:v>
      </x:c>
      <x:c r="AF8" s="7" t="n">
        <x:f>SUM(U8:AE8)</x:f>
        <x:v>39255.37782163064</x:v>
      </x:c>
      <x:c r="AG8" s="7" t="n">
        <x:f>T8*'設定と出典'!$B$28</x:f>
        <x:v>1080</x:v>
      </x:c>
      <x:c r="AH8" s="7" t="n">
        <x:f>(A8*L8+M8*'設定と出典'!$B$31)/60*'設定と出典'!$B$29</x:f>
        <x:v>13666.666666666666</x:v>
      </x:c>
      <x:c r="AI8" s="7" t="n">
        <x:f>'設定と出典'!$B$30*'設定と出典'!$B$29</x:f>
        <x:v>8000</x:v>
      </x:c>
      <x:c r="AJ8" s="7" t="n">
        <x:f>T8-SUM(AF8:AI8)</x:f>
        <x:v>-32002.044488297302</x:v>
      </x:c>
      <x:c r="AK8" s="7" t="n">
        <x:f>AJ8-T8*'設定と出典'!$B$32</x:f>
        <x:v>-47002.0444882973</x:v>
      </x:c>
      <x:c r="AL8" s="7" t="n">
        <x:f>AJ8-A8*MIN(E8,AV8)*'設定と出典'!$B$32</x:f>
        <x:v>-37002.0444882973</x:v>
      </x:c>
      <x:c r="AM8" s="8" t="n">
        <x:f>AJ8/T8</x:f>
        <x:v>-1.0667348162765768</x:v>
      </x:c>
      <x:c r="AN8" s="8" t="n">
        <x:f>AK8/T8</x:f>
        <x:v>-1.5667348162765768</x:v>
      </x:c>
      <x:c r="AO8" s="8" t="n">
        <x:f>AJ8/T8</x:f>
        <x:v>-1.0667348162765768</x:v>
      </x:c>
      <x:c r="AP8" s="8" t="n">
        <x:f>AO8-'設定と出典'!$B$33</x:f>
        <x:v>-1.2667348162765768</x:v>
      </x:c>
      <x:c r="AQ8" s="9" t="n">
        <x:f>SUM(W8:AD8)/N8</x:f>
        <x:v>6.256602100801099</x:v>
      </x:c>
      <x:c r="AR8" s="9" t="n">
        <x:f>MAX(0,(E8*(1-'設定と出典'!$B$28-'設定と出典'!$B$32)-(U8+V8+AH8+AI8+AE8)/A8)/AQ8)</x:f>
        <x:v>0</x:v>
      </x:c>
      <x:c r="AS8" s="9" t="n">
        <x:f>MAX(0,(E8*(1-'設定と出典'!$B$28 )-(U8+V8+AH8+AI8+AE8)/A8)/AQ8)</x:f>
        <x:v>0</x:v>
      </x:c>
      <x:c r="AT8" s="9" t="n">
        <x:f>MAX(0,(E8*(1-'設定と出典'!$B$28)-MIN(E8,AV8)*'設定と出典'!$B$32-(U8+V8+AH8+AI8+AE8)/A8)/AQ8)</x:f>
        <x:v>0</x:v>
      </x:c>
      <x:c r="AU8" s="9" t="str">
        <x:f>IF((T8*(1-'設定と出典'!$B$28-'設定と出典'!$B$32)-(AF8-AE8)-AH8)&lt;=0,"成立せず",(AE8+AI8)/((T8*(1-'設定と出典'!$B$28-'設定と出典'!$B$32)-(AF8-AE8)-AH8)/A8))</x:f>
        <x:v>成立せず</x:v>
      </x:c>
      <x:c r="AV8" s="9" t="n">
        <x:f>'設定と出典'!D51</x:f>
        <x:v>1000</x:v>
      </x:c>
      <x:c r="AW8" s="9" t="n">
        <x:f>IF(1-'設定と出典'!$B$28-'設定と出典'!$B$32-'設定と出典'!$B$33&lt;=0,0,MAX(0,MIN(E8,(AK8/A8-E8*'設定と出典'!$B$33)/(1-'設定と出典'!$B$28-'設定と出典'!$B$32-'設定と出典'!$B$33))))</x:f>
        <x:v>0</x:v>
      </x:c>
      <x:c r="AX8" s="1"/>
      <x:c r="AY8" s="1"/>
      <x:c r="AZ8" s="1"/>
      <x:c r="BA8" s="1"/>
    </x:row>
    <x:row r="9" ht="22" customHeight="1">
      <x:c r="A9" s="1" t="n">
        <x:v>10</x:v>
      </x:c>
      <x:c r="B9" s="1" t="str">
        <x:f>'設定と出典'!A52</x:f>
        <x:v>Business</x:v>
      </x:c>
      <x:c r="C9" s="1" t="str">
        <x:f>'設定と出典'!A57</x:f>
        <x:v>低位</x:v>
      </x:c>
      <x:c r="D9" s="1" t="n">
        <x:f>'設定と出典'!B52</x:f>
        <x:v>20</x:v>
      </x:c>
      <x:c r="E9" s="1" t="n">
        <x:f>'設定と出典'!C52</x:f>
        <x:v>5000</x:v>
      </x:c>
      <x:c r="F9" s="1" t="n">
        <x:f>'設定と出典'!B57</x:f>
        <x:v>5</x:v>
      </x:c>
      <x:c r="G9" s="1" t="n">
        <x:f>'設定と出典'!C57</x:f>
        <x:v>1</x:v>
      </x:c>
      <x:c r="H9" s="1" t="n">
        <x:f>'設定と出典'!D57</x:f>
        <x:v>2</x:v>
      </x:c>
      <x:c r="I9" s="1" t="n">
        <x:f>'設定と出典'!E57</x:f>
        <x:v>1</x:v>
      </x:c>
      <x:c r="J9" s="1" t="n">
        <x:f>'設定と出典'!F57</x:f>
        <x:v>1.1</x:v>
      </x:c>
      <x:c r="K9" s="1" t="n">
        <x:f>'設定と出典'!G57</x:f>
        <x:v>1</x:v>
      </x:c>
      <x:c r="L9" s="1" t="n">
        <x:f>'設定と出典'!H57</x:f>
        <x:v>3</x:v>
      </x:c>
      <x:c r="M9" s="1" t="n">
        <x:f>A9*D9</x:f>
        <x:v>200</x:v>
      </x:c>
      <x:c r="N9" s="1" t="n">
        <x:f>M9*F9</x:f>
        <x:v>1000</x:v>
      </x:c>
      <x:c r="O9" s="1" t="n">
        <x:f>N9*G9</x:f>
        <x:v>1000</x:v>
      </x:c>
      <x:c r="P9" s="1" t="n">
        <x:f>O9*H9/1024</x:f>
        <x:v>1.953125</x:v>
      </x:c>
      <x:c r="Q9" s="1" t="n">
        <x:f>P9*I9</x:f>
        <x:v>1.953125</x:v>
      </x:c>
      <x:c r="R9" s="1" t="n">
        <x:f>P9*('設定と出典'!$B$34+'設定と出典'!$B$35)/'設定と出典'!$B$7</x:f>
        <x:v>1.8229166666666667</x:v>
      </x:c>
      <x:c r="S9" s="1" t="n">
        <x:f>O9*K9</x:f>
        <x:v>1000</x:v>
      </x:c>
      <x:c r="T9" s="7" t="n">
        <x:f>A9*E9</x:f>
        <x:v>50000</x:v>
      </x:c>
      <x:c r="U9" s="7" t="n">
        <x:f>A9*'設定と出典'!$B$26</x:f>
        <x:v>500</x:v>
      </x:c>
      <x:c r="V9" s="7" t="n">
        <x:f>M9*'設定と出典'!$B$27</x:f>
        <x:v>400</x:v>
      </x:c>
      <x:c r="W9" s="7" t="n">
        <x:f>(N9*'設定と出典'!$B$36+S9)*('設定と出典'!$B$43*'設定と出典'!$B$8+'設定と出典'!$B$44*'設定と出典'!$B$9)*'設定と出典'!$B$12*'設定と出典'!$B$6</x:f>
        <x:v>5.309034813340173</x:v>
      </x:c>
      <x:c r="X9" s="7" t="n">
        <x:f>N9*I9*'設定と出典'!$B$37*('設定と出典'!$B$45*'設定と出典'!$B$8+'設定と出典'!$B$46*'設定と出典'!$B$9)*'設定と出典'!$B$12*'設定と出典'!$B$6</x:f>
        <x:v>0.816774586667719</x:v>
      </x:c>
      <x:c r="Y9" s="7" t="n">
        <x:f>MAX(0,S9*('設定と出典'!$B$13*'設定と出典'!$B$8+'設定と出典'!$B$14*'設定と出典'!$B$9)-MIN(S9,'設定と出典'!$B$7*86400*'設定と出典'!$B$15)*('設定と出典'!$B$13*'設定と出典'!$B$10+'設定と出典'!$B$14*'設定と出典'!$B$11))*'設定と出典'!$B$12*'設定と出典'!$B$6</x:f>
        <x:v>3.469611757527863</x:v>
      </x:c>
      <x:c r="Z9" s="7" t="n">
        <x:f>O9*('設定と出典'!$B$41*'設定と出典'!$B$18+('設定と出典'!$B$42+I9)*'設定と出典'!$B$19)/1000*'設定と出典'!$B$6</x:f>
        <x:v>0.93</x:v>
      </x:c>
      <x:c r="AA9" s="7" t="n">
        <x:f>N9*(1+J9)*'設定と出典'!$B$21</x:f>
        <x:v>210</x:v>
      </x:c>
      <x:c r="AB9" s="7" t="n">
        <x:f>N9*'設定と出典'!$B$40/1048576*'設定と出典'!$B$20*'設定と出典'!$B$6+N9*'設定と出典'!$B$39/1000000*'設定と出典'!$B$38*'設定と出典'!$B$6</x:f>
        <x:v>1.338306884765625</x:v>
      </x:c>
      <x:c r="AC9" s="7" t="n">
        <x:f>R9*'設定と出典'!$B$16*'設定と出典'!$B$6</x:f>
        <x:v>6.835937500000001</x:v>
      </x:c>
      <x:c r="AD9" s="7" t="n">
        <x:f>Q9*'設定と出典'!$B$17*'設定と出典'!$B$6</x:f>
        <x:v>35.15625</x:v>
      </x:c>
      <x:c r="AE9" s="7" t="n">
        <x:f>'設定と出典'!B63</x:f>
        <x:v>13628.969418426243</x:v>
      </x:c>
      <x:c r="AF9" s="7" t="n">
        <x:f>SUM(U9:AE9)</x:f>
        <x:v>14792.825333968543</x:v>
      </x:c>
      <x:c r="AG9" s="7" t="n">
        <x:f>T9*'設定と出典'!$B$28</x:f>
        <x:v>1799.9999999999998</x:v>
      </x:c>
      <x:c r="AH9" s="7" t="n">
        <x:f>(A9*L9+M9*'設定と出典'!$B$31)/60*'設定と出典'!$B$29</x:f>
        <x:v>3333.3333333333335</x:v>
      </x:c>
      <x:c r="AI9" s="7" t="n">
        <x:f>'設定と出典'!$B$30*'設定と出典'!$B$29</x:f>
        <x:v>8000</x:v>
      </x:c>
      <x:c r="AJ9" s="7" t="n">
        <x:f>T9-SUM(AF9:AI9)</x:f>
        <x:v>22073.841332698124</x:v>
      </x:c>
      <x:c r="AK9" s="7" t="n">
        <x:f>AJ9-T9*'設定と出典'!$B$32</x:f>
        <x:v>-2926.1586673018755</x:v>
      </x:c>
      <x:c r="AL9" s="7" t="n">
        <x:f>AJ9-A9*MIN(E9,AV9)*'設定と出典'!$B$32</x:f>
        <x:v>17073.841332698124</x:v>
      </x:c>
      <x:c r="AM9" s="8" t="n">
        <x:f>AJ9/T9</x:f>
        <x:v>0.4414768266539625</x:v>
      </x:c>
      <x:c r="AN9" s="8" t="n">
        <x:f>AK9/T9</x:f>
        <x:v>-0.05852317334603751</x:v>
      </x:c>
      <x:c r="AO9" s="8" t="n">
        <x:f>AJ9/T9</x:f>
        <x:v>0.4414768266539625</x:v>
      </x:c>
      <x:c r="AP9" s="8" t="n">
        <x:f>AO9-'設定と出典'!$B$33</x:f>
        <x:v>0.24147682665396247</x:v>
      </x:c>
      <x:c r="AQ9" s="9" t="n">
        <x:f>SUM(W9:AD9)/N9</x:f>
        <x:v>0.26385591554230137</x:v>
      </x:c>
      <x:c r="AR9" s="9" t="n">
        <x:f>MAX(0,(E9*(1-'設定と出典'!$B$28-'設定と出典'!$B$32)-(U9+V9+AH9+AI9+AE9)/A9)/AQ9)</x:f>
        <x:v>0</x:v>
      </x:c>
      <x:c r="AS9" s="9" t="n">
        <x:f>MAX(0,(E9*(1-'設定と出典'!$B$28 )-(U9+V9+AH9+AI9+AE9)/A9)/AQ9)</x:f>
        <x:v>8465.869412982422</x:v>
      </x:c>
      <x:c r="AT9" s="9" t="n">
        <x:f>MAX(0,(E9*(1-'設定と出典'!$B$28)-MIN(E9,AV9)*'設定と出典'!$B$32-(U9+V9+AH9+AI9+AE9)/A9)/AQ9)</x:f>
        <x:v>6570.895790835831</x:v>
      </x:c>
      <x:c r="AU9" s="9" t="n">
        <x:f>IF((T9*(1-'設定と出典'!$B$28-'設定と出典'!$B$32)-(AF9-AE9)-AH9)&lt;=0,"成立せず",(AE9+AI9)/((T9*(1-'設定と出典'!$B$28-'設定と出典'!$B$32)-(AF9-AE9)-AH9)/A9))</x:f>
        <x:v>11.56455556666848</x:v>
      </x:c>
      <x:c r="AV9" s="9" t="n">
        <x:f>'設定と出典'!D52</x:f>
        <x:v>1000</x:v>
      </x:c>
      <x:c r="AW9" s="9" t="n">
        <x:f>IF(1-'設定と出典'!$B$28-'設定と出典'!$B$32-'設定と出典'!$B$33&lt;=0,0,MAX(0,MIN(E9,(AK9/A9-E9*'設定と出典'!$B$33)/(1-'設定と出典'!$B$28-'設定と出典'!$B$32-'設定と出典'!$B$33))))</x:f>
        <x:v>0</x:v>
      </x:c>
      <x:c r="AX9" s="1"/>
      <x:c r="AY9" s="1"/>
      <x:c r="AZ9" s="1"/>
      <x:c r="BA9" s="1"/>
    </x:row>
    <x:row r="10" ht="22" customHeight="1">
      <x:c r="A10" s="1" t="n">
        <x:v>10</x:v>
      </x:c>
      <x:c r="B10" s="1" t="str">
        <x:f>'設定と出典'!A52</x:f>
        <x:v>Business</x:v>
      </x:c>
      <x:c r="C10" s="1" t="str">
        <x:f>'設定と出典'!A58</x:f>
        <x:v>標準</x:v>
      </x:c>
      <x:c r="D10" s="1" t="n">
        <x:f>'設定と出典'!B52</x:f>
        <x:v>20</x:v>
      </x:c>
      <x:c r="E10" s="1" t="n">
        <x:f>'設定と出典'!C52</x:f>
        <x:v>5000</x:v>
      </x:c>
      <x:c r="F10" s="1" t="n">
        <x:f>'設定と出典'!B58</x:f>
        <x:v>20</x:v>
      </x:c>
      <x:c r="G10" s="1" t="n">
        <x:f>'設定と出典'!C58</x:f>
        <x:v>2</x:v>
      </x:c>
      <x:c r="H10" s="1" t="n">
        <x:f>'設定と出典'!D58</x:f>
        <x:v>10</x:v>
      </x:c>
      <x:c r="I10" s="1" t="n">
        <x:f>'設定と出典'!E58</x:f>
        <x:v>1.5</x:v>
      </x:c>
      <x:c r="J10" s="1" t="n">
        <x:f>'設定と出典'!F58</x:f>
        <x:v>1.8</x:v>
      </x:c>
      <x:c r="K10" s="1" t="n">
        <x:f>'設定と出典'!G58</x:f>
        <x:v>2</x:v>
      </x:c>
      <x:c r="L10" s="1" t="n">
        <x:f>'設定と出典'!H58</x:f>
        <x:v>8</x:v>
      </x:c>
      <x:c r="M10" s="1" t="n">
        <x:f>A10*D10</x:f>
        <x:v>200</x:v>
      </x:c>
      <x:c r="N10" s="1" t="n">
        <x:f>M10*F10</x:f>
        <x:v>4000</x:v>
      </x:c>
      <x:c r="O10" s="1" t="n">
        <x:f>N10*G10</x:f>
        <x:v>8000</x:v>
      </x:c>
      <x:c r="P10" s="1" t="n">
        <x:f>O10*H10/1024</x:f>
        <x:v>78.125</x:v>
      </x:c>
      <x:c r="Q10" s="1" t="n">
        <x:f>P10*I10</x:f>
        <x:v>117.1875</x:v>
      </x:c>
      <x:c r="R10" s="1" t="n">
        <x:f>P10*('設定と出典'!$B$34+'設定と出典'!$B$35)/'設定と出典'!$B$7</x:f>
        <x:v>72.91666666666667</x:v>
      </x:c>
      <x:c r="S10" s="1" t="n">
        <x:f>O10*K10</x:f>
        <x:v>16000</x:v>
      </x:c>
      <x:c r="T10" s="7" t="n">
        <x:f>A10*E10</x:f>
        <x:v>50000</x:v>
      </x:c>
      <x:c r="U10" s="7" t="n">
        <x:f>A10*'設定と出典'!$B$26</x:f>
        <x:v>500</x:v>
      </x:c>
      <x:c r="V10" s="7" t="n">
        <x:f>M10*'設定と出典'!$B$27</x:f>
        <x:v>400</x:v>
      </x:c>
      <x:c r="W10" s="7" t="n">
        <x:f>(N10*'設定と出典'!$B$36+S10)*('設定と出典'!$B$43*'設定と出典'!$B$8+'設定と出典'!$B$44*'設定と出典'!$B$9)*'設定と出典'!$B$12*'設定と出典'!$B$6</x:f>
        <x:v>70.24261445342383</x:v>
      </x:c>
      <x:c r="X10" s="7" t="n">
        <x:f>N10*I10*'設定と出典'!$B$37*('設定と出典'!$B$45*'設定と出典'!$B$8+'設定と出典'!$B$46*'設定と出典'!$B$9)*'設定と出典'!$B$12*'設定と出典'!$B$6</x:f>
        <x:v>4.900647520006315</x:v>
      </x:c>
      <x:c r="Y10" s="7" t="n">
        <x:f>MAX(0,S10*('設定と出典'!$B$13*'設定と出典'!$B$8+'設定と出典'!$B$14*'設定と出典'!$B$9)-MIN(S10,'設定と出典'!$B$7*86400*'設定と出典'!$B$15)*('設定と出典'!$B$13*'設定と出典'!$B$10+'設定と出典'!$B$14*'設定と出典'!$B$11))*'設定と出典'!$B$12*'設定と出典'!$B$6</x:f>
        <x:v>55.51378812044581</x:v>
      </x:c>
      <x:c r="Z10" s="7" t="n">
        <x:f>O10*('設定と出典'!$B$41*'設定と出典'!$B$18+('設定と出典'!$B$42+I10)*'設定と出典'!$B$19)/1000*'設定と出典'!$B$6</x:f>
        <x:v>7.680000000000001</x:v>
      </x:c>
      <x:c r="AA10" s="7" t="n">
        <x:f>N10*(1+J10)*'設定と出典'!$B$21</x:f>
        <x:v>1120</x:v>
      </x:c>
      <x:c r="AB10" s="7" t="n">
        <x:f>N10*'設定と出典'!$B$40/1048576*'設定と出典'!$B$20*'設定と出典'!$B$6+N10*'設定と出典'!$B$39/1000000*'設定と出典'!$B$38*'設定と出典'!$B$6</x:f>
        <x:v>5.3532275390625</x:v>
      </x:c>
      <x:c r="AC10" s="7" t="n">
        <x:f>R10*'設定と出典'!$B$16*'設定と出典'!$B$6</x:f>
        <x:v>273.43750000000006</x:v>
      </x:c>
      <x:c r="AD10" s="7" t="n">
        <x:f>Q10*'設定と出典'!$B$17*'設定と出典'!$B$6</x:f>
        <x:v>2109.375</x:v>
      </x:c>
      <x:c r="AE10" s="7" t="n">
        <x:f>'設定と出典'!B63</x:f>
        <x:v>13628.969418426243</x:v>
      </x:c>
      <x:c r="AF10" s="7" t="n">
        <x:f>SUM(U10:AE10)</x:f>
        <x:v>18175.47219605918</x:v>
      </x:c>
      <x:c r="AG10" s="7" t="n">
        <x:f>T10*'設定と出典'!$B$28</x:f>
        <x:v>1799.9999999999998</x:v>
      </x:c>
      <x:c r="AH10" s="7" t="n">
        <x:f>(A10*L10+M10*'設定と出典'!$B$31)/60*'設定と出典'!$B$29</x:f>
        <x:v>6666.666666666667</x:v>
      </x:c>
      <x:c r="AI10" s="7" t="n">
        <x:f>'設定と出典'!$B$30*'設定と出典'!$B$29</x:f>
        <x:v>8000</x:v>
      </x:c>
      <x:c r="AJ10" s="7" t="n">
        <x:f>T10-SUM(AF10:AI10)</x:f>
        <x:v>15357.86113727415</x:v>
      </x:c>
      <x:c r="AK10" s="7" t="n">
        <x:f>AJ10-T10*'設定と出典'!$B$32</x:f>
        <x:v>-9642.13886272585</x:v>
      </x:c>
      <x:c r="AL10" s="7" t="n">
        <x:f>AJ10-A10*MIN(E10,AV10)*'設定と出典'!$B$32</x:f>
        <x:v>10357.86113727415</x:v>
      </x:c>
      <x:c r="AM10" s="8" t="n">
        <x:f>AJ10/T10</x:f>
        <x:v>0.307157222745483</x:v>
      </x:c>
      <x:c r="AN10" s="8" t="n">
        <x:f>AK10/T10</x:f>
        <x:v>-0.19284277725451698</x:v>
      </x:c>
      <x:c r="AO10" s="8" t="n">
        <x:f>AJ10/T10</x:f>
        <x:v>0.307157222745483</x:v>
      </x:c>
      <x:c r="AP10" s="8" t="n">
        <x:f>AO10-'設定と出典'!$B$33</x:f>
        <x:v>0.107157222745483</x:v>
      </x:c>
      <x:c r="AQ10" s="9" t="n">
        <x:f>SUM(W10:AD10)/N10</x:f>
        <x:v>0.9116256944082346</x:v>
      </x:c>
      <x:c r="AR10" s="9" t="n">
        <x:f>MAX(0,(E10*(1-'設定と出典'!$B$28-'設定と出典'!$B$32)-(U10+V10+AH10+AI10+AE10)/A10)/AQ10)</x:f>
        <x:v>0</x:v>
      </x:c>
      <x:c r="AS10" s="9" t="n">
        <x:f>MAX(0,(E10*(1-'設定と出典'!$B$28 )-(U10+V10+AH10+AI10+AE10)/A10)/AQ10)</x:f>
        <x:v>2084.6674278134988</x:v>
      </x:c>
      <x:c r="AT10" s="9" t="n">
        <x:f>MAX(0,(E10*(1-'設定と出典'!$B$28)-MIN(E10,AV10)*'設定と出典'!$B$32-(U10+V10+AH10+AI10+AE10)/A10)/AQ10)</x:f>
        <x:v>1536.1967088913361</x:v>
      </x:c>
      <x:c r="AU10" s="9" t="n">
        <x:f>IF((T10*(1-'設定と出典'!$B$28-'設定と出典'!$B$32)-(AF10-AE10)-AH10)&lt;=0,"成立せず",(AE10+AI10)/((T10*(1-'設定と出典'!$B$28-'設定と出典'!$B$32)-(AF10-AE10)-AH10)/A10))</x:f>
        <x:v>18.043943574509345</x:v>
      </x:c>
      <x:c r="AV10" s="9" t="n">
        <x:f>'設定と出典'!D52</x:f>
        <x:v>1000</x:v>
      </x:c>
      <x:c r="AW10" s="9" t="n">
        <x:f>IF(1-'設定と出典'!$B$28-'設定と出典'!$B$32-'設定と出典'!$B$33&lt;=0,0,MAX(0,MIN(E10,(AK10/A10-E10*'設定と出典'!$B$33)/(1-'設定と出典'!$B$28-'設定と出典'!$B$32-'設定と出典'!$B$33))))</x:f>
        <x:v>0</x:v>
      </x:c>
      <x:c r="AX10" s="1"/>
      <x:c r="AY10" s="1"/>
      <x:c r="AZ10" s="1"/>
      <x:c r="BA10" s="1"/>
    </x:row>
    <x:row r="11" ht="22" customHeight="1">
      <x:c r="A11" s="1" t="n">
        <x:v>10</x:v>
      </x:c>
      <x:c r="B11" s="1" t="str">
        <x:f>'設定と出典'!A52</x:f>
        <x:v>Business</x:v>
      </x:c>
      <x:c r="C11" s="1" t="str">
        <x:f>'設定と出典'!A59</x:f>
        <x:v>高位</x:v>
      </x:c>
      <x:c r="D11" s="1" t="n">
        <x:f>'設定と出典'!B52</x:f>
        <x:v>20</x:v>
      </x:c>
      <x:c r="E11" s="1" t="n">
        <x:f>'設定と出典'!C52</x:f>
        <x:v>5000</x:v>
      </x:c>
      <x:c r="F11" s="1" t="n">
        <x:f>'設定と出典'!B59</x:f>
        <x:v>80</x:v>
      </x:c>
      <x:c r="G11" s="1" t="n">
        <x:f>'設定と出典'!C59</x:f>
        <x:v>3</x:v>
      </x:c>
      <x:c r="H11" s="1" t="n">
        <x:f>'設定と出典'!D59</x:f>
        <x:v>50</x:v>
      </x:c>
      <x:c r="I11" s="1" t="n">
        <x:f>'設定と出典'!E59</x:f>
        <x:v>2</x:v>
      </x:c>
      <x:c r="J11" s="1" t="n">
        <x:f>'設定と出典'!F59</x:f>
        <x:v>2.5</x:v>
      </x:c>
      <x:c r="K11" s="1" t="n">
        <x:f>'設定と出典'!G59</x:f>
        <x:v>5</x:v>
      </x:c>
      <x:c r="L11" s="1" t="n">
        <x:f>'設定と出典'!H59</x:f>
        <x:v>20</x:v>
      </x:c>
      <x:c r="M11" s="1" t="n">
        <x:f>A11*D11</x:f>
        <x:v>200</x:v>
      </x:c>
      <x:c r="N11" s="1" t="n">
        <x:f>M11*F11</x:f>
        <x:v>16000</x:v>
      </x:c>
      <x:c r="O11" s="1" t="n">
        <x:f>N11*G11</x:f>
        <x:v>48000</x:v>
      </x:c>
      <x:c r="P11" s="1" t="n">
        <x:f>O11*H11/1024</x:f>
        <x:v>2343.75</x:v>
      </x:c>
      <x:c r="Q11" s="1" t="n">
        <x:f>P11*I11</x:f>
        <x:v>4687.5</x:v>
      </x:c>
      <x:c r="R11" s="1" t="n">
        <x:f>P11*('設定と出典'!$B$34+'設定と出典'!$B$35)/'設定と出典'!$B$7</x:f>
        <x:v>2187.5</x:v>
      </x:c>
      <x:c r="S11" s="1" t="n">
        <x:f>O11*K11</x:f>
        <x:v>240000</x:v>
      </x:c>
      <x:c r="T11" s="7" t="n">
        <x:f>A11*E11</x:f>
        <x:v>50000</x:v>
      </x:c>
      <x:c r="U11" s="7" t="n">
        <x:f>A11*'設定と出典'!$B$26</x:f>
        <x:v>500</x:v>
      </x:c>
      <x:c r="V11" s="7" t="n">
        <x:f>M11*'設定と出典'!$B$27</x:f>
        <x:v>400</x:v>
      </x:c>
      <x:c r="W11" s="7" t="n">
        <x:f>(N11*'設定と出典'!$B$36+S11)*('設定と出典'!$B$43*'設定と出典'!$B$8+'設定と出典'!$B$44*'設定と出典'!$B$9)*'設定と出典'!$B$12*'設定と出典'!$B$6</x:f>
        <x:v>999.732094081288</x:v>
      </x:c>
      <x:c r="X11" s="7" t="n">
        <x:f>N11*I11*'設定と出典'!$B$37*('設定と出典'!$B$45*'設定と出典'!$B$8+'設定と出典'!$B$46*'設定と出典'!$B$9)*'設定と出典'!$B$12*'設定と出典'!$B$6</x:f>
        <x:v>26.136786773367007</x:v>
      </x:c>
      <x:c r="Y11" s="7" t="n">
        <x:f>MAX(0,S11*('設定と出典'!$B$13*'設定と出典'!$B$8+'設定と出典'!$B$14*'設定と出典'!$B$9)-MIN(S11,'設定と出典'!$B$7*86400*'設定と出典'!$B$15)*('設定と出典'!$B$13*'設定と出典'!$B$10+'設定と出典'!$B$14*'設定と出典'!$B$11))*'設定と出典'!$B$12*'設定と出典'!$B$6</x:f>
        <x:v>832.706821806687</x:v>
      </x:c>
      <x:c r="Z11" s="7" t="n">
        <x:f>O11*('設定と出典'!$B$41*'設定と出典'!$B$18+('設定と出典'!$B$42+I11)*'設定と出典'!$B$19)/1000*'設定と出典'!$B$6</x:f>
        <x:v>47.52</x:v>
      </x:c>
      <x:c r="AA11" s="7" t="n">
        <x:f>N11*(1+J11)*'設定と出典'!$B$21</x:f>
        <x:v>5600</x:v>
      </x:c>
      <x:c r="AB11" s="7" t="n">
        <x:f>N11*'設定と出典'!$B$40/1048576*'設定と出典'!$B$20*'設定と出典'!$B$6+N11*'設定と出典'!$B$39/1000000*'設定と出典'!$B$38*'設定と出典'!$B$6</x:f>
        <x:v>21.41291015625</x:v>
      </x:c>
      <x:c r="AC11" s="7" t="n">
        <x:f>R11*'設定と出典'!$B$16*'設定と出典'!$B$6</x:f>
        <x:v>8203.125</x:v>
      </x:c>
      <x:c r="AD11" s="7" t="n">
        <x:f>Q11*'設定と出典'!$B$17*'設定と出典'!$B$6</x:f>
        <x:v>84375</x:v>
      </x:c>
      <x:c r="AE11" s="7" t="n">
        <x:f>'設定と出典'!B63</x:f>
        <x:v>13628.969418426243</x:v>
      </x:c>
      <x:c r="AF11" s="7" t="n">
        <x:f>SUM(U11:AE11)</x:f>
        <x:v>114634.60303124384</x:v>
      </x:c>
      <x:c r="AG11" s="7" t="n">
        <x:f>T11*'設定と出典'!$B$28</x:f>
        <x:v>1799.9999999999998</x:v>
      </x:c>
      <x:c r="AH11" s="7" t="n">
        <x:f>(A11*L11+M11*'設定と出典'!$B$31)/60*'設定と出典'!$B$29</x:f>
        <x:v>14666.666666666666</x:v>
      </x:c>
      <x:c r="AI11" s="7" t="n">
        <x:f>'設定と出典'!$B$30*'設定と出典'!$B$29</x:f>
        <x:v>8000</x:v>
      </x:c>
      <x:c r="AJ11" s="7" t="n">
        <x:f>T11-SUM(AF11:AI11)</x:f>
        <x:v>-89101.2696979105</x:v>
      </x:c>
      <x:c r="AK11" s="7" t="n">
        <x:f>AJ11-T11*'設定と出典'!$B$32</x:f>
        <x:v>-114101.2696979105</x:v>
      </x:c>
      <x:c r="AL11" s="7" t="n">
        <x:f>AJ11-A11*MIN(E11,AV11)*'設定と出典'!$B$32</x:f>
        <x:v>-94101.2696979105</x:v>
      </x:c>
      <x:c r="AM11" s="8" t="n">
        <x:f>AJ11/T11</x:f>
        <x:v>-1.7820253939582098</x:v>
      </x:c>
      <x:c r="AN11" s="8" t="n">
        <x:f>AK11/T11</x:f>
        <x:v>-2.28202539395821</x:v>
      </x:c>
      <x:c r="AO11" s="8" t="n">
        <x:f>AJ11/T11</x:f>
        <x:v>-1.7820253939582098</x:v>
      </x:c>
      <x:c r="AP11" s="8" t="n">
        <x:f>AO11-'設定と出典'!$B$33</x:f>
        <x:v>-1.9820253939582098</x:v>
      </x:c>
      <x:c r="AQ11" s="9" t="n">
        <x:f>SUM(W11:AD11)/N11</x:f>
        <x:v>6.256602100801099</x:v>
      </x:c>
      <x:c r="AR11" s="9" t="n">
        <x:f>MAX(0,(E11*(1-'設定と出典'!$B$28-'設定と出典'!$B$32)-(U11+V11+AH11+AI11+AE11)/A11)/AQ11)</x:f>
        <x:v>0</x:v>
      </x:c>
      <x:c r="AS11" s="9" t="n">
        <x:f>MAX(0,(E11*(1-'設定と出典'!$B$28 )-(U11+V11+AH11+AI11+AE11)/A11)/AQ11)</x:f>
        <x:v>175.88402998327302</x:v>
      </x:c>
      <x:c r="AT11" s="9" t="n">
        <x:f>MAX(0,(E11*(1-'設定と出典'!$B$28)-MIN(E11,AV11)*'設定と出典'!$B$32-(U11+V11+AH11+AI11+AE11)/A11)/AQ11)</x:f>
        <x:v>95.968447700043</x:v>
      </x:c>
      <x:c r="AU11" s="9" t="str">
        <x:f>IF((T11*(1-'設定と出典'!$B$28-'設定と出典'!$B$32)-(AF11-AE11)-AH11)&lt;=0,"成立せず",(AE11+AI11)/((T11*(1-'設定と出典'!$B$28-'設定と出典'!$B$32)-(AF11-AE11)-AH11)/A11))</x:f>
        <x:v>成立せず</x:v>
      </x:c>
      <x:c r="AV11" s="9" t="n">
        <x:f>'設定と出典'!D52</x:f>
        <x:v>1000</x:v>
      </x:c>
      <x:c r="AW11" s="9" t="n">
        <x:f>IF(1-'設定と出典'!$B$28-'設定と出典'!$B$32-'設定と出典'!$B$33&lt;=0,0,MAX(0,MIN(E11,(AK11/A11-E11*'設定と出典'!$B$33)/(1-'設定と出典'!$B$28-'設定と出典'!$B$32-'設定と出典'!$B$33))))</x:f>
        <x:v>0</x:v>
      </x:c>
      <x:c r="AX11" s="1"/>
      <x:c r="AY11" s="1"/>
      <x:c r="AZ11" s="1"/>
      <x:c r="BA11" s="1"/>
    </x:row>
    <x:row r="12" ht="22" customHeight="1">
      <x:c r="A12" s="1" t="n">
        <x:v>10</x:v>
      </x:c>
      <x:c r="B12" s="1" t="str">
        <x:f>'設定と出典'!A53</x:f>
        <x:v>Business Plus</x:v>
      </x:c>
      <x:c r="C12" s="1" t="str">
        <x:f>'設定と出典'!A57</x:f>
        <x:v>低位</x:v>
      </x:c>
      <x:c r="D12" s="1" t="n">
        <x:f>'設定と出典'!B53</x:f>
        <x:v>50</x:v>
      </x:c>
      <x:c r="E12" s="1" t="n">
        <x:f>'設定と出典'!C53</x:f>
        <x:v>8000</x:v>
      </x:c>
      <x:c r="F12" s="1" t="n">
        <x:f>'設定と出典'!B57</x:f>
        <x:v>5</x:v>
      </x:c>
      <x:c r="G12" s="1" t="n">
        <x:f>'設定と出典'!C57</x:f>
        <x:v>1</x:v>
      </x:c>
      <x:c r="H12" s="1" t="n">
        <x:f>'設定と出典'!D57</x:f>
        <x:v>2</x:v>
      </x:c>
      <x:c r="I12" s="1" t="n">
        <x:f>'設定と出典'!E57</x:f>
        <x:v>1</x:v>
      </x:c>
      <x:c r="J12" s="1" t="n">
        <x:f>'設定と出典'!F57</x:f>
        <x:v>1.1</x:v>
      </x:c>
      <x:c r="K12" s="1" t="n">
        <x:f>'設定と出典'!G57</x:f>
        <x:v>1</x:v>
      </x:c>
      <x:c r="L12" s="1" t="n">
        <x:f>'設定と出典'!H57</x:f>
        <x:v>3</x:v>
      </x:c>
      <x:c r="M12" s="1" t="n">
        <x:f>A12*D12</x:f>
        <x:v>500</x:v>
      </x:c>
      <x:c r="N12" s="1" t="n">
        <x:f>M12*F12</x:f>
        <x:v>2500</x:v>
      </x:c>
      <x:c r="O12" s="1" t="n">
        <x:f>N12*G12</x:f>
        <x:v>2500</x:v>
      </x:c>
      <x:c r="P12" s="1" t="n">
        <x:f>O12*H12/1024</x:f>
        <x:v>4.8828125</x:v>
      </x:c>
      <x:c r="Q12" s="1" t="n">
        <x:f>P12*I12</x:f>
        <x:v>4.8828125</x:v>
      </x:c>
      <x:c r="R12" s="1" t="n">
        <x:f>P12*('設定と出典'!$B$34+'設定と出典'!$B$35)/'設定と出典'!$B$7</x:f>
        <x:v>4.557291666666667</x:v>
      </x:c>
      <x:c r="S12" s="1" t="n">
        <x:f>O12*K12</x:f>
        <x:v>2500</x:v>
      </x:c>
      <x:c r="T12" s="7" t="n">
        <x:f>A12*E12</x:f>
        <x:v>80000</x:v>
      </x:c>
      <x:c r="U12" s="7" t="n">
        <x:f>A12*'設定と出典'!$B$26</x:f>
        <x:v>500</x:v>
      </x:c>
      <x:c r="V12" s="7" t="n">
        <x:f>M12*'設定と出典'!$B$27</x:f>
        <x:v>1000</x:v>
      </x:c>
      <x:c r="W12" s="7" t="n">
        <x:f>(N12*'設定と出典'!$B$36+S12)*('設定と出典'!$B$43*'設定と出典'!$B$8+'設定と出典'!$B$44*'設定と出典'!$B$9)*'設定と出典'!$B$12*'設定と出典'!$B$6</x:f>
        <x:v>13.272587033350435</x:v>
      </x:c>
      <x:c r="X12" s="7" t="n">
        <x:f>N12*I12*'設定と出典'!$B$37*('設定と出典'!$B$45*'設定と出典'!$B$8+'設定と出典'!$B$46*'設定と出典'!$B$9)*'設定と出典'!$B$12*'設定と出典'!$B$6</x:f>
        <x:v>2.0419364666692976</x:v>
      </x:c>
      <x:c r="Y12" s="7" t="n">
        <x:f>MAX(0,S12*('設定と出典'!$B$13*'設定と出典'!$B$8+'設定と出典'!$B$14*'設定と出典'!$B$9)-MIN(S12,'設定と出典'!$B$7*86400*'設定と出典'!$B$15)*('設定と出典'!$B$13*'設定と出典'!$B$10+'設定と出典'!$B$14*'設定と出典'!$B$11))*'設定と出典'!$B$12*'設定と出典'!$B$6</x:f>
        <x:v>8.674029393819657</x:v>
      </x:c>
      <x:c r="Z12" s="7" t="n">
        <x:f>O12*('設定と出典'!$B$41*'設定と出典'!$B$18+('設定と出典'!$B$42+I12)*'設定と出典'!$B$19)/1000*'設定と出典'!$B$6</x:f>
        <x:v>2.325</x:v>
      </x:c>
      <x:c r="AA12" s="7" t="n">
        <x:f>N12*(1+J12)*'設定と出典'!$B$21</x:f>
        <x:v>525</x:v>
      </x:c>
      <x:c r="AB12" s="7" t="n">
        <x:f>N12*'設定と出典'!$B$40/1048576*'設定と出典'!$B$20*'設定と出典'!$B$6+N12*'設定と出典'!$B$39/1000000*'設定と出典'!$B$38*'設定と出典'!$B$6</x:f>
        <x:v>3.3457672119140627</x:v>
      </x:c>
      <x:c r="AC12" s="7" t="n">
        <x:f>R12*'設定と出典'!$B$16*'設定と出典'!$B$6</x:f>
        <x:v>17.089843750000004</x:v>
      </x:c>
      <x:c r="AD12" s="7" t="n">
        <x:f>Q12*'設定と出典'!$B$17*'設定と出典'!$B$6</x:f>
        <x:v>87.890625</x:v>
      </x:c>
      <x:c r="AE12" s="7" t="n">
        <x:f>'設定と出典'!B63</x:f>
        <x:v>13628.969418426243</x:v>
      </x:c>
      <x:c r="AF12" s="7" t="n">
        <x:f>SUM(U12:AE12)</x:f>
        <x:v>15788.609207281996</x:v>
      </x:c>
      <x:c r="AG12" s="7" t="n">
        <x:f>T12*'設定と出典'!$B$28</x:f>
        <x:v>2880</x:v>
      </x:c>
      <x:c r="AH12" s="7" t="n">
        <x:f>(A12*L12+M12*'設定と出典'!$B$31)/60*'設定と出典'!$B$29</x:f>
        <x:v>5333.333333333333</x:v>
      </x:c>
      <x:c r="AI12" s="7" t="n">
        <x:f>'設定と出典'!$B$30*'設定と出典'!$B$29</x:f>
        <x:v>8000</x:v>
      </x:c>
      <x:c r="AJ12" s="7" t="n">
        <x:f>T12-SUM(AF12:AI12)</x:f>
        <x:v>47998.05745938467</x:v>
      </x:c>
      <x:c r="AK12" s="7" t="n">
        <x:f>AJ12-T12*'設定と出典'!$B$32</x:f>
        <x:v>7998.057459384669</x:v>
      </x:c>
      <x:c r="AL12" s="7" t="n">
        <x:f>AJ12-A12*MIN(E12,AV12)*'設定と出典'!$B$32</x:f>
        <x:v>42998.05745938467</x:v>
      </x:c>
      <x:c r="AM12" s="8" t="n">
        <x:f>AJ12/T12</x:f>
        <x:v>0.5999757182423083</x:v>
      </x:c>
      <x:c r="AN12" s="8" t="n">
        <x:f>AK12/T12</x:f>
        <x:v>0.09997571824230836</x:v>
      </x:c>
      <x:c r="AO12" s="8" t="n">
        <x:f>AJ12/T12</x:f>
        <x:v>0.5999757182423083</x:v>
      </x:c>
      <x:c r="AP12" s="8" t="n">
        <x:f>AO12-'設定と出典'!$B$33</x:f>
        <x:v>0.3999757182423083</x:v>
      </x:c>
      <x:c r="AQ12" s="9" t="n">
        <x:f>SUM(W12:AD12)/N12</x:f>
        <x:v>0.2638559155423014</x:v>
      </x:c>
      <x:c r="AR12" s="9" t="n">
        <x:f>MAX(0,(E12*(1-'設定と出典'!$B$28-'設定と出典'!$B$32)-(U12+V12+AH12+AI12+AE12)/A12)/AQ12)</x:f>
        <x:v>3281.221582789345</x:v>
      </x:c>
      <x:c r="AS12" s="9" t="n">
        <x:f>MAX(0,(E12*(1-'設定と出典'!$B$28 )-(U12+V12+AH12+AI12+AE12)/A12)/AQ12)</x:f>
        <x:v>18441.010559962077</x:v>
      </x:c>
      <x:c r="AT12" s="9" t="n">
        <x:f>MAX(0,(E12*(1-'設定と出典'!$B$28)-MIN(E12,AV12)*'設定と出典'!$B$32-(U12+V12+AH12+AI12+AE12)/A12)/AQ12)</x:f>
        <x:v>16546.036937815483</x:v>
      </x:c>
      <x:c r="AU12" s="9" t="n">
        <x:f>IF((T12*(1-'設定と出典'!$B$28-'設定と出典'!$B$32)-(AF12-AE12)-AH12)&lt;=0,"成立せず",(AE12+AI12)/((T12*(1-'設定と出典'!$B$28-'設定と出典'!$B$32)-(AF12-AE12)-AH12)/A12))</x:f>
        <x:v>7.300418468457664</x:v>
      </x:c>
      <x:c r="AV12" s="9" t="n">
        <x:f>'設定と出典'!D53</x:f>
        <x:v>1000</x:v>
      </x:c>
      <x:c r="AW12" s="9" t="n">
        <x:f>IF(1-'設定と出典'!$B$28-'設定と出典'!$B$32-'設定と出典'!$B$33&lt;=0,0,MAX(0,MIN(E12,(AK12/A12-E12*'設定と出典'!$B$33)/(1-'設定と出典'!$B$28-'設定と出典'!$B$32-'設定と出典'!$B$33))))</x:f>
        <x:v>0</x:v>
      </x:c>
      <x:c r="AX12" s="1"/>
      <x:c r="AY12" s="1"/>
      <x:c r="AZ12" s="1"/>
      <x:c r="BA12" s="1"/>
    </x:row>
    <x:row r="13" ht="22" customHeight="1">
      <x:c r="A13" s="1" t="n">
        <x:v>10</x:v>
      </x:c>
      <x:c r="B13" s="1" t="str">
        <x:f>'設定と出典'!A53</x:f>
        <x:v>Business Plus</x:v>
      </x:c>
      <x:c r="C13" s="1" t="str">
        <x:f>'設定と出典'!A58</x:f>
        <x:v>標準</x:v>
      </x:c>
      <x:c r="D13" s="1" t="n">
        <x:f>'設定と出典'!B53</x:f>
        <x:v>50</x:v>
      </x:c>
      <x:c r="E13" s="1" t="n">
        <x:f>'設定と出典'!C53</x:f>
        <x:v>8000</x:v>
      </x:c>
      <x:c r="F13" s="1" t="n">
        <x:f>'設定と出典'!B58</x:f>
        <x:v>20</x:v>
      </x:c>
      <x:c r="G13" s="1" t="n">
        <x:f>'設定と出典'!C58</x:f>
        <x:v>2</x:v>
      </x:c>
      <x:c r="H13" s="1" t="n">
        <x:f>'設定と出典'!D58</x:f>
        <x:v>10</x:v>
      </x:c>
      <x:c r="I13" s="1" t="n">
        <x:f>'設定と出典'!E58</x:f>
        <x:v>1.5</x:v>
      </x:c>
      <x:c r="J13" s="1" t="n">
        <x:f>'設定と出典'!F58</x:f>
        <x:v>1.8</x:v>
      </x:c>
      <x:c r="K13" s="1" t="n">
        <x:f>'設定と出典'!G58</x:f>
        <x:v>2</x:v>
      </x:c>
      <x:c r="L13" s="1" t="n">
        <x:f>'設定と出典'!H58</x:f>
        <x:v>8</x:v>
      </x:c>
      <x:c r="M13" s="1" t="n">
        <x:f>A13*D13</x:f>
        <x:v>500</x:v>
      </x:c>
      <x:c r="N13" s="1" t="n">
        <x:f>M13*F13</x:f>
        <x:v>10000</x:v>
      </x:c>
      <x:c r="O13" s="1" t="n">
        <x:f>N13*G13</x:f>
        <x:v>20000</x:v>
      </x:c>
      <x:c r="P13" s="1" t="n">
        <x:f>O13*H13/1024</x:f>
        <x:v>195.3125</x:v>
      </x:c>
      <x:c r="Q13" s="1" t="n">
        <x:f>P13*I13</x:f>
        <x:v>292.96875</x:v>
      </x:c>
      <x:c r="R13" s="1" t="n">
        <x:f>P13*('設定と出典'!$B$34+'設定と出典'!$B$35)/'設定と出典'!$B$7</x:f>
        <x:v>182.29166666666666</x:v>
      </x:c>
      <x:c r="S13" s="1" t="n">
        <x:f>O13*K13</x:f>
        <x:v>40000</x:v>
      </x:c>
      <x:c r="T13" s="7" t="n">
        <x:f>A13*E13</x:f>
        <x:v>80000</x:v>
      </x:c>
      <x:c r="U13" s="7" t="n">
        <x:f>A13*'設定と出典'!$B$26</x:f>
        <x:v>500</x:v>
      </x:c>
      <x:c r="V13" s="7" t="n">
        <x:f>M13*'設定と出典'!$B$27</x:f>
        <x:v>1000</x:v>
      </x:c>
      <x:c r="W13" s="7" t="n">
        <x:f>(N13*'設定と出典'!$B$36+S13)*('設定と出典'!$B$43*'設定と出典'!$B$8+'設定と出典'!$B$44*'設定と出典'!$B$9)*'設定と出典'!$B$12*'設定と出典'!$B$6</x:f>
        <x:v>175.60653613355956</x:v>
      </x:c>
      <x:c r="X13" s="7" t="n">
        <x:f>N13*I13*'設定と出典'!$B$37*('設定と出典'!$B$45*'設定と出典'!$B$8+'設定と出典'!$B$46*'設定と出典'!$B$9)*'設定と出典'!$B$12*'設定と出典'!$B$6</x:f>
        <x:v>12.251618800015784</x:v>
      </x:c>
      <x:c r="Y13" s="7" t="n">
        <x:f>MAX(0,S13*('設定と出典'!$B$13*'設定と出典'!$B$8+'設定と出典'!$B$14*'設定と出典'!$B$9)-MIN(S13,'設定と出典'!$B$7*86400*'設定と出典'!$B$15)*('設定と出典'!$B$13*'設定と出典'!$B$10+'設定と出典'!$B$14*'設定と出典'!$B$11))*'設定と出典'!$B$12*'設定と出典'!$B$6</x:f>
        <x:v>138.7844703011145</x:v>
      </x:c>
      <x:c r="Z13" s="7" t="n">
        <x:f>O13*('設定と出典'!$B$41*'設定と出典'!$B$18+('設定と出典'!$B$42+I13)*'設定と出典'!$B$19)/1000*'設定と出典'!$B$6</x:f>
        <x:v>19.2</x:v>
      </x:c>
      <x:c r="AA13" s="7" t="n">
        <x:f>N13*(1+J13)*'設定と出典'!$B$21</x:f>
        <x:v>2800</x:v>
      </x:c>
      <x:c r="AB13" s="7" t="n">
        <x:f>N13*'設定と出典'!$B$40/1048576*'設定と出典'!$B$20*'設定と出典'!$B$6+N13*'設定と出典'!$B$39/1000000*'設定と出典'!$B$38*'設定と出典'!$B$6</x:f>
        <x:v>13.38306884765625</x:v>
      </x:c>
      <x:c r="AC13" s="7" t="n">
        <x:f>R13*'設定と出典'!$B$16*'設定と出典'!$B$6</x:f>
        <x:v>683.59375</x:v>
      </x:c>
      <x:c r="AD13" s="7" t="n">
        <x:f>Q13*'設定と出典'!$B$17*'設定と出典'!$B$6</x:f>
        <x:v>5273.4375</x:v>
      </x:c>
      <x:c r="AE13" s="7" t="n">
        <x:f>'設定と出典'!B63</x:f>
        <x:v>13628.969418426243</x:v>
      </x:c>
      <x:c r="AF13" s="7" t="n">
        <x:f>SUM(U13:AE13)</x:f>
        <x:v>24245.22636250859</x:v>
      </x:c>
      <x:c r="AG13" s="7" t="n">
        <x:f>T13*'設定と出典'!$B$28</x:f>
        <x:v>2880</x:v>
      </x:c>
      <x:c r="AH13" s="7" t="n">
        <x:f>(A13*L13+M13*'設定と出典'!$B$31)/60*'設定と出典'!$B$29</x:f>
        <x:v>8666.666666666666</x:v>
      </x:c>
      <x:c r="AI13" s="7" t="n">
        <x:f>'設定と出典'!$B$30*'設定と出典'!$B$29</x:f>
        <x:v>8000</x:v>
      </x:c>
      <x:c r="AJ13" s="7" t="n">
        <x:f>T13-SUM(AF13:AI13)</x:f>
        <x:v>36208.106970824745</x:v>
      </x:c>
      <x:c r="AK13" s="7" t="n">
        <x:f>AJ13-T13*'設定と出典'!$B$32</x:f>
        <x:v>-3791.893029175255</x:v>
      </x:c>
      <x:c r="AL13" s="7" t="n">
        <x:f>AJ13-A13*MIN(E13,AV13)*'設定と出典'!$B$32</x:f>
        <x:v>31208.106970824745</x:v>
      </x:c>
      <x:c r="AM13" s="8" t="n">
        <x:f>AJ13/T13</x:f>
        <x:v>0.4526013371353093</x:v>
      </x:c>
      <x:c r="AN13" s="8" t="n">
        <x:f>AK13/T13</x:f>
        <x:v>-0.04739866286469069</x:v>
      </x:c>
      <x:c r="AO13" s="8" t="n">
        <x:f>AJ13/T13</x:f>
        <x:v>0.4526013371353093</x:v>
      </x:c>
      <x:c r="AP13" s="8" t="n">
        <x:f>AO13-'設定と出典'!$B$33</x:f>
        <x:v>0.2526013371353093</x:v>
      </x:c>
      <x:c r="AQ13" s="9" t="n">
        <x:f>SUM(W13:AD13)/N13</x:f>
        <x:v>0.9116256944082346</x:v>
      </x:c>
      <x:c r="AR13" s="9" t="n">
        <x:f>MAX(0,(E13*(1-'設定と出典'!$B$28-'設定と出典'!$B$32)-(U13+V13+AH13+AI13+AE13)/A13)/AQ13)</x:f>
        <x:v>584.0515408424621</x:v>
      </x:c>
      <x:c r="AS13" s="9" t="n">
        <x:f>MAX(0,(E13*(1-'設定と出典'!$B$28 )-(U13+V13+AH13+AI13+AE13)/A13)/AQ13)</x:f>
        <x:v>4971.817292219763</x:v>
      </x:c>
      <x:c r="AT13" s="9" t="n">
        <x:f>MAX(0,(E13*(1-'設定と出典'!$B$28)-MIN(E13,AV13)*'設定と出典'!$B$32-(U13+V13+AH13+AI13+AE13)/A13)/AQ13)</x:f>
        <x:v>4423.3465732976</x:v>
      </x:c>
      <x:c r="AU13" s="9" t="n">
        <x:f>IF((T13*(1-'設定と出典'!$B$28-'設定と出典'!$B$32)-(AF13-AE13)-AH13)&lt;=0,"成立せず",(AE13+AI13)/((T13*(1-'設定と出典'!$B$28-'設定と出典'!$B$32)-(AF13-AE13)-AH13)/A13))</x:f>
        <x:v>12.12584896001249</x:v>
      </x:c>
      <x:c r="AV13" s="9" t="n">
        <x:f>'設定と出典'!D53</x:f>
        <x:v>1000</x:v>
      </x:c>
      <x:c r="AW13" s="9" t="n">
        <x:f>IF(1-'設定と出典'!$B$28-'設定と出典'!$B$32-'設定と出典'!$B$33&lt;=0,0,MAX(0,MIN(E13,(AK13/A13-E13*'設定と出典'!$B$33)/(1-'設定と出典'!$B$28-'設定と出典'!$B$32-'設定と出典'!$B$33))))</x:f>
        <x:v>0</x:v>
      </x:c>
      <x:c r="AX13" s="1"/>
      <x:c r="AY13" s="1"/>
      <x:c r="AZ13" s="1"/>
      <x:c r="BA13" s="1"/>
    </x:row>
    <x:row r="14" ht="22" customHeight="1">
      <x:c r="A14" s="1" t="n">
        <x:v>10</x:v>
      </x:c>
      <x:c r="B14" s="1" t="str">
        <x:f>'設定と出典'!A53</x:f>
        <x:v>Business Plus</x:v>
      </x:c>
      <x:c r="C14" s="1" t="str">
        <x:f>'設定と出典'!A59</x:f>
        <x:v>高位</x:v>
      </x:c>
      <x:c r="D14" s="1" t="n">
        <x:f>'設定と出典'!B53</x:f>
        <x:v>50</x:v>
      </x:c>
      <x:c r="E14" s="1" t="n">
        <x:f>'設定と出典'!C53</x:f>
        <x:v>8000</x:v>
      </x:c>
      <x:c r="F14" s="1" t="n">
        <x:f>'設定と出典'!B59</x:f>
        <x:v>80</x:v>
      </x:c>
      <x:c r="G14" s="1" t="n">
        <x:f>'設定と出典'!C59</x:f>
        <x:v>3</x:v>
      </x:c>
      <x:c r="H14" s="1" t="n">
        <x:f>'設定と出典'!D59</x:f>
        <x:v>50</x:v>
      </x:c>
      <x:c r="I14" s="1" t="n">
        <x:f>'設定と出典'!E59</x:f>
        <x:v>2</x:v>
      </x:c>
      <x:c r="J14" s="1" t="n">
        <x:f>'設定と出典'!F59</x:f>
        <x:v>2.5</x:v>
      </x:c>
      <x:c r="K14" s="1" t="n">
        <x:f>'設定と出典'!G59</x:f>
        <x:v>5</x:v>
      </x:c>
      <x:c r="L14" s="1" t="n">
        <x:f>'設定と出典'!H59</x:f>
        <x:v>20</x:v>
      </x:c>
      <x:c r="M14" s="1" t="n">
        <x:f>A14*D14</x:f>
        <x:v>500</x:v>
      </x:c>
      <x:c r="N14" s="1" t="n">
        <x:f>M14*F14</x:f>
        <x:v>40000</x:v>
      </x:c>
      <x:c r="O14" s="1" t="n">
        <x:f>N14*G14</x:f>
        <x:v>120000</x:v>
      </x:c>
      <x:c r="P14" s="1" t="n">
        <x:f>O14*H14/1024</x:f>
        <x:v>5859.375</x:v>
      </x:c>
      <x:c r="Q14" s="1" t="n">
        <x:f>P14*I14</x:f>
        <x:v>11718.75</x:v>
      </x:c>
      <x:c r="R14" s="1" t="n">
        <x:f>P14*('設定と出典'!$B$34+'設定と出典'!$B$35)/'設定と出典'!$B$7</x:f>
        <x:v>5468.75</x:v>
      </x:c>
      <x:c r="S14" s="1" t="n">
        <x:f>O14*K14</x:f>
        <x:v>600000</x:v>
      </x:c>
      <x:c r="T14" s="7" t="n">
        <x:f>A14*E14</x:f>
        <x:v>80000</x:v>
      </x:c>
      <x:c r="U14" s="7" t="n">
        <x:f>A14*'設定と出典'!$B$26</x:f>
        <x:v>500</x:v>
      </x:c>
      <x:c r="V14" s="7" t="n">
        <x:f>M14*'設定と出典'!$B$27</x:f>
        <x:v>1000</x:v>
      </x:c>
      <x:c r="W14" s="7" t="n">
        <x:f>(N14*'設定と出典'!$B$36+S14)*('設定と出典'!$B$43*'設定と出典'!$B$8+'設定と出典'!$B$44*'設定と出典'!$B$9)*'設定と出典'!$B$12*'設定と出典'!$B$6</x:f>
        <x:v>2499.3302352032197</x:v>
      </x:c>
      <x:c r="X14" s="7" t="n">
        <x:f>N14*I14*'設定と出典'!$B$37*('設定と出典'!$B$45*'設定と出典'!$B$8+'設定と出典'!$B$46*'設定と出典'!$B$9)*'設定と出典'!$B$12*'設定と出典'!$B$6</x:f>
        <x:v>65.34196693341752</x:v>
      </x:c>
      <x:c r="Y14" s="7" t="n">
        <x:f>MAX(0,S14*('設定と出典'!$B$13*'設定と出典'!$B$8+'設定と出典'!$B$14*'設定と出典'!$B$9)-MIN(S14,'設定と出典'!$B$7*86400*'設定と出典'!$B$15)*('設定と出典'!$B$13*'設定と出典'!$B$10+'設定と出典'!$B$14*'設定と出典'!$B$11))*'設定と出典'!$B$12*'設定と出典'!$B$6</x:f>
        <x:v>2081.7670545167175</x:v>
      </x:c>
      <x:c r="Z14" s="7" t="n">
        <x:f>O14*('設定と出典'!$B$41*'設定と出典'!$B$18+('設定と出典'!$B$42+I14)*'設定と出典'!$B$19)/1000*'設定と出典'!$B$6</x:f>
        <x:v>118.80000000000001</x:v>
      </x:c>
      <x:c r="AA14" s="7" t="n">
        <x:f>N14*(1+J14)*'設定と出典'!$B$21</x:f>
        <x:v>14000</x:v>
      </x:c>
      <x:c r="AB14" s="7" t="n">
        <x:f>N14*'設定と出典'!$B$40/1048576*'設定と出典'!$B$20*'設定と出典'!$B$6+N14*'設定と出典'!$B$39/1000000*'設定と出典'!$B$38*'設定と出典'!$B$6</x:f>
        <x:v>53.532275390625</x:v>
      </x:c>
      <x:c r="AC14" s="7" t="n">
        <x:f>R14*'設定と出典'!$B$16*'設定と出典'!$B$6</x:f>
        <x:v>20507.8125</x:v>
      </x:c>
      <x:c r="AD14" s="7" t="n">
        <x:f>Q14*'設定と出典'!$B$17*'設定と出典'!$B$6</x:f>
        <x:v>210937.5</x:v>
      </x:c>
      <x:c r="AE14" s="7" t="n">
        <x:f>'設定と出典'!B63</x:f>
        <x:v>13628.969418426243</x:v>
      </x:c>
      <x:c r="AF14" s="7" t="n">
        <x:f>SUM(U14:AE14)</x:f>
        <x:v>265393.0534504702</x:v>
      </x:c>
      <x:c r="AG14" s="7" t="n">
        <x:f>T14*'設定と出典'!$B$28</x:f>
        <x:v>2880</x:v>
      </x:c>
      <x:c r="AH14" s="7" t="n">
        <x:f>(A14*L14+M14*'設定と出典'!$B$31)/60*'設定と出典'!$B$29</x:f>
        <x:v>16666.666666666668</x:v>
      </x:c>
      <x:c r="AI14" s="7" t="n">
        <x:f>'設定と出典'!$B$30*'設定と出典'!$B$29</x:f>
        <x:v>8000</x:v>
      </x:c>
      <x:c r="AJ14" s="7" t="n">
        <x:f>T14-SUM(AF14:AI14)</x:f>
        <x:v>-212939.7201171369</x:v>
      </x:c>
      <x:c r="AK14" s="7" t="n">
        <x:f>AJ14-T14*'設定と出典'!$B$32</x:f>
        <x:v>-252939.7201171369</x:v>
      </x:c>
      <x:c r="AL14" s="7" t="n">
        <x:f>AJ14-A14*MIN(E14,AV14)*'設定と出典'!$B$32</x:f>
        <x:v>-217939.7201171369</x:v>
      </x:c>
      <x:c r="AM14" s="8" t="n">
        <x:f>AJ14/T14</x:f>
        <x:v>-2.661746501464211</x:v>
      </x:c>
      <x:c r="AN14" s="8" t="n">
        <x:f>AK14/T14</x:f>
        <x:v>-3.161746501464211</x:v>
      </x:c>
      <x:c r="AO14" s="8" t="n">
        <x:f>AJ14/T14</x:f>
        <x:v>-2.661746501464211</x:v>
      </x:c>
      <x:c r="AP14" s="8" t="n">
        <x:f>AO14-'設定と出典'!$B$33</x:f>
        <x:v>-2.861746501464211</x:v>
      </x:c>
      <x:c r="AQ14" s="9" t="n">
        <x:f>SUM(W14:AD14)/N14</x:f>
        <x:v>6.2566021008011</x:v>
      </x:c>
      <x:c r="AR14" s="9" t="n">
        <x:f>MAX(0,(E14*(1-'設定と出典'!$B$28-'設定と出典'!$B$32)-(U14+V14+AH14+AI14+AE14)/A14)/AQ14)</x:f>
        <x:v>0</x:v>
      </x:c>
      <x:c r="AS14" s="9" t="n">
        <x:f>MAX(0,(E14*(1-'設定と出典'!$B$28 )-(U14+V14+AH14+AI14+AE14)/A14)/AQ14)</x:f>
        <x:v>596.5596551221956</x:v>
      </x:c>
      <x:c r="AT14" s="9" t="n">
        <x:f>MAX(0,(E14*(1-'設定と出典'!$B$28)-MIN(E14,AV14)*'設定と出典'!$B$32-(U14+V14+AH14+AI14+AE14)/A14)/AQ14)</x:f>
        <x:v>516.6440728389656</x:v>
      </x:c>
      <x:c r="AU14" s="9" t="str">
        <x:f>IF((T14*(1-'設定と出典'!$B$28-'設定と出典'!$B$32)-(AF14-AE14)-AH14)&lt;=0,"成立せず",(AE14+AI14)/((T14*(1-'設定と出典'!$B$28-'設定と出典'!$B$32)-(AF14-AE14)-AH14)/A14))</x:f>
        <x:v>成立せず</x:v>
      </x:c>
      <x:c r="AV14" s="9" t="n">
        <x:f>'設定と出典'!D53</x:f>
        <x:v>1000</x:v>
      </x:c>
      <x:c r="AW14" s="9" t="n">
        <x:f>IF(1-'設定と出典'!$B$28-'設定と出典'!$B$32-'設定と出典'!$B$33&lt;=0,0,MAX(0,MIN(E14,(AK14/A14-E14*'設定と出典'!$B$33)/(1-'設定と出典'!$B$28-'設定と出典'!$B$32-'設定と出典'!$B$33))))</x:f>
        <x:v>0</x:v>
      </x:c>
      <x:c r="AX14" s="1"/>
      <x:c r="AY14" s="1"/>
      <x:c r="AZ14" s="1"/>
      <x:c r="BA14" s="1"/>
    </x:row>
    <x:row r="15" ht="22" customHeight="1">
      <x:c r="A15" s="1" t="n">
        <x:v>100</x:v>
      </x:c>
      <x:c r="B15" s="1" t="str">
        <x:f>'設定と出典'!A51</x:f>
        <x:v>Starter</x:v>
      </x:c>
      <x:c r="C15" s="1" t="str">
        <x:f>'設定と出典'!A57</x:f>
        <x:v>低位</x:v>
      </x:c>
      <x:c r="D15" s="1" t="n">
        <x:f>'設定と出典'!B51</x:f>
        <x:v>5</x:v>
      </x:c>
      <x:c r="E15" s="1" t="n">
        <x:f>'設定と出典'!C51</x:f>
        <x:v>3000</x:v>
      </x:c>
      <x:c r="F15" s="1" t="n">
        <x:f>'設定と出典'!B57</x:f>
        <x:v>5</x:v>
      </x:c>
      <x:c r="G15" s="1" t="n">
        <x:f>'設定と出典'!C57</x:f>
        <x:v>1</x:v>
      </x:c>
      <x:c r="H15" s="1" t="n">
        <x:f>'設定と出典'!D57</x:f>
        <x:v>2</x:v>
      </x:c>
      <x:c r="I15" s="1" t="n">
        <x:f>'設定と出典'!E57</x:f>
        <x:v>1</x:v>
      </x:c>
      <x:c r="J15" s="1" t="n">
        <x:f>'設定と出典'!F57</x:f>
        <x:v>1.1</x:v>
      </x:c>
      <x:c r="K15" s="1" t="n">
        <x:f>'設定と出典'!G57</x:f>
        <x:v>1</x:v>
      </x:c>
      <x:c r="L15" s="1" t="n">
        <x:f>'設定と出典'!H57</x:f>
        <x:v>3</x:v>
      </x:c>
      <x:c r="M15" s="1" t="n">
        <x:f>A15*D15</x:f>
        <x:v>500</x:v>
      </x:c>
      <x:c r="N15" s="1" t="n">
        <x:f>M15*F15</x:f>
        <x:v>2500</x:v>
      </x:c>
      <x:c r="O15" s="1" t="n">
        <x:f>N15*G15</x:f>
        <x:v>2500</x:v>
      </x:c>
      <x:c r="P15" s="1" t="n">
        <x:f>O15*H15/1024</x:f>
        <x:v>4.8828125</x:v>
      </x:c>
      <x:c r="Q15" s="1" t="n">
        <x:f>P15*I15</x:f>
        <x:v>4.8828125</x:v>
      </x:c>
      <x:c r="R15" s="1" t="n">
        <x:f>P15*('設定と出典'!$B$34+'設定と出典'!$B$35)/'設定と出典'!$B$7</x:f>
        <x:v>4.557291666666667</x:v>
      </x:c>
      <x:c r="S15" s="1" t="n">
        <x:f>O15*K15</x:f>
        <x:v>2500</x:v>
      </x:c>
      <x:c r="T15" s="7" t="n">
        <x:f>A15*E15</x:f>
        <x:v>300000</x:v>
      </x:c>
      <x:c r="U15" s="7" t="n">
        <x:f>A15*'設定と出典'!$B$26</x:f>
        <x:v>5000</x:v>
      </x:c>
      <x:c r="V15" s="7" t="n">
        <x:f>M15*'設定と出典'!$B$27</x:f>
        <x:v>1000</x:v>
      </x:c>
      <x:c r="W15" s="7" t="n">
        <x:f>(N15*'設定と出典'!$B$36+S15)*('設定と出典'!$B$43*'設定と出典'!$B$8+'設定と出典'!$B$44*'設定と出典'!$B$9)*'設定と出典'!$B$12*'設定と出典'!$B$6</x:f>
        <x:v>13.272587033350435</x:v>
      </x:c>
      <x:c r="X15" s="7" t="n">
        <x:f>N15*I15*'設定と出典'!$B$37*('設定と出典'!$B$45*'設定と出典'!$B$8+'設定と出典'!$B$46*'設定と出典'!$B$9)*'設定と出典'!$B$12*'設定と出典'!$B$6</x:f>
        <x:v>2.0419364666692976</x:v>
      </x:c>
      <x:c r="Y15" s="7" t="n">
        <x:f>MAX(0,S15*('設定と出典'!$B$13*'設定と出典'!$B$8+'設定と出典'!$B$14*'設定と出典'!$B$9)-MIN(S15,'設定と出典'!$B$7*86400*'設定と出典'!$B$15)*('設定と出典'!$B$13*'設定と出典'!$B$10+'設定と出典'!$B$14*'設定と出典'!$B$11))*'設定と出典'!$B$12*'設定と出典'!$B$6</x:f>
        <x:v>8.674029393819657</x:v>
      </x:c>
      <x:c r="Z15" s="7" t="n">
        <x:f>O15*('設定と出典'!$B$41*'設定と出典'!$B$18+('設定と出典'!$B$42+I15)*'設定と出典'!$B$19)/1000*'設定と出典'!$B$6</x:f>
        <x:v>2.325</x:v>
      </x:c>
      <x:c r="AA15" s="7" t="n">
        <x:f>N15*(1+J15)*'設定と出典'!$B$21</x:f>
        <x:v>525</x:v>
      </x:c>
      <x:c r="AB15" s="7" t="n">
        <x:f>N15*'設定と出典'!$B$40/1048576*'設定と出典'!$B$20*'設定と出典'!$B$6+N15*'設定と出典'!$B$39/1000000*'設定と出典'!$B$38*'設定と出典'!$B$6</x:f>
        <x:v>3.3457672119140627</x:v>
      </x:c>
      <x:c r="AC15" s="7" t="n">
        <x:f>R15*'設定と出典'!$B$16*'設定と出典'!$B$6</x:f>
        <x:v>17.089843750000004</x:v>
      </x:c>
      <x:c r="AD15" s="7" t="n">
        <x:f>Q15*'設定と出典'!$B$17*'設定と出典'!$B$6</x:f>
        <x:v>87.890625</x:v>
      </x:c>
      <x:c r="AE15" s="7" t="n">
        <x:f>'設定と出典'!B63</x:f>
        <x:v>13628.969418426243</x:v>
      </x:c>
      <x:c r="AF15" s="7" t="n">
        <x:f>SUM(U15:AE15)</x:f>
        <x:v>20288.609207281996</x:v>
      </x:c>
      <x:c r="AG15" s="7" t="n">
        <x:f>T15*'設定と出典'!$B$28</x:f>
        <x:v>10800</x:v>
      </x:c>
      <x:c r="AH15" s="7" t="n">
        <x:f>(A15*L15+M15*'設定と出典'!$B$31)/60*'設定と出典'!$B$29</x:f>
        <x:v>23333.333333333332</x:v>
      </x:c>
      <x:c r="AI15" s="7" t="n">
        <x:f>'設定と出典'!$B$30*'設定と出典'!$B$29</x:f>
        <x:v>8000</x:v>
      </x:c>
      <x:c r="AJ15" s="7" t="n">
        <x:f>T15-SUM(AF15:AI15)</x:f>
        <x:v>237578.05745938467</x:v>
      </x:c>
      <x:c r="AK15" s="7" t="n">
        <x:f>AJ15-T15*'設定と出典'!$B$32</x:f>
        <x:v>87578.05745938467</x:v>
      </x:c>
      <x:c r="AL15" s="7" t="n">
        <x:f>AJ15-A15*MIN(E15,AV15)*'設定と出典'!$B$32</x:f>
        <x:v>187578.05745938467</x:v>
      </x:c>
      <x:c r="AM15" s="8" t="n">
        <x:f>AJ15/T15</x:f>
        <x:v>0.791926858197949</x:v>
      </x:c>
      <x:c r="AN15" s="8" t="n">
        <x:f>AK15/T15</x:f>
        <x:v>0.2919268581979489</x:v>
      </x:c>
      <x:c r="AO15" s="8" t="n">
        <x:f>AJ15/T15</x:f>
        <x:v>0.791926858197949</x:v>
      </x:c>
      <x:c r="AP15" s="8" t="n">
        <x:f>AO15-'設定と出典'!$B$33</x:f>
        <x:v>0.5919268581979489</x:v>
      </x:c>
      <x:c r="AQ15" s="9" t="n">
        <x:f>SUM(W15:AD15)/N15</x:f>
        <x:v>0.2638559155423014</x:v>
      </x:c>
      <x:c r="AR15" s="9" t="n">
        <x:f>MAX(0,(E15*(1-'設定と出典'!$B$28-'設定と出典'!$B$32)-(U15+V15+AH15+AI15+AE15)/A15)/AQ15)</x:f>
        <x:v>3344.16217528745</x:v>
      </x:c>
      <x:c r="AS15" s="9" t="n">
        <x:f>MAX(0,(E15*(1-'設定と出典'!$B$28 )-(U15+V15+AH15+AI15+AE15)/A15)/AQ15)</x:f>
        <x:v>9029.083041727223</x:v>
      </x:c>
      <x:c r="AT15" s="9" t="n">
        <x:f>MAX(0,(E15*(1-'設定と出典'!$B$28)-MIN(E15,AV15)*'設定と出典'!$B$32-(U15+V15+AH15+AI15+AE15)/A15)/AQ15)</x:f>
        <x:v>7134.109419580632</x:v>
      </x:c>
      <x:c r="AU15" s="9" t="n">
        <x:f>IF((T15*(1-'設定と出典'!$B$28-'設定と出典'!$B$32)-(AF15-AE15)-AH15)&lt;=0,"成立せず",(AE15+AI15)/((T15*(1-'設定と出典'!$B$28-'設定と出典'!$B$32)-(AF15-AE15)-AH15)/A15))</x:f>
        <x:v>19.805474095203017</x:v>
      </x:c>
      <x:c r="AV15" s="9" t="n">
        <x:f>'設定と出典'!D51</x:f>
        <x:v>1000</x:v>
      </x:c>
      <x:c r="AW15" s="9" t="n">
        <x:f>IF(1-'設定と出典'!$B$28-'設定と出典'!$B$32-'設定と出典'!$B$33&lt;=0,0,MAX(0,MIN(E15,(AK15/A15-E15*'設定と出典'!$B$33)/(1-'設定と出典'!$B$28-'設定と出典'!$B$32-'設定と出典'!$B$33))))</x:f>
        <x:v>1044.623388613056</x:v>
      </x:c>
      <x:c r="AX15" s="1"/>
      <x:c r="AY15" s="1"/>
      <x:c r="AZ15" s="1"/>
      <x:c r="BA15" s="1"/>
    </x:row>
    <x:row r="16" ht="22" customHeight="1">
      <x:c r="A16" s="1" t="n">
        <x:v>100</x:v>
      </x:c>
      <x:c r="B16" s="1" t="str">
        <x:f>'設定と出典'!A51</x:f>
        <x:v>Starter</x:v>
      </x:c>
      <x:c r="C16" s="1" t="str">
        <x:f>'設定と出典'!A58</x:f>
        <x:v>標準</x:v>
      </x:c>
      <x:c r="D16" s="1" t="n">
        <x:f>'設定と出典'!B51</x:f>
        <x:v>5</x:v>
      </x:c>
      <x:c r="E16" s="1" t="n">
        <x:f>'設定と出典'!C51</x:f>
        <x:v>3000</x:v>
      </x:c>
      <x:c r="F16" s="1" t="n">
        <x:f>'設定と出典'!B58</x:f>
        <x:v>20</x:v>
      </x:c>
      <x:c r="G16" s="1" t="n">
        <x:f>'設定と出典'!C58</x:f>
        <x:v>2</x:v>
      </x:c>
      <x:c r="H16" s="1" t="n">
        <x:f>'設定と出典'!D58</x:f>
        <x:v>10</x:v>
      </x:c>
      <x:c r="I16" s="1" t="n">
        <x:f>'設定と出典'!E58</x:f>
        <x:v>1.5</x:v>
      </x:c>
      <x:c r="J16" s="1" t="n">
        <x:f>'設定と出典'!F58</x:f>
        <x:v>1.8</x:v>
      </x:c>
      <x:c r="K16" s="1" t="n">
        <x:f>'設定と出典'!G58</x:f>
        <x:v>2</x:v>
      </x:c>
      <x:c r="L16" s="1" t="n">
        <x:f>'設定と出典'!H58</x:f>
        <x:v>8</x:v>
      </x:c>
      <x:c r="M16" s="1" t="n">
        <x:f>A16*D16</x:f>
        <x:v>500</x:v>
      </x:c>
      <x:c r="N16" s="1" t="n">
        <x:f>M16*F16</x:f>
        <x:v>10000</x:v>
      </x:c>
      <x:c r="O16" s="1" t="n">
        <x:f>N16*G16</x:f>
        <x:v>20000</x:v>
      </x:c>
      <x:c r="P16" s="1" t="n">
        <x:f>O16*H16/1024</x:f>
        <x:v>195.3125</x:v>
      </x:c>
      <x:c r="Q16" s="1" t="n">
        <x:f>P16*I16</x:f>
        <x:v>292.96875</x:v>
      </x:c>
      <x:c r="R16" s="1" t="n">
        <x:f>P16*('設定と出典'!$B$34+'設定と出典'!$B$35)/'設定と出典'!$B$7</x:f>
        <x:v>182.29166666666666</x:v>
      </x:c>
      <x:c r="S16" s="1" t="n">
        <x:f>O16*K16</x:f>
        <x:v>40000</x:v>
      </x:c>
      <x:c r="T16" s="7" t="n">
        <x:f>A16*E16</x:f>
        <x:v>300000</x:v>
      </x:c>
      <x:c r="U16" s="7" t="n">
        <x:f>A16*'設定と出典'!$B$26</x:f>
        <x:v>5000</x:v>
      </x:c>
      <x:c r="V16" s="7" t="n">
        <x:f>M16*'設定と出典'!$B$27</x:f>
        <x:v>1000</x:v>
      </x:c>
      <x:c r="W16" s="7" t="n">
        <x:f>(N16*'設定と出典'!$B$36+S16)*('設定と出典'!$B$43*'設定と出典'!$B$8+'設定と出典'!$B$44*'設定と出典'!$B$9)*'設定と出典'!$B$12*'設定と出典'!$B$6</x:f>
        <x:v>175.60653613355956</x:v>
      </x:c>
      <x:c r="X16" s="7" t="n">
        <x:f>N16*I16*'設定と出典'!$B$37*('設定と出典'!$B$45*'設定と出典'!$B$8+'設定と出典'!$B$46*'設定と出典'!$B$9)*'設定と出典'!$B$12*'設定と出典'!$B$6</x:f>
        <x:v>12.251618800015784</x:v>
      </x:c>
      <x:c r="Y16" s="7" t="n">
        <x:f>MAX(0,S16*('設定と出典'!$B$13*'設定と出典'!$B$8+'設定と出典'!$B$14*'設定と出典'!$B$9)-MIN(S16,'設定と出典'!$B$7*86400*'設定と出典'!$B$15)*('設定と出典'!$B$13*'設定と出典'!$B$10+'設定と出典'!$B$14*'設定と出典'!$B$11))*'設定と出典'!$B$12*'設定と出典'!$B$6</x:f>
        <x:v>138.7844703011145</x:v>
      </x:c>
      <x:c r="Z16" s="7" t="n">
        <x:f>O16*('設定と出典'!$B$41*'設定と出典'!$B$18+('設定と出典'!$B$42+I16)*'設定と出典'!$B$19)/1000*'設定と出典'!$B$6</x:f>
        <x:v>19.2</x:v>
      </x:c>
      <x:c r="AA16" s="7" t="n">
        <x:f>N16*(1+J16)*'設定と出典'!$B$21</x:f>
        <x:v>2800</x:v>
      </x:c>
      <x:c r="AB16" s="7" t="n">
        <x:f>N16*'設定と出典'!$B$40/1048576*'設定と出典'!$B$20*'設定と出典'!$B$6+N16*'設定と出典'!$B$39/1000000*'設定と出典'!$B$38*'設定と出典'!$B$6</x:f>
        <x:v>13.38306884765625</x:v>
      </x:c>
      <x:c r="AC16" s="7" t="n">
        <x:f>R16*'設定と出典'!$B$16*'設定と出典'!$B$6</x:f>
        <x:v>683.59375</x:v>
      </x:c>
      <x:c r="AD16" s="7" t="n">
        <x:f>Q16*'設定と出典'!$B$17*'設定と出典'!$B$6</x:f>
        <x:v>5273.4375</x:v>
      </x:c>
      <x:c r="AE16" s="7" t="n">
        <x:f>'設定と出典'!B63</x:f>
        <x:v>13628.969418426243</x:v>
      </x:c>
      <x:c r="AF16" s="7" t="n">
        <x:f>SUM(U16:AE16)</x:f>
        <x:v>28745.226362508587</x:v>
      </x:c>
      <x:c r="AG16" s="7" t="n">
        <x:f>T16*'設定と出典'!$B$28</x:f>
        <x:v>10800</x:v>
      </x:c>
      <x:c r="AH16" s="7" t="n">
        <x:f>(A16*L16+M16*'設定と出典'!$B$31)/60*'設定と出典'!$B$29</x:f>
        <x:v>56666.666666666664</x:v>
      </x:c>
      <x:c r="AI16" s="7" t="n">
        <x:f>'設定と出典'!$B$30*'設定と出典'!$B$29</x:f>
        <x:v>8000</x:v>
      </x:c>
      <x:c r="AJ16" s="7" t="n">
        <x:f>T16-SUM(AF16:AI16)</x:f>
        <x:v>195788.10697082474</x:v>
      </x:c>
      <x:c r="AK16" s="7" t="n">
        <x:f>AJ16-T16*'設定と出典'!$B$32</x:f>
        <x:v>45788.10697082474</x:v>
      </x:c>
      <x:c r="AL16" s="7" t="n">
        <x:f>AJ16-A16*MIN(E16,AV16)*'設定と出典'!$B$32</x:f>
        <x:v>145788.10697082474</x:v>
      </x:c>
      <x:c r="AM16" s="8" t="n">
        <x:f>AJ16/T16</x:f>
        <x:v>0.6526270232360825</x:v>
      </x:c>
      <x:c r="AN16" s="8" t="n">
        <x:f>AK16/T16</x:f>
        <x:v>0.15262702323608246</x:v>
      </x:c>
      <x:c r="AO16" s="8" t="n">
        <x:f>AJ16/T16</x:f>
        <x:v>0.6526270232360825</x:v>
      </x:c>
      <x:c r="AP16" s="8" t="n">
        <x:f>AO16-'設定と出典'!$B$33</x:f>
        <x:v>0.45262702323608245</x:v>
      </x:c>
      <x:c r="AQ16" s="9" t="n">
        <x:f>SUM(W16:AD16)/N16</x:f>
        <x:v>0.9116256944082346</x:v>
      </x:c>
      <x:c r="AR16" s="9" t="n">
        <x:f>MAX(0,(E16*(1-'設定と出典'!$B$28-'設定と出典'!$B$32)-(U16+V16+AH16+AI16+AE16)/A16)/AQ16)</x:f>
        <x:v>602.2687189674625</x:v>
      </x:c>
      <x:c r="AS16" s="9" t="n">
        <x:f>MAX(0,(E16*(1-'設定と出典'!$B$28 )-(U16+V16+AH16+AI16+AE16)/A16)/AQ16)</x:f>
        <x:v>2247.68087573395</x:v>
      </x:c>
      <x:c r="AT16" s="9" t="n">
        <x:f>MAX(0,(E16*(1-'設定と出典'!$B$28)-MIN(E16,AV16)*'設定と出典'!$B$32-(U16+V16+AH16+AI16+AE16)/A16)/AQ16)</x:f>
        <x:v>1699.2101568117876</x:v>
      </x:c>
      <x:c r="AU16" s="9" t="n">
        <x:f>IF((T16*(1-'設定と出典'!$B$28-'設定と出典'!$B$32)-(AF16-AE16)-AH16)&lt;=0,"成立せず",(AE16+AI16)/((T16*(1-'設定と出典'!$B$28-'設定と出典'!$B$32)-(AF16-AE16)-AH16)/A16))</x:f>
        <x:v>32.082330734049414</x:v>
      </x:c>
      <x:c r="AV16" s="9" t="n">
        <x:f>'設定と出典'!D51</x:f>
        <x:v>1000</x:v>
      </x:c>
      <x:c r="AW16" s="9" t="n">
        <x:f>IF(1-'設定と出典'!$B$28-'設定と出典'!$B$32-'設定と出典'!$B$33&lt;=0,0,MAX(0,MIN(E16,(AK16/A16-E16*'設定と出典'!$B$33)/(1-'設定と出典'!$B$28-'設定と出典'!$B$32-'設定と出典'!$B$33))))</x:f>
        <x:v>0</x:v>
      </x:c>
      <x:c r="AX16" s="1"/>
      <x:c r="AY16" s="1"/>
      <x:c r="AZ16" s="1"/>
      <x:c r="BA16" s="1"/>
    </x:row>
    <x:row r="17" ht="22" customHeight="1">
      <x:c r="A17" s="1" t="n">
        <x:v>100</x:v>
      </x:c>
      <x:c r="B17" s="1" t="str">
        <x:f>'設定と出典'!A51</x:f>
        <x:v>Starter</x:v>
      </x:c>
      <x:c r="C17" s="1" t="str">
        <x:f>'設定と出典'!A59</x:f>
        <x:v>高位</x:v>
      </x:c>
      <x:c r="D17" s="1" t="n">
        <x:f>'設定と出典'!B51</x:f>
        <x:v>5</x:v>
      </x:c>
      <x:c r="E17" s="1" t="n">
        <x:f>'設定と出典'!C51</x:f>
        <x:v>3000</x:v>
      </x:c>
      <x:c r="F17" s="1" t="n">
        <x:f>'設定と出典'!B59</x:f>
        <x:v>80</x:v>
      </x:c>
      <x:c r="G17" s="1" t="n">
        <x:f>'設定と出典'!C59</x:f>
        <x:v>3</x:v>
      </x:c>
      <x:c r="H17" s="1" t="n">
        <x:f>'設定と出典'!D59</x:f>
        <x:v>50</x:v>
      </x:c>
      <x:c r="I17" s="1" t="n">
        <x:f>'設定と出典'!E59</x:f>
        <x:v>2</x:v>
      </x:c>
      <x:c r="J17" s="1" t="n">
        <x:f>'設定と出典'!F59</x:f>
        <x:v>2.5</x:v>
      </x:c>
      <x:c r="K17" s="1" t="n">
        <x:f>'設定と出典'!G59</x:f>
        <x:v>5</x:v>
      </x:c>
      <x:c r="L17" s="1" t="n">
        <x:f>'設定と出典'!H59</x:f>
        <x:v>20</x:v>
      </x:c>
      <x:c r="M17" s="1" t="n">
        <x:f>A17*D17</x:f>
        <x:v>500</x:v>
      </x:c>
      <x:c r="N17" s="1" t="n">
        <x:f>M17*F17</x:f>
        <x:v>40000</x:v>
      </x:c>
      <x:c r="O17" s="1" t="n">
        <x:f>N17*G17</x:f>
        <x:v>120000</x:v>
      </x:c>
      <x:c r="P17" s="1" t="n">
        <x:f>O17*H17/1024</x:f>
        <x:v>5859.375</x:v>
      </x:c>
      <x:c r="Q17" s="1" t="n">
        <x:f>P17*I17</x:f>
        <x:v>11718.75</x:v>
      </x:c>
      <x:c r="R17" s="1" t="n">
        <x:f>P17*('設定と出典'!$B$34+'設定と出典'!$B$35)/'設定と出典'!$B$7</x:f>
        <x:v>5468.75</x:v>
      </x:c>
      <x:c r="S17" s="1" t="n">
        <x:f>O17*K17</x:f>
        <x:v>600000</x:v>
      </x:c>
      <x:c r="T17" s="7" t="n">
        <x:f>A17*E17</x:f>
        <x:v>300000</x:v>
      </x:c>
      <x:c r="U17" s="7" t="n">
        <x:f>A17*'設定と出典'!$B$26</x:f>
        <x:v>5000</x:v>
      </x:c>
      <x:c r="V17" s="7" t="n">
        <x:f>M17*'設定と出典'!$B$27</x:f>
        <x:v>1000</x:v>
      </x:c>
      <x:c r="W17" s="7" t="n">
        <x:f>(N17*'設定と出典'!$B$36+S17)*('設定と出典'!$B$43*'設定と出典'!$B$8+'設定と出典'!$B$44*'設定と出典'!$B$9)*'設定と出典'!$B$12*'設定と出典'!$B$6</x:f>
        <x:v>2499.3302352032197</x:v>
      </x:c>
      <x:c r="X17" s="7" t="n">
        <x:f>N17*I17*'設定と出典'!$B$37*('設定と出典'!$B$45*'設定と出典'!$B$8+'設定と出典'!$B$46*'設定と出典'!$B$9)*'設定と出典'!$B$12*'設定と出典'!$B$6</x:f>
        <x:v>65.34196693341752</x:v>
      </x:c>
      <x:c r="Y17" s="7" t="n">
        <x:f>MAX(0,S17*('設定と出典'!$B$13*'設定と出典'!$B$8+'設定と出典'!$B$14*'設定と出典'!$B$9)-MIN(S17,'設定と出典'!$B$7*86400*'設定と出典'!$B$15)*('設定と出典'!$B$13*'設定と出典'!$B$10+'設定と出典'!$B$14*'設定と出典'!$B$11))*'設定と出典'!$B$12*'設定と出典'!$B$6</x:f>
        <x:v>2081.7670545167175</x:v>
      </x:c>
      <x:c r="Z17" s="7" t="n">
        <x:f>O17*('設定と出典'!$B$41*'設定と出典'!$B$18+('設定と出典'!$B$42+I17)*'設定と出典'!$B$19)/1000*'設定と出典'!$B$6</x:f>
        <x:v>118.80000000000001</x:v>
      </x:c>
      <x:c r="AA17" s="7" t="n">
        <x:f>N17*(1+J17)*'設定と出典'!$B$21</x:f>
        <x:v>14000</x:v>
      </x:c>
      <x:c r="AB17" s="7" t="n">
        <x:f>N17*'設定と出典'!$B$40/1048576*'設定と出典'!$B$20*'設定と出典'!$B$6+N17*'設定と出典'!$B$39/1000000*'設定と出典'!$B$38*'設定と出典'!$B$6</x:f>
        <x:v>53.532275390625</x:v>
      </x:c>
      <x:c r="AC17" s="7" t="n">
        <x:f>R17*'設定と出典'!$B$16*'設定と出典'!$B$6</x:f>
        <x:v>20507.8125</x:v>
      </x:c>
      <x:c r="AD17" s="7" t="n">
        <x:f>Q17*'設定と出典'!$B$17*'設定と出典'!$B$6</x:f>
        <x:v>210937.5</x:v>
      </x:c>
      <x:c r="AE17" s="7" t="n">
        <x:f>'設定と出典'!B63</x:f>
        <x:v>13628.969418426243</x:v>
      </x:c>
      <x:c r="AF17" s="7" t="n">
        <x:f>SUM(U17:AE17)</x:f>
        <x:v>269893.0534504702</x:v>
      </x:c>
      <x:c r="AG17" s="7" t="n">
        <x:f>T17*'設定と出典'!$B$28</x:f>
        <x:v>10800</x:v>
      </x:c>
      <x:c r="AH17" s="7" t="n">
        <x:f>(A17*L17+M17*'設定と出典'!$B$31)/60*'設定と出典'!$B$29</x:f>
        <x:v>136666.66666666666</x:v>
      </x:c>
      <x:c r="AI17" s="7" t="n">
        <x:f>'設定と出典'!$B$30*'設定と出典'!$B$29</x:f>
        <x:v>8000</x:v>
      </x:c>
      <x:c r="AJ17" s="7" t="n">
        <x:f>T17-SUM(AF17:AI17)</x:f>
        <x:v>-125359.72011713684</x:v>
      </x:c>
      <x:c r="AK17" s="7" t="n">
        <x:f>AJ17-T17*'設定と出典'!$B$32</x:f>
        <x:v>-275359.72011713684</x:v>
      </x:c>
      <x:c r="AL17" s="7" t="n">
        <x:f>AJ17-A17*MIN(E17,AV17)*'設定と出典'!$B$32</x:f>
        <x:v>-175359.72011713684</x:v>
      </x:c>
      <x:c r="AM17" s="8" t="n">
        <x:f>AJ17/T17</x:f>
        <x:v>-0.41786573372378943</x:v>
      </x:c>
      <x:c r="AN17" s="8" t="n">
        <x:f>AK17/T17</x:f>
        <x:v>-0.9178657337237894</x:v>
      </x:c>
      <x:c r="AO17" s="8" t="n">
        <x:f>AJ17/T17</x:f>
        <x:v>-0.41786573372378943</x:v>
      </x:c>
      <x:c r="AP17" s="8" t="n">
        <x:f>AO17-'設定と出典'!$B$33</x:f>
        <x:v>-0.6178657337237894</x:v>
      </x:c>
      <x:c r="AQ17" s="9" t="n">
        <x:f>SUM(W17:AD17)/N17</x:f>
        <x:v>6.2566021008011</x:v>
      </x:c>
      <x:c r="AR17" s="9" t="n">
        <x:f>MAX(0,(E17*(1-'設定と出典'!$B$28-'設定と出典'!$B$32)-(U17+V17+AH17+AI17+AE17)/A17)/AQ17)</x:f>
        <x:v>0</x:v>
      </x:c>
      <x:c r="AS17" s="9" t="n">
        <x:f>MAX(0,(E17*(1-'設定と出典'!$B$28 )-(U17+V17+AH17+AI17+AE17)/A17)/AQ17)</x:f>
        <x:v>199.63609943952525</x:v>
      </x:c>
      <x:c r="AT17" s="9" t="n">
        <x:f>MAX(0,(E17*(1-'設定と出典'!$B$28)-MIN(E17,AV17)*'設定と出典'!$B$32-(U17+V17+AH17+AI17+AE17)/A17)/AQ17)</x:f>
        <x:v>119.72051715629524</x:v>
      </x:c>
      <x:c r="AU17" s="9" t="str">
        <x:f>IF((T17*(1-'設定と出典'!$B$28-'設定と出典'!$B$32)-(AF17-AE17)-AH17)&lt;=0,"成立せず",(AE17+AI17)/((T17*(1-'設定と出典'!$B$28-'設定と出典'!$B$32)-(AF17-AE17)-AH17)/A17))</x:f>
        <x:v>成立せず</x:v>
      </x:c>
      <x:c r="AV17" s="9" t="n">
        <x:f>'設定と出典'!D51</x:f>
        <x:v>1000</x:v>
      </x:c>
      <x:c r="AW17" s="9" t="n">
        <x:f>IF(1-'設定と出典'!$B$28-'設定と出典'!$B$32-'設定と出典'!$B$33&lt;=0,0,MAX(0,MIN(E17,(AK17/A17-E17*'設定と出典'!$B$33)/(1-'設定と出典'!$B$28-'設定と出典'!$B$32-'設定と出典'!$B$33))))</x:f>
        <x:v>0</x:v>
      </x:c>
      <x:c r="AX17" s="1"/>
      <x:c r="AY17" s="1"/>
      <x:c r="AZ17" s="1"/>
      <x:c r="BA17" s="1"/>
    </x:row>
    <x:row r="18" ht="22" customHeight="1">
      <x:c r="A18" s="1" t="n">
        <x:v>100</x:v>
      </x:c>
      <x:c r="B18" s="1" t="str">
        <x:f>'設定と出典'!A52</x:f>
        <x:v>Business</x:v>
      </x:c>
      <x:c r="C18" s="1" t="str">
        <x:f>'設定と出典'!A57</x:f>
        <x:v>低位</x:v>
      </x:c>
      <x:c r="D18" s="1" t="n">
        <x:f>'設定と出典'!B52</x:f>
        <x:v>20</x:v>
      </x:c>
      <x:c r="E18" s="1" t="n">
        <x:f>'設定と出典'!C52</x:f>
        <x:v>5000</x:v>
      </x:c>
      <x:c r="F18" s="1" t="n">
        <x:f>'設定と出典'!B57</x:f>
        <x:v>5</x:v>
      </x:c>
      <x:c r="G18" s="1" t="n">
        <x:f>'設定と出典'!C57</x:f>
        <x:v>1</x:v>
      </x:c>
      <x:c r="H18" s="1" t="n">
        <x:f>'設定と出典'!D57</x:f>
        <x:v>2</x:v>
      </x:c>
      <x:c r="I18" s="1" t="n">
        <x:f>'設定と出典'!E57</x:f>
        <x:v>1</x:v>
      </x:c>
      <x:c r="J18" s="1" t="n">
        <x:f>'設定と出典'!F57</x:f>
        <x:v>1.1</x:v>
      </x:c>
      <x:c r="K18" s="1" t="n">
        <x:f>'設定と出典'!G57</x:f>
        <x:v>1</x:v>
      </x:c>
      <x:c r="L18" s="1" t="n">
        <x:f>'設定と出典'!H57</x:f>
        <x:v>3</x:v>
      </x:c>
      <x:c r="M18" s="1" t="n">
        <x:f>A18*D18</x:f>
        <x:v>2000</x:v>
      </x:c>
      <x:c r="N18" s="1" t="n">
        <x:f>M18*F18</x:f>
        <x:v>10000</x:v>
      </x:c>
      <x:c r="O18" s="1" t="n">
        <x:f>N18*G18</x:f>
        <x:v>10000</x:v>
      </x:c>
      <x:c r="P18" s="1" t="n">
        <x:f>O18*H18/1024</x:f>
        <x:v>19.53125</x:v>
      </x:c>
      <x:c r="Q18" s="1" t="n">
        <x:f>P18*I18</x:f>
        <x:v>19.53125</x:v>
      </x:c>
      <x:c r="R18" s="1" t="n">
        <x:f>P18*('設定と出典'!$B$34+'設定と出典'!$B$35)/'設定と出典'!$B$7</x:f>
        <x:v>18.229166666666668</x:v>
      </x:c>
      <x:c r="S18" s="1" t="n">
        <x:f>O18*K18</x:f>
        <x:v>10000</x:v>
      </x:c>
      <x:c r="T18" s="7" t="n">
        <x:f>A18*E18</x:f>
        <x:v>500000</x:v>
      </x:c>
      <x:c r="U18" s="7" t="n">
        <x:f>A18*'設定と出典'!$B$26</x:f>
        <x:v>5000</x:v>
      </x:c>
      <x:c r="V18" s="7" t="n">
        <x:f>M18*'設定と出典'!$B$27</x:f>
        <x:v>4000</x:v>
      </x:c>
      <x:c r="W18" s="7" t="n">
        <x:f>(N18*'設定と出典'!$B$36+S18)*('設定と出典'!$B$43*'設定と出典'!$B$8+'設定と出典'!$B$44*'設定と出典'!$B$9)*'設定と出典'!$B$12*'設定と出典'!$B$6</x:f>
        <x:v>53.09034813340174</x:v>
      </x:c>
      <x:c r="X18" s="7" t="n">
        <x:f>N18*I18*'設定と出典'!$B$37*('設定と出典'!$B$45*'設定と出典'!$B$8+'設定と出典'!$B$46*'設定と出典'!$B$9)*'設定と出典'!$B$12*'設定と出典'!$B$6</x:f>
        <x:v>8.16774586667719</x:v>
      </x:c>
      <x:c r="Y18" s="7" t="n">
        <x:f>MAX(0,S18*('設定と出典'!$B$13*'設定と出典'!$B$8+'設定と出典'!$B$14*'設定と出典'!$B$9)-MIN(S18,'設定と出典'!$B$7*86400*'設定と出典'!$B$15)*('設定と出典'!$B$13*'設定と出典'!$B$10+'設定と出典'!$B$14*'設定と出典'!$B$11))*'設定と出典'!$B$12*'設定と出典'!$B$6</x:f>
        <x:v>34.69611757527863</x:v>
      </x:c>
      <x:c r="Z18" s="7" t="n">
        <x:f>O18*('設定と出典'!$B$41*'設定と出典'!$B$18+('設定と出典'!$B$42+I18)*'設定と出典'!$B$19)/1000*'設定と出典'!$B$6</x:f>
        <x:v>9.3</x:v>
      </x:c>
      <x:c r="AA18" s="7" t="n">
        <x:f>N18*(1+J18)*'設定と出典'!$B$21</x:f>
        <x:v>2100</x:v>
      </x:c>
      <x:c r="AB18" s="7" t="n">
        <x:f>N18*'設定と出典'!$B$40/1048576*'設定と出典'!$B$20*'設定と出典'!$B$6+N18*'設定と出典'!$B$39/1000000*'設定と出典'!$B$38*'設定と出典'!$B$6</x:f>
        <x:v>13.38306884765625</x:v>
      </x:c>
      <x:c r="AC18" s="7" t="n">
        <x:f>R18*'設定と出典'!$B$16*'設定と出典'!$B$6</x:f>
        <x:v>68.35937500000001</x:v>
      </x:c>
      <x:c r="AD18" s="7" t="n">
        <x:f>Q18*'設定と出典'!$B$17*'設定と出典'!$B$6</x:f>
        <x:v>351.5625</x:v>
      </x:c>
      <x:c r="AE18" s="7" t="n">
        <x:f>'設定と出典'!B63</x:f>
        <x:v>13628.969418426243</x:v>
      </x:c>
      <x:c r="AF18" s="7" t="n">
        <x:f>SUM(U18:AE18)</x:f>
        <x:v>25267.528573849253</x:v>
      </x:c>
      <x:c r="AG18" s="7" t="n">
        <x:f>T18*'設定と出典'!$B$28</x:f>
        <x:v>18000</x:v>
      </x:c>
      <x:c r="AH18" s="7" t="n">
        <x:f>(A18*L18+M18*'設定と出典'!$B$31)/60*'設定と出典'!$B$29</x:f>
        <x:v>33333.333333333336</x:v>
      </x:c>
      <x:c r="AI18" s="7" t="n">
        <x:f>'設定と出典'!$B$30*'設定と出典'!$B$29</x:f>
        <x:v>8000</x:v>
      </x:c>
      <x:c r="AJ18" s="7" t="n">
        <x:f>T18-SUM(AF18:AI18)</x:f>
        <x:v>415399.1380928174</x:v>
      </x:c>
      <x:c r="AK18" s="7" t="n">
        <x:f>AJ18-T18*'設定と出典'!$B$32</x:f>
        <x:v>165399.1380928174</x:v>
      </x:c>
      <x:c r="AL18" s="7" t="n">
        <x:f>AJ18-A18*MIN(E18,AV18)*'設定と出典'!$B$32</x:f>
        <x:v>365399.1380928174</x:v>
      </x:c>
      <x:c r="AM18" s="8" t="n">
        <x:f>AJ18/T18</x:f>
        <x:v>0.8307982761856347</x:v>
      </x:c>
      <x:c r="AN18" s="8" t="n">
        <x:f>AK18/T18</x:f>
        <x:v>0.3307982761856348</x:v>
      </x:c>
      <x:c r="AO18" s="8" t="n">
        <x:f>AJ18/T18</x:f>
        <x:v>0.8307982761856347</x:v>
      </x:c>
      <x:c r="AP18" s="8" t="n">
        <x:f>AO18-'設定と出典'!$B$33</x:f>
        <x:v>0.6307982761856348</x:v>
      </x:c>
      <x:c r="AQ18" s="9" t="n">
        <x:f>SUM(W18:AD18)/N18</x:f>
        <x:v>0.2638559155423014</x:v>
      </x:c>
      <x:c r="AR18" s="9" t="n">
        <x:f>MAX(0,(E18*(1-'設定と出典'!$B$28-'設定と出典'!$B$32)-(U18+V18+AH18+AI18+AE18)/A18)/AQ18)</x:f>
        <x:v>6368.540076233409</x:v>
      </x:c>
      <x:c r="AS18" s="9" t="n">
        <x:f>MAX(0,(E18*(1-'設定と出典'!$B$28 )-(U18+V18+AH18+AI18+AE18)/A18)/AQ18)</x:f>
        <x:v>15843.408186966366</x:v>
      </x:c>
      <x:c r="AT18" s="9" t="n">
        <x:f>MAX(0,(E18*(1-'設定と出典'!$B$28)-MIN(E18,AV18)*'設定と出典'!$B$32-(U18+V18+AH18+AI18+AE18)/A18)/AQ18)</x:f>
        <x:v>13948.434564819774</x:v>
      </x:c>
      <x:c r="AU18" s="9" t="n">
        <x:f>IF((T18*(1-'設定と出典'!$B$28-'設定と出典'!$B$32)-(AF18-AE18)-AH18)&lt;=0,"成立せず",(AE18+AI18)/((T18*(1-'設定と出典'!$B$28-'設定と出典'!$B$32)-(AF18-AE18)-AH18)/A18))</x:f>
        <x:v>11.564555566668485</x:v>
      </x:c>
      <x:c r="AV18" s="9" t="n">
        <x:f>'設定と出典'!D52</x:f>
        <x:v>1000</x:v>
      </x:c>
      <x:c r="AW18" s="9" t="n">
        <x:f>IF(1-'設定と出典'!$B$28-'設定と出典'!$B$32-'設定と出典'!$B$33&lt;=0,0,MAX(0,MIN(E18,(AK18/A18-E18*'設定と出典'!$B$33)/(1-'設定と出典'!$B$28-'設定と出典'!$B$32-'設定と出典'!$B$33))))</x:f>
        <x:v>2477.240079273386</x:v>
      </x:c>
      <x:c r="AX18" s="1"/>
      <x:c r="AY18" s="1"/>
      <x:c r="AZ18" s="1"/>
      <x:c r="BA18" s="1"/>
    </x:row>
    <x:row r="19" ht="22" customHeight="1">
      <x:c r="A19" s="1" t="n">
        <x:v>100</x:v>
      </x:c>
      <x:c r="B19" s="1" t="str">
        <x:f>'設定と出典'!A52</x:f>
        <x:v>Business</x:v>
      </x:c>
      <x:c r="C19" s="1" t="str">
        <x:f>'設定と出典'!A58</x:f>
        <x:v>標準</x:v>
      </x:c>
      <x:c r="D19" s="1" t="n">
        <x:f>'設定と出典'!B52</x:f>
        <x:v>20</x:v>
      </x:c>
      <x:c r="E19" s="1" t="n">
        <x:f>'設定と出典'!C52</x:f>
        <x:v>5000</x:v>
      </x:c>
      <x:c r="F19" s="1" t="n">
        <x:f>'設定と出典'!B58</x:f>
        <x:v>20</x:v>
      </x:c>
      <x:c r="G19" s="1" t="n">
        <x:f>'設定と出典'!C58</x:f>
        <x:v>2</x:v>
      </x:c>
      <x:c r="H19" s="1" t="n">
        <x:f>'設定と出典'!D58</x:f>
        <x:v>10</x:v>
      </x:c>
      <x:c r="I19" s="1" t="n">
        <x:f>'設定と出典'!E58</x:f>
        <x:v>1.5</x:v>
      </x:c>
      <x:c r="J19" s="1" t="n">
        <x:f>'設定と出典'!F58</x:f>
        <x:v>1.8</x:v>
      </x:c>
      <x:c r="K19" s="1" t="n">
        <x:f>'設定と出典'!G58</x:f>
        <x:v>2</x:v>
      </x:c>
      <x:c r="L19" s="1" t="n">
        <x:f>'設定と出典'!H58</x:f>
        <x:v>8</x:v>
      </x:c>
      <x:c r="M19" s="1" t="n">
        <x:f>A19*D19</x:f>
        <x:v>2000</x:v>
      </x:c>
      <x:c r="N19" s="1" t="n">
        <x:f>M19*F19</x:f>
        <x:v>40000</x:v>
      </x:c>
      <x:c r="O19" s="1" t="n">
        <x:f>N19*G19</x:f>
        <x:v>80000</x:v>
      </x:c>
      <x:c r="P19" s="1" t="n">
        <x:f>O19*H19/1024</x:f>
        <x:v>781.25</x:v>
      </x:c>
      <x:c r="Q19" s="1" t="n">
        <x:f>P19*I19</x:f>
        <x:v>1171.875</x:v>
      </x:c>
      <x:c r="R19" s="1" t="n">
        <x:f>P19*('設定と出典'!$B$34+'設定と出典'!$B$35)/'設定と出典'!$B$7</x:f>
        <x:v>729.1666666666666</x:v>
      </x:c>
      <x:c r="S19" s="1" t="n">
        <x:f>O19*K19</x:f>
        <x:v>160000</x:v>
      </x:c>
      <x:c r="T19" s="7" t="n">
        <x:f>A19*E19</x:f>
        <x:v>500000</x:v>
      </x:c>
      <x:c r="U19" s="7" t="n">
        <x:f>A19*'設定と出典'!$B$26</x:f>
        <x:v>5000</x:v>
      </x:c>
      <x:c r="V19" s="7" t="n">
        <x:f>M19*'設定と出典'!$B$27</x:f>
        <x:v>4000</x:v>
      </x:c>
      <x:c r="W19" s="7" t="n">
        <x:f>(N19*'設定と出典'!$B$36+S19)*('設定と出典'!$B$43*'設定と出典'!$B$8+'設定と出典'!$B$44*'設定と出典'!$B$9)*'設定と出典'!$B$12*'設定と出典'!$B$6</x:f>
        <x:v>702.4261445342382</x:v>
      </x:c>
      <x:c r="X19" s="7" t="n">
        <x:f>N19*I19*'設定と出典'!$B$37*('設定と出典'!$B$45*'設定と出典'!$B$8+'設定と出典'!$B$46*'設定と出典'!$B$9)*'設定と出典'!$B$12*'設定と出典'!$B$6</x:f>
        <x:v>49.006475200063136</x:v>
      </x:c>
      <x:c r="Y19" s="7" t="n">
        <x:f>MAX(0,S19*('設定と出典'!$B$13*'設定と出典'!$B$8+'設定と出典'!$B$14*'設定と出典'!$B$9)-MIN(S19,'設定と出典'!$B$7*86400*'設定と出典'!$B$15)*('設定と出典'!$B$13*'設定と出典'!$B$10+'設定と出典'!$B$14*'設定と出典'!$B$11))*'設定と出典'!$B$12*'設定と出典'!$B$6</x:f>
        <x:v>555.137881204458</x:v>
      </x:c>
      <x:c r="Z19" s="7" t="n">
        <x:f>O19*('設定と出典'!$B$41*'設定と出典'!$B$18+('設定と出典'!$B$42+I19)*'設定と出典'!$B$19)/1000*'設定と出典'!$B$6</x:f>
        <x:v>76.8</x:v>
      </x:c>
      <x:c r="AA19" s="7" t="n">
        <x:f>N19*(1+J19)*'設定と出典'!$B$21</x:f>
        <x:v>11200</x:v>
      </x:c>
      <x:c r="AB19" s="7" t="n">
        <x:f>N19*'設定と出典'!$B$40/1048576*'設定と出典'!$B$20*'設定と出典'!$B$6+N19*'設定と出典'!$B$39/1000000*'設定と出典'!$B$38*'設定と出典'!$B$6</x:f>
        <x:v>53.532275390625</x:v>
      </x:c>
      <x:c r="AC19" s="7" t="n">
        <x:f>R19*'設定と出典'!$B$16*'設定と出典'!$B$6</x:f>
        <x:v>2734.375</x:v>
      </x:c>
      <x:c r="AD19" s="7" t="n">
        <x:f>Q19*'設定と出典'!$B$17*'設定と出典'!$B$6</x:f>
        <x:v>21093.75</x:v>
      </x:c>
      <x:c r="AE19" s="7" t="n">
        <x:f>'設定と出典'!B63</x:f>
        <x:v>13628.969418426243</x:v>
      </x:c>
      <x:c r="AF19" s="7" t="n">
        <x:f>SUM(U19:AE19)</x:f>
        <x:v>59093.997194755626</x:v>
      </x:c>
      <x:c r="AG19" s="7" t="n">
        <x:f>T19*'設定と出典'!$B$28</x:f>
        <x:v>18000</x:v>
      </x:c>
      <x:c r="AH19" s="7" t="n">
        <x:f>(A19*L19+M19*'設定と出典'!$B$31)/60*'設定と出典'!$B$29</x:f>
        <x:v>66666.66666666667</x:v>
      </x:c>
      <x:c r="AI19" s="7" t="n">
        <x:f>'設定と出典'!$B$30*'設定と出典'!$B$29</x:f>
        <x:v>8000</x:v>
      </x:c>
      <x:c r="AJ19" s="7" t="n">
        <x:f>T19-SUM(AF19:AI19)</x:f>
        <x:v>348239.3361385777</x:v>
      </x:c>
      <x:c r="AK19" s="7" t="n">
        <x:f>AJ19-T19*'設定と出典'!$B$32</x:f>
        <x:v>98239.33613857772</x:v>
      </x:c>
      <x:c r="AL19" s="7" t="n">
        <x:f>AJ19-A19*MIN(E19,AV19)*'設定と出典'!$B$32</x:f>
        <x:v>298239.3361385777</x:v>
      </x:c>
      <x:c r="AM19" s="8" t="n">
        <x:f>AJ19/T19</x:f>
        <x:v>0.6964786722771554</x:v>
      </x:c>
      <x:c r="AN19" s="8" t="n">
        <x:f>AK19/T19</x:f>
        <x:v>0.19647867227715546</x:v>
      </x:c>
      <x:c r="AO19" s="8" t="n">
        <x:f>AJ19/T19</x:f>
        <x:v>0.6964786722771554</x:v>
      </x:c>
      <x:c r="AP19" s="8" t="n">
        <x:f>AO19-'設定と出典'!$B$33</x:f>
        <x:v>0.4964786722771554</x:v>
      </x:c>
      <x:c r="AQ19" s="9" t="n">
        <x:f>SUM(W19:AD19)/N19</x:f>
        <x:v>0.9116256944082346</x:v>
      </x:c>
      <x:c r="AR19" s="9" t="n">
        <x:f>MAX(0,(E19*(1-'設定と出典'!$B$28-'設定と出典'!$B$32)-(U19+V19+AH19+AI19+AE19)/A19)/AQ19)</x:f>
        <x:v>1477.6279863672335</x:v>
      </x:c>
      <x:c r="AS19" s="9" t="n">
        <x:f>MAX(0,(E19*(1-'設定と出典'!$B$28 )-(U19+V19+AH19+AI19+AE19)/A19)/AQ19)</x:f>
        <x:v>4219.981580978046</x:v>
      </x:c>
      <x:c r="AT19" s="9" t="n">
        <x:f>MAX(0,(E19*(1-'設定と出典'!$B$28)-MIN(E19,AV19)*'設定と出典'!$B$32-(U19+V19+AH19+AI19+AE19)/A19)/AQ19)</x:f>
        <x:v>3671.5108620558835</x:v>
      </x:c>
      <x:c r="AU19" s="9" t="n">
        <x:f>IF((T19*(1-'設定と出典'!$B$28-'設定と出典'!$B$32)-(AF19-AE19)-AH19)&lt;=0,"成立せず",(AE19+AI19)/((T19*(1-'設定と出典'!$B$28-'設定と出典'!$B$32)-(AF19-AE19)-AH19)/A19))</x:f>
        <x:v>18.043943574509353</x:v>
      </x:c>
      <x:c r="AV19" s="9" t="n">
        <x:f>'設定と出典'!D52</x:f>
        <x:v>1000</x:v>
      </x:c>
      <x:c r="AW19" s="9" t="n">
        <x:f>IF(1-'設定と出典'!$B$28-'設定と出典'!$B$32-'設定と出典'!$B$33&lt;=0,0,MAX(0,MIN(E19,(AK19/A19-E19*'設定と出典'!$B$33)/(1-'設定と出典'!$B$28-'設定と出典'!$B$32-'設定と出典'!$B$33))))</x:f>
        <x:v>0</x:v>
      </x:c>
      <x:c r="AX19" s="1"/>
      <x:c r="AY19" s="1"/>
      <x:c r="AZ19" s="1"/>
      <x:c r="BA19" s="1"/>
    </x:row>
    <x:row r="20" ht="22" customHeight="1">
      <x:c r="A20" s="1" t="n">
        <x:v>100</x:v>
      </x:c>
      <x:c r="B20" s="1" t="str">
        <x:f>'設定と出典'!A52</x:f>
        <x:v>Business</x:v>
      </x:c>
      <x:c r="C20" s="1" t="str">
        <x:f>'設定と出典'!A59</x:f>
        <x:v>高位</x:v>
      </x:c>
      <x:c r="D20" s="1" t="n">
        <x:f>'設定と出典'!B52</x:f>
        <x:v>20</x:v>
      </x:c>
      <x:c r="E20" s="1" t="n">
        <x:f>'設定と出典'!C52</x:f>
        <x:v>5000</x:v>
      </x:c>
      <x:c r="F20" s="1" t="n">
        <x:f>'設定と出典'!B59</x:f>
        <x:v>80</x:v>
      </x:c>
      <x:c r="G20" s="1" t="n">
        <x:f>'設定と出典'!C59</x:f>
        <x:v>3</x:v>
      </x:c>
      <x:c r="H20" s="1" t="n">
        <x:f>'設定と出典'!D59</x:f>
        <x:v>50</x:v>
      </x:c>
      <x:c r="I20" s="1" t="n">
        <x:f>'設定と出典'!E59</x:f>
        <x:v>2</x:v>
      </x:c>
      <x:c r="J20" s="1" t="n">
        <x:f>'設定と出典'!F59</x:f>
        <x:v>2.5</x:v>
      </x:c>
      <x:c r="K20" s="1" t="n">
        <x:f>'設定と出典'!G59</x:f>
        <x:v>5</x:v>
      </x:c>
      <x:c r="L20" s="1" t="n">
        <x:f>'設定と出典'!H59</x:f>
        <x:v>20</x:v>
      </x:c>
      <x:c r="M20" s="1" t="n">
        <x:f>A20*D20</x:f>
        <x:v>2000</x:v>
      </x:c>
      <x:c r="N20" s="1" t="n">
        <x:f>M20*F20</x:f>
        <x:v>160000</x:v>
      </x:c>
      <x:c r="O20" s="1" t="n">
        <x:f>N20*G20</x:f>
        <x:v>480000</x:v>
      </x:c>
      <x:c r="P20" s="1" t="n">
        <x:f>O20*H20/1024</x:f>
        <x:v>23437.5</x:v>
      </x:c>
      <x:c r="Q20" s="1" t="n">
        <x:f>P20*I20</x:f>
        <x:v>46875</x:v>
      </x:c>
      <x:c r="R20" s="1" t="n">
        <x:f>P20*('設定と出典'!$B$34+'設定と出典'!$B$35)/'設定と出典'!$B$7</x:f>
        <x:v>21875</x:v>
      </x:c>
      <x:c r="S20" s="1" t="n">
        <x:f>O20*K20</x:f>
        <x:v>2400000</x:v>
      </x:c>
      <x:c r="T20" s="7" t="n">
        <x:f>A20*E20</x:f>
        <x:v>500000</x:v>
      </x:c>
      <x:c r="U20" s="7" t="n">
        <x:f>A20*'設定と出典'!$B$26</x:f>
        <x:v>5000</x:v>
      </x:c>
      <x:c r="V20" s="7" t="n">
        <x:f>M20*'設定と出典'!$B$27</x:f>
        <x:v>4000</x:v>
      </x:c>
      <x:c r="W20" s="7" t="n">
        <x:f>(N20*'設定と出典'!$B$36+S20)*('設定と出典'!$B$43*'設定と出典'!$B$8+'設定と出典'!$B$44*'設定と出典'!$B$9)*'設定と出典'!$B$12*'設定と出典'!$B$6</x:f>
        <x:v>9997.320940812879</x:v>
      </x:c>
      <x:c r="X20" s="7" t="n">
        <x:f>N20*I20*'設定と出典'!$B$37*('設定と出典'!$B$45*'設定と出典'!$B$8+'設定と出典'!$B$46*'設定と出典'!$B$9)*'設定と出典'!$B$12*'設定と出典'!$B$6</x:f>
        <x:v>261.3678677336701</x:v>
      </x:c>
      <x:c r="Y20" s="7" t="n">
        <x:f>MAX(0,S20*('設定と出典'!$B$13*'設定と出典'!$B$8+'設定と出典'!$B$14*'設定と出典'!$B$9)-MIN(S20,'設定と出典'!$B$7*86400*'設定と出典'!$B$15)*('設定と出典'!$B$13*'設定と出典'!$B$10+'設定と出典'!$B$14*'設定と出典'!$B$11))*'設定と出典'!$B$12*'設定と出典'!$B$6</x:f>
        <x:v>8327.06821806687</x:v>
      </x:c>
      <x:c r="Z20" s="7" t="n">
        <x:f>O20*('設定と出典'!$B$41*'設定と出典'!$B$18+('設定と出典'!$B$42+I20)*'設定と出典'!$B$19)/1000*'設定と出典'!$B$6</x:f>
        <x:v>475.20000000000005</x:v>
      </x:c>
      <x:c r="AA20" s="7" t="n">
        <x:f>N20*(1+J20)*'設定と出典'!$B$21</x:f>
        <x:v>56000</x:v>
      </x:c>
      <x:c r="AB20" s="7" t="n">
        <x:f>N20*'設定と出典'!$B$40/1048576*'設定と出典'!$B$20*'設定と出典'!$B$6+N20*'設定と出典'!$B$39/1000000*'設定と出典'!$B$38*'設定と出典'!$B$6</x:f>
        <x:v>214.1291015625</x:v>
      </x:c>
      <x:c r="AC20" s="7" t="n">
        <x:f>R20*'設定と出典'!$B$16*'設定と出典'!$B$6</x:f>
        <x:v>82031.25</x:v>
      </x:c>
      <x:c r="AD20" s="7" t="n">
        <x:f>Q20*'設定と出典'!$B$17*'設定と出典'!$B$6</x:f>
        <x:v>843750</x:v>
      </x:c>
      <x:c r="AE20" s="7" t="n">
        <x:f>'設定と出典'!B63</x:f>
        <x:v>13628.969418426243</x:v>
      </x:c>
      <x:c r="AF20" s="7" t="n">
        <x:f>SUM(U20:AE20)</x:f>
        <x:v>1023685.3055466022</x:v>
      </x:c>
      <x:c r="AG20" s="7" t="n">
        <x:f>T20*'設定と出典'!$B$28</x:f>
        <x:v>18000</x:v>
      </x:c>
      <x:c r="AH20" s="7" t="n">
        <x:f>(A20*L20+M20*'設定と出典'!$B$31)/60*'設定と出典'!$B$29</x:f>
        <x:v>146666.66666666666</x:v>
      </x:c>
      <x:c r="AI20" s="7" t="n">
        <x:f>'設定と出典'!$B$30*'設定と出典'!$B$29</x:f>
        <x:v>8000</x:v>
      </x:c>
      <x:c r="AJ20" s="7" t="n">
        <x:f>T20-SUM(AF20:AI20)</x:f>
        <x:v>-696351.972213269</x:v>
      </x:c>
      <x:c r="AK20" s="7" t="n">
        <x:f>AJ20-T20*'設定と出典'!$B$32</x:f>
        <x:v>-946351.972213269</x:v>
      </x:c>
      <x:c r="AL20" s="7" t="n">
        <x:f>AJ20-A20*MIN(E20,AV20)*'設定と出典'!$B$32</x:f>
        <x:v>-746351.972213269</x:v>
      </x:c>
      <x:c r="AM20" s="8" t="n">
        <x:f>AJ20/T20</x:f>
        <x:v>-1.3927039444265379</x:v>
      </x:c>
      <x:c r="AN20" s="8" t="n">
        <x:f>AK20/T20</x:f>
        <x:v>-1.8927039444265379</x:v>
      </x:c>
      <x:c r="AO20" s="8" t="n">
        <x:f>AJ20/T20</x:f>
        <x:v>-1.3927039444265379</x:v>
      </x:c>
      <x:c r="AP20" s="8" t="n">
        <x:f>AO20-'設定と出典'!$B$33</x:f>
        <x:v>-1.5927039444265378</x:v>
      </x:c>
      <x:c r="AQ20" s="9" t="n">
        <x:f>SUM(W20:AD20)/N20</x:f>
        <x:v>6.2566021008011</x:v>
      </x:c>
      <x:c r="AR20" s="9" t="n">
        <x:f>MAX(0,(E20*(1-'設定と出典'!$B$28-'設定と出典'!$B$32)-(U20+V20+AH20+AI20+AE20)/A20)/AQ20)</x:f>
        <x:v>87.43462191387032</x:v>
      </x:c>
      <x:c r="AS20" s="9" t="n">
        <x:f>MAX(0,(E20*(1-'設定と出典'!$B$28 )-(U20+V20+AH20+AI20+AE20)/A20)/AQ20)</x:f>
        <x:v>487.0125333300204</x:v>
      </x:c>
      <x:c r="AT20" s="9" t="n">
        <x:f>MAX(0,(E20*(1-'設定と出典'!$B$28)-MIN(E20,AV20)*'設定と出典'!$B$32-(U20+V20+AH20+AI20+AE20)/A20)/AQ20)</x:f>
        <x:v>407.09695104679037</x:v>
      </x:c>
      <x:c r="AU20" s="9" t="str">
        <x:f>IF((T20*(1-'設定と出典'!$B$28-'設定と出典'!$B$32)-(AF20-AE20)-AH20)&lt;=0,"成立せず",(AE20+AI20)/((T20*(1-'設定と出典'!$B$28-'設定と出典'!$B$32)-(AF20-AE20)-AH20)/A20))</x:f>
        <x:v>成立せず</x:v>
      </x:c>
      <x:c r="AV20" s="9" t="n">
        <x:f>'設定と出典'!D52</x:f>
        <x:v>1000</x:v>
      </x:c>
      <x:c r="AW20" s="9" t="n">
        <x:f>IF(1-'設定と出典'!$B$28-'設定と出典'!$B$32-'設定と出典'!$B$33&lt;=0,0,MAX(0,MIN(E20,(AK20/A20-E20*'設定と出典'!$B$33)/(1-'設定と出典'!$B$28-'設定と出典'!$B$32-'設定と出典'!$B$33))))</x:f>
        <x:v>0</x:v>
      </x:c>
      <x:c r="AX20" s="1"/>
      <x:c r="AY20" s="1"/>
      <x:c r="AZ20" s="1"/>
      <x:c r="BA20" s="1"/>
    </x:row>
    <x:row r="21" ht="22" customHeight="1">
      <x:c r="A21" s="1" t="n">
        <x:v>100</x:v>
      </x:c>
      <x:c r="B21" s="1" t="str">
        <x:f>'設定と出典'!A53</x:f>
        <x:v>Business Plus</x:v>
      </x:c>
      <x:c r="C21" s="1" t="str">
        <x:f>'設定と出典'!A57</x:f>
        <x:v>低位</x:v>
      </x:c>
      <x:c r="D21" s="1" t="n">
        <x:f>'設定と出典'!B53</x:f>
        <x:v>50</x:v>
      </x:c>
      <x:c r="E21" s="1" t="n">
        <x:f>'設定と出典'!C53</x:f>
        <x:v>8000</x:v>
      </x:c>
      <x:c r="F21" s="1" t="n">
        <x:f>'設定と出典'!B57</x:f>
        <x:v>5</x:v>
      </x:c>
      <x:c r="G21" s="1" t="n">
        <x:f>'設定と出典'!C57</x:f>
        <x:v>1</x:v>
      </x:c>
      <x:c r="H21" s="1" t="n">
        <x:f>'設定と出典'!D57</x:f>
        <x:v>2</x:v>
      </x:c>
      <x:c r="I21" s="1" t="n">
        <x:f>'設定と出典'!E57</x:f>
        <x:v>1</x:v>
      </x:c>
      <x:c r="J21" s="1" t="n">
        <x:f>'設定と出典'!F57</x:f>
        <x:v>1.1</x:v>
      </x:c>
      <x:c r="K21" s="1" t="n">
        <x:f>'設定と出典'!G57</x:f>
        <x:v>1</x:v>
      </x:c>
      <x:c r="L21" s="1" t="n">
        <x:f>'設定と出典'!H57</x:f>
        <x:v>3</x:v>
      </x:c>
      <x:c r="M21" s="1" t="n">
        <x:f>A21*D21</x:f>
        <x:v>5000</x:v>
      </x:c>
      <x:c r="N21" s="1" t="n">
        <x:f>M21*F21</x:f>
        <x:v>25000</x:v>
      </x:c>
      <x:c r="O21" s="1" t="n">
        <x:f>N21*G21</x:f>
        <x:v>25000</x:v>
      </x:c>
      <x:c r="P21" s="1" t="n">
        <x:f>O21*H21/1024</x:f>
        <x:v>48.828125</x:v>
      </x:c>
      <x:c r="Q21" s="1" t="n">
        <x:f>P21*I21</x:f>
        <x:v>48.828125</x:v>
      </x:c>
      <x:c r="R21" s="1" t="n">
        <x:f>P21*('設定と出典'!$B$34+'設定と出典'!$B$35)/'設定と出典'!$B$7</x:f>
        <x:v>45.572916666666664</x:v>
      </x:c>
      <x:c r="S21" s="1" t="n">
        <x:f>O21*K21</x:f>
        <x:v>25000</x:v>
      </x:c>
      <x:c r="T21" s="7" t="n">
        <x:f>A21*E21</x:f>
        <x:v>800000</x:v>
      </x:c>
      <x:c r="U21" s="7" t="n">
        <x:f>A21*'設定と出典'!$B$26</x:f>
        <x:v>5000</x:v>
      </x:c>
      <x:c r="V21" s="7" t="n">
        <x:f>M21*'設定と出典'!$B$27</x:f>
        <x:v>10000</x:v>
      </x:c>
      <x:c r="W21" s="7" t="n">
        <x:f>(N21*'設定と出典'!$B$36+S21)*('設定と出典'!$B$43*'設定と出典'!$B$8+'設定と出典'!$B$44*'設定と出典'!$B$9)*'設定と出典'!$B$12*'設定と出典'!$B$6</x:f>
        <x:v>132.72587033350433</x:v>
      </x:c>
      <x:c r="X21" s="7" t="n">
        <x:f>N21*I21*'設定と出典'!$B$37*('設定と出典'!$B$45*'設定と出典'!$B$8+'設定と出典'!$B$46*'設定と出典'!$B$9)*'設定と出典'!$B$12*'設定と出典'!$B$6</x:f>
        <x:v>20.41936466669297</x:v>
      </x:c>
      <x:c r="Y21" s="7" t="n">
        <x:f>MAX(0,S21*('設定と出典'!$B$13*'設定と出典'!$B$8+'設定と出典'!$B$14*'設定と出典'!$B$9)-MIN(S21,'設定と出典'!$B$7*86400*'設定と出典'!$B$15)*('設定と出典'!$B$13*'設定と出典'!$B$10+'設定と出典'!$B$14*'設定と出典'!$B$11))*'設定と出典'!$B$12*'設定と出典'!$B$6</x:f>
        <x:v>86.74029393819656</x:v>
      </x:c>
      <x:c r="Z21" s="7" t="n">
        <x:f>O21*('設定と出典'!$B$41*'設定と出典'!$B$18+('設定と出典'!$B$42+I21)*'設定と出典'!$B$19)/1000*'設定と出典'!$B$6</x:f>
        <x:v>23.250000000000004</x:v>
      </x:c>
      <x:c r="AA21" s="7" t="n">
        <x:f>N21*(1+J21)*'設定と出典'!$B$21</x:f>
        <x:v>5250</x:v>
      </x:c>
      <x:c r="AB21" s="7" t="n">
        <x:f>N21*'設定と出典'!$B$40/1048576*'設定と出典'!$B$20*'設定と出典'!$B$6+N21*'設定と出典'!$B$39/1000000*'設定と出典'!$B$38*'設定と出典'!$B$6</x:f>
        <x:v>33.457672119140625</x:v>
      </x:c>
      <x:c r="AC21" s="7" t="n">
        <x:f>R21*'設定と出典'!$B$16*'設定と出典'!$B$6</x:f>
        <x:v>170.8984375</x:v>
      </x:c>
      <x:c r="AD21" s="7" t="n">
        <x:f>Q21*'設定と出典'!$B$17*'設定と出典'!$B$6</x:f>
        <x:v>878.90625</x:v>
      </x:c>
      <x:c r="AE21" s="7" t="n">
        <x:f>'設定と出典'!B63</x:f>
        <x:v>13628.969418426243</x:v>
      </x:c>
      <x:c r="AF21" s="7" t="n">
        <x:f>SUM(U21:AE21)</x:f>
        <x:v>35225.367306983775</x:v>
      </x:c>
      <x:c r="AG21" s="7" t="n">
        <x:f>T21*'設定と出典'!$B$28</x:f>
        <x:v>28799.999999999996</x:v>
      </x:c>
      <x:c r="AH21" s="7" t="n">
        <x:f>(A21*L21+M21*'設定と出典'!$B$31)/60*'設定と出典'!$B$29</x:f>
        <x:v>53333.333333333336</x:v>
      </x:c>
      <x:c r="AI21" s="7" t="n">
        <x:f>'設定と出典'!$B$30*'設定と出典'!$B$29</x:f>
        <x:v>8000</x:v>
      </x:c>
      <x:c r="AJ21" s="7" t="n">
        <x:f>T21-SUM(AF21:AI21)</x:f>
        <x:v>674641.299359683</x:v>
      </x:c>
      <x:c r="AK21" s="7" t="n">
        <x:f>AJ21-T21*'設定と出典'!$B$32</x:f>
        <x:v>274641.29935968295</x:v>
      </x:c>
      <x:c r="AL21" s="7" t="n">
        <x:f>AJ21-A21*MIN(E21,AV21)*'設定と出典'!$B$32</x:f>
        <x:v>624641.299359683</x:v>
      </x:c>
      <x:c r="AM21" s="8" t="n">
        <x:f>AJ21/T21</x:f>
        <x:v>0.8433016241996036</x:v>
      </x:c>
      <x:c r="AN21" s="8" t="n">
        <x:f>AK21/T21</x:f>
        <x:v>0.3433016241996037</x:v>
      </x:c>
      <x:c r="AO21" s="8" t="n">
        <x:f>AJ21/T21</x:f>
        <x:v>0.8433016241996036</x:v>
      </x:c>
      <x:c r="AP21" s="8" t="n">
        <x:f>AO21-'設定と出典'!$B$33</x:f>
        <x:v>0.6433016241996037</x:v>
      </x:c>
      <x:c r="AQ21" s="9" t="n">
        <x:f>SUM(W21:AD21)/N21</x:f>
        <x:v>0.26385591554230137</x:v>
      </x:c>
      <x:c r="AR21" s="9" t="n">
        <x:f>MAX(0,(E21*(1-'設定と出典'!$B$28-'設定と出典'!$B$32)-(U21+V21+AH21+AI21+AE21)/A21)/AQ21)</x:f>
        <x:v>10658.760356773291</x:v>
      </x:c>
      <x:c r="AS21" s="9" t="n">
        <x:f>MAX(0,(E21*(1-'設定と出典'!$B$28 )-(U21+V21+AH21+AI21+AE21)/A21)/AQ21)</x:f>
        <x:v>25818.549333946026</x:v>
      </x:c>
      <x:c r="AT21" s="9" t="n">
        <x:f>MAX(0,(E21*(1-'設定と出典'!$B$28)-MIN(E21,AV21)*'設定と出典'!$B$32-(U21+V21+AH21+AI21+AE21)/A21)/AQ21)</x:f>
        <x:v>23923.575711799436</x:v>
      </x:c>
      <x:c r="AU21" s="9" t="n">
        <x:f>IF((T21*(1-'設定と出典'!$B$28-'設定と出典'!$B$32)-(AF21-AE21)-AH21)&lt;=0,"成立せず",(AE21+AI21)/((T21*(1-'設定と出典'!$B$28-'設定と出典'!$B$32)-(AF21-AE21)-AH21)/A21))</x:f>
        <x:v>7.300418468457663</x:v>
      </x:c>
      <x:c r="AV21" s="9" t="n">
        <x:f>'設定と出典'!D53</x:f>
        <x:v>1000</x:v>
      </x:c>
      <x:c r="AW21" s="9" t="n">
        <x:f>IF(1-'設定と出典'!$B$28-'設定と出典'!$B$32-'設定と出典'!$B$33&lt;=0,0,MAX(0,MIN(E21,(AK21/A21-E21*'設定と出典'!$B$33)/(1-'設定と出典'!$B$28-'設定と出典'!$B$32-'設定と出典'!$B$33))))</x:f>
        <x:v>4342.473460594051</x:v>
      </x:c>
      <x:c r="AX21" s="1"/>
      <x:c r="AY21" s="1"/>
      <x:c r="AZ21" s="1"/>
      <x:c r="BA21" s="1"/>
    </x:row>
    <x:row r="22" ht="22" customHeight="1">
      <x:c r="A22" s="1" t="n">
        <x:v>100</x:v>
      </x:c>
      <x:c r="B22" s="1" t="str">
        <x:f>'設定と出典'!A53</x:f>
        <x:v>Business Plus</x:v>
      </x:c>
      <x:c r="C22" s="1" t="str">
        <x:f>'設定と出典'!A58</x:f>
        <x:v>標準</x:v>
      </x:c>
      <x:c r="D22" s="1" t="n">
        <x:f>'設定と出典'!B53</x:f>
        <x:v>50</x:v>
      </x:c>
      <x:c r="E22" s="1" t="n">
        <x:f>'設定と出典'!C53</x:f>
        <x:v>8000</x:v>
      </x:c>
      <x:c r="F22" s="1" t="n">
        <x:f>'設定と出典'!B58</x:f>
        <x:v>20</x:v>
      </x:c>
      <x:c r="G22" s="1" t="n">
        <x:f>'設定と出典'!C58</x:f>
        <x:v>2</x:v>
      </x:c>
      <x:c r="H22" s="1" t="n">
        <x:f>'設定と出典'!D58</x:f>
        <x:v>10</x:v>
      </x:c>
      <x:c r="I22" s="1" t="n">
        <x:f>'設定と出典'!E58</x:f>
        <x:v>1.5</x:v>
      </x:c>
      <x:c r="J22" s="1" t="n">
        <x:f>'設定と出典'!F58</x:f>
        <x:v>1.8</x:v>
      </x:c>
      <x:c r="K22" s="1" t="n">
        <x:f>'設定と出典'!G58</x:f>
        <x:v>2</x:v>
      </x:c>
      <x:c r="L22" s="1" t="n">
        <x:f>'設定と出典'!H58</x:f>
        <x:v>8</x:v>
      </x:c>
      <x:c r="M22" s="1" t="n">
        <x:f>A22*D22</x:f>
        <x:v>5000</x:v>
      </x:c>
      <x:c r="N22" s="1" t="n">
        <x:f>M22*F22</x:f>
        <x:v>100000</x:v>
      </x:c>
      <x:c r="O22" s="1" t="n">
        <x:f>N22*G22</x:f>
        <x:v>200000</x:v>
      </x:c>
      <x:c r="P22" s="1" t="n">
        <x:f>O22*H22/1024</x:f>
        <x:v>1953.125</x:v>
      </x:c>
      <x:c r="Q22" s="1" t="n">
        <x:f>P22*I22</x:f>
        <x:v>2929.6875</x:v>
      </x:c>
      <x:c r="R22" s="1" t="n">
        <x:f>P22*('設定と出典'!$B$34+'設定と出典'!$B$35)/'設定と出典'!$B$7</x:f>
        <x:v>1822.9166666666667</x:v>
      </x:c>
      <x:c r="S22" s="1" t="n">
        <x:f>O22*K22</x:f>
        <x:v>400000</x:v>
      </x:c>
      <x:c r="T22" s="7" t="n">
        <x:f>A22*E22</x:f>
        <x:v>800000</x:v>
      </x:c>
      <x:c r="U22" s="7" t="n">
        <x:f>A22*'設定と出典'!$B$26</x:f>
        <x:v>5000</x:v>
      </x:c>
      <x:c r="V22" s="7" t="n">
        <x:f>M22*'設定と出典'!$B$27</x:f>
        <x:v>10000</x:v>
      </x:c>
      <x:c r="W22" s="7" t="n">
        <x:f>(N22*'設定と出典'!$B$36+S22)*('設定と出典'!$B$43*'設定と出典'!$B$8+'設定と出典'!$B$44*'設定と出典'!$B$9)*'設定と出典'!$B$12*'設定と出典'!$B$6</x:f>
        <x:v>1756.065361335596</x:v>
      </x:c>
      <x:c r="X22" s="7" t="n">
        <x:f>N22*I22*'設定と出典'!$B$37*('設定と出典'!$B$45*'設定と出典'!$B$8+'設定と出典'!$B$46*'設定と出典'!$B$9)*'設定と出典'!$B$12*'設定と出典'!$B$6</x:f>
        <x:v>122.51618800015784</x:v>
      </x:c>
      <x:c r="Y22" s="7" t="n">
        <x:f>MAX(0,S22*('設定と出典'!$B$13*'設定と出典'!$B$8+'設定と出典'!$B$14*'設定と出典'!$B$9)-MIN(S22,'設定と出典'!$B$7*86400*'設定と出典'!$B$15)*('設定と出典'!$B$13*'設定と出典'!$B$10+'設定と出典'!$B$14*'設定と出典'!$B$11))*'設定と出典'!$B$12*'設定と出典'!$B$6</x:f>
        <x:v>1387.844703011145</x:v>
      </x:c>
      <x:c r="Z22" s="7" t="n">
        <x:f>O22*('設定と出典'!$B$41*'設定と出典'!$B$18+('設定と出典'!$B$42+I22)*'設定と出典'!$B$19)/1000*'設定と出典'!$B$6</x:f>
        <x:v>192</x:v>
      </x:c>
      <x:c r="AA22" s="7" t="n">
        <x:f>N22*(1+J22)*'設定と出典'!$B$21</x:f>
        <x:v>28000</x:v>
      </x:c>
      <x:c r="AB22" s="7" t="n">
        <x:f>N22*'設定と出典'!$B$40/1048576*'設定と出典'!$B$20*'設定と出典'!$B$6+N22*'設定と出典'!$B$39/1000000*'設定と出典'!$B$38*'設定と出典'!$B$6</x:f>
        <x:v>133.8306884765625</x:v>
      </x:c>
      <x:c r="AC22" s="7" t="n">
        <x:f>R22*'設定と出典'!$B$16*'設定と出典'!$B$6</x:f>
        <x:v>6835.937500000001</x:v>
      </x:c>
      <x:c r="AD22" s="7" t="n">
        <x:f>Q22*'設定と出典'!$B$17*'設定と出典'!$B$6</x:f>
        <x:v>52734.375</x:v>
      </x:c>
      <x:c r="AE22" s="7" t="n">
        <x:f>'設定と出典'!B63</x:f>
        <x:v>13628.969418426243</x:v>
      </x:c>
      <x:c r="AF22" s="7" t="n">
        <x:f>SUM(U22:AE22)</x:f>
        <x:v>119791.5388592497</x:v>
      </x:c>
      <x:c r="AG22" s="7" t="n">
        <x:f>T22*'設定と出典'!$B$28</x:f>
        <x:v>28799.999999999996</x:v>
      </x:c>
      <x:c r="AH22" s="7" t="n">
        <x:f>(A22*L22+M22*'設定と出典'!$B$31)/60*'設定と出典'!$B$29</x:f>
        <x:v>86666.66666666667</x:v>
      </x:c>
      <x:c r="AI22" s="7" t="n">
        <x:f>'設定と出典'!$B$30*'設定と出典'!$B$29</x:f>
        <x:v>8000</x:v>
      </x:c>
      <x:c r="AJ22" s="7" t="n">
        <x:f>T22-SUM(AF22:AI22)</x:f>
        <x:v>556741.7944740837</x:v>
      </x:c>
      <x:c r="AK22" s="7" t="n">
        <x:f>AJ22-T22*'設定と出典'!$B$32</x:f>
        <x:v>156741.7944740837</x:v>
      </x:c>
      <x:c r="AL22" s="7" t="n">
        <x:f>AJ22-A22*MIN(E22,AV22)*'設定と出典'!$B$32</x:f>
        <x:v>506741.7944740837</x:v>
      </x:c>
      <x:c r="AM22" s="8" t="n">
        <x:f>AJ22/T22</x:f>
        <x:v>0.6959272430926047</x:v>
      </x:c>
      <x:c r="AN22" s="8" t="n">
        <x:f>AK22/T22</x:f>
        <x:v>0.19592724309260462</x:v>
      </x:c>
      <x:c r="AO22" s="8" t="n">
        <x:f>AJ22/T22</x:f>
        <x:v>0.6959272430926047</x:v>
      </x:c>
      <x:c r="AP22" s="8" t="n">
        <x:f>AO22-'設定と出典'!$B$33</x:f>
        <x:v>0.49592724309260466</x:v>
      </x:c>
      <x:c r="AQ22" s="9" t="n">
        <x:f>SUM(W22:AD22)/N22</x:f>
        <x:v>0.9116256944082346</x:v>
      </x:c>
      <x:c r="AR22" s="9" t="n">
        <x:f>MAX(0,(E22*(1-'設定と出典'!$B$28-'設定と出典'!$B$32)-(U22+V22+AH22+AI22+AE22)/A22)/AQ22)</x:f>
        <x:v>2719.3656940070086</x:v>
      </x:c>
      <x:c r="AS22" s="9" t="n">
        <x:f>MAX(0,(E22*(1-'設定と出典'!$B$28 )-(U22+V22+AH22+AI22+AE22)/A22)/AQ22)</x:f>
        <x:v>7107.13144538431</x:v>
      </x:c>
      <x:c r="AT22" s="9" t="n">
        <x:f>MAX(0,(E22*(1-'設定と出典'!$B$28)-MIN(E22,AV22)*'設定と出典'!$B$32-(U22+V22+AH22+AI22+AE22)/A22)/AQ22)</x:f>
        <x:v>6558.660726462147</x:v>
      </x:c>
      <x:c r="AU22" s="9" t="n">
        <x:f>IF((T22*(1-'設定と出典'!$B$28-'設定と出典'!$B$32)-(AF22-AE22)-AH22)&lt;=0,"成立せず",(AE22+AI22)/((T22*(1-'設定と出典'!$B$28-'設定と出典'!$B$32)-(AF22-AE22)-AH22)/A22))</x:f>
        <x:v>12.12584896001249</x:v>
      </x:c>
      <x:c r="AV22" s="9" t="n">
        <x:f>'設定と出典'!D53</x:f>
        <x:v>1000</x:v>
      </x:c>
      <x:c r="AW22" s="9" t="n">
        <x:f>IF(1-'設定と出典'!$B$28-'設定と出典'!$B$32-'設定と出典'!$B$33&lt;=0,0,MAX(0,MIN(E22,(AK22/A22-E22*'設定と出典'!$B$33)/(1-'設定と出典'!$B$28-'設定と出典'!$B$32-'設定と出典'!$B$33))))</x:f>
        <x:v>0</x:v>
      </x:c>
      <x:c r="AX22" s="1"/>
      <x:c r="AY22" s="1"/>
      <x:c r="AZ22" s="1"/>
      <x:c r="BA22" s="1"/>
    </x:row>
    <x:row r="23" ht="22" customHeight="1">
      <x:c r="A23" s="1" t="n">
        <x:v>100</x:v>
      </x:c>
      <x:c r="B23" s="1" t="str">
        <x:f>'設定と出典'!A53</x:f>
        <x:v>Business Plus</x:v>
      </x:c>
      <x:c r="C23" s="1" t="str">
        <x:f>'設定と出典'!A59</x:f>
        <x:v>高位</x:v>
      </x:c>
      <x:c r="D23" s="1" t="n">
        <x:f>'設定と出典'!B53</x:f>
        <x:v>50</x:v>
      </x:c>
      <x:c r="E23" s="1" t="n">
        <x:f>'設定と出典'!C53</x:f>
        <x:v>8000</x:v>
      </x:c>
      <x:c r="F23" s="1" t="n">
        <x:f>'設定と出典'!B59</x:f>
        <x:v>80</x:v>
      </x:c>
      <x:c r="G23" s="1" t="n">
        <x:f>'設定と出典'!C59</x:f>
        <x:v>3</x:v>
      </x:c>
      <x:c r="H23" s="1" t="n">
        <x:f>'設定と出典'!D59</x:f>
        <x:v>50</x:v>
      </x:c>
      <x:c r="I23" s="1" t="n">
        <x:f>'設定と出典'!E59</x:f>
        <x:v>2</x:v>
      </x:c>
      <x:c r="J23" s="1" t="n">
        <x:f>'設定と出典'!F59</x:f>
        <x:v>2.5</x:v>
      </x:c>
      <x:c r="K23" s="1" t="n">
        <x:f>'設定と出典'!G59</x:f>
        <x:v>5</x:v>
      </x:c>
      <x:c r="L23" s="1" t="n">
        <x:f>'設定と出典'!H59</x:f>
        <x:v>20</x:v>
      </x:c>
      <x:c r="M23" s="1" t="n">
        <x:f>A23*D23</x:f>
        <x:v>5000</x:v>
      </x:c>
      <x:c r="N23" s="1" t="n">
        <x:f>M23*F23</x:f>
        <x:v>400000</x:v>
      </x:c>
      <x:c r="O23" s="1" t="n">
        <x:f>N23*G23</x:f>
        <x:v>1200000</x:v>
      </x:c>
      <x:c r="P23" s="1" t="n">
        <x:f>O23*H23/1024</x:f>
        <x:v>58593.75</x:v>
      </x:c>
      <x:c r="Q23" s="1" t="n">
        <x:f>P23*I23</x:f>
        <x:v>117187.5</x:v>
      </x:c>
      <x:c r="R23" s="1" t="n">
        <x:f>P23*('設定と出典'!$B$34+'設定と出典'!$B$35)/'設定と出典'!$B$7</x:f>
        <x:v>54687.5</x:v>
      </x:c>
      <x:c r="S23" s="1" t="n">
        <x:f>O23*K23</x:f>
        <x:v>6000000</x:v>
      </x:c>
      <x:c r="T23" s="7" t="n">
        <x:f>A23*E23</x:f>
        <x:v>800000</x:v>
      </x:c>
      <x:c r="U23" s="7" t="n">
        <x:f>A23*'設定と出典'!$B$26</x:f>
        <x:v>5000</x:v>
      </x:c>
      <x:c r="V23" s="7" t="n">
        <x:f>M23*'設定と出典'!$B$27</x:f>
        <x:v>10000</x:v>
      </x:c>
      <x:c r="W23" s="7" t="n">
        <x:f>(N23*'設定と出典'!$B$36+S23)*('設定と出典'!$B$43*'設定と出典'!$B$8+'設定と出典'!$B$44*'設定と出典'!$B$9)*'設定と出典'!$B$12*'設定と出典'!$B$6</x:f>
        <x:v>24993.302352032202</x:v>
      </x:c>
      <x:c r="X23" s="7" t="n">
        <x:f>N23*I23*'設定と出典'!$B$37*('設定と出典'!$B$45*'設定と出典'!$B$8+'設定と出典'!$B$46*'設定と出典'!$B$9)*'設定と出典'!$B$12*'設定と出典'!$B$6</x:f>
        <x:v>653.4196693341751</x:v>
      </x:c>
      <x:c r="Y23" s="7" t="n">
        <x:f>MAX(0,S23*('設定と出典'!$B$13*'設定と出典'!$B$8+'設定と出典'!$B$14*'設定と出典'!$B$9)-MIN(S23,'設定と出典'!$B$7*86400*'設定と出典'!$B$15)*('設定と出典'!$B$13*'設定と出典'!$B$10+'設定と出典'!$B$14*'設定と出典'!$B$11))*'設定と出典'!$B$12*'設定と出典'!$B$6</x:f>
        <x:v>24931.685891616493</x:v>
      </x:c>
      <x:c r="Z23" s="7" t="n">
        <x:f>O23*('設定と出典'!$B$41*'設定と出典'!$B$18+('設定と出典'!$B$42+I23)*'設定と出典'!$B$19)/1000*'設定と出典'!$B$6</x:f>
        <x:v>1188</x:v>
      </x:c>
      <x:c r="AA23" s="7" t="n">
        <x:f>N23*(1+J23)*'設定と出典'!$B$21</x:f>
        <x:v>140000</x:v>
      </x:c>
      <x:c r="AB23" s="7" t="n">
        <x:f>N23*'設定と出典'!$B$40/1048576*'設定と出典'!$B$20*'設定と出典'!$B$6+N23*'設定と出典'!$B$39/1000000*'設定と出典'!$B$38*'設定と出典'!$B$6</x:f>
        <x:v>535.32275390625</x:v>
      </x:c>
      <x:c r="AC23" s="7" t="n">
        <x:f>R23*'設定と出典'!$B$16*'設定と出典'!$B$6</x:f>
        <x:v>205078.125</x:v>
      </x:c>
      <x:c r="AD23" s="7" t="n">
        <x:f>Q23*'設定と出典'!$B$17*'設定と出典'!$B$6</x:f>
        <x:v>2109375</x:v>
      </x:c>
      <x:c r="AE23" s="7" t="n">
        <x:f>'設定と出典'!B63</x:f>
        <x:v>13628.969418426243</x:v>
      </x:c>
      <x:c r="AF23" s="7" t="n">
        <x:f>SUM(U23:AE23)</x:f>
        <x:v>2535383.825085315</x:v>
      </x:c>
      <x:c r="AG23" s="7" t="n">
        <x:f>T23*'設定と出典'!$B$28</x:f>
        <x:v>28799.999999999996</x:v>
      </x:c>
      <x:c r="AH23" s="7" t="n">
        <x:f>(A23*L23+M23*'設定と出典'!$B$31)/60*'設定と出典'!$B$29</x:f>
        <x:v>166666.66666666666</x:v>
      </x:c>
      <x:c r="AI23" s="7" t="n">
        <x:f>'設定と出典'!$B$30*'設定と出典'!$B$29</x:f>
        <x:v>8000</x:v>
      </x:c>
      <x:c r="AJ23" s="7" t="n">
        <x:f>T23-SUM(AF23:AI23)</x:f>
        <x:v>-1938850.4917519814</x:v>
      </x:c>
      <x:c r="AK23" s="7" t="n">
        <x:f>AJ23-T23*'設定と出典'!$B$32</x:f>
        <x:v>-2338850.4917519814</x:v>
      </x:c>
      <x:c r="AL23" s="7" t="n">
        <x:f>AJ23-A23*MIN(E23,AV23)*'設定と出典'!$B$32</x:f>
        <x:v>-1988850.4917519814</x:v>
      </x:c>
      <x:c r="AM23" s="8" t="n">
        <x:f>AJ23/T23</x:f>
        <x:v>-2.4235631146899768</x:v>
      </x:c>
      <x:c r="AN23" s="8" t="n">
        <x:f>AK23/T23</x:f>
        <x:v>-2.9235631146899768</x:v>
      </x:c>
      <x:c r="AO23" s="8" t="n">
        <x:f>AJ23/T23</x:f>
        <x:v>-2.4235631146899768</x:v>
      </x:c>
      <x:c r="AP23" s="8" t="n">
        <x:f>AO23-'設定と出典'!$B$33</x:f>
        <x:v>-2.623563114689977</x:v>
      </x:c>
      <x:c r="AQ23" s="9" t="n">
        <x:f>SUM(W23:AD23)/N23</x:f>
        <x:v>6.266887139167222</x:v>
      </x:c>
      <x:c r="AR23" s="9" t="n">
        <x:f>MAX(0,(E23*(1-'設定と出典'!$B$28-'設定と出典'!$B$32)-(U23+V23+AH23+AI23+AE23)/A23)/AQ23)</x:f>
        <x:v>267.9230695978659</x:v>
      </x:c>
      <x:c r="AS23" s="9" t="n">
        <x:f>MAX(0,(E23*(1-'設定と出典'!$B$28 )-(U23+V23+AH23+AI23+AE23)/A23)/AQ23)</x:f>
        <x:v>906.1984862717239</x:v>
      </x:c>
      <x:c r="AT23" s="9" t="n">
        <x:f>MAX(0,(E23*(1-'設定と出典'!$B$28)-MIN(E23,AV23)*'設定と出典'!$B$32-(U23+V23+AH23+AI23+AE23)/A23)/AQ23)</x:f>
        <x:v>826.4140591874917</x:v>
      </x:c>
      <x:c r="AU23" s="9" t="str">
        <x:f>IF((T23*(1-'設定と出典'!$B$28-'設定と出典'!$B$32)-(AF23-AE23)-AH23)&lt;=0,"成立せず",(AE23+AI23)/((T23*(1-'設定と出典'!$B$28-'設定と出典'!$B$32)-(AF23-AE23)-AH23)/A23))</x:f>
        <x:v>成立せず</x:v>
      </x:c>
      <x:c r="AV23" s="9" t="n">
        <x:f>'設定と出典'!D53</x:f>
        <x:v>1000</x:v>
      </x:c>
      <x:c r="AW23" s="9" t="n">
        <x:f>IF(1-'設定と出典'!$B$28-'設定と出典'!$B$32-'設定と出典'!$B$33&lt;=0,0,MAX(0,MIN(E23,(AK23/A23-E23*'設定と出典'!$B$33)/(1-'設定と出典'!$B$28-'設定と出典'!$B$32-'設定と出典'!$B$33))))</x:f>
        <x:v>0</x:v>
      </x:c>
      <x:c r="AX23" s="1"/>
      <x:c r="AY23" s="1"/>
      <x:c r="AZ23" s="1"/>
      <x:c r="BA23" s="1"/>
    </x:row>
    <x:row r="24" ht="22" customHeight="1">
      <x:c r="A24" s="1" t="n">
        <x:v>500</x:v>
      </x:c>
      <x:c r="B24" s="1" t="str">
        <x:f>'設定と出典'!A51</x:f>
        <x:v>Starter</x:v>
      </x:c>
      <x:c r="C24" s="1" t="str">
        <x:f>'設定と出典'!A57</x:f>
        <x:v>低位</x:v>
      </x:c>
      <x:c r="D24" s="1" t="n">
        <x:f>'設定と出典'!B51</x:f>
        <x:v>5</x:v>
      </x:c>
      <x:c r="E24" s="1" t="n">
        <x:f>'設定と出典'!C51</x:f>
        <x:v>3000</x:v>
      </x:c>
      <x:c r="F24" s="1" t="n">
        <x:f>'設定と出典'!B57</x:f>
        <x:v>5</x:v>
      </x:c>
      <x:c r="G24" s="1" t="n">
        <x:f>'設定と出典'!C57</x:f>
        <x:v>1</x:v>
      </x:c>
      <x:c r="H24" s="1" t="n">
        <x:f>'設定と出典'!D57</x:f>
        <x:v>2</x:v>
      </x:c>
      <x:c r="I24" s="1" t="n">
        <x:f>'設定と出典'!E57</x:f>
        <x:v>1</x:v>
      </x:c>
      <x:c r="J24" s="1" t="n">
        <x:f>'設定と出典'!F57</x:f>
        <x:v>1.1</x:v>
      </x:c>
      <x:c r="K24" s="1" t="n">
        <x:f>'設定と出典'!G57</x:f>
        <x:v>1</x:v>
      </x:c>
      <x:c r="L24" s="1" t="n">
        <x:f>'設定と出典'!H57</x:f>
        <x:v>3</x:v>
      </x:c>
      <x:c r="M24" s="1" t="n">
        <x:f>A24*D24</x:f>
        <x:v>2500</x:v>
      </x:c>
      <x:c r="N24" s="1" t="n">
        <x:f>M24*F24</x:f>
        <x:v>12500</x:v>
      </x:c>
      <x:c r="O24" s="1" t="n">
        <x:f>N24*G24</x:f>
        <x:v>12500</x:v>
      </x:c>
      <x:c r="P24" s="1" t="n">
        <x:f>O24*H24/1024</x:f>
        <x:v>24.4140625</x:v>
      </x:c>
      <x:c r="Q24" s="1" t="n">
        <x:f>P24*I24</x:f>
        <x:v>24.4140625</x:v>
      </x:c>
      <x:c r="R24" s="1" t="n">
        <x:f>P24*('設定と出典'!$B$34+'設定と出典'!$B$35)/'設定と出典'!$B$7</x:f>
        <x:v>22.786458333333332</x:v>
      </x:c>
      <x:c r="S24" s="1" t="n">
        <x:f>O24*K24</x:f>
        <x:v>12500</x:v>
      </x:c>
      <x:c r="T24" s="7" t="n">
        <x:f>A24*E24</x:f>
        <x:v>1500000</x:v>
      </x:c>
      <x:c r="U24" s="7" t="n">
        <x:f>A24*'設定と出典'!$B$26</x:f>
        <x:v>25000</x:v>
      </x:c>
      <x:c r="V24" s="7" t="n">
        <x:f>M24*'設定と出典'!$B$27</x:f>
        <x:v>5000</x:v>
      </x:c>
      <x:c r="W24" s="7" t="n">
        <x:f>(N24*'設定と出典'!$B$36+S24)*('設定と出典'!$B$43*'設定と出典'!$B$8+'設定と出典'!$B$44*'設定と出典'!$B$9)*'設定と出典'!$B$12*'設定と出典'!$B$6</x:f>
        <x:v>66.36293516675217</x:v>
      </x:c>
      <x:c r="X24" s="7" t="n">
        <x:f>N24*I24*'設定と出典'!$B$37*('設定と出典'!$B$45*'設定と出典'!$B$8+'設定と出典'!$B$46*'設定と出典'!$B$9)*'設定と出典'!$B$12*'設定と出典'!$B$6</x:f>
        <x:v>10.209682333346485</x:v>
      </x:c>
      <x:c r="Y24" s="7" t="n">
        <x:f>MAX(0,S24*('設定と出典'!$B$13*'設定と出典'!$B$8+'設定と出典'!$B$14*'設定と出典'!$B$9)-MIN(S24,'設定と出典'!$B$7*86400*'設定と出典'!$B$15)*('設定と出典'!$B$13*'設定と出典'!$B$10+'設定と出典'!$B$14*'設定と出典'!$B$11))*'設定と出典'!$B$12*'設定と出典'!$B$6</x:f>
        <x:v>43.37014696909828</x:v>
      </x:c>
      <x:c r="Z24" s="7" t="n">
        <x:f>O24*('設定と出典'!$B$41*'設定と出典'!$B$18+('設定と出典'!$B$42+I24)*'設定と出典'!$B$19)/1000*'設定と出典'!$B$6</x:f>
        <x:v>11.625000000000002</x:v>
      </x:c>
      <x:c r="AA24" s="7" t="n">
        <x:f>N24*(1+J24)*'設定と出典'!$B$21</x:f>
        <x:v>2625</x:v>
      </x:c>
      <x:c r="AB24" s="7" t="n">
        <x:f>N24*'設定と出典'!$B$40/1048576*'設定と出典'!$B$20*'設定と出典'!$B$6+N24*'設定と出典'!$B$39/1000000*'設定と出典'!$B$38*'設定と出典'!$B$6</x:f>
        <x:v>16.728836059570312</x:v>
      </x:c>
      <x:c r="AC24" s="7" t="n">
        <x:f>R24*'設定と出典'!$B$16*'設定と出典'!$B$6</x:f>
        <x:v>85.44921875</x:v>
      </x:c>
      <x:c r="AD24" s="7" t="n">
        <x:f>Q24*'設定と出典'!$B$17*'設定と出典'!$B$6</x:f>
        <x:v>439.453125</x:v>
      </x:c>
      <x:c r="AE24" s="7" t="n">
        <x:f>'設定と出典'!B63</x:f>
        <x:v>13628.969418426243</x:v>
      </x:c>
      <x:c r="AF24" s="7" t="n">
        <x:f>SUM(U24:AE24)</x:f>
        <x:v>46927.168362705</x:v>
      </x:c>
      <x:c r="AG24" s="7" t="n">
        <x:f>T24*'設定と出典'!$B$28</x:f>
        <x:v>53999.99999999999</x:v>
      </x:c>
      <x:c r="AH24" s="7" t="n">
        <x:f>(A24*L24+M24*'設定と出典'!$B$31)/60*'設定と出典'!$B$29</x:f>
        <x:v>116666.66666666667</x:v>
      </x:c>
      <x:c r="AI24" s="7" t="n">
        <x:f>'設定と出典'!$B$30*'設定と出典'!$B$29</x:f>
        <x:v>8000</x:v>
      </x:c>
      <x:c r="AJ24" s="7" t="n">
        <x:f>T24-SUM(AF24:AI24)</x:f>
        <x:v>1274406.1649706285</x:v>
      </x:c>
      <x:c r="AK24" s="7" t="n">
        <x:f>AJ24-T24*'設定と出典'!$B$32</x:f>
        <x:v>524406.1649706285</x:v>
      </x:c>
      <x:c r="AL24" s="7" t="n">
        <x:f>AJ24-A24*MIN(E24,AV24)*'設定と出典'!$B$32</x:f>
        <x:v>1024406.1649706285</x:v>
      </x:c>
      <x:c r="AM24" s="8" t="n">
        <x:f>AJ24/T24</x:f>
        <x:v>0.849604109980419</x:v>
      </x:c>
      <x:c r="AN24" s="8" t="n">
        <x:f>AK24/T24</x:f>
        <x:v>0.34960410998041896</x:v>
      </x:c>
      <x:c r="AO24" s="8" t="n">
        <x:f>AJ24/T24</x:f>
        <x:v>0.849604109980419</x:v>
      </x:c>
      <x:c r="AP24" s="8" t="n">
        <x:f>AO24-'設定と出典'!$B$33</x:f>
        <x:v>0.6496041099804191</x:v>
      </x:c>
      <x:c r="AQ24" s="9" t="n">
        <x:f>SUM(W24:AD24)/N24</x:f>
        <x:v>0.26385591554230137</x:v>
      </x:c>
      <x:c r="AR24" s="9" t="n">
        <x:f>MAX(0,(E24*(1-'設定と出典'!$B$28-'設定と出典'!$B$32)-(U24+V24+AH24+AI24+AE24)/A24)/AQ24)</x:f>
        <x:v>3999.9433996415783</x:v>
      </x:c>
      <x:c r="AS24" s="9" t="n">
        <x:f>MAX(0,(E24*(1-'設定と出典'!$B$28 )-(U24+V24+AH24+AI24+AE24)/A24)/AQ24)</x:f>
        <x:v>9684.864266081355</x:v>
      </x:c>
      <x:c r="AT24" s="9" t="n">
        <x:f>MAX(0,(E24*(1-'設定と出典'!$B$28)-MIN(E24,AV24)*'設定と出典'!$B$32-(U24+V24+AH24+AI24+AE24)/A24)/AQ24)</x:f>
        <x:v>7789.890643934763</x:v>
      </x:c>
      <x:c r="AU24" s="9" t="n">
        <x:f>IF((T24*(1-'設定と出典'!$B$28-'設定と出典'!$B$32)-(AF24-AE24)-AH24)&lt;=0,"成立せず",(AE24+AI24)/((T24*(1-'設定と出典'!$B$28-'設定と出典'!$B$32)-(AF24-AE24)-AH24)/A24))</x:f>
        <x:v>19.805474095203017</x:v>
      </x:c>
      <x:c r="AV24" s="9" t="n">
        <x:f>'設定と出典'!D51</x:f>
        <x:v>1000</x:v>
      </x:c>
      <x:c r="AW24" s="9" t="n">
        <x:f>IF(1-'設定と出典'!$B$28-'設定と出典'!$B$32-'設定と出典'!$B$33&lt;=0,0,MAX(0,MIN(E24,(AK24/A24-E24*'設定と出典'!$B$33)/(1-'設定と出典'!$B$28-'設定と出典'!$B$32-'設定と出典'!$B$33))))</x:f>
        <x:v>1700.0467043229428</x:v>
      </x:c>
      <x:c r="AX24" s="1"/>
      <x:c r="AY24" s="1"/>
      <x:c r="AZ24" s="1"/>
      <x:c r="BA24" s="1"/>
    </x:row>
    <x:row r="25" ht="22" customHeight="1">
      <x:c r="A25" s="1" t="n">
        <x:v>500</x:v>
      </x:c>
      <x:c r="B25" s="1" t="str">
        <x:f>'設定と出典'!A51</x:f>
        <x:v>Starter</x:v>
      </x:c>
      <x:c r="C25" s="1" t="str">
        <x:f>'設定と出典'!A58</x:f>
        <x:v>標準</x:v>
      </x:c>
      <x:c r="D25" s="1" t="n">
        <x:f>'設定と出典'!B51</x:f>
        <x:v>5</x:v>
      </x:c>
      <x:c r="E25" s="1" t="n">
        <x:f>'設定と出典'!C51</x:f>
        <x:v>3000</x:v>
      </x:c>
      <x:c r="F25" s="1" t="n">
        <x:f>'設定と出典'!B58</x:f>
        <x:v>20</x:v>
      </x:c>
      <x:c r="G25" s="1" t="n">
        <x:f>'設定と出典'!C58</x:f>
        <x:v>2</x:v>
      </x:c>
      <x:c r="H25" s="1" t="n">
        <x:f>'設定と出典'!D58</x:f>
        <x:v>10</x:v>
      </x:c>
      <x:c r="I25" s="1" t="n">
        <x:f>'設定と出典'!E58</x:f>
        <x:v>1.5</x:v>
      </x:c>
      <x:c r="J25" s="1" t="n">
        <x:f>'設定と出典'!F58</x:f>
        <x:v>1.8</x:v>
      </x:c>
      <x:c r="K25" s="1" t="n">
        <x:f>'設定と出典'!G58</x:f>
        <x:v>2</x:v>
      </x:c>
      <x:c r="L25" s="1" t="n">
        <x:f>'設定と出典'!H58</x:f>
        <x:v>8</x:v>
      </x:c>
      <x:c r="M25" s="1" t="n">
        <x:f>A25*D25</x:f>
        <x:v>2500</x:v>
      </x:c>
      <x:c r="N25" s="1" t="n">
        <x:f>M25*F25</x:f>
        <x:v>50000</x:v>
      </x:c>
      <x:c r="O25" s="1" t="n">
        <x:f>N25*G25</x:f>
        <x:v>100000</x:v>
      </x:c>
      <x:c r="P25" s="1" t="n">
        <x:f>O25*H25/1024</x:f>
        <x:v>976.5625</x:v>
      </x:c>
      <x:c r="Q25" s="1" t="n">
        <x:f>P25*I25</x:f>
        <x:v>1464.84375</x:v>
      </x:c>
      <x:c r="R25" s="1" t="n">
        <x:f>P25*('設定と出典'!$B$34+'設定と出典'!$B$35)/'設定と出典'!$B$7</x:f>
        <x:v>911.4583333333334</x:v>
      </x:c>
      <x:c r="S25" s="1" t="n">
        <x:f>O25*K25</x:f>
        <x:v>200000</x:v>
      </x:c>
      <x:c r="T25" s="7" t="n">
        <x:f>A25*E25</x:f>
        <x:v>1500000</x:v>
      </x:c>
      <x:c r="U25" s="7" t="n">
        <x:f>A25*'設定と出典'!$B$26</x:f>
        <x:v>25000</x:v>
      </x:c>
      <x:c r="V25" s="7" t="n">
        <x:f>M25*'設定と出典'!$B$27</x:f>
        <x:v>5000</x:v>
      </x:c>
      <x:c r="W25" s="7" t="n">
        <x:f>(N25*'設定と出典'!$B$36+S25)*('設定と出典'!$B$43*'設定と出典'!$B$8+'設定と出典'!$B$44*'設定と出典'!$B$9)*'設定と出典'!$B$12*'設定と出典'!$B$6</x:f>
        <x:v>878.032680667798</x:v>
      </x:c>
      <x:c r="X25" s="7" t="n">
        <x:f>N25*I25*'設定と出典'!$B$37*('設定と出典'!$B$45*'設定と出典'!$B$8+'設定と出典'!$B$46*'設定と出典'!$B$9)*'設定と出典'!$B$12*'設定と出典'!$B$6</x:f>
        <x:v>61.25809400007892</x:v>
      </x:c>
      <x:c r="Y25" s="7" t="n">
        <x:f>MAX(0,S25*('設定と出典'!$B$13*'設定と出典'!$B$8+'設定と出典'!$B$14*'設定と出典'!$B$9)-MIN(S25,'設定と出典'!$B$7*86400*'設定と出典'!$B$15)*('設定と出典'!$B$13*'設定と出典'!$B$10+'設定と出典'!$B$14*'設定と出典'!$B$11))*'設定と出典'!$B$12*'設定と出典'!$B$6</x:f>
        <x:v>693.9223515055725</x:v>
      </x:c>
      <x:c r="Z25" s="7" t="n">
        <x:f>O25*('設定と出典'!$B$41*'設定と出典'!$B$18+('設定と出典'!$B$42+I25)*'設定と出典'!$B$19)/1000*'設定と出典'!$B$6</x:f>
        <x:v>96</x:v>
      </x:c>
      <x:c r="AA25" s="7" t="n">
        <x:f>N25*(1+J25)*'設定と出典'!$B$21</x:f>
        <x:v>14000</x:v>
      </x:c>
      <x:c r="AB25" s="7" t="n">
        <x:f>N25*'設定と出典'!$B$40/1048576*'設定と出典'!$B$20*'設定と出典'!$B$6+N25*'設定と出典'!$B$39/1000000*'設定と出典'!$B$38*'設定と出典'!$B$6</x:f>
        <x:v>66.91534423828125</x:v>
      </x:c>
      <x:c r="AC25" s="7" t="n">
        <x:f>R25*'設定と出典'!$B$16*'設定と出典'!$B$6</x:f>
        <x:v>3417.9687500000005</x:v>
      </x:c>
      <x:c r="AD25" s="7" t="n">
        <x:f>Q25*'設定と出典'!$B$17*'設定と出典'!$B$6</x:f>
        <x:v>26367.1875</x:v>
      </x:c>
      <x:c r="AE25" s="7" t="n">
        <x:f>'設定と出典'!B63</x:f>
        <x:v>13628.969418426243</x:v>
      </x:c>
      <x:c r="AF25" s="7" t="n">
        <x:f>SUM(U25:AE25)</x:f>
        <x:v>89210.25413883798</x:v>
      </x:c>
      <x:c r="AG25" s="7" t="n">
        <x:f>T25*'設定と出典'!$B$28</x:f>
        <x:v>53999.99999999999</x:v>
      </x:c>
      <x:c r="AH25" s="7" t="n">
        <x:f>(A25*L25+M25*'設定と出典'!$B$31)/60*'設定と出典'!$B$29</x:f>
        <x:v>283333.3333333333</x:v>
      </x:c>
      <x:c r="AI25" s="7" t="n">
        <x:f>'設定と出典'!$B$30*'設定と出典'!$B$29</x:f>
        <x:v>8000</x:v>
      </x:c>
      <x:c r="AJ25" s="7" t="n">
        <x:f>T25-SUM(AF25:AI25)</x:f>
        <x:v>1065456.4125278287</x:v>
      </x:c>
      <x:c r="AK25" s="7" t="n">
        <x:f>AJ25-T25*'設定と出典'!$B$32</x:f>
        <x:v>315456.4125278287</x:v>
      </x:c>
      <x:c r="AL25" s="7" t="n">
        <x:f>AJ25-A25*MIN(E25,AV25)*'設定と出典'!$B$32</x:f>
        <x:v>815456.4125278287</x:v>
      </x:c>
      <x:c r="AM25" s="8" t="n">
        <x:f>AJ25/T25</x:f>
        <x:v>0.7103042750185524</x:v>
      </x:c>
      <x:c r="AN25" s="8" t="n">
        <x:f>AK25/T25</x:f>
        <x:v>0.21030427501855248</x:v>
      </x:c>
      <x:c r="AO25" s="8" t="n">
        <x:f>AJ25/T25</x:f>
        <x:v>0.7103042750185524</x:v>
      </x:c>
      <x:c r="AP25" s="8" t="n">
        <x:f>AO25-'設定と出典'!$B$33</x:f>
        <x:v>0.5103042750185525</x:v>
      </x:c>
      <x:c r="AQ25" s="9" t="n">
        <x:f>SUM(W25:AD25)/N25</x:f>
        <x:v>0.9116256944082346</x:v>
      </x:c>
      <x:c r="AR25" s="9" t="n">
        <x:f>MAX(0,(E25*(1-'設定と出典'!$B$28-'設定と出典'!$B$32)-(U25+V25+AH25+AI25+AE25)/A25)/AQ25)</x:f>
        <x:v>792.074421470978</x:v>
      </x:c>
      <x:c r="AS25" s="9" t="n">
        <x:f>MAX(0,(E25*(1-'設定と出典'!$B$28 )-(U25+V25+AH25+AI25+AE25)/A25)/AQ25)</x:f>
        <x:v>2437.486578237465</x:v>
      </x:c>
      <x:c r="AT25" s="9" t="n">
        <x:f>MAX(0,(E25*(1-'設定と出典'!$B$28)-MIN(E25,AV25)*'設定と出典'!$B$32-(U25+V25+AH25+AI25+AE25)/A25)/AQ25)</x:f>
        <x:v>1889.0158593153028</x:v>
      </x:c>
      <x:c r="AU25" s="9" t="n">
        <x:f>IF((T25*(1-'設定と出典'!$B$28-'設定と出典'!$B$32)-(AF25-AE25)-AH25)&lt;=0,"成立せず",(AE25+AI25)/((T25*(1-'設定と出典'!$B$28-'設定と出典'!$B$32)-(AF25-AE25)-AH25)/A25))</x:f>
        <x:v>32.082330734049414</x:v>
      </x:c>
      <x:c r="AV25" s="9" t="n">
        <x:f>'設定と出典'!D51</x:f>
        <x:v>1000</x:v>
      </x:c>
      <x:c r="AW25" s="9" t="n">
        <x:f>IF(1-'設定と出典'!$B$28-'設定と出典'!$B$32-'設定と出典'!$B$33&lt;=0,0,MAX(0,MIN(E25,(AK25/A25-E25*'設定と出典'!$B$33)/(1-'設定と出典'!$B$28-'設定と出典'!$B$32-'設定と出典'!$B$33))))</x:f>
        <x:v>117.09403430173273</x:v>
      </x:c>
      <x:c r="AX25" s="1"/>
      <x:c r="AY25" s="1"/>
      <x:c r="AZ25" s="1"/>
      <x:c r="BA25" s="1"/>
    </x:row>
    <x:row r="26" ht="22" customHeight="1">
      <x:c r="A26" s="1" t="n">
        <x:v>500</x:v>
      </x:c>
      <x:c r="B26" s="1" t="str">
        <x:f>'設定と出典'!A51</x:f>
        <x:v>Starter</x:v>
      </x:c>
      <x:c r="C26" s="1" t="str">
        <x:f>'設定と出典'!A59</x:f>
        <x:v>高位</x:v>
      </x:c>
      <x:c r="D26" s="1" t="n">
        <x:f>'設定と出典'!B51</x:f>
        <x:v>5</x:v>
      </x:c>
      <x:c r="E26" s="1" t="n">
        <x:f>'設定と出典'!C51</x:f>
        <x:v>3000</x:v>
      </x:c>
      <x:c r="F26" s="1" t="n">
        <x:f>'設定と出典'!B59</x:f>
        <x:v>80</x:v>
      </x:c>
      <x:c r="G26" s="1" t="n">
        <x:f>'設定と出典'!C59</x:f>
        <x:v>3</x:v>
      </x:c>
      <x:c r="H26" s="1" t="n">
        <x:f>'設定と出典'!D59</x:f>
        <x:v>50</x:v>
      </x:c>
      <x:c r="I26" s="1" t="n">
        <x:f>'設定と出典'!E59</x:f>
        <x:v>2</x:v>
      </x:c>
      <x:c r="J26" s="1" t="n">
        <x:f>'設定と出典'!F59</x:f>
        <x:v>2.5</x:v>
      </x:c>
      <x:c r="K26" s="1" t="n">
        <x:f>'設定と出典'!G59</x:f>
        <x:v>5</x:v>
      </x:c>
      <x:c r="L26" s="1" t="n">
        <x:f>'設定と出典'!H59</x:f>
        <x:v>20</x:v>
      </x:c>
      <x:c r="M26" s="1" t="n">
        <x:f>A26*D26</x:f>
        <x:v>2500</x:v>
      </x:c>
      <x:c r="N26" s="1" t="n">
        <x:f>M26*F26</x:f>
        <x:v>200000</x:v>
      </x:c>
      <x:c r="O26" s="1" t="n">
        <x:f>N26*G26</x:f>
        <x:v>600000</x:v>
      </x:c>
      <x:c r="P26" s="1" t="n">
        <x:f>O26*H26/1024</x:f>
        <x:v>29296.875</x:v>
      </x:c>
      <x:c r="Q26" s="1" t="n">
        <x:f>P26*I26</x:f>
        <x:v>58593.75</x:v>
      </x:c>
      <x:c r="R26" s="1" t="n">
        <x:f>P26*('設定と出典'!$B$34+'設定と出典'!$B$35)/'設定と出典'!$B$7</x:f>
        <x:v>27343.75</x:v>
      </x:c>
      <x:c r="S26" s="1" t="n">
        <x:f>O26*K26</x:f>
        <x:v>3000000</x:v>
      </x:c>
      <x:c r="T26" s="7" t="n">
        <x:f>A26*E26</x:f>
        <x:v>1500000</x:v>
      </x:c>
      <x:c r="U26" s="7" t="n">
        <x:f>A26*'設定と出典'!$B$26</x:f>
        <x:v>25000</x:v>
      </x:c>
      <x:c r="V26" s="7" t="n">
        <x:f>M26*'設定と出典'!$B$27</x:f>
        <x:v>5000</x:v>
      </x:c>
      <x:c r="W26" s="7" t="n">
        <x:f>(N26*'設定と出典'!$B$36+S26)*('設定と出典'!$B$43*'設定と出典'!$B$8+'設定と出典'!$B$44*'設定と出典'!$B$9)*'設定と出典'!$B$12*'設定と出典'!$B$6</x:f>
        <x:v>12496.651176016101</x:v>
      </x:c>
      <x:c r="X26" s="7" t="n">
        <x:f>N26*I26*'設定と出典'!$B$37*('設定と出典'!$B$45*'設定と出典'!$B$8+'設定と出典'!$B$46*'設定と出典'!$B$9)*'設定と出典'!$B$12*'設定と出典'!$B$6</x:f>
        <x:v>326.70983466708753</x:v>
      </x:c>
      <x:c r="Y26" s="7" t="n">
        <x:f>MAX(0,S26*('設定と出典'!$B$13*'設定と出典'!$B$8+'設定と出典'!$B$14*'設定と出典'!$B$9)-MIN(S26,'設定と出典'!$B$7*86400*'設定と出典'!$B$15)*('設定と出典'!$B$13*'設定と出典'!$B$10+'設定と出典'!$B$14*'設定と出典'!$B$11))*'設定と出典'!$B$12*'設定と出典'!$B$6</x:f>
        <x:v>10901.358236595128</x:v>
      </x:c>
      <x:c r="Z26" s="7" t="n">
        <x:f>O26*('設定と出典'!$B$41*'設定と出典'!$B$18+('設定と出典'!$B$42+I26)*'設定と出典'!$B$19)/1000*'設定と出典'!$B$6</x:f>
        <x:v>594</x:v>
      </x:c>
      <x:c r="AA26" s="7" t="n">
        <x:f>N26*(1+J26)*'設定と出典'!$B$21</x:f>
        <x:v>70000</x:v>
      </x:c>
      <x:c r="AB26" s="7" t="n">
        <x:f>N26*'設定と出典'!$B$40/1048576*'設定と出典'!$B$20*'設定と出典'!$B$6+N26*'設定と出典'!$B$39/1000000*'設定と出典'!$B$38*'設定と出典'!$B$6</x:f>
        <x:v>267.661376953125</x:v>
      </x:c>
      <x:c r="AC26" s="7" t="n">
        <x:f>R26*'設定と出典'!$B$16*'設定と出典'!$B$6</x:f>
        <x:v>102539.0625</x:v>
      </x:c>
      <x:c r="AD26" s="7" t="n">
        <x:f>Q26*'設定と出典'!$B$17*'設定と出典'!$B$6</x:f>
        <x:v>1054687.5</x:v>
      </x:c>
      <x:c r="AE26" s="7" t="n">
        <x:f>'設定と出典'!B63</x:f>
        <x:v>13628.969418426243</x:v>
      </x:c>
      <x:c r="AF26" s="7" t="n">
        <x:f>SUM(U26:AE26)</x:f>
        <x:v>1295441.9125426577</x:v>
      </x:c>
      <x:c r="AG26" s="7" t="n">
        <x:f>T26*'設定と出典'!$B$28</x:f>
        <x:v>53999.99999999999</x:v>
      </x:c>
      <x:c r="AH26" s="7" t="n">
        <x:f>(A26*L26+M26*'設定と出典'!$B$31)/60*'設定と出典'!$B$29</x:f>
        <x:v>683333.3333333334</x:v>
      </x:c>
      <x:c r="AI26" s="7" t="n">
        <x:f>'設定と出典'!$B$30*'設定と出典'!$B$29</x:f>
        <x:v>8000</x:v>
      </x:c>
      <x:c r="AJ26" s="7" t="n">
        <x:f>T26-SUM(AF26:AI26)</x:f>
        <x:v>-540775.245875991</x:v>
      </x:c>
      <x:c r="AK26" s="7" t="n">
        <x:f>AJ26-T26*'設定と出典'!$B$32</x:f>
        <x:v>-1290775.245875991</x:v>
      </x:c>
      <x:c r="AL26" s="7" t="n">
        <x:f>AJ26-A26*MIN(E26,AV26)*'設定と出典'!$B$32</x:f>
        <x:v>-790775.245875991</x:v>
      </x:c>
      <x:c r="AM26" s="8" t="n">
        <x:f>AJ26/T26</x:f>
        <x:v>-0.360516830583994</x:v>
      </x:c>
      <x:c r="AN26" s="8" t="n">
        <x:f>AK26/T26</x:f>
        <x:v>-0.860516830583994</x:v>
      </x:c>
      <x:c r="AO26" s="8" t="n">
        <x:f>AJ26/T26</x:f>
        <x:v>-0.360516830583994</x:v>
      </x:c>
      <x:c r="AP26" s="8" t="n">
        <x:f>AO26-'設定と出典'!$B$33</x:f>
        <x:v>-0.560516830583994</x:v>
      </x:c>
      <x:c r="AQ26" s="9" t="n">
        <x:f>SUM(W26:AD26)/N26</x:f>
        <x:v>6.259064715621157</x:v>
      </x:c>
      <x:c r="AR26" s="9" t="n">
        <x:f>MAX(0,(E26*(1-'設定と出典'!$B$28-'設定と出典'!$B$32)-(U26+V26+AH26+AI26+AE26)/A26)/AQ26)</x:f>
        <x:v>0</x:v>
      </x:c>
      <x:c r="AS26" s="9" t="n">
        <x:f>MAX(0,(E26*(1-'設定と出典'!$B$28 )-(U26+V26+AH26+AI26+AE26)/A26)/AQ26)</x:f>
        <x:v>227.20253889487898</x:v>
      </x:c>
      <x:c r="AT26" s="9" t="n">
        <x:f>MAX(0,(E26*(1-'設定と出典'!$B$28)-MIN(E26,AV26)*'設定と出典'!$B$32-(U26+V26+AH26+AI26+AE26)/A26)/AQ26)</x:f>
        <x:v>147.31839921629134</x:v>
      </x:c>
      <x:c r="AU26" s="9" t="str">
        <x:f>IF((T26*(1-'設定と出典'!$B$28-'設定と出典'!$B$32)-(AF26-AE26)-AH26)&lt;=0,"成立せず",(AE26+AI26)/((T26*(1-'設定と出典'!$B$28-'設定と出典'!$B$32)-(AF26-AE26)-AH26)/A26))</x:f>
        <x:v>成立せず</x:v>
      </x:c>
      <x:c r="AV26" s="9" t="n">
        <x:f>'設定と出典'!D51</x:f>
        <x:v>1000</x:v>
      </x:c>
      <x:c r="AW26" s="9" t="n">
        <x:f>IF(1-'設定と出典'!$B$28-'設定と出典'!$B$32-'設定と出典'!$B$33&lt;=0,0,MAX(0,MIN(E26,(AK26/A26-E26*'設定と出典'!$B$33)/(1-'設定と出典'!$B$28-'設定と出典'!$B$32-'設定と出典'!$B$33))))</x:f>
        <x:v>0</x:v>
      </x:c>
      <x:c r="AX26" s="1"/>
      <x:c r="AY26" s="1"/>
      <x:c r="AZ26" s="1"/>
      <x:c r="BA26" s="1"/>
    </x:row>
    <x:row r="27" ht="22" customHeight="1">
      <x:c r="A27" s="1" t="n">
        <x:v>500</x:v>
      </x:c>
      <x:c r="B27" s="1" t="str">
        <x:f>'設定と出典'!A52</x:f>
        <x:v>Business</x:v>
      </x:c>
      <x:c r="C27" s="1" t="str">
        <x:f>'設定と出典'!A57</x:f>
        <x:v>低位</x:v>
      </x:c>
      <x:c r="D27" s="1" t="n">
        <x:f>'設定と出典'!B52</x:f>
        <x:v>20</x:v>
      </x:c>
      <x:c r="E27" s="1" t="n">
        <x:f>'設定と出典'!C52</x:f>
        <x:v>5000</x:v>
      </x:c>
      <x:c r="F27" s="1" t="n">
        <x:f>'設定と出典'!B57</x:f>
        <x:v>5</x:v>
      </x:c>
      <x:c r="G27" s="1" t="n">
        <x:f>'設定と出典'!C57</x:f>
        <x:v>1</x:v>
      </x:c>
      <x:c r="H27" s="1" t="n">
        <x:f>'設定と出典'!D57</x:f>
        <x:v>2</x:v>
      </x:c>
      <x:c r="I27" s="1" t="n">
        <x:f>'設定と出典'!E57</x:f>
        <x:v>1</x:v>
      </x:c>
      <x:c r="J27" s="1" t="n">
        <x:f>'設定と出典'!F57</x:f>
        <x:v>1.1</x:v>
      </x:c>
      <x:c r="K27" s="1" t="n">
        <x:f>'設定と出典'!G57</x:f>
        <x:v>1</x:v>
      </x:c>
      <x:c r="L27" s="1" t="n">
        <x:f>'設定と出典'!H57</x:f>
        <x:v>3</x:v>
      </x:c>
      <x:c r="M27" s="1" t="n">
        <x:f>A27*D27</x:f>
        <x:v>10000</x:v>
      </x:c>
      <x:c r="N27" s="1" t="n">
        <x:f>M27*F27</x:f>
        <x:v>50000</x:v>
      </x:c>
      <x:c r="O27" s="1" t="n">
        <x:f>N27*G27</x:f>
        <x:v>50000</x:v>
      </x:c>
      <x:c r="P27" s="1" t="n">
        <x:f>O27*H27/1024</x:f>
        <x:v>97.65625</x:v>
      </x:c>
      <x:c r="Q27" s="1" t="n">
        <x:f>P27*I27</x:f>
        <x:v>97.65625</x:v>
      </x:c>
      <x:c r="R27" s="1" t="n">
        <x:f>P27*('設定と出典'!$B$34+'設定と出典'!$B$35)/'設定と出典'!$B$7</x:f>
        <x:v>91.14583333333333</x:v>
      </x:c>
      <x:c r="S27" s="1" t="n">
        <x:f>O27*K27</x:f>
        <x:v>50000</x:v>
      </x:c>
      <x:c r="T27" s="7" t="n">
        <x:f>A27*E27</x:f>
        <x:v>2500000</x:v>
      </x:c>
      <x:c r="U27" s="7" t="n">
        <x:f>A27*'設定と出典'!$B$26</x:f>
        <x:v>25000</x:v>
      </x:c>
      <x:c r="V27" s="7" t="n">
        <x:f>M27*'設定と出典'!$B$27</x:f>
        <x:v>20000</x:v>
      </x:c>
      <x:c r="W27" s="7" t="n">
        <x:f>(N27*'設定と出典'!$B$36+S27)*('設定と出典'!$B$43*'設定と出典'!$B$8+'設定と出典'!$B$44*'設定と出典'!$B$9)*'設定と出典'!$B$12*'設定と出典'!$B$6</x:f>
        <x:v>265.45174066700866</x:v>
      </x:c>
      <x:c r="X27" s="7" t="n">
        <x:f>N27*I27*'設定と出典'!$B$37*('設定と出典'!$B$45*'設定と出典'!$B$8+'設定と出典'!$B$46*'設定と出典'!$B$9)*'設定と出典'!$B$12*'設定と出典'!$B$6</x:f>
        <x:v>40.83872933338594</x:v>
      </x:c>
      <x:c r="Y27" s="7" t="n">
        <x:f>MAX(0,S27*('設定と出典'!$B$13*'設定と出典'!$B$8+'設定と出典'!$B$14*'設定と出典'!$B$9)-MIN(S27,'設定と出典'!$B$7*86400*'設定と出典'!$B$15)*('設定と出典'!$B$13*'設定と出典'!$B$10+'設定と出典'!$B$14*'設定と出典'!$B$11))*'設定と出典'!$B$12*'設定と出典'!$B$6</x:f>
        <x:v>173.48058787639312</x:v>
      </x:c>
      <x:c r="Z27" s="7" t="n">
        <x:f>O27*('設定と出典'!$B$41*'設定と出典'!$B$18+('設定と出典'!$B$42+I27)*'設定と出典'!$B$19)/1000*'設定と出典'!$B$6</x:f>
        <x:v>46.50000000000001</x:v>
      </x:c>
      <x:c r="AA27" s="7" t="n">
        <x:f>N27*(1+J27)*'設定と出典'!$B$21</x:f>
        <x:v>10500</x:v>
      </x:c>
      <x:c r="AB27" s="7" t="n">
        <x:f>N27*'設定と出典'!$B$40/1048576*'設定と出典'!$B$20*'設定と出典'!$B$6+N27*'設定と出典'!$B$39/1000000*'設定と出典'!$B$38*'設定と出典'!$B$6</x:f>
        <x:v>66.91534423828125</x:v>
      </x:c>
      <x:c r="AC27" s="7" t="n">
        <x:f>R27*'設定と出典'!$B$16*'設定と出典'!$B$6</x:f>
        <x:v>341.796875</x:v>
      </x:c>
      <x:c r="AD27" s="7" t="n">
        <x:f>Q27*'設定と出典'!$B$17*'設定と出典'!$B$6</x:f>
        <x:v>1757.8125</x:v>
      </x:c>
      <x:c r="AE27" s="7" t="n">
        <x:f>'設定と出典'!B63</x:f>
        <x:v>13628.969418426243</x:v>
      </x:c>
      <x:c r="AF27" s="7" t="n">
        <x:f>SUM(U27:AE27)</x:f>
        <x:v>71821.76519554132</x:v>
      </x:c>
      <x:c r="AG27" s="7" t="n">
        <x:f>T27*'設定と出典'!$B$28</x:f>
        <x:v>90000</x:v>
      </x:c>
      <x:c r="AH27" s="7" t="n">
        <x:f>(A27*L27+M27*'設定と出典'!$B$31)/60*'設定と出典'!$B$29</x:f>
        <x:v>166666.66666666666</x:v>
      </x:c>
      <x:c r="AI27" s="7" t="n">
        <x:f>'設定と出典'!$B$30*'設定と出典'!$B$29</x:f>
        <x:v>8000</x:v>
      </x:c>
      <x:c r="AJ27" s="7" t="n">
        <x:f>T27-SUM(AF27:AI27)</x:f>
        <x:v>2163511.568137792</x:v>
      </x:c>
      <x:c r="AK27" s="7" t="n">
        <x:f>AJ27-T27*'設定と出典'!$B$32</x:f>
        <x:v>913511.5681377919</x:v>
      </x:c>
      <x:c r="AL27" s="7" t="n">
        <x:f>AJ27-A27*MIN(E27,AV27)*'設定と出典'!$B$32</x:f>
        <x:v>1913511.568137792</x:v>
      </x:c>
      <x:c r="AM27" s="8" t="n">
        <x:f>AJ27/T27</x:f>
        <x:v>0.8654046272551168</x:v>
      </x:c>
      <x:c r="AN27" s="8" t="n">
        <x:f>AK27/T27</x:f>
        <x:v>0.3654046272551168</x:v>
      </x:c>
      <x:c r="AO27" s="8" t="n">
        <x:f>AJ27/T27</x:f>
        <x:v>0.8654046272551168</x:v>
      </x:c>
      <x:c r="AP27" s="8" t="n">
        <x:f>AO27-'設定と出典'!$B$33</x:f>
        <x:v>0.6654046272551168</x:v>
      </x:c>
      <x:c r="AQ27" s="9" t="n">
        <x:f>SUM(W27:AD27)/N27</x:f>
        <x:v>0.26385591554230137</x:v>
      </x:c>
      <x:c r="AR27" s="9" t="n">
        <x:f>MAX(0,(E27*(1-'設定と出典'!$B$28-'設定と出典'!$B$32)-(U27+V27+AH27+AI27+AE27)/A27)/AQ27)</x:f>
        <x:v>7024.32130058754</x:v>
      </x:c>
      <x:c r="AS27" s="9" t="n">
        <x:f>MAX(0,(E27*(1-'設定と出典'!$B$28 )-(U27+V27+AH27+AI27+AE27)/A27)/AQ27)</x:f>
        <x:v>16499.189411320498</x:v>
      </x:c>
      <x:c r="AT27" s="9" t="n">
        <x:f>MAX(0,(E27*(1-'設定と出典'!$B$28)-MIN(E27,AV27)*'設定と出典'!$B$32-(U27+V27+AH27+AI27+AE27)/A27)/AQ27)</x:f>
        <x:v>14604.215789173906</x:v>
      </x:c>
      <x:c r="AU27" s="9" t="n">
        <x:f>IF((T27*(1-'設定と出典'!$B$28-'設定と出典'!$B$32)-(AF27-AE27)-AH27)&lt;=0,"成立せず",(AE27+AI27)/((T27*(1-'設定と出典'!$B$28-'設定と出典'!$B$32)-(AF27-AE27)-AH27)/A27))</x:f>
        <x:v>11.564555566668481</x:v>
      </x:c>
      <x:c r="AV27" s="9" t="n">
        <x:f>'設定と出典'!D52</x:f>
        <x:v>1000</x:v>
      </x:c>
      <x:c r="AW27" s="9" t="n">
        <x:f>IF(1-'設定と出典'!$B$28-'設定と出典'!$B$32-'設定と出典'!$B$33&lt;=0,0,MAX(0,MIN(E27,(AK27/A27-E27*'設定と出典'!$B$33)/(1-'設定と出典'!$B$28-'設定と出典'!$B$32-'設定と出典'!$B$33))))</x:f>
        <x:v>3132.663394983273</x:v>
      </x:c>
      <x:c r="AX27" s="1"/>
      <x:c r="AY27" s="1"/>
      <x:c r="AZ27" s="1"/>
      <x:c r="BA27" s="1"/>
    </x:row>
    <x:row r="28" ht="22" customHeight="1">
      <x:c r="A28" s="1" t="n">
        <x:v>500</x:v>
      </x:c>
      <x:c r="B28" s="1" t="str">
        <x:f>'設定と出典'!A52</x:f>
        <x:v>Business</x:v>
      </x:c>
      <x:c r="C28" s="1" t="str">
        <x:f>'設定と出典'!A58</x:f>
        <x:v>標準</x:v>
      </x:c>
      <x:c r="D28" s="1" t="n">
        <x:f>'設定と出典'!B52</x:f>
        <x:v>20</x:v>
      </x:c>
      <x:c r="E28" s="1" t="n">
        <x:f>'設定と出典'!C52</x:f>
        <x:v>5000</x:v>
      </x:c>
      <x:c r="F28" s="1" t="n">
        <x:f>'設定と出典'!B58</x:f>
        <x:v>20</x:v>
      </x:c>
      <x:c r="G28" s="1" t="n">
        <x:f>'設定と出典'!C58</x:f>
        <x:v>2</x:v>
      </x:c>
      <x:c r="H28" s="1" t="n">
        <x:f>'設定と出典'!D58</x:f>
        <x:v>10</x:v>
      </x:c>
      <x:c r="I28" s="1" t="n">
        <x:f>'設定と出典'!E58</x:f>
        <x:v>1.5</x:v>
      </x:c>
      <x:c r="J28" s="1" t="n">
        <x:f>'設定と出典'!F58</x:f>
        <x:v>1.8</x:v>
      </x:c>
      <x:c r="K28" s="1" t="n">
        <x:f>'設定と出典'!G58</x:f>
        <x:v>2</x:v>
      </x:c>
      <x:c r="L28" s="1" t="n">
        <x:f>'設定と出典'!H58</x:f>
        <x:v>8</x:v>
      </x:c>
      <x:c r="M28" s="1" t="n">
        <x:f>A28*D28</x:f>
        <x:v>10000</x:v>
      </x:c>
      <x:c r="N28" s="1" t="n">
        <x:f>M28*F28</x:f>
        <x:v>200000</x:v>
      </x:c>
      <x:c r="O28" s="1" t="n">
        <x:f>N28*G28</x:f>
        <x:v>400000</x:v>
      </x:c>
      <x:c r="P28" s="1" t="n">
        <x:f>O28*H28/1024</x:f>
        <x:v>3906.25</x:v>
      </x:c>
      <x:c r="Q28" s="1" t="n">
        <x:f>P28*I28</x:f>
        <x:v>5859.375</x:v>
      </x:c>
      <x:c r="R28" s="1" t="n">
        <x:f>P28*('設定と出典'!$B$34+'設定と出典'!$B$35)/'設定と出典'!$B$7</x:f>
        <x:v>3645.8333333333335</x:v>
      </x:c>
      <x:c r="S28" s="1" t="n">
        <x:f>O28*K28</x:f>
        <x:v>800000</x:v>
      </x:c>
      <x:c r="T28" s="7" t="n">
        <x:f>A28*E28</x:f>
        <x:v>2500000</x:v>
      </x:c>
      <x:c r="U28" s="7" t="n">
        <x:f>A28*'設定と出典'!$B$26</x:f>
        <x:v>25000</x:v>
      </x:c>
      <x:c r="V28" s="7" t="n">
        <x:f>M28*'設定と出典'!$B$27</x:f>
        <x:v>20000</x:v>
      </x:c>
      <x:c r="W28" s="7" t="n">
        <x:f>(N28*'設定と出典'!$B$36+S28)*('設定と出典'!$B$43*'設定と出典'!$B$8+'設定と出典'!$B$44*'設定と出典'!$B$9)*'設定と出典'!$B$12*'設定と出典'!$B$6</x:f>
        <x:v>3512.130722671192</x:v>
      </x:c>
      <x:c r="X28" s="7" t="n">
        <x:f>N28*I28*'設定と出典'!$B$37*('設定と出典'!$B$45*'設定と出典'!$B$8+'設定と出典'!$B$46*'設定と出典'!$B$9)*'設定と出典'!$B$12*'設定と出典'!$B$6</x:f>
        <x:v>245.03237600031568</x:v>
      </x:c>
      <x:c r="Y28" s="7" t="n">
        <x:f>MAX(0,S28*('設定と出典'!$B$13*'設定と出典'!$B$8+'設定と出典'!$B$14*'設定と出典'!$B$9)-MIN(S28,'設定と出典'!$B$7*86400*'設定と出典'!$B$15)*('設定と出典'!$B$13*'設定と出典'!$B$10+'設定と出典'!$B$14*'設定と出典'!$B$11))*'設定と出典'!$B$12*'設定と出典'!$B$6</x:f>
        <x:v>2775.68940602229</x:v>
      </x:c>
      <x:c r="Z28" s="7" t="n">
        <x:f>O28*('設定と出典'!$B$41*'設定と出典'!$B$18+('設定と出典'!$B$42+I28)*'設定と出典'!$B$19)/1000*'設定と出典'!$B$6</x:f>
        <x:v>384</x:v>
      </x:c>
      <x:c r="AA28" s="7" t="n">
        <x:f>N28*(1+J28)*'設定と出典'!$B$21</x:f>
        <x:v>56000</x:v>
      </x:c>
      <x:c r="AB28" s="7" t="n">
        <x:f>N28*'設定と出典'!$B$40/1048576*'設定と出典'!$B$20*'設定と出典'!$B$6+N28*'設定と出典'!$B$39/1000000*'設定と出典'!$B$38*'設定と出典'!$B$6</x:f>
        <x:v>267.661376953125</x:v>
      </x:c>
      <x:c r="AC28" s="7" t="n">
        <x:f>R28*'設定と出典'!$B$16*'設定と出典'!$B$6</x:f>
        <x:v>13671.875000000002</x:v>
      </x:c>
      <x:c r="AD28" s="7" t="n">
        <x:f>Q28*'設定と出典'!$B$17*'設定と出典'!$B$6</x:f>
        <x:v>105468.75</x:v>
      </x:c>
      <x:c r="AE28" s="7" t="n">
        <x:f>'設定と出典'!B63</x:f>
        <x:v>13628.969418426243</x:v>
      </x:c>
      <x:c r="AF28" s="7" t="n">
        <x:f>SUM(U28:AE28)</x:f>
        <x:v>240954.10830007316</x:v>
      </x:c>
      <x:c r="AG28" s="7" t="n">
        <x:f>T28*'設定と出典'!$B$28</x:f>
        <x:v>90000</x:v>
      </x:c>
      <x:c r="AH28" s="7" t="n">
        <x:f>(A28*L28+M28*'設定と出典'!$B$31)/60*'設定と出典'!$B$29</x:f>
        <x:v>333333.3333333333</x:v>
      </x:c>
      <x:c r="AI28" s="7" t="n">
        <x:f>'設定と出典'!$B$30*'設定と出典'!$B$29</x:f>
        <x:v>8000</x:v>
      </x:c>
      <x:c r="AJ28" s="7" t="n">
        <x:f>T28-SUM(AF28:AI28)</x:f>
        <x:v>1827712.5583665934</x:v>
      </x:c>
      <x:c r="AK28" s="7" t="n">
        <x:f>AJ28-T28*'設定と出典'!$B$32</x:f>
        <x:v>577712.5583665934</x:v>
      </x:c>
      <x:c r="AL28" s="7" t="n">
        <x:f>AJ28-A28*MIN(E28,AV28)*'設定と出典'!$B$32</x:f>
        <x:v>1577712.5583665934</x:v>
      </x:c>
      <x:c r="AM28" s="8" t="n">
        <x:f>AJ28/T28</x:f>
        <x:v>0.7310850233466374</x:v>
      </x:c>
      <x:c r="AN28" s="8" t="n">
        <x:f>AK28/T28</x:f>
        <x:v>0.23108502334663739</x:v>
      </x:c>
      <x:c r="AO28" s="8" t="n">
        <x:f>AJ28/T28</x:f>
        <x:v>0.7310850233466374</x:v>
      </x:c>
      <x:c r="AP28" s="8" t="n">
        <x:f>AO28-'設定と出典'!$B$33</x:f>
        <x:v>0.5310850233466373</x:v>
      </x:c>
      <x:c r="AQ28" s="9" t="n">
        <x:f>SUM(W28:AD28)/N28</x:f>
        <x:v>0.9116256944082346</x:v>
      </x:c>
      <x:c r="AR28" s="9" t="n">
        <x:f>MAX(0,(E28*(1-'設定と出典'!$B$28-'設定と出典'!$B$32)-(U28+V28+AH28+AI28+AE28)/A28)/AQ28)</x:f>
        <x:v>1667.4336888707492</x:v>
      </x:c>
      <x:c r="AS28" s="9" t="n">
        <x:f>MAX(0,(E28*(1-'設定と出典'!$B$28 )-(U28+V28+AH28+AI28+AE28)/A28)/AQ28)</x:f>
        <x:v>4409.787283481562</x:v>
      </x:c>
      <x:c r="AT28" s="9" t="n">
        <x:f>MAX(0,(E28*(1-'設定と出典'!$B$28)-MIN(E28,AV28)*'設定と出典'!$B$32-(U28+V28+AH28+AI28+AE28)/A28)/AQ28)</x:f>
        <x:v>3861.316564559399</x:v>
      </x:c>
      <x:c r="AU28" s="9" t="n">
        <x:f>IF((T28*(1-'設定と出典'!$B$28-'設定と出典'!$B$32)-(AF28-AE28)-AH28)&lt;=0,"成立せず",(AE28+AI28)/((T28*(1-'設定と出典'!$B$28-'設定と出典'!$B$32)-(AF28-AE28)-AH28)/A28))</x:f>
        <x:v>18.043943574509345</x:v>
      </x:c>
      <x:c r="AV28" s="9" t="n">
        <x:f>'設定と出典'!D52</x:f>
        <x:v>1000</x:v>
      </x:c>
      <x:c r="AW28" s="9" t="n">
        <x:f>IF(1-'設定と出典'!$B$28-'設定と出典'!$B$32-'設定と出典'!$B$33&lt;=0,0,MAX(0,MIN(E28,(AK28/A28-E28*'設定と出典'!$B$33)/(1-'設定と出典'!$B$28-'設定と出典'!$B$32-'設定と出典'!$B$33))))</x:f>
        <x:v>588.7315027772227</x:v>
      </x:c>
      <x:c r="AX28" s="1"/>
      <x:c r="AY28" s="1"/>
      <x:c r="AZ28" s="1"/>
      <x:c r="BA28" s="1"/>
    </x:row>
    <x:row r="29" ht="22" customHeight="1">
      <x:c r="A29" s="1" t="n">
        <x:v>500</x:v>
      </x:c>
      <x:c r="B29" s="1" t="str">
        <x:f>'設定と出典'!A52</x:f>
        <x:v>Business</x:v>
      </x:c>
      <x:c r="C29" s="1" t="str">
        <x:f>'設定と出典'!A59</x:f>
        <x:v>高位</x:v>
      </x:c>
      <x:c r="D29" s="1" t="n">
        <x:f>'設定と出典'!B52</x:f>
        <x:v>20</x:v>
      </x:c>
      <x:c r="E29" s="1" t="n">
        <x:f>'設定と出典'!C52</x:f>
        <x:v>5000</x:v>
      </x:c>
      <x:c r="F29" s="1" t="n">
        <x:f>'設定と出典'!B59</x:f>
        <x:v>80</x:v>
      </x:c>
      <x:c r="G29" s="1" t="n">
        <x:f>'設定と出典'!C59</x:f>
        <x:v>3</x:v>
      </x:c>
      <x:c r="H29" s="1" t="n">
        <x:f>'設定と出典'!D59</x:f>
        <x:v>50</x:v>
      </x:c>
      <x:c r="I29" s="1" t="n">
        <x:f>'設定と出典'!E59</x:f>
        <x:v>2</x:v>
      </x:c>
      <x:c r="J29" s="1" t="n">
        <x:f>'設定と出典'!F59</x:f>
        <x:v>2.5</x:v>
      </x:c>
      <x:c r="K29" s="1" t="n">
        <x:f>'設定と出典'!G59</x:f>
        <x:v>5</x:v>
      </x:c>
      <x:c r="L29" s="1" t="n">
        <x:f>'設定と出典'!H59</x:f>
        <x:v>20</x:v>
      </x:c>
      <x:c r="M29" s="1" t="n">
        <x:f>A29*D29</x:f>
        <x:v>10000</x:v>
      </x:c>
      <x:c r="N29" s="1" t="n">
        <x:f>M29*F29</x:f>
        <x:v>800000</x:v>
      </x:c>
      <x:c r="O29" s="1" t="n">
        <x:f>N29*G29</x:f>
        <x:v>2400000</x:v>
      </x:c>
      <x:c r="P29" s="1" t="n">
        <x:f>O29*H29/1024</x:f>
        <x:v>117187.5</x:v>
      </x:c>
      <x:c r="Q29" s="1" t="n">
        <x:f>P29*I29</x:f>
        <x:v>234375</x:v>
      </x:c>
      <x:c r="R29" s="1" t="n">
        <x:f>P29*('設定と出典'!$B$34+'設定と出典'!$B$35)/'設定と出典'!$B$7</x:f>
        <x:v>109375</x:v>
      </x:c>
      <x:c r="S29" s="1" t="n">
        <x:f>O29*K29</x:f>
        <x:v>12000000</x:v>
      </x:c>
      <x:c r="T29" s="7" t="n">
        <x:f>A29*E29</x:f>
        <x:v>2500000</x:v>
      </x:c>
      <x:c r="U29" s="7" t="n">
        <x:f>A29*'設定と出典'!$B$26</x:f>
        <x:v>25000</x:v>
      </x:c>
      <x:c r="V29" s="7" t="n">
        <x:f>M29*'設定と出典'!$B$27</x:f>
        <x:v>20000</x:v>
      </x:c>
      <x:c r="W29" s="7" t="n">
        <x:f>(N29*'設定と出典'!$B$36+S29)*('設定と出典'!$B$43*'設定と出典'!$B$8+'設定と出典'!$B$44*'設定と出典'!$B$9)*'設定と出典'!$B$12*'設定と出典'!$B$6</x:f>
        <x:v>49986.604704064404</x:v>
      </x:c>
      <x:c r="X29" s="7" t="n">
        <x:f>N29*I29*'設定と出典'!$B$37*('設定と出典'!$B$45*'設定と出典'!$B$8+'設定と出典'!$B$46*'設定と出典'!$B$9)*'設定と出典'!$B$12*'設定と出典'!$B$6</x:f>
        <x:v>1306.8393386683501</x:v>
      </x:c>
      <x:c r="Y29" s="7" t="n">
        <x:f>MAX(0,S29*('設定と出典'!$B$13*'設定と出典'!$B$8+'設定と出典'!$B$14*'設定と出典'!$B$9)-MIN(S29,'設定と出典'!$B$7*86400*'設定と出典'!$B$15)*('設定と出典'!$B$13*'設定と出典'!$B$10+'設定と出典'!$B$14*'設定と出典'!$B$11))*'設定と出典'!$B$12*'設定と出典'!$B$6</x:f>
        <x:v>52992.34120165924</x:v>
      </x:c>
      <x:c r="Z29" s="7" t="n">
        <x:f>O29*('設定と出典'!$B$41*'設定と出典'!$B$18+('設定と出典'!$B$42+I29)*'設定と出典'!$B$19)/1000*'設定と出典'!$B$6</x:f>
        <x:v>2376</x:v>
      </x:c>
      <x:c r="AA29" s="7" t="n">
        <x:f>N29*(1+J29)*'設定と出典'!$B$21</x:f>
        <x:v>280000</x:v>
      </x:c>
      <x:c r="AB29" s="7" t="n">
        <x:f>N29*'設定と出典'!$B$40/1048576*'設定と出典'!$B$20*'設定と出典'!$B$6+N29*'設定と出典'!$B$39/1000000*'設定と出典'!$B$38*'設定と出典'!$B$6</x:f>
        <x:v>1070.6455078125</x:v>
      </x:c>
      <x:c r="AC29" s="7" t="n">
        <x:f>R29*'設定と出典'!$B$16*'設定と出典'!$B$6</x:f>
        <x:v>410156.25</x:v>
      </x:c>
      <x:c r="AD29" s="7" t="n">
        <x:f>Q29*'設定と出典'!$B$17*'設定と出典'!$B$6</x:f>
        <x:v>4218750</x:v>
      </x:c>
      <x:c r="AE29" s="7" t="n">
        <x:f>'設定と出典'!B63</x:f>
        <x:v>13628.969418426243</x:v>
      </x:c>
      <x:c r="AF29" s="7" t="n">
        <x:f>SUM(U29:AE29)</x:f>
        <x:v>5075267.650170631</x:v>
      </x:c>
      <x:c r="AG29" s="7" t="n">
        <x:f>T29*'設定と出典'!$B$28</x:f>
        <x:v>90000</x:v>
      </x:c>
      <x:c r="AH29" s="7" t="n">
        <x:f>(A29*L29+M29*'設定と出典'!$B$31)/60*'設定と出典'!$B$29</x:f>
        <x:v>733333.3333333334</x:v>
      </x:c>
      <x:c r="AI29" s="7" t="n">
        <x:f>'設定と出典'!$B$30*'設定と出典'!$B$29</x:f>
        <x:v>8000</x:v>
      </x:c>
      <x:c r="AJ29" s="7" t="n">
        <x:f>T29-SUM(AF29:AI29)</x:f>
        <x:v>-3406600.983503964</x:v>
      </x:c>
      <x:c r="AK29" s="7" t="n">
        <x:f>AJ29-T29*'設定と出典'!$B$32</x:f>
        <x:v>-4656600.983503964</x:v>
      </x:c>
      <x:c r="AL29" s="7" t="n">
        <x:f>AJ29-A29*MIN(E29,AV29)*'設定と出典'!$B$32</x:f>
        <x:v>-3656600.983503964</x:v>
      </x:c>
      <x:c r="AM29" s="8" t="n">
        <x:f>AJ29/T29</x:f>
        <x:v>-1.3626403934015856</x:v>
      </x:c>
      <x:c r="AN29" s="8" t="n">
        <x:f>AK29/T29</x:f>
        <x:v>-1.8626403934015856</x:v>
      </x:c>
      <x:c r="AO29" s="8" t="n">
        <x:f>AJ29/T29</x:f>
        <x:v>-1.3626403934015856</x:v>
      </x:c>
      <x:c r="AP29" s="8" t="n">
        <x:f>AO29-'設定と出典'!$B$33</x:f>
        <x:v>-1.5626403934015856</x:v>
      </x:c>
      <x:c r="AQ29" s="9" t="n">
        <x:f>SUM(W29:AD29)/N29</x:f>
        <x:v>6.270798350940256</x:v>
      </x:c>
      <x:c r="AR29" s="9" t="n">
        <x:f>MAX(0,(E29*(1-'設定と出典'!$B$28-'設定と出典'!$B$32)-(U29+V29+AH29+AI29+AE29)/A29)/AQ29)</x:f>
        <x:v>114.82993937901242</x:v>
      </x:c>
      <x:c r="AS29" s="9" t="n">
        <x:f>MAX(0,(E29*(1-'設定と出典'!$B$28 )-(U29+V29+AH29+AI29+AE29)/A29)/AQ29)</x:f>
        <x:v>513.5032597585691</x:v>
      </x:c>
      <x:c r="AT29" s="9" t="n">
        <x:f>MAX(0,(E29*(1-'設定と出典'!$B$28)-MIN(E29,AV29)*'設定と出典'!$B$32-(U29+V29+AH29+AI29+AE29)/A29)/AQ29)</x:f>
        <x:v>433.76859568265775</x:v>
      </x:c>
      <x:c r="AU29" s="9" t="str">
        <x:f>IF((T29*(1-'設定と出典'!$B$28-'設定と出典'!$B$32)-(AF29-AE29)-AH29)&lt;=0,"成立せず",(AE29+AI29)/((T29*(1-'設定と出典'!$B$28-'設定と出典'!$B$32)-(AF29-AE29)-AH29)/A29))</x:f>
        <x:v>成立せず</x:v>
      </x:c>
      <x:c r="AV29" s="9" t="n">
        <x:f>'設定と出典'!D52</x:f>
        <x:v>1000</x:v>
      </x:c>
      <x:c r="AW29" s="9" t="n">
        <x:f>IF(1-'設定と出典'!$B$28-'設定と出典'!$B$32-'設定と出典'!$B$33&lt;=0,0,MAX(0,MIN(E29,(AK29/A29-E29*'設定と出典'!$B$33)/(1-'設定と出典'!$B$28-'設定と出典'!$B$32-'設定と出典'!$B$33))))</x:f>
        <x:v>0</x:v>
      </x:c>
      <x:c r="AX29" s="1"/>
      <x:c r="AY29" s="1"/>
      <x:c r="AZ29" s="1"/>
      <x:c r="BA29" s="1"/>
    </x:row>
    <x:row r="30" ht="22" customHeight="1">
      <x:c r="A30" s="1" t="n">
        <x:v>500</x:v>
      </x:c>
      <x:c r="B30" s="1" t="str">
        <x:f>'設定と出典'!A53</x:f>
        <x:v>Business Plus</x:v>
      </x:c>
      <x:c r="C30" s="1" t="str">
        <x:f>'設定と出典'!A57</x:f>
        <x:v>低位</x:v>
      </x:c>
      <x:c r="D30" s="1" t="n">
        <x:f>'設定と出典'!B53</x:f>
        <x:v>50</x:v>
      </x:c>
      <x:c r="E30" s="1" t="n">
        <x:f>'設定と出典'!C53</x:f>
        <x:v>8000</x:v>
      </x:c>
      <x:c r="F30" s="1" t="n">
        <x:f>'設定と出典'!B57</x:f>
        <x:v>5</x:v>
      </x:c>
      <x:c r="G30" s="1" t="n">
        <x:f>'設定と出典'!C57</x:f>
        <x:v>1</x:v>
      </x:c>
      <x:c r="H30" s="1" t="n">
        <x:f>'設定と出典'!D57</x:f>
        <x:v>2</x:v>
      </x:c>
      <x:c r="I30" s="1" t="n">
        <x:f>'設定と出典'!E57</x:f>
        <x:v>1</x:v>
      </x:c>
      <x:c r="J30" s="1" t="n">
        <x:f>'設定と出典'!F57</x:f>
        <x:v>1.1</x:v>
      </x:c>
      <x:c r="K30" s="1" t="n">
        <x:f>'設定と出典'!G57</x:f>
        <x:v>1</x:v>
      </x:c>
      <x:c r="L30" s="1" t="n">
        <x:f>'設定と出典'!H57</x:f>
        <x:v>3</x:v>
      </x:c>
      <x:c r="M30" s="1" t="n">
        <x:f>A30*D30</x:f>
        <x:v>25000</x:v>
      </x:c>
      <x:c r="N30" s="1" t="n">
        <x:f>M30*F30</x:f>
        <x:v>125000</x:v>
      </x:c>
      <x:c r="O30" s="1" t="n">
        <x:f>N30*G30</x:f>
        <x:v>125000</x:v>
      </x:c>
      <x:c r="P30" s="1" t="n">
        <x:f>O30*H30/1024</x:f>
        <x:v>244.140625</x:v>
      </x:c>
      <x:c r="Q30" s="1" t="n">
        <x:f>P30*I30</x:f>
        <x:v>244.140625</x:v>
      </x:c>
      <x:c r="R30" s="1" t="n">
        <x:f>P30*('設定と出典'!$B$34+'設定と出典'!$B$35)/'設定と出典'!$B$7</x:f>
        <x:v>227.86458333333334</x:v>
      </x:c>
      <x:c r="S30" s="1" t="n">
        <x:f>O30*K30</x:f>
        <x:v>125000</x:v>
      </x:c>
      <x:c r="T30" s="7" t="n">
        <x:f>A30*E30</x:f>
        <x:v>4000000</x:v>
      </x:c>
      <x:c r="U30" s="7" t="n">
        <x:f>A30*'設定と出典'!$B$26</x:f>
        <x:v>25000</x:v>
      </x:c>
      <x:c r="V30" s="7" t="n">
        <x:f>M30*'設定と出典'!$B$27</x:f>
        <x:v>50000</x:v>
      </x:c>
      <x:c r="W30" s="7" t="n">
        <x:f>(N30*'設定と出典'!$B$36+S30)*('設定と出典'!$B$43*'設定と出典'!$B$8+'設定と出典'!$B$44*'設定と出典'!$B$9)*'設定と出典'!$B$12*'設定と出典'!$B$6</x:f>
        <x:v>663.6293516675216</x:v>
      </x:c>
      <x:c r="X30" s="7" t="n">
        <x:f>N30*I30*'設定と出典'!$B$37*('設定と出典'!$B$45*'設定と出典'!$B$8+'設定と出典'!$B$46*'設定と出典'!$B$9)*'設定と出典'!$B$12*'設定と出典'!$B$6</x:f>
        <x:v>102.09682333346487</x:v>
      </x:c>
      <x:c r="Y30" s="7" t="n">
        <x:f>MAX(0,S30*('設定と出典'!$B$13*'設定と出典'!$B$8+'設定と出典'!$B$14*'設定と出典'!$B$9)-MIN(S30,'設定と出典'!$B$7*86400*'設定と出典'!$B$15)*('設定と出典'!$B$13*'設定と出典'!$B$10+'設定と出典'!$B$14*'設定と出典'!$B$11))*'設定と出典'!$B$12*'設定と出典'!$B$6</x:f>
        <x:v>433.70146969098283</x:v>
      </x:c>
      <x:c r="Z30" s="7" t="n">
        <x:f>O30*('設定と出典'!$B$41*'設定と出典'!$B$18+('設定と出典'!$B$42+I30)*'設定と出典'!$B$19)/1000*'設定と出典'!$B$6</x:f>
        <x:v>116.25000000000001</x:v>
      </x:c>
      <x:c r="AA30" s="7" t="n">
        <x:f>N30*(1+J30)*'設定と出典'!$B$21</x:f>
        <x:v>26250</x:v>
      </x:c>
      <x:c r="AB30" s="7" t="n">
        <x:f>N30*'設定と出典'!$B$40/1048576*'設定と出典'!$B$20*'設定と出典'!$B$6+N30*'設定と出典'!$B$39/1000000*'設定と出典'!$B$38*'設定と出典'!$B$6</x:f>
        <x:v>167.28836059570312</x:v>
      </x:c>
      <x:c r="AC30" s="7" t="n">
        <x:f>R30*'設定と出典'!$B$16*'設定と出典'!$B$6</x:f>
        <x:v>854.4921875000001</x:v>
      </x:c>
      <x:c r="AD30" s="7" t="n">
        <x:f>Q30*'設定と出典'!$B$17*'設定と出典'!$B$6</x:f>
        <x:v>4394.53125</x:v>
      </x:c>
      <x:c r="AE30" s="7" t="n">
        <x:f>'設定と出典'!B63</x:f>
        <x:v>13628.969418426243</x:v>
      </x:c>
      <x:c r="AF30" s="7" t="n">
        <x:f>SUM(U30:AE30)</x:f>
        <x:v>121610.95886121393</x:v>
      </x:c>
      <x:c r="AG30" s="7" t="n">
        <x:f>T30*'設定と出典'!$B$28</x:f>
        <x:v>144000</x:v>
      </x:c>
      <x:c r="AH30" s="7" t="n">
        <x:f>(A30*L30+M30*'設定と出典'!$B$31)/60*'設定と出典'!$B$29</x:f>
        <x:v>266666.6666666667</x:v>
      </x:c>
      <x:c r="AI30" s="7" t="n">
        <x:f>'設定と出典'!$B$30*'設定と出典'!$B$29</x:f>
        <x:v>8000</x:v>
      </x:c>
      <x:c r="AJ30" s="7" t="n">
        <x:f>T30-SUM(AF30:AI30)</x:f>
        <x:v>3459722.3744721194</x:v>
      </x:c>
      <x:c r="AK30" s="7" t="n">
        <x:f>AJ30-T30*'設定と出典'!$B$32</x:f>
        <x:v>1459722.3744721194</x:v>
      </x:c>
      <x:c r="AL30" s="7" t="n">
        <x:f>AJ30-A30*MIN(E30,AV30)*'設定と出典'!$B$32</x:f>
        <x:v>3209722.3744721194</x:v>
      </x:c>
      <x:c r="AM30" s="8" t="n">
        <x:f>AJ30/T30</x:f>
        <x:v>0.8649305936180298</x:v>
      </x:c>
      <x:c r="AN30" s="8" t="n">
        <x:f>AK30/T30</x:f>
        <x:v>0.3649305936180298</x:v>
      </x:c>
      <x:c r="AO30" s="8" t="n">
        <x:f>AJ30/T30</x:f>
        <x:v>0.8649305936180298</x:v>
      </x:c>
      <x:c r="AP30" s="8" t="n">
        <x:f>AO30-'設定と出典'!$B$33</x:f>
        <x:v>0.6649305936180299</x:v>
      </x:c>
      <x:c r="AQ30" s="9" t="n">
        <x:f>SUM(W30:AD30)/N30</x:f>
        <x:v>0.26385591554230137</x:v>
      </x:c>
      <x:c r="AR30" s="9" t="n">
        <x:f>MAX(0,(E30*(1-'設定と出典'!$B$28-'設定と出典'!$B$32)-(U30+V30+AH30+AI30+AE30)/A30)/AQ30)</x:f>
        <x:v>11314.541581127422</x:v>
      </x:c>
      <x:c r="AS30" s="9" t="n">
        <x:f>MAX(0,(E30*(1-'設定と出典'!$B$28 )-(U30+V30+AH30+AI30+AE30)/A30)/AQ30)</x:f>
        <x:v>26474.330558300157</x:v>
      </x:c>
      <x:c r="AT30" s="9" t="n">
        <x:f>MAX(0,(E30*(1-'設定と出典'!$B$28)-MIN(E30,AV30)*'設定と出典'!$B$32-(U30+V30+AH30+AI30+AE30)/A30)/AQ30)</x:f>
        <x:v>24579.356936153563</x:v>
      </x:c>
      <x:c r="AU30" s="9" t="n">
        <x:f>IF((T30*(1-'設定と出典'!$B$28-'設定と出典'!$B$32)-(AF30-AE30)-AH30)&lt;=0,"成立せず",(AE30+AI30)/((T30*(1-'設定と出典'!$B$28-'設定と出典'!$B$32)-(AF30-AE30)-AH30)/A30))</x:f>
        <x:v>7.300418468457666</x:v>
      </x:c>
      <x:c r="AV30" s="9" t="n">
        <x:f>'設定と出典'!D53</x:f>
        <x:v>1000</x:v>
      </x:c>
      <x:c r="AW30" s="9" t="n">
        <x:f>IF(1-'設定と出典'!$B$28-'設定と出典'!$B$32-'設定と出典'!$B$33&lt;=0,0,MAX(0,MIN(E30,(AK30/A30-E30*'設定と出典'!$B$33)/(1-'設定と出典'!$B$28-'設定と出典'!$B$32-'設定と出典'!$B$33))))</x:f>
        <x:v>4997.896776303935</x:v>
      </x:c>
      <x:c r="AX30" s="1"/>
      <x:c r="AY30" s="1"/>
      <x:c r="AZ30" s="1"/>
      <x:c r="BA30" s="1"/>
    </x:row>
    <x:row r="31" ht="22" customHeight="1">
      <x:c r="A31" s="1" t="n">
        <x:v>500</x:v>
      </x:c>
      <x:c r="B31" s="1" t="str">
        <x:f>'設定と出典'!A53</x:f>
        <x:v>Business Plus</x:v>
      </x:c>
      <x:c r="C31" s="1" t="str">
        <x:f>'設定と出典'!A58</x:f>
        <x:v>標準</x:v>
      </x:c>
      <x:c r="D31" s="1" t="n">
        <x:f>'設定と出典'!B53</x:f>
        <x:v>50</x:v>
      </x:c>
      <x:c r="E31" s="1" t="n">
        <x:f>'設定と出典'!C53</x:f>
        <x:v>8000</x:v>
      </x:c>
      <x:c r="F31" s="1" t="n">
        <x:f>'設定と出典'!B58</x:f>
        <x:v>20</x:v>
      </x:c>
      <x:c r="G31" s="1" t="n">
        <x:f>'設定と出典'!C58</x:f>
        <x:v>2</x:v>
      </x:c>
      <x:c r="H31" s="1" t="n">
        <x:f>'設定と出典'!D58</x:f>
        <x:v>10</x:v>
      </x:c>
      <x:c r="I31" s="1" t="n">
        <x:f>'設定と出典'!E58</x:f>
        <x:v>1.5</x:v>
      </x:c>
      <x:c r="J31" s="1" t="n">
        <x:f>'設定と出典'!F58</x:f>
        <x:v>1.8</x:v>
      </x:c>
      <x:c r="K31" s="1" t="n">
        <x:f>'設定と出典'!G58</x:f>
        <x:v>2</x:v>
      </x:c>
      <x:c r="L31" s="1" t="n">
        <x:f>'設定と出典'!H58</x:f>
        <x:v>8</x:v>
      </x:c>
      <x:c r="M31" s="1" t="n">
        <x:f>A31*D31</x:f>
        <x:v>25000</x:v>
      </x:c>
      <x:c r="N31" s="1" t="n">
        <x:f>M31*F31</x:f>
        <x:v>500000</x:v>
      </x:c>
      <x:c r="O31" s="1" t="n">
        <x:f>N31*G31</x:f>
        <x:v>1000000</x:v>
      </x:c>
      <x:c r="P31" s="1" t="n">
        <x:f>O31*H31/1024</x:f>
        <x:v>9765.625</x:v>
      </x:c>
      <x:c r="Q31" s="1" t="n">
        <x:f>P31*I31</x:f>
        <x:v>14648.4375</x:v>
      </x:c>
      <x:c r="R31" s="1" t="n">
        <x:f>P31*('設定と出典'!$B$34+'設定と出典'!$B$35)/'設定と出典'!$B$7</x:f>
        <x:v>9114.583333333334</x:v>
      </x:c>
      <x:c r="S31" s="1" t="n">
        <x:f>O31*K31</x:f>
        <x:v>2000000</x:v>
      </x:c>
      <x:c r="T31" s="7" t="n">
        <x:f>A31*E31</x:f>
        <x:v>4000000</x:v>
      </x:c>
      <x:c r="U31" s="7" t="n">
        <x:f>A31*'設定と出典'!$B$26</x:f>
        <x:v>25000</x:v>
      </x:c>
      <x:c r="V31" s="7" t="n">
        <x:f>M31*'設定と出典'!$B$27</x:f>
        <x:v>50000</x:v>
      </x:c>
      <x:c r="W31" s="7" t="n">
        <x:f>(N31*'設定と出典'!$B$36+S31)*('設定と出典'!$B$43*'設定と出典'!$B$8+'設定と出典'!$B$44*'設定と出典'!$B$9)*'設定と出典'!$B$12*'設定と出典'!$B$6</x:f>
        <x:v>8780.32680667798</x:v>
      </x:c>
      <x:c r="X31" s="7" t="n">
        <x:f>N31*I31*'設定と出典'!$B$37*('設定と出典'!$B$45*'設定と出典'!$B$8+'設定と出典'!$B$46*'設定と出典'!$B$9)*'設定と出典'!$B$12*'設定と出典'!$B$6</x:f>
        <x:v>612.5809400007893</x:v>
      </x:c>
      <x:c r="Y31" s="7" t="n">
        <x:f>MAX(0,S31*('設定と出典'!$B$13*'設定と出典'!$B$8+'設定と出典'!$B$14*'設定と出典'!$B$9)-MIN(S31,'設定と出典'!$B$7*86400*'設定と出典'!$B$15)*('設定と出典'!$B$13*'設定と出典'!$B$10+'設定と出典'!$B$14*'設定と出典'!$B$11))*'設定と出典'!$B$12*'設定と出典'!$B$6</x:f>
        <x:v>6939.223515055725</x:v>
      </x:c>
      <x:c r="Z31" s="7" t="n">
        <x:f>O31*('設定と出典'!$B$41*'設定と出典'!$B$18+('設定と出典'!$B$42+I31)*'設定と出典'!$B$19)/1000*'設定と出典'!$B$6</x:f>
        <x:v>960</x:v>
      </x:c>
      <x:c r="AA31" s="7" t="n">
        <x:f>N31*(1+J31)*'設定と出典'!$B$21</x:f>
        <x:v>140000</x:v>
      </x:c>
      <x:c r="AB31" s="7" t="n">
        <x:f>N31*'設定と出典'!$B$40/1048576*'設定と出典'!$B$20*'設定と出典'!$B$6+N31*'設定と出典'!$B$39/1000000*'設定と出典'!$B$38*'設定と出典'!$B$6</x:f>
        <x:v>669.1534423828125</x:v>
      </x:c>
      <x:c r="AC31" s="7" t="n">
        <x:f>R31*'設定と出典'!$B$16*'設定と出典'!$B$6</x:f>
        <x:v>34179.68750000001</x:v>
      </x:c>
      <x:c r="AD31" s="7" t="n">
        <x:f>Q31*'設定と出典'!$B$17*'設定と出典'!$B$6</x:f>
        <x:v>263671.875</x:v>
      </x:c>
      <x:c r="AE31" s="7" t="n">
        <x:f>'設定と出典'!B63</x:f>
        <x:v>13628.969418426243</x:v>
      </x:c>
      <x:c r="AF31" s="7" t="n">
        <x:f>SUM(U31:AE31)</x:f>
        <x:v>544441.8166225436</x:v>
      </x:c>
      <x:c r="AG31" s="7" t="n">
        <x:f>T31*'設定と出典'!$B$28</x:f>
        <x:v>144000</x:v>
      </x:c>
      <x:c r="AH31" s="7" t="n">
        <x:f>(A31*L31+M31*'設定と出典'!$B$31)/60*'設定と出典'!$B$29</x:f>
        <x:v>433333.3333333333</x:v>
      </x:c>
      <x:c r="AI31" s="7" t="n">
        <x:f>'設定と出典'!$B$30*'設定と出典'!$B$29</x:f>
        <x:v>8000</x:v>
      </x:c>
      <x:c r="AJ31" s="7" t="n">
        <x:f>T31-SUM(AF31:AI31)</x:f>
        <x:v>2870224.850044123</x:v>
      </x:c>
      <x:c r="AK31" s="7" t="n">
        <x:f>AJ31-T31*'設定と出典'!$B$32</x:f>
        <x:v>870224.8500441229</x:v>
      </x:c>
      <x:c r="AL31" s="7" t="n">
        <x:f>AJ31-A31*MIN(E31,AV31)*'設定と出典'!$B$32</x:f>
        <x:v>2620224.850044123</x:v>
      </x:c>
      <x:c r="AM31" s="8" t="n">
        <x:f>AJ31/T31</x:f>
        <x:v>0.7175562125110307</x:v>
      </x:c>
      <x:c r="AN31" s="8" t="n">
        <x:f>AK31/T31</x:f>
        <x:v>0.21755621251103072</x:v>
      </x:c>
      <x:c r="AO31" s="8" t="n">
        <x:f>AJ31/T31</x:f>
        <x:v>0.7175562125110307</x:v>
      </x:c>
      <x:c r="AP31" s="8" t="n">
        <x:f>AO31-'設定と出典'!$B$33</x:f>
        <x:v>0.5175562125110307</x:v>
      </x:c>
      <x:c r="AQ31" s="9" t="n">
        <x:f>SUM(W31:AD31)/N31</x:f>
        <x:v>0.9116256944082347</x:v>
      </x:c>
      <x:c r="AR31" s="9" t="n">
        <x:f>MAX(0,(E31*(1-'設定と出典'!$B$28-'設定と出典'!$B$32)-(U31+V31+AH31+AI31+AE31)/A31)/AQ31)</x:f>
        <x:v>2909.171396510524</x:v>
      </x:c>
      <x:c r="AS31" s="9" t="n">
        <x:f>MAX(0,(E31*(1-'設定と出典'!$B$28 )-(U31+V31+AH31+AI31+AE31)/A31)/AQ31)</x:f>
        <x:v>7296.937147887824</x:v>
      </x:c>
      <x:c r="AT31" s="9" t="n">
        <x:f>MAX(0,(E31*(1-'設定と出典'!$B$28)-MIN(E31,AV31)*'設定と出典'!$B$32-(U31+V31+AH31+AI31+AE31)/A31)/AQ31)</x:f>
        <x:v>6748.466428965661</x:v>
      </x:c>
      <x:c r="AU31" s="9" t="n">
        <x:f>IF((T31*(1-'設定と出典'!$B$28-'設定と出典'!$B$32)-(AF31-AE31)-AH31)&lt;=0,"成立せず",(AE31+AI31)/((T31*(1-'設定と出典'!$B$28-'設定と出典'!$B$32)-(AF31-AE31)-AH31)/A31))</x:f>
        <x:v>12.125848960012492</x:v>
      </x:c>
      <x:c r="AV31" s="9" t="n">
        <x:f>'設定と出典'!D53</x:f>
        <x:v>1000</x:v>
      </x:c>
      <x:c r="AW31" s="9" t="n">
        <x:f>IF(1-'設定と出典'!$B$28-'設定と出典'!$B$32-'設定と出典'!$B$33&lt;=0,0,MAX(0,MIN(E31,(AK31/A31-E31*'設定と出典'!$B$33)/(1-'設定と出典'!$B$28-'設定と出典'!$B$32-'設定と出典'!$B$33))))</x:f>
        <x:v>532.0064397282042</x:v>
      </x:c>
      <x:c r="AX31" s="1"/>
      <x:c r="AY31" s="1"/>
      <x:c r="AZ31" s="1"/>
      <x:c r="BA31" s="1"/>
    </x:row>
    <x:row r="32" ht="22" customHeight="1">
      <x:c r="A32" s="1" t="n">
        <x:v>500</x:v>
      </x:c>
      <x:c r="B32" s="1" t="str">
        <x:f>'設定と出典'!A53</x:f>
        <x:v>Business Plus</x:v>
      </x:c>
      <x:c r="C32" s="1" t="str">
        <x:f>'設定と出典'!A59</x:f>
        <x:v>高位</x:v>
      </x:c>
      <x:c r="D32" s="1" t="n">
        <x:f>'設定と出典'!B53</x:f>
        <x:v>50</x:v>
      </x:c>
      <x:c r="E32" s="1" t="n">
        <x:f>'設定と出典'!C53</x:f>
        <x:v>8000</x:v>
      </x:c>
      <x:c r="F32" s="1" t="n">
        <x:f>'設定と出典'!B59</x:f>
        <x:v>80</x:v>
      </x:c>
      <x:c r="G32" s="1" t="n">
        <x:f>'設定と出典'!C59</x:f>
        <x:v>3</x:v>
      </x:c>
      <x:c r="H32" s="1" t="n">
        <x:f>'設定と出典'!D59</x:f>
        <x:v>50</x:v>
      </x:c>
      <x:c r="I32" s="1" t="n">
        <x:f>'設定と出典'!E59</x:f>
        <x:v>2</x:v>
      </x:c>
      <x:c r="J32" s="1" t="n">
        <x:f>'設定と出典'!F59</x:f>
        <x:v>2.5</x:v>
      </x:c>
      <x:c r="K32" s="1" t="n">
        <x:f>'設定と出典'!G59</x:f>
        <x:v>5</x:v>
      </x:c>
      <x:c r="L32" s="1" t="n">
        <x:f>'設定と出典'!H59</x:f>
        <x:v>20</x:v>
      </x:c>
      <x:c r="M32" s="1" t="n">
        <x:f>A32*D32</x:f>
        <x:v>25000</x:v>
      </x:c>
      <x:c r="N32" s="1" t="n">
        <x:f>M32*F32</x:f>
        <x:v>2000000</x:v>
      </x:c>
      <x:c r="O32" s="1" t="n">
        <x:f>N32*G32</x:f>
        <x:v>6000000</x:v>
      </x:c>
      <x:c r="P32" s="1" t="n">
        <x:f>O32*H32/1024</x:f>
        <x:v>292968.75</x:v>
      </x:c>
      <x:c r="Q32" s="1" t="n">
        <x:f>P32*I32</x:f>
        <x:v>585937.5</x:v>
      </x:c>
      <x:c r="R32" s="1" t="n">
        <x:f>P32*('設定と出典'!$B$34+'設定と出典'!$B$35)/'設定と出典'!$B$7</x:f>
        <x:v>273437.5</x:v>
      </x:c>
      <x:c r="S32" s="1" t="n">
        <x:f>O32*K32</x:f>
        <x:v>30000000</x:v>
      </x:c>
      <x:c r="T32" s="7" t="n">
        <x:f>A32*E32</x:f>
        <x:v>4000000</x:v>
      </x:c>
      <x:c r="U32" s="7" t="n">
        <x:f>A32*'設定と出典'!$B$26</x:f>
        <x:v>25000</x:v>
      </x:c>
      <x:c r="V32" s="7" t="n">
        <x:f>M32*'設定と出典'!$B$27</x:f>
        <x:v>50000</x:v>
      </x:c>
      <x:c r="W32" s="7" t="n">
        <x:f>(N32*'設定と出典'!$B$36+S32)*('設定と出典'!$B$43*'設定と出典'!$B$8+'設定と出典'!$B$44*'設定と出典'!$B$9)*'設定と出典'!$B$12*'設定と出典'!$B$6</x:f>
        <x:v>124966.511760161</x:v>
      </x:c>
      <x:c r="X32" s="7" t="n">
        <x:f>N32*I32*'設定と出典'!$B$37*('設定と出典'!$B$45*'設定と出典'!$B$8+'設定と出典'!$B$46*'設定と出典'!$B$9)*'設定と出典'!$B$12*'設定と出典'!$B$6</x:f>
        <x:v>3267.098346670876</x:v>
      </x:c>
      <x:c r="Y32" s="7" t="n">
        <x:f>MAX(0,S32*('設定と出典'!$B$13*'設定と出典'!$B$8+'設定と出典'!$B$14*'設定と出典'!$B$9)-MIN(S32,'設定と出典'!$B$7*86400*'設定と出典'!$B$15)*('設定と出典'!$B$13*'設定と出典'!$B$10+'設定と出典'!$B$14*'設定と出典'!$B$11))*'設定と出典'!$B$12*'設定と出典'!$B$6</x:f>
        <x:v>137174.30713178744</x:v>
      </x:c>
      <x:c r="Z32" s="7" t="n">
        <x:f>O32*('設定と出典'!$B$41*'設定と出典'!$B$18+('設定と出典'!$B$42+I32)*'設定と出典'!$B$19)/1000*'設定と出典'!$B$6</x:f>
        <x:v>5940</x:v>
      </x:c>
      <x:c r="AA32" s="7" t="n">
        <x:f>N32*(1+J32)*'設定と出典'!$B$21</x:f>
        <x:v>700000</x:v>
      </x:c>
      <x:c r="AB32" s="7" t="n">
        <x:f>N32*'設定と出典'!$B$40/1048576*'設定と出典'!$B$20*'設定と出典'!$B$6+N32*'設定と出典'!$B$39/1000000*'設定と出典'!$B$38*'設定と出典'!$B$6</x:f>
        <x:v>2676.61376953125</x:v>
      </x:c>
      <x:c r="AC32" s="7" t="n">
        <x:f>R32*'設定と出典'!$B$16*'設定と出典'!$B$6</x:f>
        <x:v>1025390.625</x:v>
      </x:c>
      <x:c r="AD32" s="7" t="n">
        <x:f>Q32*'設定と出典'!$B$17*'設定と出典'!$B$6</x:f>
        <x:v>10546875</x:v>
      </x:c>
      <x:c r="AE32" s="7" t="n">
        <x:f>'設定と出典'!B63</x:f>
        <x:v>13628.969418426243</x:v>
      </x:c>
      <x:c r="AF32" s="7" t="n">
        <x:f>SUM(U32:AE32)</x:f>
        <x:v>12634919.125426577</x:v>
      </x:c>
      <x:c r="AG32" s="7" t="n">
        <x:f>T32*'設定と出典'!$B$28</x:f>
        <x:v>144000</x:v>
      </x:c>
      <x:c r="AH32" s="7" t="n">
        <x:f>(A32*L32+M32*'設定と出典'!$B$31)/60*'設定と出典'!$B$29</x:f>
        <x:v>833333.3333333334</x:v>
      </x:c>
      <x:c r="AI32" s="7" t="n">
        <x:f>'設定と出典'!$B$30*'設定と出典'!$B$29</x:f>
        <x:v>8000</x:v>
      </x:c>
      <x:c r="AJ32" s="7" t="n">
        <x:f>T32-SUM(AF32:AI32)</x:f>
        <x:v>-9620252.458759911</x:v>
      </x:c>
      <x:c r="AK32" s="7" t="n">
        <x:f>AJ32-T32*'設定と出典'!$B$32</x:f>
        <x:v>-11620252.458759911</x:v>
      </x:c>
      <x:c r="AL32" s="7" t="n">
        <x:f>AJ32-A32*MIN(E32,AV32)*'設定と出典'!$B$32</x:f>
        <x:v>-9870252.458759911</x:v>
      </x:c>
      <x:c r="AM32" s="8" t="n">
        <x:f>AJ32/T32</x:f>
        <x:v>-2.4050631146899777</x:v>
      </x:c>
      <x:c r="AN32" s="8" t="n">
        <x:f>AK32/T32</x:f>
        <x:v>-2.9050631146899777</x:v>
      </x:c>
      <x:c r="AO32" s="8" t="n">
        <x:f>AJ32/T32</x:f>
        <x:v>-2.4050631146899777</x:v>
      </x:c>
      <x:c r="AP32" s="8" t="n">
        <x:f>AO32-'設定と出典'!$B$33</x:f>
        <x:v>-2.605063114689978</x:v>
      </x:c>
      <x:c r="AQ32" s="9" t="n">
        <x:f>SUM(W32:AD32)/N32</x:f>
        <x:v>6.273145078004076</x:v>
      </x:c>
      <x:c r="AR32" s="9" t="n">
        <x:f>MAX(0,(E32*(1-'設定と出典'!$B$28-'設定と出典'!$B$32)-(U32+V32+AH32+AI32+AE32)/A32)/AQ32)</x:f>
        <x:v>295.2387313646753</x:v>
      </x:c>
      <x:c r="AS32" s="9" t="n">
        <x:f>MAX(0,(E32*(1-'設定と出典'!$B$28 )-(U32+V32+AH32+AI32+AE32)/A32)/AQ32)</x:f>
        <x:v>932.8774198154578</x:v>
      </x:c>
      <x:c r="AT32" s="9" t="n">
        <x:f>MAX(0,(E32*(1-'設定と出典'!$B$28)-MIN(E32,AV32)*'設定と出典'!$B$32-(U32+V32+AH32+AI32+AE32)/A32)/AQ32)</x:f>
        <x:v>853.17258375911</x:v>
      </x:c>
      <x:c r="AU32" s="9" t="str">
        <x:f>IF((T32*(1-'設定と出典'!$B$28-'設定と出典'!$B$32)-(AF32-AE32)-AH32)&lt;=0,"成立せず",(AE32+AI32)/((T32*(1-'設定と出典'!$B$28-'設定と出典'!$B$32)-(AF32-AE32)-AH32)/A32))</x:f>
        <x:v>成立せず</x:v>
      </x:c>
      <x:c r="AV32" s="9" t="n">
        <x:f>'設定と出典'!D53</x:f>
        <x:v>1000</x:v>
      </x:c>
      <x:c r="AW32" s="9" t="n">
        <x:f>IF(1-'設定と出典'!$B$28-'設定と出典'!$B$32-'設定と出典'!$B$33&lt;=0,0,MAX(0,MIN(E32,(AK32/A32-E32*'設定と出典'!$B$33)/(1-'設定と出典'!$B$28-'設定と出典'!$B$32-'設定と出典'!$B$33))))</x:f>
        <x:v>0</x:v>
      </x:c>
      <x:c r="AX32" s="1"/>
      <x:c r="AY32" s="1"/>
      <x:c r="AZ32" s="1"/>
      <x:c r="BA32" s="1"/>
    </x:row>
    <x:row r="33" ht="22" customHeight="1">
      <x:c r="A33" s="1" t="n">
        <x:v>1000</x:v>
      </x:c>
      <x:c r="B33" s="1" t="str">
        <x:f>'設定と出典'!A51</x:f>
        <x:v>Starter</x:v>
      </x:c>
      <x:c r="C33" s="1" t="str">
        <x:f>'設定と出典'!A57</x:f>
        <x:v>低位</x:v>
      </x:c>
      <x:c r="D33" s="1" t="n">
        <x:f>'設定と出典'!B51</x:f>
        <x:v>5</x:v>
      </x:c>
      <x:c r="E33" s="1" t="n">
        <x:f>'設定と出典'!C51</x:f>
        <x:v>3000</x:v>
      </x:c>
      <x:c r="F33" s="1" t="n">
        <x:f>'設定と出典'!B57</x:f>
        <x:v>5</x:v>
      </x:c>
      <x:c r="G33" s="1" t="n">
        <x:f>'設定と出典'!C57</x:f>
        <x:v>1</x:v>
      </x:c>
      <x:c r="H33" s="1" t="n">
        <x:f>'設定と出典'!D57</x:f>
        <x:v>2</x:v>
      </x:c>
      <x:c r="I33" s="1" t="n">
        <x:f>'設定と出典'!E57</x:f>
        <x:v>1</x:v>
      </x:c>
      <x:c r="J33" s="1" t="n">
        <x:f>'設定と出典'!F57</x:f>
        <x:v>1.1</x:v>
      </x:c>
      <x:c r="K33" s="1" t="n">
        <x:f>'設定と出典'!G57</x:f>
        <x:v>1</x:v>
      </x:c>
      <x:c r="L33" s="1" t="n">
        <x:f>'設定と出典'!H57</x:f>
        <x:v>3</x:v>
      </x:c>
      <x:c r="M33" s="1" t="n">
        <x:f>A33*D33</x:f>
        <x:v>5000</x:v>
      </x:c>
      <x:c r="N33" s="1" t="n">
        <x:f>M33*F33</x:f>
        <x:v>25000</x:v>
      </x:c>
      <x:c r="O33" s="1" t="n">
        <x:f>N33*G33</x:f>
        <x:v>25000</x:v>
      </x:c>
      <x:c r="P33" s="1" t="n">
        <x:f>O33*H33/1024</x:f>
        <x:v>48.828125</x:v>
      </x:c>
      <x:c r="Q33" s="1" t="n">
        <x:f>P33*I33</x:f>
        <x:v>48.828125</x:v>
      </x:c>
      <x:c r="R33" s="1" t="n">
        <x:f>P33*('設定と出典'!$B$34+'設定と出典'!$B$35)/'設定と出典'!$B$7</x:f>
        <x:v>45.572916666666664</x:v>
      </x:c>
      <x:c r="S33" s="1" t="n">
        <x:f>O33*K33</x:f>
        <x:v>25000</x:v>
      </x:c>
      <x:c r="T33" s="7" t="n">
        <x:f>A33*E33</x:f>
        <x:v>3000000</x:v>
      </x:c>
      <x:c r="U33" s="7" t="n">
        <x:f>A33*'設定と出典'!$B$26</x:f>
        <x:v>50000</x:v>
      </x:c>
      <x:c r="V33" s="7" t="n">
        <x:f>M33*'設定と出典'!$B$27</x:f>
        <x:v>10000</x:v>
      </x:c>
      <x:c r="W33" s="7" t="n">
        <x:f>(N33*'設定と出典'!$B$36+S33)*('設定と出典'!$B$43*'設定と出典'!$B$8+'設定と出典'!$B$44*'設定と出典'!$B$9)*'設定と出典'!$B$12*'設定と出典'!$B$6</x:f>
        <x:v>132.72587033350433</x:v>
      </x:c>
      <x:c r="X33" s="7" t="n">
        <x:f>N33*I33*'設定と出典'!$B$37*('設定と出典'!$B$45*'設定と出典'!$B$8+'設定と出典'!$B$46*'設定と出典'!$B$9)*'設定と出典'!$B$12*'設定と出典'!$B$6</x:f>
        <x:v>20.41936466669297</x:v>
      </x:c>
      <x:c r="Y33" s="7" t="n">
        <x:f>MAX(0,S33*('設定と出典'!$B$13*'設定と出典'!$B$8+'設定と出典'!$B$14*'設定と出典'!$B$9)-MIN(S33,'設定と出典'!$B$7*86400*'設定と出典'!$B$15)*('設定と出典'!$B$13*'設定と出典'!$B$10+'設定と出典'!$B$14*'設定と出典'!$B$11))*'設定と出典'!$B$12*'設定と出典'!$B$6</x:f>
        <x:v>86.74029393819656</x:v>
      </x:c>
      <x:c r="Z33" s="7" t="n">
        <x:f>O33*('設定と出典'!$B$41*'設定と出典'!$B$18+('設定と出典'!$B$42+I33)*'設定と出典'!$B$19)/1000*'設定と出典'!$B$6</x:f>
        <x:v>23.250000000000004</x:v>
      </x:c>
      <x:c r="AA33" s="7" t="n">
        <x:f>N33*(1+J33)*'設定と出典'!$B$21</x:f>
        <x:v>5250</x:v>
      </x:c>
      <x:c r="AB33" s="7" t="n">
        <x:f>N33*'設定と出典'!$B$40/1048576*'設定と出典'!$B$20*'設定と出典'!$B$6+N33*'設定と出典'!$B$39/1000000*'設定と出典'!$B$38*'設定と出典'!$B$6</x:f>
        <x:v>33.457672119140625</x:v>
      </x:c>
      <x:c r="AC33" s="7" t="n">
        <x:f>R33*'設定と出典'!$B$16*'設定と出典'!$B$6</x:f>
        <x:v>170.8984375</x:v>
      </x:c>
      <x:c r="AD33" s="7" t="n">
        <x:f>Q33*'設定と出典'!$B$17*'設定と出典'!$B$6</x:f>
        <x:v>878.90625</x:v>
      </x:c>
      <x:c r="AE33" s="7" t="n">
        <x:f>'設定と出典'!B63</x:f>
        <x:v>13628.969418426243</x:v>
      </x:c>
      <x:c r="AF33" s="7" t="n">
        <x:f>SUM(U33:AE33)</x:f>
        <x:v>80225.36730698377</x:v>
      </x:c>
      <x:c r="AG33" s="7" t="n">
        <x:f>T33*'設定と出典'!$B$28</x:f>
        <x:v>107999.99999999999</x:v>
      </x:c>
      <x:c r="AH33" s="7" t="n">
        <x:f>(A33*L33+M33*'設定と出典'!$B$31)/60*'設定と出典'!$B$29</x:f>
        <x:v>233333.33333333334</x:v>
      </x:c>
      <x:c r="AI33" s="7" t="n">
        <x:f>'設定と出典'!$B$30*'設定と出典'!$B$29</x:f>
        <x:v>8000</x:v>
      </x:c>
      <x:c r="AJ33" s="7" t="n">
        <x:f>T33-SUM(AF33:AI33)</x:f>
        <x:v>2570441.299359683</x:v>
      </x:c>
      <x:c r="AK33" s="7" t="n">
        <x:f>AJ33-T33*'設定と出典'!$B$32</x:f>
        <x:v>1070441.299359683</x:v>
      </x:c>
      <x:c r="AL33" s="7" t="n">
        <x:f>AJ33-A33*MIN(E33,AV33)*'設定と出典'!$B$32</x:f>
        <x:v>2070441.299359683</x:v>
      </x:c>
      <x:c r="AM33" s="8" t="n">
        <x:f>AJ33/T33</x:f>
        <x:v>0.8568137664532276</x:v>
      </x:c>
      <x:c r="AN33" s="8" t="n">
        <x:f>AK33/T33</x:f>
        <x:v>0.35681376645322765</x:v>
      </x:c>
      <x:c r="AO33" s="8" t="n">
        <x:f>AJ33/T33</x:f>
        <x:v>0.8568137664532276</x:v>
      </x:c>
      <x:c r="AP33" s="8" t="n">
        <x:f>AO33-'設定と出典'!$B$33</x:f>
        <x:v>0.6568137664532276</x:v>
      </x:c>
      <x:c r="AQ33" s="9" t="n">
        <x:f>SUM(W33:AD33)/N33</x:f>
        <x:v>0.26385591554230137</x:v>
      </x:c>
      <x:c r="AR33" s="9" t="n">
        <x:f>MAX(0,(E33*(1-'設定と出典'!$B$28-'設定と出典'!$B$32)-(U33+V33+AH33+AI33+AE33)/A33)/AQ33)</x:f>
        <x:v>4081.9160526858445</x:v>
      </x:c>
      <x:c r="AS33" s="9" t="n">
        <x:f>MAX(0,(E33*(1-'設定と出典'!$B$28 )-(U33+V33+AH33+AI33+AE33)/A33)/AQ33)</x:f>
        <x:v>9766.83691912562</x:v>
      </x:c>
      <x:c r="AT33" s="9" t="n">
        <x:f>MAX(0,(E33*(1-'設定と出典'!$B$28)-MIN(E33,AV33)*'設定と出典'!$B$32-(U33+V33+AH33+AI33+AE33)/A33)/AQ33)</x:f>
        <x:v>7871.863296979028</x:v>
      </x:c>
      <x:c r="AU33" s="9" t="n">
        <x:f>IF((T33*(1-'設定と出典'!$B$28-'設定と出典'!$B$32)-(AF33-AE33)-AH33)&lt;=0,"成立せず",(AE33+AI33)/((T33*(1-'設定と出典'!$B$28-'設定と出典'!$B$32)-(AF33-AE33)-AH33)/A33))</x:f>
        <x:v>19.805474095203017</x:v>
      </x:c>
      <x:c r="AV33" s="9" t="n">
        <x:f>'設定と出典'!D51</x:f>
        <x:v>1000</x:v>
      </x:c>
      <x:c r="AW33" s="9" t="n">
        <x:f>IF(1-'設定と出典'!$B$28-'設定と出典'!$B$32-'設定と出典'!$B$33&lt;=0,0,MAX(0,MIN(E33,(AK33/A33-E33*'設定と出典'!$B$33)/(1-'設定と出典'!$B$28-'設定と出典'!$B$32-'設定と出典'!$B$33))))</x:f>
        <x:v>1781.974618786678</x:v>
      </x:c>
      <x:c r="AX33" s="1"/>
      <x:c r="AY33" s="1"/>
      <x:c r="AZ33" s="1"/>
      <x:c r="BA33" s="1"/>
    </x:row>
    <x:row r="34" ht="22" customHeight="1">
      <x:c r="A34" s="1" t="n">
        <x:v>1000</x:v>
      </x:c>
      <x:c r="B34" s="1" t="str">
        <x:f>'設定と出典'!A51</x:f>
        <x:v>Starter</x:v>
      </x:c>
      <x:c r="C34" s="1" t="str">
        <x:f>'設定と出典'!A58</x:f>
        <x:v>標準</x:v>
      </x:c>
      <x:c r="D34" s="1" t="n">
        <x:f>'設定と出典'!B51</x:f>
        <x:v>5</x:v>
      </x:c>
      <x:c r="E34" s="1" t="n">
        <x:f>'設定と出典'!C51</x:f>
        <x:v>3000</x:v>
      </x:c>
      <x:c r="F34" s="1" t="n">
        <x:f>'設定と出典'!B58</x:f>
        <x:v>20</x:v>
      </x:c>
      <x:c r="G34" s="1" t="n">
        <x:f>'設定と出典'!C58</x:f>
        <x:v>2</x:v>
      </x:c>
      <x:c r="H34" s="1" t="n">
        <x:f>'設定と出典'!D58</x:f>
        <x:v>10</x:v>
      </x:c>
      <x:c r="I34" s="1" t="n">
        <x:f>'設定と出典'!E58</x:f>
        <x:v>1.5</x:v>
      </x:c>
      <x:c r="J34" s="1" t="n">
        <x:f>'設定と出典'!F58</x:f>
        <x:v>1.8</x:v>
      </x:c>
      <x:c r="K34" s="1" t="n">
        <x:f>'設定と出典'!G58</x:f>
        <x:v>2</x:v>
      </x:c>
      <x:c r="L34" s="1" t="n">
        <x:f>'設定と出典'!H58</x:f>
        <x:v>8</x:v>
      </x:c>
      <x:c r="M34" s="1" t="n">
        <x:f>A34*D34</x:f>
        <x:v>5000</x:v>
      </x:c>
      <x:c r="N34" s="1" t="n">
        <x:f>M34*F34</x:f>
        <x:v>100000</x:v>
      </x:c>
      <x:c r="O34" s="1" t="n">
        <x:f>N34*G34</x:f>
        <x:v>200000</x:v>
      </x:c>
      <x:c r="P34" s="1" t="n">
        <x:f>O34*H34/1024</x:f>
        <x:v>1953.125</x:v>
      </x:c>
      <x:c r="Q34" s="1" t="n">
        <x:f>P34*I34</x:f>
        <x:v>2929.6875</x:v>
      </x:c>
      <x:c r="R34" s="1" t="n">
        <x:f>P34*('設定と出典'!$B$34+'設定と出典'!$B$35)/'設定と出典'!$B$7</x:f>
        <x:v>1822.9166666666667</x:v>
      </x:c>
      <x:c r="S34" s="1" t="n">
        <x:f>O34*K34</x:f>
        <x:v>400000</x:v>
      </x:c>
      <x:c r="T34" s="7" t="n">
        <x:f>A34*E34</x:f>
        <x:v>3000000</x:v>
      </x:c>
      <x:c r="U34" s="7" t="n">
        <x:f>A34*'設定と出典'!$B$26</x:f>
        <x:v>50000</x:v>
      </x:c>
      <x:c r="V34" s="7" t="n">
        <x:f>M34*'設定と出典'!$B$27</x:f>
        <x:v>10000</x:v>
      </x:c>
      <x:c r="W34" s="7" t="n">
        <x:f>(N34*'設定と出典'!$B$36+S34)*('設定と出典'!$B$43*'設定と出典'!$B$8+'設定と出典'!$B$44*'設定と出典'!$B$9)*'設定と出典'!$B$12*'設定と出典'!$B$6</x:f>
        <x:v>1756.065361335596</x:v>
      </x:c>
      <x:c r="X34" s="7" t="n">
        <x:f>N34*I34*'設定と出典'!$B$37*('設定と出典'!$B$45*'設定と出典'!$B$8+'設定と出典'!$B$46*'設定と出典'!$B$9)*'設定と出典'!$B$12*'設定と出典'!$B$6</x:f>
        <x:v>122.51618800015784</x:v>
      </x:c>
      <x:c r="Y34" s="7" t="n">
        <x:f>MAX(0,S34*('設定と出典'!$B$13*'設定と出典'!$B$8+'設定と出典'!$B$14*'設定と出典'!$B$9)-MIN(S34,'設定と出典'!$B$7*86400*'設定と出典'!$B$15)*('設定と出典'!$B$13*'設定と出典'!$B$10+'設定と出典'!$B$14*'設定と出典'!$B$11))*'設定と出典'!$B$12*'設定と出典'!$B$6</x:f>
        <x:v>1387.844703011145</x:v>
      </x:c>
      <x:c r="Z34" s="7" t="n">
        <x:f>O34*('設定と出典'!$B$41*'設定と出典'!$B$18+('設定と出典'!$B$42+I34)*'設定と出典'!$B$19)/1000*'設定と出典'!$B$6</x:f>
        <x:v>192</x:v>
      </x:c>
      <x:c r="AA34" s="7" t="n">
        <x:f>N34*(1+J34)*'設定と出典'!$B$21</x:f>
        <x:v>28000</x:v>
      </x:c>
      <x:c r="AB34" s="7" t="n">
        <x:f>N34*'設定と出典'!$B$40/1048576*'設定と出典'!$B$20*'設定と出典'!$B$6+N34*'設定と出典'!$B$39/1000000*'設定と出典'!$B$38*'設定と出典'!$B$6</x:f>
        <x:v>133.8306884765625</x:v>
      </x:c>
      <x:c r="AC34" s="7" t="n">
        <x:f>R34*'設定と出典'!$B$16*'設定と出典'!$B$6</x:f>
        <x:v>6835.937500000001</x:v>
      </x:c>
      <x:c r="AD34" s="7" t="n">
        <x:f>Q34*'設定と出典'!$B$17*'設定と出典'!$B$6</x:f>
        <x:v>52734.375</x:v>
      </x:c>
      <x:c r="AE34" s="7" t="n">
        <x:f>'設定と出典'!B63</x:f>
        <x:v>13628.969418426243</x:v>
      </x:c>
      <x:c r="AF34" s="7" t="n">
        <x:f>SUM(U34:AE34)</x:f>
        <x:v>164791.5388592497</x:v>
      </x:c>
      <x:c r="AG34" s="7" t="n">
        <x:f>T34*'設定と出典'!$B$28</x:f>
        <x:v>107999.99999999999</x:v>
      </x:c>
      <x:c r="AH34" s="7" t="n">
        <x:f>(A34*L34+M34*'設定と出典'!$B$31)/60*'設定と出典'!$B$29</x:f>
        <x:v>566666.6666666666</x:v>
      </x:c>
      <x:c r="AI34" s="7" t="n">
        <x:f>'設定と出典'!$B$30*'設定と出典'!$B$29</x:f>
        <x:v>8000</x:v>
      </x:c>
      <x:c r="AJ34" s="7" t="n">
        <x:f>T34-SUM(AF34:AI34)</x:f>
        <x:v>2152541.794474084</x:v>
      </x:c>
      <x:c r="AK34" s="7" t="n">
        <x:f>AJ34-T34*'設定と出典'!$B$32</x:f>
        <x:v>652541.7944740839</x:v>
      </x:c>
      <x:c r="AL34" s="7" t="n">
        <x:f>AJ34-A34*MIN(E34,AV34)*'設定と出典'!$B$32</x:f>
        <x:v>1652541.794474084</x:v>
      </x:c>
      <x:c r="AM34" s="8" t="n">
        <x:f>AJ34/T34</x:f>
        <x:v>0.7175139314913613</x:v>
      </x:c>
      <x:c r="AN34" s="8" t="n">
        <x:f>AK34/T34</x:f>
        <x:v>0.2175139314913613</x:v>
      </x:c>
      <x:c r="AO34" s="8" t="n">
        <x:f>AJ34/T34</x:f>
        <x:v>0.7175139314913613</x:v>
      </x:c>
      <x:c r="AP34" s="8" t="n">
        <x:f>AO34-'設定と出典'!$B$33</x:f>
        <x:v>0.5175139314913613</x:v>
      </x:c>
      <x:c r="AQ34" s="9" t="n">
        <x:f>SUM(W34:AD34)/N34</x:f>
        <x:v>0.9116256944082346</x:v>
      </x:c>
      <x:c r="AR34" s="9" t="n">
        <x:f>MAX(0,(E34*(1-'設定と出典'!$B$28-'設定と出典'!$B$32)-(U34+V34+AH34+AI34+AE34)/A34)/AQ34)</x:f>
        <x:v>815.8001342839171</x:v>
      </x:c>
      <x:c r="AS34" s="9" t="n">
        <x:f>MAX(0,(E34*(1-'設定と出典'!$B$28 )-(U34+V34+AH34+AI34+AE34)/A34)/AQ34)</x:f>
        <x:v>2461.2122910504045</x:v>
      </x:c>
      <x:c r="AT34" s="9" t="n">
        <x:f>MAX(0,(E34*(1-'設定と出典'!$B$28)-MIN(E34,AV34)*'設定と出典'!$B$32-(U34+V34+AH34+AI34+AE34)/A34)/AQ34)</x:f>
        <x:v>1912.741572128242</x:v>
      </x:c>
      <x:c r="AU34" s="9" t="n">
        <x:f>IF((T34*(1-'設定と出典'!$B$28-'設定と出典'!$B$32)-(AF34-AE34)-AH34)&lt;=0,"成立せず",(AE34+AI34)/((T34*(1-'設定と出典'!$B$28-'設定と出典'!$B$32)-(AF34-AE34)-AH34)/A34))</x:f>
        <x:v>32.082330734049414</x:v>
      </x:c>
      <x:c r="AV34" s="9" t="n">
        <x:f>'設定と出典'!D51</x:f>
        <x:v>1000</x:v>
      </x:c>
      <x:c r="AW34" s="9" t="n">
        <x:f>IF(1-'設定と出典'!$B$28-'設定と出典'!$B$32-'設定と出典'!$B$33&lt;=0,0,MAX(0,MIN(E34,(AK34/A34-E34*'設定と出典'!$B$33)/(1-'設定と出典'!$B$28-'設定と出典'!$B$32-'設定と出典'!$B$33))))</x:f>
        <x:v>199.0219487654697</x:v>
      </x:c>
      <x:c r="AX34" s="1"/>
      <x:c r="AY34" s="1"/>
      <x:c r="AZ34" s="1"/>
      <x:c r="BA34" s="1"/>
    </x:row>
    <x:row r="35" ht="22" customHeight="1">
      <x:c r="A35" s="1" t="n">
        <x:v>1000</x:v>
      </x:c>
      <x:c r="B35" s="1" t="str">
        <x:f>'設定と出典'!A51</x:f>
        <x:v>Starter</x:v>
      </x:c>
      <x:c r="C35" s="1" t="str">
        <x:f>'設定と出典'!A59</x:f>
        <x:v>高位</x:v>
      </x:c>
      <x:c r="D35" s="1" t="n">
        <x:f>'設定と出典'!B51</x:f>
        <x:v>5</x:v>
      </x:c>
      <x:c r="E35" s="1" t="n">
        <x:f>'設定と出典'!C51</x:f>
        <x:v>3000</x:v>
      </x:c>
      <x:c r="F35" s="1" t="n">
        <x:f>'設定と出典'!B59</x:f>
        <x:v>80</x:v>
      </x:c>
      <x:c r="G35" s="1" t="n">
        <x:f>'設定と出典'!C59</x:f>
        <x:v>3</x:v>
      </x:c>
      <x:c r="H35" s="1" t="n">
        <x:f>'設定と出典'!D59</x:f>
        <x:v>50</x:v>
      </x:c>
      <x:c r="I35" s="1" t="n">
        <x:f>'設定と出典'!E59</x:f>
        <x:v>2</x:v>
      </x:c>
      <x:c r="J35" s="1" t="n">
        <x:f>'設定と出典'!F59</x:f>
        <x:v>2.5</x:v>
      </x:c>
      <x:c r="K35" s="1" t="n">
        <x:f>'設定と出典'!G59</x:f>
        <x:v>5</x:v>
      </x:c>
      <x:c r="L35" s="1" t="n">
        <x:f>'設定と出典'!H59</x:f>
        <x:v>20</x:v>
      </x:c>
      <x:c r="M35" s="1" t="n">
        <x:f>A35*D35</x:f>
        <x:v>5000</x:v>
      </x:c>
      <x:c r="N35" s="1" t="n">
        <x:f>M35*F35</x:f>
        <x:v>400000</x:v>
      </x:c>
      <x:c r="O35" s="1" t="n">
        <x:f>N35*G35</x:f>
        <x:v>1200000</x:v>
      </x:c>
      <x:c r="P35" s="1" t="n">
        <x:f>O35*H35/1024</x:f>
        <x:v>58593.75</x:v>
      </x:c>
      <x:c r="Q35" s="1" t="n">
        <x:f>P35*I35</x:f>
        <x:v>117187.5</x:v>
      </x:c>
      <x:c r="R35" s="1" t="n">
        <x:f>P35*('設定と出典'!$B$34+'設定と出典'!$B$35)/'設定と出典'!$B$7</x:f>
        <x:v>54687.5</x:v>
      </x:c>
      <x:c r="S35" s="1" t="n">
        <x:f>O35*K35</x:f>
        <x:v>6000000</x:v>
      </x:c>
      <x:c r="T35" s="7" t="n">
        <x:f>A35*E35</x:f>
        <x:v>3000000</x:v>
      </x:c>
      <x:c r="U35" s="7" t="n">
        <x:f>A35*'設定と出典'!$B$26</x:f>
        <x:v>50000</x:v>
      </x:c>
      <x:c r="V35" s="7" t="n">
        <x:f>M35*'設定と出典'!$B$27</x:f>
        <x:v>10000</x:v>
      </x:c>
      <x:c r="W35" s="7" t="n">
        <x:f>(N35*'設定と出典'!$B$36+S35)*('設定と出典'!$B$43*'設定と出典'!$B$8+'設定と出典'!$B$44*'設定と出典'!$B$9)*'設定と出典'!$B$12*'設定と出典'!$B$6</x:f>
        <x:v>24993.302352032202</x:v>
      </x:c>
      <x:c r="X35" s="7" t="n">
        <x:f>N35*I35*'設定と出典'!$B$37*('設定と出典'!$B$45*'設定と出典'!$B$8+'設定と出典'!$B$46*'設定と出典'!$B$9)*'設定と出典'!$B$12*'設定と出典'!$B$6</x:f>
        <x:v>653.4196693341751</x:v>
      </x:c>
      <x:c r="Y35" s="7" t="n">
        <x:f>MAX(0,S35*('設定と出典'!$B$13*'設定と出典'!$B$8+'設定と出典'!$B$14*'設定と出典'!$B$9)-MIN(S35,'設定と出典'!$B$7*86400*'設定と出典'!$B$15)*('設定と出典'!$B$13*'設定と出典'!$B$10+'設定と出典'!$B$14*'設定と出典'!$B$11))*'設定と出典'!$B$12*'設定と出典'!$B$6</x:f>
        <x:v>24931.685891616493</x:v>
      </x:c>
      <x:c r="Z35" s="7" t="n">
        <x:f>O35*('設定と出典'!$B$41*'設定と出典'!$B$18+('設定と出典'!$B$42+I35)*'設定と出典'!$B$19)/1000*'設定と出典'!$B$6</x:f>
        <x:v>1188</x:v>
      </x:c>
      <x:c r="AA35" s="7" t="n">
        <x:f>N35*(1+J35)*'設定と出典'!$B$21</x:f>
        <x:v>140000</x:v>
      </x:c>
      <x:c r="AB35" s="7" t="n">
        <x:f>N35*'設定と出典'!$B$40/1048576*'設定と出典'!$B$20*'設定と出典'!$B$6+N35*'設定と出典'!$B$39/1000000*'設定と出典'!$B$38*'設定と出典'!$B$6</x:f>
        <x:v>535.32275390625</x:v>
      </x:c>
      <x:c r="AC35" s="7" t="n">
        <x:f>R35*'設定と出典'!$B$16*'設定と出典'!$B$6</x:f>
        <x:v>205078.125</x:v>
      </x:c>
      <x:c r="AD35" s="7" t="n">
        <x:f>Q35*'設定と出典'!$B$17*'設定と出典'!$B$6</x:f>
        <x:v>2109375</x:v>
      </x:c>
      <x:c r="AE35" s="7" t="n">
        <x:f>'設定と出典'!B63</x:f>
        <x:v>13628.969418426243</x:v>
      </x:c>
      <x:c r="AF35" s="7" t="n">
        <x:f>SUM(U35:AE35)</x:f>
        <x:v>2580383.825085315</x:v>
      </x:c>
      <x:c r="AG35" s="7" t="n">
        <x:f>T35*'設定と出典'!$B$28</x:f>
        <x:v>107999.99999999999</x:v>
      </x:c>
      <x:c r="AH35" s="7" t="n">
        <x:f>(A35*L35+M35*'設定と出典'!$B$31)/60*'設定と出典'!$B$29</x:f>
        <x:v>1366666.6666666667</x:v>
      </x:c>
      <x:c r="AI35" s="7" t="n">
        <x:f>'設定と出典'!$B$30*'設定と出典'!$B$29</x:f>
        <x:v>8000</x:v>
      </x:c>
      <x:c r="AJ35" s="7" t="n">
        <x:f>T35-SUM(AF35:AI35)</x:f>
        <x:v>-1063050.491751982</x:v>
      </x:c>
      <x:c r="AK35" s="7" t="n">
        <x:f>AJ35-T35*'設定と出典'!$B$32</x:f>
        <x:v>-2563050.491751982</x:v>
      </x:c>
      <x:c r="AL35" s="7" t="n">
        <x:f>AJ35-A35*MIN(E35,AV35)*'設定と出典'!$B$32</x:f>
        <x:v>-1563050.491751982</x:v>
      </x:c>
      <x:c r="AM35" s="8" t="n">
        <x:f>AJ35/T35</x:f>
        <x:v>-0.3543501639173273</x:v>
      </x:c>
      <x:c r="AN35" s="8" t="n">
        <x:f>AK35/T35</x:f>
        <x:v>-0.8543501639173273</x:v>
      </x:c>
      <x:c r="AO35" s="8" t="n">
        <x:f>AJ35/T35</x:f>
        <x:v>-0.3543501639173273</x:v>
      </x:c>
      <x:c r="AP35" s="8" t="n">
        <x:f>AO35-'設定と出典'!$B$33</x:f>
        <x:v>-0.5543501639173274</x:v>
      </x:c>
      <x:c r="AQ35" s="9" t="n">
        <x:f>SUM(W35:AD35)/N35</x:f>
        <x:v>6.266887139167222</x:v>
      </x:c>
      <x:c r="AR35" s="9" t="n">
        <x:f>MAX(0,(E35*(1-'設定と出典'!$B$28-'設定と出典'!$B$32)-(U35+V35+AH35+AI35+AE35)/A35)/AQ35)</x:f>
        <x:v>0</x:v>
      </x:c>
      <x:c r="AS35" s="9" t="n">
        <x:f>MAX(0,(E35*(1-'設定と出典'!$B$28 )-(U35+V35+AH35+AI35+AE35)/A35)/AQ35)</x:f>
        <x:v>230.37025110791353</x:v>
      </x:c>
      <x:c r="AT35" s="9" t="n">
        <x:f>MAX(0,(E35*(1-'設定と出典'!$B$28)-MIN(E35,AV35)*'設定と出典'!$B$32-(U35+V35+AH35+AI35+AE35)/A35)/AQ35)</x:f>
        <x:v>150.5858240236813</x:v>
      </x:c>
      <x:c r="AU35" s="9" t="str">
        <x:f>IF((T35*(1-'設定と出典'!$B$28-'設定と出典'!$B$32)-(AF35-AE35)-AH35)&lt;=0,"成立せず",(AE35+AI35)/((T35*(1-'設定と出典'!$B$28-'設定と出典'!$B$32)-(AF35-AE35)-AH35)/A35))</x:f>
        <x:v>成立せず</x:v>
      </x:c>
      <x:c r="AV35" s="9" t="n">
        <x:f>'設定と出典'!D51</x:f>
        <x:v>1000</x:v>
      </x:c>
      <x:c r="AW35" s="9" t="n">
        <x:f>IF(1-'設定と出典'!$B$28-'設定と出典'!$B$32-'設定と出典'!$B$33&lt;=0,0,MAX(0,MIN(E35,(AK35/A35-E35*'設定と出典'!$B$33)/(1-'設定と出典'!$B$28-'設定と出典'!$B$32-'設定と出典'!$B$33))))</x:f>
        <x:v>0</x:v>
      </x:c>
      <x:c r="AX35" s="1"/>
      <x:c r="AY35" s="1"/>
      <x:c r="AZ35" s="1"/>
      <x:c r="BA35" s="1"/>
    </x:row>
    <x:row r="36" ht="22" customHeight="1">
      <x:c r="A36" s="1" t="n">
        <x:v>1000</x:v>
      </x:c>
      <x:c r="B36" s="1" t="str">
        <x:f>'設定と出典'!A52</x:f>
        <x:v>Business</x:v>
      </x:c>
      <x:c r="C36" s="1" t="str">
        <x:f>'設定と出典'!A57</x:f>
        <x:v>低位</x:v>
      </x:c>
      <x:c r="D36" s="1" t="n">
        <x:f>'設定と出典'!B52</x:f>
        <x:v>20</x:v>
      </x:c>
      <x:c r="E36" s="1" t="n">
        <x:f>'設定と出典'!C52</x:f>
        <x:v>5000</x:v>
      </x:c>
      <x:c r="F36" s="1" t="n">
        <x:f>'設定と出典'!B57</x:f>
        <x:v>5</x:v>
      </x:c>
      <x:c r="G36" s="1" t="n">
        <x:f>'設定と出典'!C57</x:f>
        <x:v>1</x:v>
      </x:c>
      <x:c r="H36" s="1" t="n">
        <x:f>'設定と出典'!D57</x:f>
        <x:v>2</x:v>
      </x:c>
      <x:c r="I36" s="1" t="n">
        <x:f>'設定と出典'!E57</x:f>
        <x:v>1</x:v>
      </x:c>
      <x:c r="J36" s="1" t="n">
        <x:f>'設定と出典'!F57</x:f>
        <x:v>1.1</x:v>
      </x:c>
      <x:c r="K36" s="1" t="n">
        <x:f>'設定と出典'!G57</x:f>
        <x:v>1</x:v>
      </x:c>
      <x:c r="L36" s="1" t="n">
        <x:f>'設定と出典'!H57</x:f>
        <x:v>3</x:v>
      </x:c>
      <x:c r="M36" s="1" t="n">
        <x:f>A36*D36</x:f>
        <x:v>20000</x:v>
      </x:c>
      <x:c r="N36" s="1" t="n">
        <x:f>M36*F36</x:f>
        <x:v>100000</x:v>
      </x:c>
      <x:c r="O36" s="1" t="n">
        <x:f>N36*G36</x:f>
        <x:v>100000</x:v>
      </x:c>
      <x:c r="P36" s="1" t="n">
        <x:f>O36*H36/1024</x:f>
        <x:v>195.3125</x:v>
      </x:c>
      <x:c r="Q36" s="1" t="n">
        <x:f>P36*I36</x:f>
        <x:v>195.3125</x:v>
      </x:c>
      <x:c r="R36" s="1" t="n">
        <x:f>P36*('設定と出典'!$B$34+'設定と出典'!$B$35)/'設定と出典'!$B$7</x:f>
        <x:v>182.29166666666666</x:v>
      </x:c>
      <x:c r="S36" s="1" t="n">
        <x:f>O36*K36</x:f>
        <x:v>100000</x:v>
      </x:c>
      <x:c r="T36" s="7" t="n">
        <x:f>A36*E36</x:f>
        <x:v>5000000</x:v>
      </x:c>
      <x:c r="U36" s="7" t="n">
        <x:f>A36*'設定と出典'!$B$26</x:f>
        <x:v>50000</x:v>
      </x:c>
      <x:c r="V36" s="7" t="n">
        <x:f>M36*'設定と出典'!$B$27</x:f>
        <x:v>40000</x:v>
      </x:c>
      <x:c r="W36" s="7" t="n">
        <x:f>(N36*'設定と出典'!$B$36+S36)*('設定と出典'!$B$43*'設定と出典'!$B$8+'設定と出典'!$B$44*'設定と出典'!$B$9)*'設定と出典'!$B$12*'設定と出典'!$B$6</x:f>
        <x:v>530.9034813340173</x:v>
      </x:c>
      <x:c r="X36" s="7" t="n">
        <x:f>N36*I36*'設定と出典'!$B$37*('設定と出典'!$B$45*'設定と出典'!$B$8+'設定と出典'!$B$46*'設定と出典'!$B$9)*'設定と出典'!$B$12*'設定と出典'!$B$6</x:f>
        <x:v>81.67745866677188</x:v>
      </x:c>
      <x:c r="Y36" s="7" t="n">
        <x:f>MAX(0,S36*('設定と出典'!$B$13*'設定と出典'!$B$8+'設定と出典'!$B$14*'設定と出典'!$B$9)-MIN(S36,'設定と出典'!$B$7*86400*'設定と出典'!$B$15)*('設定と出典'!$B$13*'設定と出典'!$B$10+'設定と出典'!$B$14*'設定と出典'!$B$11))*'設定と出典'!$B$12*'設定と出典'!$B$6</x:f>
        <x:v>346.96117575278623</x:v>
      </x:c>
      <x:c r="Z36" s="7" t="n">
        <x:f>O36*('設定と出典'!$B$41*'設定と出典'!$B$18+('設定と出典'!$B$42+I36)*'設定と出典'!$B$19)/1000*'設定と出典'!$B$6</x:f>
        <x:v>93.00000000000001</x:v>
      </x:c>
      <x:c r="AA36" s="7" t="n">
        <x:f>N36*(1+J36)*'設定と出典'!$B$21</x:f>
        <x:v>21000</x:v>
      </x:c>
      <x:c r="AB36" s="7" t="n">
        <x:f>N36*'設定と出典'!$B$40/1048576*'設定と出典'!$B$20*'設定と出典'!$B$6+N36*'設定と出典'!$B$39/1000000*'設定と出典'!$B$38*'設定と出典'!$B$6</x:f>
        <x:v>133.8306884765625</x:v>
      </x:c>
      <x:c r="AC36" s="7" t="n">
        <x:f>R36*'設定と出典'!$B$16*'設定と出典'!$B$6</x:f>
        <x:v>683.59375</x:v>
      </x:c>
      <x:c r="AD36" s="7" t="n">
        <x:f>Q36*'設定と出典'!$B$17*'設定と出典'!$B$6</x:f>
        <x:v>3515.625</x:v>
      </x:c>
      <x:c r="AE36" s="7" t="n">
        <x:f>'設定と出典'!B63</x:f>
        <x:v>13628.969418426243</x:v>
      </x:c>
      <x:c r="AF36" s="7" t="n">
        <x:f>SUM(U36:AE36)</x:f>
        <x:v>130014.56097265639</x:v>
      </x:c>
      <x:c r="AG36" s="7" t="n">
        <x:f>T36*'設定と出典'!$B$28</x:f>
        <x:v>180000</x:v>
      </x:c>
      <x:c r="AH36" s="7" t="n">
        <x:f>(A36*L36+M36*'設定と出典'!$B$31)/60*'設定と出典'!$B$29</x:f>
        <x:v>333333.3333333333</x:v>
      </x:c>
      <x:c r="AI36" s="7" t="n">
        <x:f>'設定と出典'!$B$30*'設定と出典'!$B$29</x:f>
        <x:v>8000</x:v>
      </x:c>
      <x:c r="AJ36" s="7" t="n">
        <x:f>T36-SUM(AF36:AI36)</x:f>
        <x:v>4348652.105694011</x:v>
      </x:c>
      <x:c r="AK36" s="7" t="n">
        <x:f>AJ36-T36*'設定と出典'!$B$32</x:f>
        <x:v>1848652.1056940109</x:v>
      </x:c>
      <x:c r="AL36" s="7" t="n">
        <x:f>AJ36-A36*MIN(E36,AV36)*'設定と出典'!$B$32</x:f>
        <x:v>3848652.105694011</x:v>
      </x:c>
      <x:c r="AM36" s="8" t="n">
        <x:f>AJ36/T36</x:f>
        <x:v>0.8697304211388022</x:v>
      </x:c>
      <x:c r="AN36" s="8" t="n">
        <x:f>AK36/T36</x:f>
        <x:v>0.36973042113880217</x:v>
      </x:c>
      <x:c r="AO36" s="8" t="n">
        <x:f>AJ36/T36</x:f>
        <x:v>0.8697304211388022</x:v>
      </x:c>
      <x:c r="AP36" s="8" t="n">
        <x:f>AO36-'設定と出典'!$B$33</x:f>
        <x:v>0.6697304211388022</x:v>
      </x:c>
      <x:c r="AQ36" s="9" t="n">
        <x:f>SUM(W36:AD36)/N36</x:f>
        <x:v>0.26385591554230137</x:v>
      </x:c>
      <x:c r="AR36" s="9" t="n">
        <x:f>MAX(0,(E36*(1-'設定と出典'!$B$28-'設定と出典'!$B$32)-(U36+V36+AH36+AI36+AE36)/A36)/AQ36)</x:f>
        <x:v>7106.293953631805</x:v>
      </x:c>
      <x:c r="AS36" s="9" t="n">
        <x:f>MAX(0,(E36*(1-'設定と出典'!$B$28 )-(U36+V36+AH36+AI36+AE36)/A36)/AQ36)</x:f>
        <x:v>16581.162064364766</x:v>
      </x:c>
      <x:c r="AT36" s="9" t="n">
        <x:f>MAX(0,(E36*(1-'設定と出典'!$B$28)-MIN(E36,AV36)*'設定と出典'!$B$32-(U36+V36+AH36+AI36+AE36)/A36)/AQ36)</x:f>
        <x:v>14686.188442218172</x:v>
      </x:c>
      <x:c r="AU36" s="9" t="n">
        <x:f>IF((T36*(1-'設定と出典'!$B$28-'設定と出典'!$B$32)-(AF36-AE36)-AH36)&lt;=0,"成立せず",(AE36+AI36)/((T36*(1-'設定と出典'!$B$28-'設定と出典'!$B$32)-(AF36-AE36)-AH36)/A36))</x:f>
        <x:v>11.564555566668481</x:v>
      </x:c>
      <x:c r="AV36" s="9" t="n">
        <x:f>'設定と出典'!D52</x:f>
        <x:v>1000</x:v>
      </x:c>
      <x:c r="AW36" s="9" t="n">
        <x:f>IF(1-'設定と出典'!$B$28-'設定と出典'!$B$32-'設定と出典'!$B$33&lt;=0,0,MAX(0,MIN(E36,(AK36/A36-E36*'設定と出典'!$B$33)/(1-'設定と出典'!$B$28-'設定と出典'!$B$32-'設定と出典'!$B$33))))</x:f>
        <x:v>3214.591309447011</x:v>
      </x:c>
      <x:c r="AX36" s="1"/>
      <x:c r="AY36" s="1"/>
      <x:c r="AZ36" s="1"/>
      <x:c r="BA36" s="1"/>
    </x:row>
    <x:row r="37" ht="22" customHeight="1">
      <x:c r="A37" s="1" t="n">
        <x:v>1000</x:v>
      </x:c>
      <x:c r="B37" s="1" t="str">
        <x:f>'設定と出典'!A52</x:f>
        <x:v>Business</x:v>
      </x:c>
      <x:c r="C37" s="1" t="str">
        <x:f>'設定と出典'!A58</x:f>
        <x:v>標準</x:v>
      </x:c>
      <x:c r="D37" s="1" t="n">
        <x:f>'設定と出典'!B52</x:f>
        <x:v>20</x:v>
      </x:c>
      <x:c r="E37" s="1" t="n">
        <x:f>'設定と出典'!C52</x:f>
        <x:v>5000</x:v>
      </x:c>
      <x:c r="F37" s="1" t="n">
        <x:f>'設定と出典'!B58</x:f>
        <x:v>20</x:v>
      </x:c>
      <x:c r="G37" s="1" t="n">
        <x:f>'設定と出典'!C58</x:f>
        <x:v>2</x:v>
      </x:c>
      <x:c r="H37" s="1" t="n">
        <x:f>'設定と出典'!D58</x:f>
        <x:v>10</x:v>
      </x:c>
      <x:c r="I37" s="1" t="n">
        <x:f>'設定と出典'!E58</x:f>
        <x:v>1.5</x:v>
      </x:c>
      <x:c r="J37" s="1" t="n">
        <x:f>'設定と出典'!F58</x:f>
        <x:v>1.8</x:v>
      </x:c>
      <x:c r="K37" s="1" t="n">
        <x:f>'設定と出典'!G58</x:f>
        <x:v>2</x:v>
      </x:c>
      <x:c r="L37" s="1" t="n">
        <x:f>'設定と出典'!H58</x:f>
        <x:v>8</x:v>
      </x:c>
      <x:c r="M37" s="1" t="n">
        <x:f>A37*D37</x:f>
        <x:v>20000</x:v>
      </x:c>
      <x:c r="N37" s="1" t="n">
        <x:f>M37*F37</x:f>
        <x:v>400000</x:v>
      </x:c>
      <x:c r="O37" s="1" t="n">
        <x:f>N37*G37</x:f>
        <x:v>800000</x:v>
      </x:c>
      <x:c r="P37" s="1" t="n">
        <x:f>O37*H37/1024</x:f>
        <x:v>7812.5</x:v>
      </x:c>
      <x:c r="Q37" s="1" t="n">
        <x:f>P37*I37</x:f>
        <x:v>11718.75</x:v>
      </x:c>
      <x:c r="R37" s="1" t="n">
        <x:f>P37*('設定と出典'!$B$34+'設定と出典'!$B$35)/'設定と出典'!$B$7</x:f>
        <x:v>7291.666666666667</x:v>
      </x:c>
      <x:c r="S37" s="1" t="n">
        <x:f>O37*K37</x:f>
        <x:v>1600000</x:v>
      </x:c>
      <x:c r="T37" s="7" t="n">
        <x:f>A37*E37</x:f>
        <x:v>5000000</x:v>
      </x:c>
      <x:c r="U37" s="7" t="n">
        <x:f>A37*'設定と出典'!$B$26</x:f>
        <x:v>50000</x:v>
      </x:c>
      <x:c r="V37" s="7" t="n">
        <x:f>M37*'設定と出典'!$B$27</x:f>
        <x:v>40000</x:v>
      </x:c>
      <x:c r="W37" s="7" t="n">
        <x:f>(N37*'設定と出典'!$B$36+S37)*('設定と出典'!$B$43*'設定と出典'!$B$8+'設定と出典'!$B$44*'設定と出典'!$B$9)*'設定と出典'!$B$12*'設定と出典'!$B$6</x:f>
        <x:v>7024.261445342384</x:v>
      </x:c>
      <x:c r="X37" s="7" t="n">
        <x:f>N37*I37*'設定と出典'!$B$37*('設定と出典'!$B$45*'設定と出典'!$B$8+'設定と出典'!$B$46*'設定と出典'!$B$9)*'設定と出典'!$B$12*'設定と出典'!$B$6</x:f>
        <x:v>490.06475200063136</x:v>
      </x:c>
      <x:c r="Y37" s="7" t="n">
        <x:f>MAX(0,S37*('設定と出典'!$B$13*'設定と出典'!$B$8+'設定と出典'!$B$14*'設定と出典'!$B$9)-MIN(S37,'設定と出典'!$B$7*86400*'設定と出典'!$B$15)*('設定と出典'!$B$13*'設定と出典'!$B$10+'設定と出典'!$B$14*'設定と出典'!$B$11))*'設定と出典'!$B$12*'設定と出典'!$B$6</x:f>
        <x:v>5551.37881204458</x:v>
      </x:c>
      <x:c r="Z37" s="7" t="n">
        <x:f>O37*('設定と出典'!$B$41*'設定と出典'!$B$18+('設定と出典'!$B$42+I37)*'設定と出典'!$B$19)/1000*'設定と出典'!$B$6</x:f>
        <x:v>768</x:v>
      </x:c>
      <x:c r="AA37" s="7" t="n">
        <x:f>N37*(1+J37)*'設定と出典'!$B$21</x:f>
        <x:v>112000</x:v>
      </x:c>
      <x:c r="AB37" s="7" t="n">
        <x:f>N37*'設定と出典'!$B$40/1048576*'設定と出典'!$B$20*'設定と出典'!$B$6+N37*'設定と出典'!$B$39/1000000*'設定と出典'!$B$38*'設定と出典'!$B$6</x:f>
        <x:v>535.32275390625</x:v>
      </x:c>
      <x:c r="AC37" s="7" t="n">
        <x:f>R37*'設定と出典'!$B$16*'設定と出典'!$B$6</x:f>
        <x:v>27343.750000000004</x:v>
      </x:c>
      <x:c r="AD37" s="7" t="n">
        <x:f>Q37*'設定と出典'!$B$17*'設定と出典'!$B$6</x:f>
        <x:v>210937.5</x:v>
      </x:c>
      <x:c r="AE37" s="7" t="n">
        <x:f>'設定と出典'!B63</x:f>
        <x:v>13628.969418426243</x:v>
      </x:c>
      <x:c r="AF37" s="7" t="n">
        <x:f>SUM(U37:AE37)</x:f>
        <x:v>468279.24718172004</x:v>
      </x:c>
      <x:c r="AG37" s="7" t="n">
        <x:f>T37*'設定と出典'!$B$28</x:f>
        <x:v>180000</x:v>
      </x:c>
      <x:c r="AH37" s="7" t="n">
        <x:f>(A37*L37+M37*'設定と出典'!$B$31)/60*'設定と出典'!$B$29</x:f>
        <x:v>666666.6666666666</x:v>
      </x:c>
      <x:c r="AI37" s="7" t="n">
        <x:f>'設定と出典'!$B$30*'設定と出典'!$B$29</x:f>
        <x:v>8000</x:v>
      </x:c>
      <x:c r="AJ37" s="7" t="n">
        <x:f>T37-SUM(AF37:AI37)</x:f>
        <x:v>3677054.0861516134</x:v>
      </x:c>
      <x:c r="AK37" s="7" t="n">
        <x:f>AJ37-T37*'設定と出典'!$B$32</x:f>
        <x:v>1177054.0861516134</x:v>
      </x:c>
      <x:c r="AL37" s="7" t="n">
        <x:f>AJ37-A37*MIN(E37,AV37)*'設定と出典'!$B$32</x:f>
        <x:v>3177054.0861516134</x:v>
      </x:c>
      <x:c r="AM37" s="8" t="n">
        <x:f>AJ37/T37</x:f>
        <x:v>0.7354108172303226</x:v>
      </x:c>
      <x:c r="AN37" s="8" t="n">
        <x:f>AK37/T37</x:f>
        <x:v>0.23541081723032267</x:v>
      </x:c>
      <x:c r="AO37" s="8" t="n">
        <x:f>AJ37/T37</x:f>
        <x:v>0.7354108172303226</x:v>
      </x:c>
      <x:c r="AP37" s="8" t="n">
        <x:f>AO37-'設定と出典'!$B$33</x:f>
        <x:v>0.5354108172303227</x:v>
      </x:c>
      <x:c r="AQ37" s="9" t="n">
        <x:f>SUM(W37:AD37)/N37</x:f>
        <x:v>0.9116256944082346</x:v>
      </x:c>
      <x:c r="AR37" s="9" t="n">
        <x:f>MAX(0,(E37*(1-'設定と出典'!$B$28-'設定と出典'!$B$32)-(U37+V37+AH37+AI37+AE37)/A37)/AQ37)</x:f>
        <x:v>1691.1594016836884</x:v>
      </x:c>
      <x:c r="AS37" s="9" t="n">
        <x:f>MAX(0,(E37*(1-'設定と出典'!$B$28 )-(U37+V37+AH37+AI37+AE37)/A37)/AQ37)</x:f>
        <x:v>4433.5129962945</x:v>
      </x:c>
      <x:c r="AT37" s="9" t="n">
        <x:f>MAX(0,(E37*(1-'設定と出典'!$B$28)-MIN(E37,AV37)*'設定と出典'!$B$32-(U37+V37+AH37+AI37+AE37)/A37)/AQ37)</x:f>
        <x:v>3885.042277372338</x:v>
      </x:c>
      <x:c r="AU37" s="9" t="n">
        <x:f>IF((T37*(1-'設定と出典'!$B$28-'設定と出典'!$B$32)-(AF37-AE37)-AH37)&lt;=0,"成立せず",(AE37+AI37)/((T37*(1-'設定と出典'!$B$28-'設定と出典'!$B$32)-(AF37-AE37)-AH37)/A37))</x:f>
        <x:v>18.043943574509345</x:v>
      </x:c>
      <x:c r="AV37" s="9" t="n">
        <x:f>'設定と出典'!D52</x:f>
        <x:v>1000</x:v>
      </x:c>
      <x:c r="AW37" s="9" t="n">
        <x:f>IF(1-'設定と出典'!$B$28-'設定と出典'!$B$32-'設定と出典'!$B$33&lt;=0,0,MAX(0,MIN(E37,(AK37/A37-E37*'設定と出典'!$B$33)/(1-'設定と出典'!$B$28-'設定と出典'!$B$32-'設定と出典'!$B$33))))</x:f>
        <x:v>670.6594172409597</x:v>
      </x:c>
      <x:c r="AX37" s="1"/>
      <x:c r="AY37" s="1"/>
      <x:c r="AZ37" s="1"/>
      <x:c r="BA37" s="1"/>
    </x:row>
    <x:row r="38" ht="22" customHeight="1">
      <x:c r="A38" s="1" t="n">
        <x:v>1000</x:v>
      </x:c>
      <x:c r="B38" s="1" t="str">
        <x:f>'設定と出典'!A52</x:f>
        <x:v>Business</x:v>
      </x:c>
      <x:c r="C38" s="1" t="str">
        <x:f>'設定と出典'!A59</x:f>
        <x:v>高位</x:v>
      </x:c>
      <x:c r="D38" s="1" t="n">
        <x:f>'設定と出典'!B52</x:f>
        <x:v>20</x:v>
      </x:c>
      <x:c r="E38" s="1" t="n">
        <x:f>'設定と出典'!C52</x:f>
        <x:v>5000</x:v>
      </x:c>
      <x:c r="F38" s="1" t="n">
        <x:f>'設定と出典'!B59</x:f>
        <x:v>80</x:v>
      </x:c>
      <x:c r="G38" s="1" t="n">
        <x:f>'設定と出典'!C59</x:f>
        <x:v>3</x:v>
      </x:c>
      <x:c r="H38" s="1" t="n">
        <x:f>'設定と出典'!D59</x:f>
        <x:v>50</x:v>
      </x:c>
      <x:c r="I38" s="1" t="n">
        <x:f>'設定と出典'!E59</x:f>
        <x:v>2</x:v>
      </x:c>
      <x:c r="J38" s="1" t="n">
        <x:f>'設定と出典'!F59</x:f>
        <x:v>2.5</x:v>
      </x:c>
      <x:c r="K38" s="1" t="n">
        <x:f>'設定と出典'!G59</x:f>
        <x:v>5</x:v>
      </x:c>
      <x:c r="L38" s="1" t="n">
        <x:f>'設定と出典'!H59</x:f>
        <x:v>20</x:v>
      </x:c>
      <x:c r="M38" s="1" t="n">
        <x:f>A38*D38</x:f>
        <x:v>20000</x:v>
      </x:c>
      <x:c r="N38" s="1" t="n">
        <x:f>M38*F38</x:f>
        <x:v>1600000</x:v>
      </x:c>
      <x:c r="O38" s="1" t="n">
        <x:f>N38*G38</x:f>
        <x:v>4800000</x:v>
      </x:c>
      <x:c r="P38" s="1" t="n">
        <x:f>O38*H38/1024</x:f>
        <x:v>234375</x:v>
      </x:c>
      <x:c r="Q38" s="1" t="n">
        <x:f>P38*I38</x:f>
        <x:v>468750</x:v>
      </x:c>
      <x:c r="R38" s="1" t="n">
        <x:f>P38*('設定と出典'!$B$34+'設定と出典'!$B$35)/'設定と出典'!$B$7</x:f>
        <x:v>218750</x:v>
      </x:c>
      <x:c r="S38" s="1" t="n">
        <x:f>O38*K38</x:f>
        <x:v>24000000</x:v>
      </x:c>
      <x:c r="T38" s="7" t="n">
        <x:f>A38*E38</x:f>
        <x:v>5000000</x:v>
      </x:c>
      <x:c r="U38" s="7" t="n">
        <x:f>A38*'設定と出典'!$B$26</x:f>
        <x:v>50000</x:v>
      </x:c>
      <x:c r="V38" s="7" t="n">
        <x:f>M38*'設定と出典'!$B$27</x:f>
        <x:v>40000</x:v>
      </x:c>
      <x:c r="W38" s="7" t="n">
        <x:f>(N38*'設定と出典'!$B$36+S38)*('設定と出典'!$B$43*'設定と出典'!$B$8+'設定と出典'!$B$44*'設定と出典'!$B$9)*'設定と出典'!$B$12*'設定と出典'!$B$6</x:f>
        <x:v>99973.20940812881</x:v>
      </x:c>
      <x:c r="X38" s="7" t="n">
        <x:f>N38*I38*'設定と出典'!$B$37*('設定と出典'!$B$45*'設定と出典'!$B$8+'設定と出典'!$B$46*'設定と出典'!$B$9)*'設定と出典'!$B$12*'設定と出典'!$B$6</x:f>
        <x:v>2613.6786773367003</x:v>
      </x:c>
      <x:c r="Y38" s="7" t="n">
        <x:f>MAX(0,S38*('設定と出典'!$B$13*'設定と出典'!$B$8+'設定と出典'!$B$14*'設定と出典'!$B$9)-MIN(S38,'設定と出典'!$B$7*86400*'設定と出典'!$B$15)*('設定と出典'!$B$13*'設定と出典'!$B$10+'設定と出典'!$B$14*'設定と出典'!$B$11))*'設定と出典'!$B$12*'設定と出典'!$B$6</x:f>
        <x:v>109113.6518217447</x:v>
      </x:c>
      <x:c r="Z38" s="7" t="n">
        <x:f>O38*('設定と出典'!$B$41*'設定と出典'!$B$18+('設定と出典'!$B$42+I38)*'設定と出典'!$B$19)/1000*'設定と出典'!$B$6</x:f>
        <x:v>4752</x:v>
      </x:c>
      <x:c r="AA38" s="7" t="n">
        <x:f>N38*(1+J38)*'設定と出典'!$B$21</x:f>
        <x:v>560000</x:v>
      </x:c>
      <x:c r="AB38" s="7" t="n">
        <x:f>N38*'設定と出典'!$B$40/1048576*'設定と出典'!$B$20*'設定と出典'!$B$6+N38*'設定と出典'!$B$39/1000000*'設定と出典'!$B$38*'設定と出典'!$B$6</x:f>
        <x:v>2141.291015625</x:v>
      </x:c>
      <x:c r="AC38" s="7" t="n">
        <x:f>R38*'設定と出典'!$B$16*'設定と出典'!$B$6</x:f>
        <x:v>820312.5</x:v>
      </x:c>
      <x:c r="AD38" s="7" t="n">
        <x:f>Q38*'設定と出典'!$B$17*'設定と出典'!$B$6</x:f>
        <x:v>8437500</x:v>
      </x:c>
      <x:c r="AE38" s="7" t="n">
        <x:f>'設定と出典'!B63</x:f>
        <x:v>13628.969418426243</x:v>
      </x:c>
      <x:c r="AF38" s="7" t="n">
        <x:f>SUM(U38:AE38)</x:f>
        <x:v>10140035.300341262</x:v>
      </x:c>
      <x:c r="AG38" s="7" t="n">
        <x:f>T38*'設定と出典'!$B$28</x:f>
        <x:v>180000</x:v>
      </x:c>
      <x:c r="AH38" s="7" t="n">
        <x:f>(A38*L38+M38*'設定と出典'!$B$31)/60*'設定と出典'!$B$29</x:f>
        <x:v>1466666.6666666667</x:v>
      </x:c>
      <x:c r="AI38" s="7" t="n">
        <x:f>'設定と出典'!$B$30*'設定と出典'!$B$29</x:f>
        <x:v>8000</x:v>
      </x:c>
      <x:c r="AJ38" s="7" t="n">
        <x:f>T38-SUM(AF38:AI38)</x:f>
        <x:v>-6794701.967007928</x:v>
      </x:c>
      <x:c r="AK38" s="7" t="n">
        <x:f>AJ38-T38*'設定と出典'!$B$32</x:f>
        <x:v>-9294701.967007928</x:v>
      </x:c>
      <x:c r="AL38" s="7" t="n">
        <x:f>AJ38-A38*MIN(E38,AV38)*'設定と出典'!$B$32</x:f>
        <x:v>-7294701.967007928</x:v>
      </x:c>
      <x:c r="AM38" s="8" t="n">
        <x:f>AJ38/T38</x:f>
        <x:v>-1.3589403934015856</x:v>
      </x:c>
      <x:c r="AN38" s="8" t="n">
        <x:f>AK38/T38</x:f>
        <x:v>-1.8589403934015856</x:v>
      </x:c>
      <x:c r="AO38" s="8" t="n">
        <x:f>AJ38/T38</x:f>
        <x:v>-1.3589403934015856</x:v>
      </x:c>
      <x:c r="AP38" s="8" t="n">
        <x:f>AO38-'設定と出典'!$B$33</x:f>
        <x:v>-1.5589403934015855</x:v>
      </x:c>
      <x:c r="AQ38" s="9" t="n">
        <x:f>SUM(W38:AD38)/N38</x:f>
        <x:v>6.272753956826771</x:v>
      </x:c>
      <x:c r="AR38" s="9" t="n">
        <x:f>MAX(0,(E38*(1-'設定と出典'!$B$28-'設定と出典'!$B$32)-(U38+V38+AH38+AI38+AE38)/A38)/AQ38)</x:f>
        <x:v>118.24222168122732</x:v>
      </x:c>
      <x:c r="AS38" s="9" t="n">
        <x:f>MAX(0,(E38*(1-'設定と出典'!$B$28 )-(U38+V38+AH38+AI38+AE38)/A38)/AQ38)</x:f>
        <x:v>516.7912508965685</x:v>
      </x:c>
      <x:c r="AT38" s="9" t="n">
        <x:f>MAX(0,(E38*(1-'設定と出典'!$B$28)-MIN(E38,AV38)*'設定と出典'!$B$32-(U38+V38+AH38+AI38+AE38)/A38)/AQ38)</x:f>
        <x:v>437.08144505350026</x:v>
      </x:c>
      <x:c r="AU38" s="9" t="str">
        <x:f>IF((T38*(1-'設定と出典'!$B$28-'設定と出典'!$B$32)-(AF38-AE38)-AH38)&lt;=0,"成立せず",(AE38+AI38)/((T38*(1-'設定と出典'!$B$28-'設定と出典'!$B$32)-(AF38-AE38)-AH38)/A38))</x:f>
        <x:v>成立せず</x:v>
      </x:c>
      <x:c r="AV38" s="9" t="n">
        <x:f>'設定と出典'!D52</x:f>
        <x:v>1000</x:v>
      </x:c>
      <x:c r="AW38" s="9" t="n">
        <x:f>IF(1-'設定と出典'!$B$28-'設定と出典'!$B$32-'設定と出典'!$B$33&lt;=0,0,MAX(0,MIN(E38,(AK38/A38-E38*'設定と出典'!$B$33)/(1-'設定と出典'!$B$28-'設定と出典'!$B$32-'設定と出典'!$B$33))))</x:f>
        <x:v>0</x:v>
      </x:c>
      <x:c r="AX38" s="1"/>
      <x:c r="AY38" s="1"/>
      <x:c r="AZ38" s="1"/>
      <x:c r="BA38" s="1"/>
    </x:row>
    <x:row r="39" ht="22" customHeight="1">
      <x:c r="A39" s="1" t="n">
        <x:v>1000</x:v>
      </x:c>
      <x:c r="B39" s="1" t="str">
        <x:f>'設定と出典'!A53</x:f>
        <x:v>Business Plus</x:v>
      </x:c>
      <x:c r="C39" s="1" t="str">
        <x:f>'設定と出典'!A57</x:f>
        <x:v>低位</x:v>
      </x:c>
      <x:c r="D39" s="1" t="n">
        <x:f>'設定と出典'!B53</x:f>
        <x:v>50</x:v>
      </x:c>
      <x:c r="E39" s="1" t="n">
        <x:f>'設定と出典'!C53</x:f>
        <x:v>8000</x:v>
      </x:c>
      <x:c r="F39" s="1" t="n">
        <x:f>'設定と出典'!B57</x:f>
        <x:v>5</x:v>
      </x:c>
      <x:c r="G39" s="1" t="n">
        <x:f>'設定と出典'!C57</x:f>
        <x:v>1</x:v>
      </x:c>
      <x:c r="H39" s="1" t="n">
        <x:f>'設定と出典'!D57</x:f>
        <x:v>2</x:v>
      </x:c>
      <x:c r="I39" s="1" t="n">
        <x:f>'設定と出典'!E57</x:f>
        <x:v>1</x:v>
      </x:c>
      <x:c r="J39" s="1" t="n">
        <x:f>'設定と出典'!F57</x:f>
        <x:v>1.1</x:v>
      </x:c>
      <x:c r="K39" s="1" t="n">
        <x:f>'設定と出典'!G57</x:f>
        <x:v>1</x:v>
      </x:c>
      <x:c r="L39" s="1" t="n">
        <x:f>'設定と出典'!H57</x:f>
        <x:v>3</x:v>
      </x:c>
      <x:c r="M39" s="1" t="n">
        <x:f>A39*D39</x:f>
        <x:v>50000</x:v>
      </x:c>
      <x:c r="N39" s="1" t="n">
        <x:f>M39*F39</x:f>
        <x:v>250000</x:v>
      </x:c>
      <x:c r="O39" s="1" t="n">
        <x:f>N39*G39</x:f>
        <x:v>250000</x:v>
      </x:c>
      <x:c r="P39" s="1" t="n">
        <x:f>O39*H39/1024</x:f>
        <x:v>488.28125</x:v>
      </x:c>
      <x:c r="Q39" s="1" t="n">
        <x:f>P39*I39</x:f>
        <x:v>488.28125</x:v>
      </x:c>
      <x:c r="R39" s="1" t="n">
        <x:f>P39*('設定と出典'!$B$34+'設定と出典'!$B$35)/'設定と出典'!$B$7</x:f>
        <x:v>455.7291666666667</x:v>
      </x:c>
      <x:c r="S39" s="1" t="n">
        <x:f>O39*K39</x:f>
        <x:v>250000</x:v>
      </x:c>
      <x:c r="T39" s="7" t="n">
        <x:f>A39*E39</x:f>
        <x:v>8000000</x:v>
      </x:c>
      <x:c r="U39" s="7" t="n">
        <x:f>A39*'設定と出典'!$B$26</x:f>
        <x:v>50000</x:v>
      </x:c>
      <x:c r="V39" s="7" t="n">
        <x:f>M39*'設定と出典'!$B$27</x:f>
        <x:v>100000</x:v>
      </x:c>
      <x:c r="W39" s="7" t="n">
        <x:f>(N39*'設定と出典'!$B$36+S39)*('設定と出典'!$B$43*'設定と出典'!$B$8+'設定と出典'!$B$44*'設定と出典'!$B$9)*'設定と出典'!$B$12*'設定と出典'!$B$6</x:f>
        <x:v>1327.2587033350433</x:v>
      </x:c>
      <x:c r="X39" s="7" t="n">
        <x:f>N39*I39*'設定と出典'!$B$37*('設定と出典'!$B$45*'設定と出典'!$B$8+'設定と出典'!$B$46*'設定と出典'!$B$9)*'設定と出典'!$B$12*'設定と出典'!$B$6</x:f>
        <x:v>204.19364666692974</x:v>
      </x:c>
      <x:c r="Y39" s="7" t="n">
        <x:f>MAX(0,S39*('設定と出典'!$B$13*'設定と出典'!$B$8+'設定と出典'!$B$14*'設定と出典'!$B$9)-MIN(S39,'設定と出典'!$B$7*86400*'設定と出典'!$B$15)*('設定と出典'!$B$13*'設定と出典'!$B$10+'設定と出典'!$B$14*'設定と出典'!$B$11))*'設定と出典'!$B$12*'設定と出典'!$B$6</x:f>
        <x:v>867.4029393819657</x:v>
      </x:c>
      <x:c r="Z39" s="7" t="n">
        <x:f>O39*('設定と出典'!$B$41*'設定と出典'!$B$18+('設定と出典'!$B$42+I39)*'設定と出典'!$B$19)/1000*'設定と出典'!$B$6</x:f>
        <x:v>232.50000000000003</x:v>
      </x:c>
      <x:c r="AA39" s="7" t="n">
        <x:f>N39*(1+J39)*'設定と出典'!$B$21</x:f>
        <x:v>52500</x:v>
      </x:c>
      <x:c r="AB39" s="7" t="n">
        <x:f>N39*'設定と出典'!$B$40/1048576*'設定と出典'!$B$20*'設定と出典'!$B$6+N39*'設定と出典'!$B$39/1000000*'設定と出典'!$B$38*'設定と出典'!$B$6</x:f>
        <x:v>334.57672119140625</x:v>
      </x:c>
      <x:c r="AC39" s="7" t="n">
        <x:f>R39*'設定と出典'!$B$16*'設定と出典'!$B$6</x:f>
        <x:v>1708.9843750000002</x:v>
      </x:c>
      <x:c r="AD39" s="7" t="n">
        <x:f>Q39*'設定と出典'!$B$17*'設定と出典'!$B$6</x:f>
        <x:v>8789.0625</x:v>
      </x:c>
      <x:c r="AE39" s="7" t="n">
        <x:f>'設定と出典'!B63</x:f>
        <x:v>13628.969418426243</x:v>
      </x:c>
      <x:c r="AF39" s="7" t="n">
        <x:f>SUM(U39:AE39)</x:f>
        <x:v>229592.94830400162</x:v>
      </x:c>
      <x:c r="AG39" s="7" t="n">
        <x:f>T39*'設定と出典'!$B$28</x:f>
        <x:v>288000</x:v>
      </x:c>
      <x:c r="AH39" s="7" t="n">
        <x:f>(A39*L39+M39*'設定と出典'!$B$31)/60*'設定と出典'!$B$29</x:f>
        <x:v>533333.3333333334</x:v>
      </x:c>
      <x:c r="AI39" s="7" t="n">
        <x:f>'設定と出典'!$B$30*'設定と出典'!$B$29</x:f>
        <x:v>8000</x:v>
      </x:c>
      <x:c r="AJ39" s="7" t="n">
        <x:f>T39-SUM(AF39:AI39)</x:f>
        <x:v>6941073.718362665</x:v>
      </x:c>
      <x:c r="AK39" s="7" t="n">
        <x:f>AJ39-T39*'設定と出典'!$B$32</x:f>
        <x:v>2941073.718362665</x:v>
      </x:c>
      <x:c r="AL39" s="7" t="n">
        <x:f>AJ39-A39*MIN(E39,AV39)*'設定と出典'!$B$32</x:f>
        <x:v>6441073.718362665</x:v>
      </x:c>
      <x:c r="AM39" s="8" t="n">
        <x:f>AJ39/T39</x:f>
        <x:v>0.8676342147953331</x:v>
      </x:c>
      <x:c r="AN39" s="8" t="n">
        <x:f>AK39/T39</x:f>
        <x:v>0.3676342147953331</x:v>
      </x:c>
      <x:c r="AO39" s="8" t="n">
        <x:f>AJ39/T39</x:f>
        <x:v>0.8676342147953331</x:v>
      </x:c>
      <x:c r="AP39" s="8" t="n">
        <x:f>AO39-'設定と出典'!$B$33</x:f>
        <x:v>0.6676342147953331</x:v>
      </x:c>
      <x:c r="AQ39" s="9" t="n">
        <x:f>SUM(W39:AD39)/N39</x:f>
        <x:v>0.26385591554230137</x:v>
      </x:c>
      <x:c r="AR39" s="9" t="n">
        <x:f>MAX(0,(E39*(1-'設定と出典'!$B$28-'設定と出典'!$B$32)-(U39+V39+AH39+AI39+AE39)/A39)/AQ39)</x:f>
        <x:v>11396.514234171687</x:v>
      </x:c>
      <x:c r="AS39" s="9" t="n">
        <x:f>MAX(0,(E39*(1-'設定と出典'!$B$28 )-(U39+V39+AH39+AI39+AE39)/A39)/AQ39)</x:f>
        <x:v>26556.30321134442</x:v>
      </x:c>
      <x:c r="AT39" s="9" t="n">
        <x:f>MAX(0,(E39*(1-'設定と出典'!$B$28)-MIN(E39,AV39)*'設定と出典'!$B$32-(U39+V39+AH39+AI39+AE39)/A39)/AQ39)</x:f>
        <x:v>24661.32958919783</x:v>
      </x:c>
      <x:c r="AU39" s="9" t="n">
        <x:f>IF((T39*(1-'設定と出典'!$B$28-'設定と出典'!$B$32)-(AF39-AE39)-AH39)&lt;=0,"成立せず",(AE39+AI39)/((T39*(1-'設定と出典'!$B$28-'設定と出典'!$B$32)-(AF39-AE39)-AH39)/A39))</x:f>
        <x:v>7.300418468457666</x:v>
      </x:c>
      <x:c r="AV39" s="9" t="n">
        <x:f>'設定と出典'!D53</x:f>
        <x:v>1000</x:v>
      </x:c>
      <x:c r="AW39" s="9" t="n">
        <x:f>IF(1-'設定と出典'!$B$28-'設定と出典'!$B$32-'設定と出典'!$B$33&lt;=0,0,MAX(0,MIN(E39,(AK39/A39-E39*'設定と出典'!$B$33)/(1-'設定と出典'!$B$28-'設定と出典'!$B$32-'設定と出典'!$B$33))))</x:f>
        <x:v>5079.82469076767</x:v>
      </x:c>
      <x:c r="AX39" s="1"/>
      <x:c r="AY39" s="1"/>
      <x:c r="AZ39" s="1"/>
      <x:c r="BA39" s="1"/>
    </x:row>
    <x:row r="40" ht="22" customHeight="1">
      <x:c r="A40" s="1" t="n">
        <x:v>1000</x:v>
      </x:c>
      <x:c r="B40" s="1" t="str">
        <x:f>'設定と出典'!A53</x:f>
        <x:v>Business Plus</x:v>
      </x:c>
      <x:c r="C40" s="1" t="str">
        <x:f>'設定と出典'!A58</x:f>
        <x:v>標準</x:v>
      </x:c>
      <x:c r="D40" s="1" t="n">
        <x:f>'設定と出典'!B53</x:f>
        <x:v>50</x:v>
      </x:c>
      <x:c r="E40" s="1" t="n">
        <x:f>'設定と出典'!C53</x:f>
        <x:v>8000</x:v>
      </x:c>
      <x:c r="F40" s="1" t="n">
        <x:f>'設定と出典'!B58</x:f>
        <x:v>20</x:v>
      </x:c>
      <x:c r="G40" s="1" t="n">
        <x:f>'設定と出典'!C58</x:f>
        <x:v>2</x:v>
      </x:c>
      <x:c r="H40" s="1" t="n">
        <x:f>'設定と出典'!D58</x:f>
        <x:v>10</x:v>
      </x:c>
      <x:c r="I40" s="1" t="n">
        <x:f>'設定と出典'!E58</x:f>
        <x:v>1.5</x:v>
      </x:c>
      <x:c r="J40" s="1" t="n">
        <x:f>'設定と出典'!F58</x:f>
        <x:v>1.8</x:v>
      </x:c>
      <x:c r="K40" s="1" t="n">
        <x:f>'設定と出典'!G58</x:f>
        <x:v>2</x:v>
      </x:c>
      <x:c r="L40" s="1" t="n">
        <x:f>'設定と出典'!H58</x:f>
        <x:v>8</x:v>
      </x:c>
      <x:c r="M40" s="1" t="n">
        <x:f>A40*D40</x:f>
        <x:v>50000</x:v>
      </x:c>
      <x:c r="N40" s="1" t="n">
        <x:f>M40*F40</x:f>
        <x:v>1000000</x:v>
      </x:c>
      <x:c r="O40" s="1" t="n">
        <x:f>N40*G40</x:f>
        <x:v>2000000</x:v>
      </x:c>
      <x:c r="P40" s="1" t="n">
        <x:f>O40*H40/1024</x:f>
        <x:v>19531.25</x:v>
      </x:c>
      <x:c r="Q40" s="1" t="n">
        <x:f>P40*I40</x:f>
        <x:v>29296.875</x:v>
      </x:c>
      <x:c r="R40" s="1" t="n">
        <x:f>P40*('設定と出典'!$B$34+'設定と出典'!$B$35)/'設定と出典'!$B$7</x:f>
        <x:v>18229.166666666668</x:v>
      </x:c>
      <x:c r="S40" s="1" t="n">
        <x:f>O40*K40</x:f>
        <x:v>4000000</x:v>
      </x:c>
      <x:c r="T40" s="7" t="n">
        <x:f>A40*E40</x:f>
        <x:v>8000000</x:v>
      </x:c>
      <x:c r="U40" s="7" t="n">
        <x:f>A40*'設定と出典'!$B$26</x:f>
        <x:v>50000</x:v>
      </x:c>
      <x:c r="V40" s="7" t="n">
        <x:f>M40*'設定と出典'!$B$27</x:f>
        <x:v>100000</x:v>
      </x:c>
      <x:c r="W40" s="7" t="n">
        <x:f>(N40*'設定と出典'!$B$36+S40)*('設定と出典'!$B$43*'設定と出典'!$B$8+'設定と出典'!$B$44*'設定と出典'!$B$9)*'設定と出典'!$B$12*'設定と出典'!$B$6</x:f>
        <x:v>17560.65361335596</x:v>
      </x:c>
      <x:c r="X40" s="7" t="n">
        <x:f>N40*I40*'設定と出典'!$B$37*('設定と出典'!$B$45*'設定と出典'!$B$8+'設定と出典'!$B$46*'設定と出典'!$B$9)*'設定と出典'!$B$12*'設定と出典'!$B$6</x:f>
        <x:v>1225.1618800015785</x:v>
      </x:c>
      <x:c r="Y40" s="7" t="n">
        <x:f>MAX(0,S40*('設定と出典'!$B$13*'設定と出典'!$B$8+'設定と出典'!$B$14*'設定と出典'!$B$9)-MIN(S40,'設定と出典'!$B$7*86400*'設定と出典'!$B$15)*('設定と出典'!$B$13*'設定と出典'!$B$10+'設定と出典'!$B$14*'設定と出典'!$B$11))*'設定と出典'!$B$12*'設定と出典'!$B$6</x:f>
        <x:v>15578.13412160225</x:v>
      </x:c>
      <x:c r="Z40" s="7" t="n">
        <x:f>O40*('設定と出典'!$B$41*'設定と出典'!$B$18+('設定と出典'!$B$42+I40)*'設定と出典'!$B$19)/1000*'設定と出典'!$B$6</x:f>
        <x:v>1920</x:v>
      </x:c>
      <x:c r="AA40" s="7" t="n">
        <x:f>N40*(1+J40)*'設定と出典'!$B$21</x:f>
        <x:v>280000</x:v>
      </x:c>
      <x:c r="AB40" s="7" t="n">
        <x:f>N40*'設定と出典'!$B$40/1048576*'設定と出典'!$B$20*'設定と出典'!$B$6+N40*'設定と出典'!$B$39/1000000*'設定と出典'!$B$38*'設定と出典'!$B$6</x:f>
        <x:v>1338.306884765625</x:v>
      </x:c>
      <x:c r="AC40" s="7" t="n">
        <x:f>R40*'設定と出典'!$B$16*'設定と出典'!$B$6</x:f>
        <x:v>68359.37500000001</x:v>
      </x:c>
      <x:c r="AD40" s="7" t="n">
        <x:f>Q40*'設定と出典'!$B$17*'設定と出典'!$B$6</x:f>
        <x:v>527343.75</x:v>
      </x:c>
      <x:c r="AE40" s="7" t="n">
        <x:f>'設定と出典'!B63</x:f>
        <x:v>13628.969418426243</x:v>
      </x:c>
      <x:c r="AF40" s="7" t="n">
        <x:f>SUM(U40:AE40)</x:f>
        <x:v>1076954.3509181517</x:v>
      </x:c>
      <x:c r="AG40" s="7" t="n">
        <x:f>T40*'設定と出典'!$B$28</x:f>
        <x:v>288000</x:v>
      </x:c>
      <x:c r="AH40" s="7" t="n">
        <x:f>(A40*L40+M40*'設定と出典'!$B$31)/60*'設定と出典'!$B$29</x:f>
        <x:v>866666.6666666666</x:v>
      </x:c>
      <x:c r="AI40" s="7" t="n">
        <x:f>'設定と出典'!$B$30*'設定と出典'!$B$29</x:f>
        <x:v>8000</x:v>
      </x:c>
      <x:c r="AJ40" s="7" t="n">
        <x:f>T40-SUM(AF40:AI40)</x:f>
        <x:v>5760378.982415182</x:v>
      </x:c>
      <x:c r="AK40" s="7" t="n">
        <x:f>AJ40-T40*'設定と出典'!$B$32</x:f>
        <x:v>1760378.9824151816</x:v>
      </x:c>
      <x:c r="AL40" s="7" t="n">
        <x:f>AJ40-A40*MIN(E40,AV40)*'設定と出典'!$B$32</x:f>
        <x:v>5260378.982415182</x:v>
      </x:c>
      <x:c r="AM40" s="8" t="n">
        <x:f>AJ40/T40</x:f>
        <x:v>0.7200473728018977</x:v>
      </x:c>
      <x:c r="AN40" s="8" t="n">
        <x:f>AK40/T40</x:f>
        <x:v>0.2200473728018977</x:v>
      </x:c>
      <x:c r="AO40" s="8" t="n">
        <x:f>AJ40/T40</x:f>
        <x:v>0.7200473728018977</x:v>
      </x:c>
      <x:c r="AP40" s="8" t="n">
        <x:f>AO40-'設定と出典'!$B$33</x:f>
        <x:v>0.5200473728018977</x:v>
      </x:c>
      <x:c r="AQ40" s="9" t="n">
        <x:f>SUM(W40:AD40)/N40</x:f>
        <x:v>0.9133253814997254</x:v>
      </x:c>
      <x:c r="AR40" s="9" t="n">
        <x:f>MAX(0,(E40*(1-'設定と出典'!$B$28-'設定と出典'!$B$32)-(U40+V40+AH40+AI40+AE40)/A40)/AQ40)</x:f>
        <x:v>2927.4390245506506</x:v>
      </x:c>
      <x:c r="AS40" s="9" t="n">
        <x:f>MAX(0,(E40*(1-'設定と出典'!$B$28 )-(U40+V40+AH40+AI40+AE40)/A40)/AQ40)</x:f>
        <x:v>7307.039198841003</x:v>
      </x:c>
      <x:c r="AT40" s="9" t="n">
        <x:f>MAX(0,(E40*(1-'設定と出典'!$B$28)-MIN(E40,AV40)*'設定と出典'!$B$32-(U40+V40+AH40+AI40+AE40)/A40)/AQ40)</x:f>
        <x:v>6759.589177054709</x:v>
      </x:c>
      <x:c r="AU40" s="9" t="n">
        <x:f>IF((T40*(1-'設定と出典'!$B$28-'設定と出典'!$B$32)-(AF40-AE40)-AH40)&lt;=0,"成立せず",(AE40+AI40)/((T40*(1-'設定と出典'!$B$28-'設定と出典'!$B$32)-(AF40-AE40)-AH40)/A40))</x:f>
        <x:v>12.13741464855473</x:v>
      </x:c>
      <x:c r="AV40" s="9" t="n">
        <x:f>'設定と出典'!D53</x:f>
        <x:v>1000</x:v>
      </x:c>
      <x:c r="AW40" s="9" t="n">
        <x:f>IF(1-'設定と出典'!$B$28-'設定と出典'!$B$32-'設定と出典'!$B$33&lt;=0,0,MAX(0,MIN(E40,(AK40/A40-E40*'設定と出典'!$B$33)/(1-'設定と出典'!$B$28-'設定と出典'!$B$32-'設定と出典'!$B$33))))</x:f>
        <x:v>607.4961455120514</x:v>
      </x:c>
      <x:c r="AX40" s="1"/>
      <x:c r="AY40" s="1"/>
      <x:c r="AZ40" s="1"/>
      <x:c r="BA40" s="1"/>
    </x:row>
    <x:row r="41" ht="22" customHeight="1">
      <x:c r="A41" s="1" t="n">
        <x:v>1000</x:v>
      </x:c>
      <x:c r="B41" s="1" t="str">
        <x:f>'設定と出典'!A53</x:f>
        <x:v>Business Plus</x:v>
      </x:c>
      <x:c r="C41" s="1" t="str">
        <x:f>'設定と出典'!A59</x:f>
        <x:v>高位</x:v>
      </x:c>
      <x:c r="D41" s="1" t="n">
        <x:f>'設定と出典'!B53</x:f>
        <x:v>50</x:v>
      </x:c>
      <x:c r="E41" s="1" t="n">
        <x:f>'設定と出典'!C53</x:f>
        <x:v>8000</x:v>
      </x:c>
      <x:c r="F41" s="1" t="n">
        <x:f>'設定と出典'!B59</x:f>
        <x:v>80</x:v>
      </x:c>
      <x:c r="G41" s="1" t="n">
        <x:f>'設定と出典'!C59</x:f>
        <x:v>3</x:v>
      </x:c>
      <x:c r="H41" s="1" t="n">
        <x:f>'設定と出典'!D59</x:f>
        <x:v>50</x:v>
      </x:c>
      <x:c r="I41" s="1" t="n">
        <x:f>'設定と出典'!E59</x:f>
        <x:v>2</x:v>
      </x:c>
      <x:c r="J41" s="1" t="n">
        <x:f>'設定と出典'!F59</x:f>
        <x:v>2.5</x:v>
      </x:c>
      <x:c r="K41" s="1" t="n">
        <x:f>'設定と出典'!G59</x:f>
        <x:v>5</x:v>
      </x:c>
      <x:c r="L41" s="1" t="n">
        <x:f>'設定と出典'!H59</x:f>
        <x:v>20</x:v>
      </x:c>
      <x:c r="M41" s="1" t="n">
        <x:f>A41*D41</x:f>
        <x:v>50000</x:v>
      </x:c>
      <x:c r="N41" s="1" t="n">
        <x:f>M41*F41</x:f>
        <x:v>4000000</x:v>
      </x:c>
      <x:c r="O41" s="1" t="n">
        <x:f>N41*G41</x:f>
        <x:v>12000000</x:v>
      </x:c>
      <x:c r="P41" s="1" t="n">
        <x:f>O41*H41/1024</x:f>
        <x:v>585937.5</x:v>
      </x:c>
      <x:c r="Q41" s="1" t="n">
        <x:f>P41*I41</x:f>
        <x:v>1171875</x:v>
      </x:c>
      <x:c r="R41" s="1" t="n">
        <x:f>P41*('設定と出典'!$B$34+'設定と出典'!$B$35)/'設定と出典'!$B$7</x:f>
        <x:v>546875</x:v>
      </x:c>
      <x:c r="S41" s="1" t="n">
        <x:f>O41*K41</x:f>
        <x:v>60000000</x:v>
      </x:c>
      <x:c r="T41" s="7" t="n">
        <x:f>A41*E41</x:f>
        <x:v>8000000</x:v>
      </x:c>
      <x:c r="U41" s="7" t="n">
        <x:f>A41*'設定と出典'!$B$26</x:f>
        <x:v>50000</x:v>
      </x:c>
      <x:c r="V41" s="7" t="n">
        <x:f>M41*'設定と出典'!$B$27</x:f>
        <x:v>100000</x:v>
      </x:c>
      <x:c r="W41" s="7" t="n">
        <x:f>(N41*'設定と出典'!$B$36+S41)*('設定と出典'!$B$43*'設定と出典'!$B$8+'設定と出典'!$B$44*'設定と出典'!$B$9)*'設定と出典'!$B$12*'設定と出典'!$B$6</x:f>
        <x:v>249933.023520322</x:v>
      </x:c>
      <x:c r="X41" s="7" t="n">
        <x:f>N41*I41*'設定と出典'!$B$37*('設定と出典'!$B$45*'設定と出典'!$B$8+'設定と出典'!$B$46*'設定と出典'!$B$9)*'設定と出典'!$B$12*'設定と出典'!$B$6</x:f>
        <x:v>6534.196693341752</x:v>
      </x:c>
      <x:c r="Y41" s="7" t="n">
        <x:f>MAX(0,S41*('設定と出典'!$B$13*'設定と出典'!$B$8+'設定と出典'!$B$14*'設定と出典'!$B$9)-MIN(S41,'設定と出典'!$B$7*86400*'設定と出典'!$B$15)*('設定と出典'!$B$13*'設定と出典'!$B$10+'設定と出典'!$B$14*'設定と出典'!$B$11))*'設定と出典'!$B$12*'設定と出典'!$B$6</x:f>
        <x:v>277477.5836820011</x:v>
      </x:c>
      <x:c r="Z41" s="7" t="n">
        <x:f>O41*('設定と出典'!$B$41*'設定と出典'!$B$18+('設定と出典'!$B$42+I41)*'設定と出典'!$B$19)/1000*'設定と出典'!$B$6</x:f>
        <x:v>11880</x:v>
      </x:c>
      <x:c r="AA41" s="7" t="n">
        <x:f>N41*(1+J41)*'設定と出典'!$B$21</x:f>
        <x:v>1400000</x:v>
      </x:c>
      <x:c r="AB41" s="7" t="n">
        <x:f>N41*'設定と出典'!$B$40/1048576*'設定と出典'!$B$20*'設定と出典'!$B$6+N41*'設定と出典'!$B$39/1000000*'設定と出典'!$B$38*'設定と出典'!$B$6</x:f>
        <x:v>5353.2275390625</x:v>
      </x:c>
      <x:c r="AC41" s="7" t="n">
        <x:f>R41*'設定と出典'!$B$16*'設定と出典'!$B$6</x:f>
        <x:v>2050781.25</x:v>
      </x:c>
      <x:c r="AD41" s="7" t="n">
        <x:f>Q41*'設定と出典'!$B$17*'設定と出典'!$B$6</x:f>
        <x:v>21093750</x:v>
      </x:c>
      <x:c r="AE41" s="7" t="n">
        <x:f>'設定と出典'!B63</x:f>
        <x:v>13628.969418426243</x:v>
      </x:c>
      <x:c r="AF41" s="7" t="n">
        <x:f>SUM(U41:AE41)</x:f>
        <x:v>25259338.25085315</x:v>
      </x:c>
      <x:c r="AG41" s="7" t="n">
        <x:f>T41*'設定と出典'!$B$28</x:f>
        <x:v>288000</x:v>
      </x:c>
      <x:c r="AH41" s="7" t="n">
        <x:f>(A41*L41+M41*'設定と出典'!$B$31)/60*'設定と出典'!$B$29</x:f>
        <x:v>1666666.6666666667</x:v>
      </x:c>
      <x:c r="AI41" s="7" t="n">
        <x:f>'設定と出典'!$B$30*'設定と出典'!$B$29</x:f>
        <x:v>8000</x:v>
      </x:c>
      <x:c r="AJ41" s="7" t="n">
        <x:f>T41-SUM(AF41:AI41)</x:f>
        <x:v>-19222004.91751982</x:v>
      </x:c>
      <x:c r="AK41" s="7" t="n">
        <x:f>AJ41-T41*'設定と出典'!$B$32</x:f>
        <x:v>-23222004.91751982</x:v>
      </x:c>
      <x:c r="AL41" s="7" t="n">
        <x:f>AJ41-A41*MIN(E41,AV41)*'設定と出典'!$B$32</x:f>
        <x:v>-19722004.91751982</x:v>
      </x:c>
      <x:c r="AM41" s="8" t="n">
        <x:f>AJ41/T41</x:f>
        <x:v>-2.4027506146899773</x:v>
      </x:c>
      <x:c r="AN41" s="8" t="n">
        <x:f>AK41/T41</x:f>
        <x:v>-2.9027506146899773</x:v>
      </x:c>
      <x:c r="AO41" s="8" t="n">
        <x:f>AJ41/T41</x:f>
        <x:v>-2.4027506146899773</x:v>
      </x:c>
      <x:c r="AP41" s="8" t="n">
        <x:f>AO41-'設定と出典'!$B$33</x:f>
        <x:v>-2.6027506146899775</x:v>
      </x:c>
      <x:c r="AQ41" s="9" t="n">
        <x:f>SUM(W41:AD41)/N41</x:f>
        <x:v>6.273927320358681</x:v>
      </x:c>
      <x:c r="AR41" s="9" t="n">
        <x:f>MAX(0,(E41*(1-'設定と出典'!$B$28-'設定と出典'!$B$32)-(U41+V41+AH41+AI41+AE41)/A41)/AQ41)</x:f>
        <x:v>298.64935760967444</x:v>
      </x:c>
      <x:c r="AS41" s="9" t="n">
        <x:f>MAX(0,(E41*(1-'設定と出典'!$B$28 )-(U41+V41+AH41+AI41+AE41)/A41)/AQ41)</x:f>
        <x:v>936.2085443442954</x:v>
      </x:c>
      <x:c r="AT41" s="9" t="n">
        <x:f>MAX(0,(E41*(1-'設定と出典'!$B$28)-MIN(E41,AV41)*'設定と出典'!$B$32-(U41+V41+AH41+AI41+AE41)/A41)/AQ41)</x:f>
        <x:v>856.5136460024678</x:v>
      </x:c>
      <x:c r="AU41" s="9" t="str">
        <x:f>IF((T41*(1-'設定と出典'!$B$28-'設定と出典'!$B$32)-(AF41-AE41)-AH41)&lt;=0,"成立せず",(AE41+AI41)/((T41*(1-'設定と出典'!$B$28-'設定と出典'!$B$32)-(AF41-AE41)-AH41)/A41))</x:f>
        <x:v>成立せず</x:v>
      </x:c>
      <x:c r="AV41" s="9" t="n">
        <x:f>'設定と出典'!D53</x:f>
        <x:v>1000</x:v>
      </x:c>
      <x:c r="AW41" s="9" t="n">
        <x:f>IF(1-'設定と出典'!$B$28-'設定と出典'!$B$32-'設定と出典'!$B$33&lt;=0,0,MAX(0,MIN(E41,(AK41/A41-E41*'設定と出典'!$B$33)/(1-'設定と出典'!$B$28-'設定と出典'!$B$32-'設定と出典'!$B$33))))</x:f>
        <x:v>0</x:v>
      </x:c>
      <x:c r="AX41" s="1"/>
      <x:c r="AY41" s="1"/>
      <x:c r="AZ41" s="1"/>
      <x:c r="BA41" s="1"/>
    </x:row>
    <x:row r="42" ht="22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</x:row>
    <x:row r="43" ht="22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</x:row>
    <x:row r="44" ht="22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</x:row>
    <x:row r="45" ht="22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</x:row>
    <x:row r="46" ht="22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</x:row>
    <x:row r="47" ht="22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</x:row>
    <x:row r="48" ht="22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</x:row>
    <x:row r="49" ht="22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</x:row>
    <x:row r="50" ht="22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</x:row>
    <x:row r="51" ht="22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</x:row>
    <x:row r="52" ht="22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</x:row>
    <x:row r="66" ht="22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</x:row>
    <x:row r="67" ht="22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</x:row>
    <x:row r="68" ht="22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</x:row>
    <x:row r="69" ht="22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</x:row>
    <x:row r="70" ht="22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</x:row>
    <x:row r="71" ht="22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</x:row>
    <x:row r="72" ht="22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</x:row>
    <x:row r="73" ht="22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</x:row>
    <x:row r="74" ht="22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</x:row>
    <x:row r="75" ht="22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</x:row>
    <x:row r="76" ht="22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</x:row>
    <x:row r="77" ht="22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</x:row>
    <x:row r="78" ht="22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</x:row>
    <x:row r="79" ht="22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</x:row>
    <x:row r="80" ht="22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</x:row>
    <x:row r="86" ht="22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</x:row>
    <x:row r="87" ht="22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</x:row>
    <x:row r="88" ht="22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</x:row>
    <x:row r="89" ht="22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</x:row>
    <x:row r="90" ht="22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</x:row>
    <x:row r="91" ht="22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</x:row>
    <x:row r="92" ht="22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</x:row>
    <x:row r="93" ht="22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</x:row>
    <x:row r="94" ht="22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</x:row>
    <x:row r="95" ht="22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</x:row>
    <x:row r="96" ht="22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</x:row>
    <x:row r="97" ht="22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</x:row>
    <x:row r="98" ht="22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</x:row>
    <x:row r="99" ht="22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</x:row>
    <x:row r="100" ht="22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</x:row>
  </x:sheetData>
  <x:conditionalFormatting sqref="AJ6:AL41">
    <x:cfRule type="cellIs" dxfId="0" priority="1" operator="lessThan">
      <x:formula>0</x:formula>
    </x:cfRule>
  </x:conditionalFormatting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70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</x:cols>
  <x:sheetData>
    <x:row r="1" ht="22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  <x:c r="AA1" s="1"/>
      <x:c r="AB1" s="1"/>
      <x:c r="AC1" s="1"/>
      <x:c r="AD1" s="1"/>
      <x:c r="AE1" s="1"/>
      <x:c r="AF1" s="1"/>
      <x:c r="AG1" s="1"/>
      <x:c r="AH1" s="1"/>
      <x:c r="AI1" s="1"/>
      <x:c r="AJ1" s="1"/>
      <x:c r="AK1" s="1"/>
      <x:c r="AL1" s="1"/>
      <x:c r="AM1" s="1"/>
      <x:c r="AN1" s="1"/>
      <x:c r="AO1" s="1"/>
      <x:c r="AP1" s="1"/>
      <x:c r="AQ1" s="1"/>
      <x:c r="AR1" s="1"/>
      <x:c r="AS1" s="1"/>
      <x:c r="AT1" s="1"/>
      <x:c r="AU1" s="1"/>
      <x:c r="AV1" s="1"/>
      <x:c r="AW1" s="1"/>
      <x:c r="AX1" s="1"/>
      <x:c r="AY1" s="1"/>
      <x:c r="AZ1" s="1"/>
      <x:c r="BA1" s="1"/>
    </x:row>
    <x:row r="2" ht="22" customHeight="1">
      <x:c r="A2" s="10" t="str">
        <x:v>実績取得状況 2026-10-18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  <x:c r="AA2" s="1"/>
      <x:c r="AB2" s="1"/>
      <x:c r="AC2" s="1"/>
      <x:c r="AD2" s="1"/>
      <x:c r="AE2" s="1"/>
      <x:c r="AF2" s="1"/>
      <x:c r="AG2" s="1"/>
      <x:c r="AH2" s="1"/>
      <x:c r="AI2" s="1"/>
      <x:c r="AJ2" s="1"/>
      <x:c r="AK2" s="1"/>
      <x:c r="AL2" s="1"/>
      <x:c r="AM2" s="1"/>
      <x:c r="AN2" s="1"/>
      <x:c r="AO2" s="1"/>
      <x:c r="AP2" s="1"/>
      <x:c r="AQ2" s="1"/>
      <x:c r="AR2" s="1"/>
      <x:c r="AS2" s="1"/>
      <x:c r="AT2" s="1"/>
      <x:c r="AU2" s="1"/>
      <x:c r="AV2" s="1"/>
      <x:c r="AW2" s="1"/>
      <x:c r="AX2" s="1"/>
      <x:c r="AY2" s="1"/>
      <x:c r="AZ2" s="1"/>
      <x:c r="BA2" s="1"/>
    </x:row>
    <x:row r="3" ht="22" customHeight="1">
      <x:c r="A3" s="1" t="str">
        <x:v>7〜9月は四半期合計のみ取得。月別へ分割しない。10月は請求反映時点不明の途中値。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  <x:c r="AA3" s="1"/>
      <x:c r="AB3" s="1"/>
      <x:c r="AC3" s="1"/>
      <x:c r="AD3" s="1"/>
      <x:c r="AE3" s="1"/>
      <x:c r="AF3" s="1"/>
      <x:c r="AG3" s="1"/>
      <x:c r="AH3" s="1"/>
      <x:c r="AI3" s="1"/>
      <x:c r="AJ3" s="1"/>
      <x:c r="AK3" s="1"/>
      <x:c r="AL3" s="1"/>
      <x:c r="AM3" s="1"/>
      <x:c r="AN3" s="1"/>
      <x:c r="AO3" s="1"/>
      <x:c r="AP3" s="1"/>
      <x:c r="AQ3" s="1"/>
      <x:c r="AR3" s="1"/>
      <x:c r="AS3" s="1"/>
      <x:c r="AT3" s="1"/>
      <x:c r="AU3" s="1"/>
      <x:c r="AV3" s="1"/>
      <x:c r="AW3" s="1"/>
      <x:c r="AX3" s="1"/>
      <x:c r="AY3" s="1"/>
      <x:c r="AZ3" s="1"/>
      <x:c r="BA3" s="1"/>
    </x:row>
    <x:row r="4" ht="22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  <x:c r="AA4" s="1"/>
      <x:c r="AB4" s="1"/>
      <x:c r="AC4" s="1"/>
      <x:c r="AD4" s="1"/>
      <x:c r="AE4" s="1"/>
      <x:c r="AF4" s="1"/>
      <x:c r="AG4" s="1"/>
      <x:c r="AH4" s="1"/>
      <x:c r="AI4" s="1"/>
      <x:c r="AJ4" s="1"/>
      <x:c r="AK4" s="1"/>
      <x:c r="AL4" s="1"/>
      <x:c r="AM4" s="1"/>
      <x:c r="AN4" s="1"/>
      <x:c r="AO4" s="1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"/>
    </x:row>
    <x:row r="5" ht="34" customHeight="1">
      <x:c r="A5" s="4" t="str">
        <x:v>対象</x:v>
      </x:c>
      <x:c r="B5" s="4" t="str">
        <x:v>2026-07</x:v>
      </x:c>
      <x:c r="C5" s="4" t="str">
        <x:v>2026-08</x:v>
      </x:c>
      <x:c r="D5" s="4" t="str">
        <x:v>2026-09</x:v>
      </x:c>
      <x:c r="E5" s="4" t="str">
        <x:v>取得経路・制約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  <x:c r="AA5" s="1"/>
      <x:c r="AB5" s="1"/>
      <x:c r="AC5" s="1"/>
      <x:c r="AD5" s="1"/>
      <x:c r="AE5" s="1"/>
      <x:c r="AF5" s="1"/>
      <x:c r="AG5" s="1"/>
      <x:c r="AH5" s="1"/>
      <x:c r="AI5" s="1"/>
      <x:c r="AJ5" s="1"/>
      <x:c r="AK5" s="1"/>
      <x:c r="AL5" s="1"/>
      <x:c r="AM5" s="1"/>
      <x:c r="AN5" s="1"/>
      <x:c r="AO5" s="1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"/>
    </x:row>
    <x:row r="6" ht="22" customHeight="1">
      <x:c r="A6" s="1" t="str">
        <x:v>Cloud Run upload費用</x:v>
      </x:c>
      <x:c r="B6" s="1" t="str">
        <x:v>未取得</x:v>
      </x:c>
      <x:c r="C6" s="1" t="str">
        <x:v>未取得</x:v>
      </x:c>
      <x:c r="D6" s="1" t="str">
        <x:v>未取得</x:v>
      </x:c>
      <x:c r="E6" s="1" t="str">
        <x:v>共有請求取得済・サービス別帰属未確定。四半期合計は下表。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  <x:c r="AA6" s="1"/>
      <x:c r="AB6" s="1"/>
      <x:c r="AC6" s="1"/>
      <x:c r="AD6" s="1"/>
      <x:c r="AE6" s="1"/>
      <x:c r="AF6" s="1"/>
      <x:c r="AG6" s="1"/>
      <x:c r="AH6" s="1"/>
      <x:c r="AI6" s="1"/>
      <x:c r="AJ6" s="1"/>
      <x:c r="AK6" s="1"/>
      <x:c r="AL6" s="1"/>
      <x:c r="AM6" s="1"/>
      <x:c r="AN6" s="1"/>
      <x:c r="AO6" s="1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"/>
    </x:row>
    <x:row r="7" ht="22" customHeight="1">
      <x:c r="A7" s="1" t="str">
        <x:v>Cloud Run download費用</x:v>
      </x:c>
      <x:c r="B7" s="1" t="str">
        <x:v>未取得</x:v>
      </x:c>
      <x:c r="C7" s="1" t="str">
        <x:v>未取得</x:v>
      </x:c>
      <x:c r="D7" s="1" t="str">
        <x:v>未取得</x:v>
      </x:c>
      <x:c r="E7" s="1" t="str">
        <x:v>共有請求取得済・サービス別帰属未確定。四半期合計は下表。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  <x:c r="AA7" s="1"/>
      <x:c r="AB7" s="1"/>
      <x:c r="AC7" s="1"/>
      <x:c r="AD7" s="1"/>
      <x:c r="AE7" s="1"/>
      <x:c r="AF7" s="1"/>
      <x:c r="AG7" s="1"/>
      <x:c r="AH7" s="1"/>
      <x:c r="AI7" s="1"/>
      <x:c r="AJ7" s="1"/>
      <x:c r="AK7" s="1"/>
      <x:c r="AL7" s="1"/>
      <x:c r="AM7" s="1"/>
      <x:c r="AN7" s="1"/>
      <x:c r="AO7" s="1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"/>
    </x:row>
    <x:row r="8" ht="22" customHeight="1">
      <x:c r="A8" s="1" t="str">
        <x:v>Cloud Run scan費用</x:v>
      </x:c>
      <x:c r="B8" s="1" t="str">
        <x:v>未取得</x:v>
      </x:c>
      <x:c r="C8" s="1" t="str">
        <x:v>未取得</x:v>
      </x:c>
      <x:c r="D8" s="1" t="str">
        <x:v>未取得</x:v>
      </x:c>
      <x:c r="E8" s="1" t="str">
        <x:v>共有請求取得済・サービス別帰属未確定。四半期合計は下表。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  <x:c r="AA8" s="1"/>
      <x:c r="AB8" s="1"/>
      <x:c r="AC8" s="1"/>
      <x:c r="AD8" s="1"/>
      <x:c r="AE8" s="1"/>
      <x:c r="AF8" s="1"/>
      <x:c r="AG8" s="1"/>
      <x:c r="AH8" s="1"/>
      <x:c r="AI8" s="1"/>
      <x:c r="AJ8" s="1"/>
      <x:c r="AK8" s="1"/>
      <x:c r="AL8" s="1"/>
      <x:c r="AM8" s="1"/>
      <x:c r="AN8" s="1"/>
      <x:c r="AO8" s="1"/>
      <x:c r="AP8" s="1"/>
      <x:c r="AQ8" s="1"/>
      <x:c r="AR8" s="1"/>
      <x:c r="AS8" s="1"/>
      <x:c r="AT8" s="1"/>
      <x:c r="AU8" s="1"/>
      <x:c r="AV8" s="1"/>
      <x:c r="AW8" s="1"/>
      <x:c r="AX8" s="1"/>
      <x:c r="AY8" s="1"/>
      <x:c r="AZ8" s="1"/>
      <x:c r="BA8" s="1"/>
    </x:row>
    <x:row r="9" ht="22" customHeight="1">
      <x:c r="A9" s="1" t="str">
        <x:v>Cloud Storage保存費</x:v>
      </x:c>
      <x:c r="B9" s="1" t="str">
        <x:v>未取得</x:v>
      </x:c>
      <x:c r="C9" s="1" t="str">
        <x:v>未取得</x:v>
      </x:c>
      <x:c r="D9" s="1" t="str">
        <x:v>未取得</x:v>
      </x:c>
      <x:c r="E9" s="1" t="str">
        <x:v>共有請求取得済・サービス別帰属未確定。四半期合計は下表。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  <x:c r="AA9" s="1"/>
      <x:c r="AB9" s="1"/>
      <x:c r="AC9" s="1"/>
      <x:c r="AD9" s="1"/>
      <x:c r="AE9" s="1"/>
      <x:c r="AF9" s="1"/>
      <x:c r="AG9" s="1"/>
      <x:c r="AH9" s="1"/>
      <x:c r="AI9" s="1"/>
      <x:c r="AJ9" s="1"/>
      <x:c r="AK9" s="1"/>
      <x:c r="AL9" s="1"/>
      <x:c r="AM9" s="1"/>
      <x:c r="AN9" s="1"/>
      <x:c r="AO9" s="1"/>
      <x:c r="AP9" s="1"/>
      <x:c r="AQ9" s="1"/>
      <x:c r="AR9" s="1"/>
      <x:c r="AS9" s="1"/>
      <x:c r="AT9" s="1"/>
      <x:c r="AU9" s="1"/>
      <x:c r="AV9" s="1"/>
      <x:c r="AW9" s="1"/>
      <x:c r="AX9" s="1"/>
      <x:c r="AY9" s="1"/>
      <x:c r="AZ9" s="1"/>
      <x:c r="BA9" s="1"/>
    </x:row>
    <x:row r="10" ht="22" customHeight="1">
      <x:c r="A10" s="1" t="str">
        <x:v>Cloud Storage通信費</x:v>
      </x:c>
      <x:c r="B10" s="1" t="str">
        <x:v>未取得</x:v>
      </x:c>
      <x:c r="C10" s="1" t="str">
        <x:v>未取得</x:v>
      </x:c>
      <x:c r="D10" s="1" t="str">
        <x:v>未取得</x:v>
      </x:c>
      <x:c r="E10" s="1" t="str">
        <x:v>共有請求取得済・サービス別帰属未確定。四半期合計は下表。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  <x:c r="AA10" s="1"/>
      <x:c r="AB10" s="1"/>
      <x:c r="AC10" s="1"/>
      <x:c r="AD10" s="1"/>
      <x:c r="AE10" s="1"/>
      <x:c r="AF10" s="1"/>
      <x:c r="AG10" s="1"/>
      <x:c r="AH10" s="1"/>
      <x:c r="AI10" s="1"/>
      <x:c r="AJ10" s="1"/>
      <x:c r="AK10" s="1"/>
      <x:c r="AL10" s="1"/>
      <x:c r="AM10" s="1"/>
      <x:c r="AN10" s="1"/>
      <x:c r="AO10" s="1"/>
      <x:c r="AP10" s="1"/>
      <x:c r="AQ10" s="1"/>
      <x:c r="AR10" s="1"/>
      <x:c r="AS10" s="1"/>
      <x:c r="AT10" s="1"/>
      <x:c r="AU10" s="1"/>
      <x:c r="AV10" s="1"/>
      <x:c r="AW10" s="1"/>
      <x:c r="AX10" s="1"/>
      <x:c r="AY10" s="1"/>
      <x:c r="AZ10" s="1"/>
      <x:c r="BA10" s="1"/>
    </x:row>
    <x:row r="11" ht="22" customHeight="1">
      <x:c r="A11" s="1" t="str">
        <x:v>Cloud SQL配賦費</x:v>
      </x:c>
      <x:c r="B11" s="1" t="str">
        <x:v>未取得</x:v>
      </x:c>
      <x:c r="C11" s="1" t="str">
        <x:v>未取得</x:v>
      </x:c>
      <x:c r="D11" s="1" t="str">
        <x:v>未取得</x:v>
      </x:c>
      <x:c r="E11" s="1" t="str">
        <x:v>共有請求取得済・サービス別帰属未確定。四半期合計は下表。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  <x:c r="AA11" s="1"/>
      <x:c r="AB11" s="1"/>
      <x:c r="AC11" s="1"/>
      <x:c r="AD11" s="1"/>
      <x:c r="AE11" s="1"/>
      <x:c r="AF11" s="1"/>
      <x:c r="AG11" s="1"/>
      <x:c r="AH11" s="1"/>
      <x:c r="AI11" s="1"/>
      <x:c r="AJ11" s="1"/>
      <x:c r="AK11" s="1"/>
      <x:c r="AL11" s="1"/>
      <x:c r="AM11" s="1"/>
      <x:c r="AN11" s="1"/>
      <x:c r="AO11" s="1"/>
      <x:c r="AP11" s="1"/>
      <x:c r="AQ11" s="1"/>
      <x:c r="AR11" s="1"/>
      <x:c r="AS11" s="1"/>
      <x:c r="AT11" s="1"/>
      <x:c r="AU11" s="1"/>
      <x:c r="AV11" s="1"/>
      <x:c r="AW11" s="1"/>
      <x:c r="AX11" s="1"/>
      <x:c r="AY11" s="1"/>
      <x:c r="AZ11" s="1"/>
      <x:c r="BA11" s="1"/>
    </x:row>
    <x:row r="12" ht="22" customHeight="1">
      <x:c r="A12" s="1" t="str">
        <x:v>LB/IAP配賦費</x:v>
      </x:c>
      <x:c r="B12" s="1" t="str">
        <x:v>未取得</x:v>
      </x:c>
      <x:c r="C12" s="1" t="str">
        <x:v>未取得</x:v>
      </x:c>
      <x:c r="D12" s="1" t="str">
        <x:v>未取得</x:v>
      </x:c>
      <x:c r="E12" s="1" t="str">
        <x:v>共有請求取得済・サービス別帰属未確定。四半期合計は下表。</x:v>
      </x:c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  <x:c r="AA12" s="1"/>
      <x:c r="AB12" s="1"/>
      <x:c r="AC12" s="1"/>
      <x:c r="AD12" s="1"/>
      <x:c r="AE12" s="1"/>
      <x:c r="AF12" s="1"/>
      <x:c r="AG12" s="1"/>
      <x:c r="AH12" s="1"/>
      <x:c r="AI12" s="1"/>
      <x:c r="AJ12" s="1"/>
      <x:c r="AK12" s="1"/>
      <x:c r="AL12" s="1"/>
      <x:c r="AM12" s="1"/>
      <x:c r="AN12" s="1"/>
      <x:c r="AO12" s="1"/>
      <x:c r="AP12" s="1"/>
      <x:c r="AQ12" s="1"/>
      <x:c r="AR12" s="1"/>
      <x:c r="AS12" s="1"/>
      <x:c r="AT12" s="1"/>
      <x:c r="AU12" s="1"/>
      <x:c r="AV12" s="1"/>
      <x:c r="AW12" s="1"/>
      <x:c r="AX12" s="1"/>
      <x:c r="AY12" s="1"/>
      <x:c r="AZ12" s="1"/>
      <x:c r="BA12" s="1"/>
    </x:row>
    <x:row r="13" ht="22" customHeight="1">
      <x:c r="A13" s="1" t="str">
        <x:v>メール費</x:v>
      </x:c>
      <x:c r="B13" s="1" t="str">
        <x:v>未取得</x:v>
      </x:c>
      <x:c r="C13" s="1" t="str">
        <x:v>未取得</x:v>
      </x:c>
      <x:c r="D13" s="1" t="str">
        <x:v>未取得</x:v>
      </x:c>
      <x:c r="E13" s="1" t="str">
        <x:v>メール費は未取得。Google Cloud CSVに外部SMTP料金は含まれない。</x:v>
      </x:c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  <x:c r="AA13" s="1"/>
      <x:c r="AB13" s="1"/>
      <x:c r="AC13" s="1"/>
      <x:c r="AD13" s="1"/>
      <x:c r="AE13" s="1"/>
      <x:c r="AF13" s="1"/>
      <x:c r="AG13" s="1"/>
      <x:c r="AH13" s="1"/>
      <x:c r="AI13" s="1"/>
      <x:c r="AJ13" s="1"/>
      <x:c r="AK13" s="1"/>
      <x:c r="AL13" s="1"/>
      <x:c r="AM13" s="1"/>
      <x:c r="AN13" s="1"/>
      <x:c r="AO13" s="1"/>
      <x:c r="AP13" s="1"/>
      <x:c r="AQ13" s="1"/>
      <x:c r="AR13" s="1"/>
      <x:c r="AS13" s="1"/>
      <x:c r="AT13" s="1"/>
      <x:c r="AU13" s="1"/>
      <x:c r="AV13" s="1"/>
      <x:c r="AW13" s="1"/>
      <x:c r="AX13" s="1"/>
      <x:c r="AY13" s="1"/>
      <x:c r="AZ13" s="1"/>
      <x:c r="BA13" s="1"/>
    </x:row>
    <x:row r="14" ht="22" customHeight="1">
      <x:c r="A14" s="1" t="str">
        <x:v>Logging/Monitoring費</x:v>
      </x:c>
      <x:c r="B14" s="1" t="str">
        <x:v>未取得</x:v>
      </x:c>
      <x:c r="C14" s="1" t="str">
        <x:v>未取得</x:v>
      </x:c>
      <x:c r="D14" s="1" t="str">
        <x:v>未取得</x:v>
      </x:c>
      <x:c r="E14" s="1" t="str">
        <x:v>共有請求取得済・サービス別帰属未確定。四半期合計は下表。</x:v>
      </x:c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  <x:c r="AA14" s="1"/>
      <x:c r="AB14" s="1"/>
      <x:c r="AC14" s="1"/>
      <x:c r="AD14" s="1"/>
      <x:c r="AE14" s="1"/>
      <x:c r="AF14" s="1"/>
      <x:c r="AG14" s="1"/>
      <x:c r="AH14" s="1"/>
      <x:c r="AI14" s="1"/>
      <x:c r="AJ14" s="1"/>
      <x:c r="AK14" s="1"/>
      <x:c r="AL14" s="1"/>
      <x:c r="AM14" s="1"/>
      <x:c r="AN14" s="1"/>
      <x:c r="AO14" s="1"/>
      <x:c r="AP14" s="1"/>
      <x:c r="AQ14" s="1"/>
      <x:c r="AR14" s="1"/>
      <x:c r="AS14" s="1"/>
      <x:c r="AT14" s="1"/>
      <x:c r="AU14" s="1"/>
      <x:c r="AV14" s="1"/>
      <x:c r="AW14" s="1"/>
      <x:c r="AX14" s="1"/>
      <x:c r="AY14" s="1"/>
      <x:c r="AZ14" s="1"/>
      <x:c r="BA14" s="1"/>
    </x:row>
    <x:row r="15" ht="22" customHeight="1">
      <x:c r="A15" s="1" t="str">
        <x:v>Secret/Build/Registry等</x:v>
      </x:c>
      <x:c r="B15" s="1" t="str">
        <x:v>未取得</x:v>
      </x:c>
      <x:c r="C15" s="1" t="str">
        <x:v>未取得</x:v>
      </x:c>
      <x:c r="D15" s="1" t="str">
        <x:v>未取得</x:v>
      </x:c>
      <x:c r="E15" s="1" t="str">
        <x:v>共有請求取得済・サービス別帰属未確定。四半期合計は下表。</x:v>
      </x:c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  <x:c r="AA15" s="1"/>
      <x:c r="AB15" s="1"/>
      <x:c r="AC15" s="1"/>
      <x:c r="AD15" s="1"/>
      <x:c r="AE15" s="1"/>
      <x:c r="AF15" s="1"/>
      <x:c r="AG15" s="1"/>
      <x:c r="AH15" s="1"/>
      <x:c r="AI15" s="1"/>
      <x:c r="AJ15" s="1"/>
      <x:c r="AK15" s="1"/>
      <x:c r="AL15" s="1"/>
      <x:c r="AM15" s="1"/>
      <x:c r="AN15" s="1"/>
      <x:c r="AO15" s="1"/>
      <x:c r="AP15" s="1"/>
      <x:c r="AQ15" s="1"/>
      <x:c r="AR15" s="1"/>
      <x:c r="AS15" s="1"/>
      <x:c r="AT15" s="1"/>
      <x:c r="AU15" s="1"/>
      <x:c r="AV15" s="1"/>
      <x:c r="AW15" s="1"/>
      <x:c r="AX15" s="1"/>
      <x:c r="AY15" s="1"/>
      <x:c r="AZ15" s="1"/>
      <x:c r="BA15" s="1"/>
    </x:row>
    <x:row r="16" ht="22" customHeight="1">
      <x:c r="A16" s="1" t="str">
        <x:v>送信グループ数</x:v>
      </x:c>
      <x:c r="B16" s="1" t="str">
        <x:v>未取得</x:v>
      </x:c>
      <x:c r="C16" s="1" t="str">
        <x:v>未取得</x:v>
      </x:c>
      <x:c r="D16" s="1" t="str">
        <x:v>未取得</x:v>
      </x:c>
      <x:c r="E16" s="1" t="str">
        <x:v>DB匿名集計/メトリクス未取得</x:v>
      </x:c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  <x:c r="AA16" s="1"/>
      <x:c r="AB16" s="1"/>
      <x:c r="AC16" s="1"/>
      <x:c r="AD16" s="1"/>
      <x:c r="AE16" s="1"/>
      <x:c r="AF16" s="1"/>
      <x:c r="AG16" s="1"/>
      <x:c r="AH16" s="1"/>
      <x:c r="AI16" s="1"/>
      <x:c r="AJ16" s="1"/>
      <x:c r="AK16" s="1"/>
      <x:c r="AL16" s="1"/>
      <x:c r="AM16" s="1"/>
      <x:c r="AN16" s="1"/>
      <x:c r="AO16" s="1"/>
      <x:c r="AP16" s="1"/>
      <x:c r="AQ16" s="1"/>
      <x:c r="AR16" s="1"/>
      <x:c r="AS16" s="1"/>
      <x:c r="AT16" s="1"/>
      <x:c r="AU16" s="1"/>
      <x:c r="AV16" s="1"/>
      <x:c r="AW16" s="1"/>
      <x:c r="AX16" s="1"/>
      <x:c r="AY16" s="1"/>
      <x:c r="AZ16" s="1"/>
      <x:c r="BA16" s="1"/>
    </x:row>
    <x:row r="17" ht="22" customHeight="1">
      <x:c r="A17" s="1" t="str">
        <x:v>ファイル数</x:v>
      </x:c>
      <x:c r="B17" s="1" t="str">
        <x:v>未取得</x:v>
      </x:c>
      <x:c r="C17" s="1" t="str">
        <x:v>未取得</x:v>
      </x:c>
      <x:c r="D17" s="1" t="str">
        <x:v>未取得</x:v>
      </x:c>
      <x:c r="E17" s="1" t="str">
        <x:v>DB匿名集計/メトリクス未取得</x:v>
      </x:c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  <x:c r="AA17" s="1"/>
      <x:c r="AB17" s="1"/>
      <x:c r="AC17" s="1"/>
      <x:c r="AD17" s="1"/>
      <x:c r="AE17" s="1"/>
      <x:c r="AF17" s="1"/>
      <x:c r="AG17" s="1"/>
      <x:c r="AH17" s="1"/>
      <x:c r="AI17" s="1"/>
      <x:c r="AJ17" s="1"/>
      <x:c r="AK17" s="1"/>
      <x:c r="AL17" s="1"/>
      <x:c r="AM17" s="1"/>
      <x:c r="AN17" s="1"/>
      <x:c r="AO17" s="1"/>
      <x:c r="AP17" s="1"/>
      <x:c r="AQ17" s="1"/>
      <x:c r="AR17" s="1"/>
      <x:c r="AS17" s="1"/>
      <x:c r="AT17" s="1"/>
      <x:c r="AU17" s="1"/>
      <x:c r="AV17" s="1"/>
      <x:c r="AW17" s="1"/>
      <x:c r="AX17" s="1"/>
      <x:c r="AY17" s="1"/>
      <x:c r="AZ17" s="1"/>
      <x:c r="BA17" s="1"/>
    </x:row>
    <x:row r="18" ht="22" customHeight="1">
      <x:c r="A18" s="1" t="str">
        <x:v>DL認可件数</x:v>
      </x:c>
      <x:c r="B18" s="1" t="str">
        <x:v>未取得</x:v>
      </x:c>
      <x:c r="C18" s="1" t="str">
        <x:v>未取得</x:v>
      </x:c>
      <x:c r="D18" s="1" t="str">
        <x:v>未取得</x:v>
      </x:c>
      <x:c r="E18" s="1" t="str">
        <x:v>DB匿名集計/メトリクス未取得</x:v>
      </x:c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  <x:c r="AA18" s="1"/>
      <x:c r="AB18" s="1"/>
      <x:c r="AC18" s="1"/>
      <x:c r="AD18" s="1"/>
      <x:c r="AE18" s="1"/>
      <x:c r="AF18" s="1"/>
      <x:c r="AG18" s="1"/>
      <x:c r="AH18" s="1"/>
      <x:c r="AI18" s="1"/>
      <x:c r="AJ18" s="1"/>
      <x:c r="AK18" s="1"/>
      <x:c r="AL18" s="1"/>
      <x:c r="AM18" s="1"/>
      <x:c r="AN18" s="1"/>
      <x:c r="AO18" s="1"/>
      <x:c r="AP18" s="1"/>
      <x:c r="AQ18" s="1"/>
      <x:c r="AR18" s="1"/>
      <x:c r="AS18" s="1"/>
      <x:c r="AT18" s="1"/>
      <x:c r="AU18" s="1"/>
      <x:c r="AV18" s="1"/>
      <x:c r="AW18" s="1"/>
      <x:c r="AX18" s="1"/>
      <x:c r="AY18" s="1"/>
      <x:c r="AZ18" s="1"/>
      <x:c r="BA18" s="1"/>
    </x:row>
    <x:row r="19" ht="22" customHeight="1">
      <x:c r="A19" s="1" t="str">
        <x:v>実DL総容量</x:v>
      </x:c>
      <x:c r="B19" s="1" t="str">
        <x:v>未取得</x:v>
      </x:c>
      <x:c r="C19" s="1" t="str">
        <x:v>未取得</x:v>
      </x:c>
      <x:c r="D19" s="1" t="str">
        <x:v>未取得</x:v>
      </x:c>
      <x:c r="E19" s="1" t="str">
        <x:v>DB匿名集計/メトリクス未取得</x:v>
      </x:c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  <x:c r="AA19" s="1"/>
      <x:c r="AB19" s="1"/>
      <x:c r="AC19" s="1"/>
      <x:c r="AD19" s="1"/>
      <x:c r="AE19" s="1"/>
      <x:c r="AF19" s="1"/>
      <x:c r="AG19" s="1"/>
      <x:c r="AH19" s="1"/>
      <x:c r="AI19" s="1"/>
      <x:c r="AJ19" s="1"/>
      <x:c r="AK19" s="1"/>
      <x:c r="AL19" s="1"/>
      <x:c r="AM19" s="1"/>
      <x:c r="AN19" s="1"/>
      <x:c r="AO19" s="1"/>
      <x:c r="AP19" s="1"/>
      <x:c r="AQ19" s="1"/>
      <x:c r="AR19" s="1"/>
      <x:c r="AS19" s="1"/>
      <x:c r="AT19" s="1"/>
      <x:c r="AU19" s="1"/>
      <x:c r="AV19" s="1"/>
      <x:c r="AW19" s="1"/>
      <x:c r="AX19" s="1"/>
      <x:c r="AY19" s="1"/>
      <x:c r="AZ19" s="1"/>
      <x:c r="BA19" s="1"/>
    </x:row>
    <x:row r="20" ht="22" customHeight="1">
      <x:c r="A20" s="1" t="str">
        <x:v>平均/中央値/p95サイズ</x:v>
      </x:c>
      <x:c r="B20" s="1" t="str">
        <x:v>未取得</x:v>
      </x:c>
      <x:c r="C20" s="1" t="str">
        <x:v>未取得</x:v>
      </x:c>
      <x:c r="D20" s="1" t="str">
        <x:v>未取得</x:v>
      </x:c>
      <x:c r="E20" s="1" t="str">
        <x:v>DB匿名集計/メトリクス未取得</x:v>
      </x:c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  <x:c r="AA20" s="1"/>
      <x:c r="AB20" s="1"/>
      <x:c r="AC20" s="1"/>
      <x:c r="AD20" s="1"/>
      <x:c r="AE20" s="1"/>
      <x:c r="AF20" s="1"/>
      <x:c r="AG20" s="1"/>
      <x:c r="AH20" s="1"/>
      <x:c r="AI20" s="1"/>
      <x:c r="AJ20" s="1"/>
      <x:c r="AK20" s="1"/>
      <x:c r="AL20" s="1"/>
      <x:c r="AM20" s="1"/>
      <x:c r="AN20" s="1"/>
      <x:c r="AO20" s="1"/>
      <x:c r="AP20" s="1"/>
      <x:c r="AQ20" s="1"/>
      <x:c r="AR20" s="1"/>
      <x:c r="AS20" s="1"/>
      <x:c r="AT20" s="1"/>
      <x:c r="AU20" s="1"/>
      <x:c r="AV20" s="1"/>
      <x:c r="AW20" s="1"/>
      <x:c r="AX20" s="1"/>
      <x:c r="AY20" s="1"/>
      <x:c r="AZ20" s="1"/>
      <x:c r="BA20" s="1"/>
    </x:row>
    <x:row r="21" ht="22" customHeight="1">
      <x:c r="A21" s="1" t="str">
        <x:v>アップロード総量</x:v>
      </x:c>
      <x:c r="B21" s="1" t="str">
        <x:v>未取得</x:v>
      </x:c>
      <x:c r="C21" s="1" t="str">
        <x:v>未取得</x:v>
      </x:c>
      <x:c r="D21" s="1" t="str">
        <x:v>未取得</x:v>
      </x:c>
      <x:c r="E21" s="1" t="str">
        <x:v>DB匿名集計/メトリクス未取得</x:v>
      </x:c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  <x:c r="AA21" s="1"/>
      <x:c r="AB21" s="1"/>
      <x:c r="AC21" s="1"/>
      <x:c r="AD21" s="1"/>
      <x:c r="AE21" s="1"/>
      <x:c r="AF21" s="1"/>
      <x:c r="AG21" s="1"/>
      <x:c r="AH21" s="1"/>
      <x:c r="AI21" s="1"/>
      <x:c r="AJ21" s="1"/>
      <x:c r="AK21" s="1"/>
      <x:c r="AL21" s="1"/>
      <x:c r="AM21" s="1"/>
      <x:c r="AN21" s="1"/>
      <x:c r="AO21" s="1"/>
      <x:c r="AP21" s="1"/>
      <x:c r="AQ21" s="1"/>
      <x:c r="AR21" s="1"/>
      <x:c r="AS21" s="1"/>
      <x:c r="AT21" s="1"/>
      <x:c r="AU21" s="1"/>
      <x:c r="AV21" s="1"/>
      <x:c r="AW21" s="1"/>
      <x:c r="AX21" s="1"/>
      <x:c r="AY21" s="1"/>
      <x:c r="AZ21" s="1"/>
      <x:c r="BA21" s="1"/>
    </x:row>
    <x:row r="22" ht="22" customHeight="1">
      <x:c r="A22" s="1" t="str">
        <x:v>物理平均保存期間</x:v>
      </x:c>
      <x:c r="B22" s="1" t="str">
        <x:v>未取得</x:v>
      </x:c>
      <x:c r="C22" s="1" t="str">
        <x:v>未取得</x:v>
      </x:c>
      <x:c r="D22" s="1" t="str">
        <x:v>未取得</x:v>
      </x:c>
      <x:c r="E22" s="1" t="str">
        <x:v>DB匿名集計/メトリクス未取得</x:v>
      </x:c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  <x:c r="AA22" s="1"/>
      <x:c r="AB22" s="1"/>
      <x:c r="AC22" s="1"/>
      <x:c r="AD22" s="1"/>
      <x:c r="AE22" s="1"/>
      <x:c r="AF22" s="1"/>
      <x:c r="AG22" s="1"/>
      <x:c r="AH22" s="1"/>
      <x:c r="AI22" s="1"/>
      <x:c r="AJ22" s="1"/>
      <x:c r="AK22" s="1"/>
      <x:c r="AL22" s="1"/>
      <x:c r="AM22" s="1"/>
      <x:c r="AN22" s="1"/>
      <x:c r="AO22" s="1"/>
      <x:c r="AP22" s="1"/>
      <x:c r="AQ22" s="1"/>
      <x:c r="AR22" s="1"/>
      <x:c r="AS22" s="1"/>
      <x:c r="AT22" s="1"/>
      <x:c r="AU22" s="1"/>
      <x:c r="AV22" s="1"/>
      <x:c r="AW22" s="1"/>
      <x:c r="AX22" s="1"/>
      <x:c r="AY22" s="1"/>
      <x:c r="AZ22" s="1"/>
      <x:c r="BA22" s="1"/>
    </x:row>
    <x:row r="23" ht="22" customHeight="1">
      <x:c r="A23" s="1" t="str">
        <x:v>同時UL/DLピーク</x:v>
      </x:c>
      <x:c r="B23" s="1" t="str">
        <x:v>未取得</x:v>
      </x:c>
      <x:c r="C23" s="1" t="str">
        <x:v>未取得</x:v>
      </x:c>
      <x:c r="D23" s="1" t="str">
        <x:v>未取得</x:v>
      </x:c>
      <x:c r="E23" s="1" t="str">
        <x:v>DB匿名集計/メトリクス未取得</x:v>
      </x:c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  <x:c r="AA23" s="1"/>
      <x:c r="AB23" s="1"/>
      <x:c r="AC23" s="1"/>
      <x:c r="AD23" s="1"/>
      <x:c r="AE23" s="1"/>
      <x:c r="AF23" s="1"/>
      <x:c r="AG23" s="1"/>
      <x:c r="AH23" s="1"/>
      <x:c r="AI23" s="1"/>
      <x:c r="AJ23" s="1"/>
      <x:c r="AK23" s="1"/>
      <x:c r="AL23" s="1"/>
      <x:c r="AM23" s="1"/>
      <x:c r="AN23" s="1"/>
      <x:c r="AO23" s="1"/>
      <x:c r="AP23" s="1"/>
      <x:c r="AQ23" s="1"/>
      <x:c r="AR23" s="1"/>
      <x:c r="AS23" s="1"/>
      <x:c r="AT23" s="1"/>
      <x:c r="AU23" s="1"/>
      <x:c r="AV23" s="1"/>
      <x:c r="AW23" s="1"/>
      <x:c r="AX23" s="1"/>
      <x:c r="AY23" s="1"/>
      <x:c r="AZ23" s="1"/>
      <x:c r="BA23" s="1"/>
    </x:row>
    <x:row r="24" ht="22" customHeight="1">
      <x:c r="A24" s="1" t="str">
        <x:v>scan純処理時間</x:v>
      </x:c>
      <x:c r="B24" s="1" t="str">
        <x:v>未取得</x:v>
      </x:c>
      <x:c r="C24" s="1" t="str">
        <x:v>未取得</x:v>
      </x:c>
      <x:c r="D24" s="1" t="str">
        <x:v>未取得</x:v>
      </x:c>
      <x:c r="E24" s="1" t="str">
        <x:v>DB匿名集計/メトリクス未取得</x:v>
      </x:c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  <x:c r="AA24" s="1"/>
      <x:c r="AB24" s="1"/>
      <x:c r="AC24" s="1"/>
      <x:c r="AD24" s="1"/>
      <x:c r="AE24" s="1"/>
      <x:c r="AF24" s="1"/>
      <x:c r="AG24" s="1"/>
      <x:c r="AH24" s="1"/>
      <x:c r="AI24" s="1"/>
      <x:c r="AJ24" s="1"/>
      <x:c r="AK24" s="1"/>
      <x:c r="AL24" s="1"/>
      <x:c r="AM24" s="1"/>
      <x:c r="AN24" s="1"/>
      <x:c r="AO24" s="1"/>
      <x:c r="AP24" s="1"/>
      <x:c r="AQ24" s="1"/>
      <x:c r="AR24" s="1"/>
      <x:c r="AS24" s="1"/>
      <x:c r="AT24" s="1"/>
      <x:c r="AU24" s="1"/>
      <x:c r="AV24" s="1"/>
      <x:c r="AW24" s="1"/>
      <x:c r="AX24" s="1"/>
      <x:c r="AY24" s="1"/>
      <x:c r="AZ24" s="1"/>
      <x:c r="BA24" s="1"/>
    </x:row>
    <x:row r="25" ht="22" customHeight="1">
      <x:c r="A25" s="1" t="str">
        <x:v>OTP送信成功数</x:v>
      </x:c>
      <x:c r="B25" s="1" t="str">
        <x:v>未取得</x:v>
      </x:c>
      <x:c r="C25" s="1" t="str">
        <x:v>未取得</x:v>
      </x:c>
      <x:c r="D25" s="1" t="str">
        <x:v>未取得</x:v>
      </x:c>
      <x:c r="E25" s="1" t="str">
        <x:v>DB匿名集計/メトリクス未取得</x:v>
      </x:c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  <x:c r="AA25" s="1"/>
      <x:c r="AB25" s="1"/>
      <x:c r="AC25" s="1"/>
      <x:c r="AD25" s="1"/>
      <x:c r="AE25" s="1"/>
      <x:c r="AF25" s="1"/>
      <x:c r="AG25" s="1"/>
      <x:c r="AH25" s="1"/>
      <x:c r="AI25" s="1"/>
      <x:c r="AJ25" s="1"/>
      <x:c r="AK25" s="1"/>
      <x:c r="AL25" s="1"/>
      <x:c r="AM25" s="1"/>
      <x:c r="AN25" s="1"/>
      <x:c r="AO25" s="1"/>
      <x:c r="AP25" s="1"/>
      <x:c r="AQ25" s="1"/>
      <x:c r="AR25" s="1"/>
      <x:c r="AS25" s="1"/>
      <x:c r="AT25" s="1"/>
      <x:c r="AU25" s="1"/>
      <x:c r="AV25" s="1"/>
      <x:c r="AW25" s="1"/>
      <x:c r="AX25" s="1"/>
      <x:c r="AY25" s="1"/>
      <x:c r="AZ25" s="1"/>
      <x:c r="BA25" s="1"/>
    </x:row>
    <x:row r="26" ht="22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  <x:c r="AA26" s="1"/>
      <x:c r="AB26" s="1"/>
      <x:c r="AC26" s="1"/>
      <x:c r="AD26" s="1"/>
      <x:c r="AE26" s="1"/>
      <x:c r="AF26" s="1"/>
      <x:c r="AG26" s="1"/>
      <x:c r="AH26" s="1"/>
      <x:c r="AI26" s="1"/>
      <x:c r="AJ26" s="1"/>
      <x:c r="AK26" s="1"/>
      <x:c r="AL26" s="1"/>
      <x:c r="AM26" s="1"/>
      <x:c r="AN26" s="1"/>
      <x:c r="AO26" s="1"/>
      <x:c r="AP26" s="1"/>
      <x:c r="AQ26" s="1"/>
      <x:c r="AR26" s="1"/>
      <x:c r="AS26" s="1"/>
      <x:c r="AT26" s="1"/>
      <x:c r="AU26" s="1"/>
      <x:c r="AV26" s="1"/>
      <x:c r="AW26" s="1"/>
      <x:c r="AX26" s="1"/>
      <x:c r="AY26" s="1"/>
      <x:c r="AZ26" s="1"/>
      <x:c r="BA26" s="1"/>
    </x:row>
    <x:row r="27" ht="22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  <x:c r="AA27" s="1"/>
      <x:c r="AB27" s="1"/>
      <x:c r="AC27" s="1"/>
      <x:c r="AD27" s="1"/>
      <x:c r="AE27" s="1"/>
      <x:c r="AF27" s="1"/>
      <x:c r="AG27" s="1"/>
      <x:c r="AH27" s="1"/>
      <x:c r="AI27" s="1"/>
      <x:c r="AJ27" s="1"/>
      <x:c r="AK27" s="1"/>
      <x:c r="AL27" s="1"/>
      <x:c r="AM27" s="1"/>
      <x:c r="AN27" s="1"/>
      <x:c r="AO27" s="1"/>
      <x:c r="AP27" s="1"/>
      <x:c r="AQ27" s="1"/>
      <x:c r="AR27" s="1"/>
      <x:c r="AS27" s="1"/>
      <x:c r="AT27" s="1"/>
      <x:c r="AU27" s="1"/>
      <x:c r="AV27" s="1"/>
      <x:c r="AW27" s="1"/>
      <x:c r="AX27" s="1"/>
      <x:c r="AY27" s="1"/>
      <x:c r="AZ27" s="1"/>
      <x:c r="BA27" s="1"/>
    </x:row>
    <x:row r="28" ht="22" customHeight="1">
      <x:c r="A28" s="1" t="str">
        <x:v>Monitoring取得済: upload/download/scan、GCS、共有SQL。業務SQL集計は未取得。</x:v>
      </x:c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  <x:c r="AA28" s="1"/>
      <x:c r="AB28" s="1"/>
      <x:c r="AC28" s="1"/>
      <x:c r="AD28" s="1"/>
      <x:c r="AE28" s="1"/>
      <x:c r="AF28" s="1"/>
      <x:c r="AG28" s="1"/>
      <x:c r="AH28" s="1"/>
      <x:c r="AI28" s="1"/>
      <x:c r="AJ28" s="1"/>
      <x:c r="AK28" s="1"/>
      <x:c r="AL28" s="1"/>
      <x:c r="AM28" s="1"/>
      <x:c r="AN28" s="1"/>
      <x:c r="AO28" s="1"/>
      <x:c r="AP28" s="1"/>
      <x:c r="AQ28" s="1"/>
      <x:c r="AR28" s="1"/>
      <x:c r="AS28" s="1"/>
      <x:c r="AT28" s="1"/>
      <x:c r="AU28" s="1"/>
      <x:c r="AV28" s="1"/>
      <x:c r="AW28" s="1"/>
      <x:c r="AX28" s="1"/>
      <x:c r="AY28" s="1"/>
      <x:c r="AZ28" s="1"/>
      <x:c r="BA28" s="1"/>
    </x:row>
    <x:row r="29" ht="22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  <x:c r="AA29" s="1"/>
      <x:c r="AB29" s="1"/>
      <x:c r="AC29" s="1"/>
      <x:c r="AD29" s="1"/>
      <x:c r="AE29" s="1"/>
      <x:c r="AF29" s="1"/>
      <x:c r="AG29" s="1"/>
      <x:c r="AH29" s="1"/>
      <x:c r="AI29" s="1"/>
      <x:c r="AJ29" s="1"/>
      <x:c r="AK29" s="1"/>
      <x:c r="AL29" s="1"/>
      <x:c r="AM29" s="1"/>
      <x:c r="AN29" s="1"/>
      <x:c r="AO29" s="1"/>
      <x:c r="AP29" s="1"/>
      <x:c r="AQ29" s="1"/>
      <x:c r="AR29" s="1"/>
      <x:c r="AS29" s="1"/>
      <x:c r="AT29" s="1"/>
      <x:c r="AU29" s="1"/>
      <x:c r="AV29" s="1"/>
      <x:c r="AW29" s="1"/>
      <x:c r="AX29" s="1"/>
      <x:c r="AY29" s="1"/>
      <x:c r="AZ29" s="1"/>
      <x:c r="BA29" s="1"/>
    </x:row>
    <x:row r="30" ht="22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  <x:c r="AA30" s="1"/>
      <x:c r="AB30" s="1"/>
      <x:c r="AC30" s="1"/>
      <x:c r="AD30" s="1"/>
      <x:c r="AE30" s="1"/>
      <x:c r="AF30" s="1"/>
      <x:c r="AG30" s="1"/>
      <x:c r="AH30" s="1"/>
      <x:c r="AI30" s="1"/>
      <x:c r="AJ30" s="1"/>
      <x:c r="AK30" s="1"/>
      <x:c r="AL30" s="1"/>
      <x:c r="AM30" s="1"/>
      <x:c r="AN30" s="1"/>
      <x:c r="AO30" s="1"/>
      <x:c r="AP30" s="1"/>
      <x:c r="AQ30" s="1"/>
      <x:c r="AR30" s="1"/>
      <x:c r="AS30" s="1"/>
      <x:c r="AT30" s="1"/>
      <x:c r="AU30" s="1"/>
      <x:c r="AV30" s="1"/>
      <x:c r="AW30" s="1"/>
      <x:c r="AX30" s="1"/>
      <x:c r="AY30" s="1"/>
      <x:c r="AZ30" s="1"/>
      <x:c r="BA30" s="1"/>
    </x:row>
    <x:row r="31" ht="30" customHeight="1">
      <x:c r="A31" s="12" t="str">
        <x:v>共有請求・円</x:v>
      </x:c>
      <x:c r="B31" s="12" t="str">
        <x:v>7〜9月削減前</x:v>
      </x:c>
      <x:c r="C31" s="12" t="str">
        <x:v>7〜9月削減後</x:v>
      </x:c>
      <x:c r="D31" s="12" t="str">
        <x:v>10月途中削減後</x:v>
      </x:c>
      <x:c r="E31" s="12" t="str">
        <x:v>区分・出典</x:v>
      </x:c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  <x:c r="AA31" s="1"/>
      <x:c r="AB31" s="1"/>
      <x:c r="AC31" s="1"/>
      <x:c r="AD31" s="1"/>
      <x:c r="AE31" s="1"/>
      <x:c r="AF31" s="1"/>
      <x:c r="AG31" s="1"/>
      <x:c r="AH31" s="1"/>
      <x:c r="AI31" s="1"/>
      <x:c r="AJ31" s="1"/>
      <x:c r="AK31" s="1"/>
      <x:c r="AL31" s="1"/>
      <x:c r="AM31" s="1"/>
      <x:c r="AN31" s="1"/>
      <x:c r="AO31" s="1"/>
      <x:c r="AP31" s="1"/>
      <x:c r="AQ31" s="1"/>
      <x:c r="AR31" s="1"/>
      <x:c r="AS31" s="1"/>
      <x:c r="AT31" s="1"/>
      <x:c r="AU31" s="1"/>
      <x:c r="AV31" s="1"/>
      <x:c r="AW31" s="1"/>
      <x:c r="AX31" s="1"/>
      <x:c r="AY31" s="1"/>
      <x:c r="AZ31" s="1"/>
      <x:c r="BA31" s="1"/>
    </x:row>
    <x:row r="32" ht="36" customHeight="1">
      <x:c r="A32" s="1" t="str">
        <x:v>Compute Engine</x:v>
      </x:c>
      <x:c r="B32" s="13" t="n">
        <x:v>50602</x:v>
      </x:c>
      <x:c r="C32" s="13" t="n">
        <x:v>24432.66044800001</x:v>
      </x:c>
      <x:c r="D32" s="13" t="n">
        <x:v>12688.418686</x:v>
      </x:c>
      <x:c r="E32" s="14" t="str">
        <x:v>共有実績・Secure Send配賦前</x:v>
      </x:c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  <x:c r="AA32" s="1"/>
      <x:c r="AB32" s="1"/>
      <x:c r="AC32" s="1"/>
      <x:c r="AD32" s="1"/>
      <x:c r="AE32" s="1"/>
      <x:c r="AF32" s="1"/>
      <x:c r="AG32" s="1"/>
      <x:c r="AH32" s="1"/>
      <x:c r="AI32" s="1"/>
      <x:c r="AJ32" s="1"/>
      <x:c r="AK32" s="1"/>
      <x:c r="AL32" s="1"/>
      <x:c r="AM32" s="1"/>
      <x:c r="AN32" s="1"/>
      <x:c r="AO32" s="1"/>
      <x:c r="AP32" s="1"/>
      <x:c r="AQ32" s="1"/>
      <x:c r="AR32" s="1"/>
      <x:c r="AS32" s="1"/>
      <x:c r="AT32" s="1"/>
      <x:c r="AU32" s="1"/>
      <x:c r="AV32" s="1"/>
      <x:c r="AW32" s="1"/>
      <x:c r="AX32" s="1"/>
      <x:c r="AY32" s="1"/>
      <x:c r="AZ32" s="1"/>
      <x:c r="BA32" s="1"/>
    </x:row>
    <x:row r="33" ht="36" customHeight="1">
      <x:c r="A33" s="1" t="str">
        <x:v>Cloud Monitoring</x:v>
      </x:c>
      <x:c r="B33" s="13" t="n">
        <x:v>8125</x:v>
      </x:c>
      <x:c r="C33" s="13" t="n">
        <x:v>5080.545401</x:v>
      </x:c>
      <x:c r="D33" s="13" t="str">
        <x:v>未掲載</x:v>
      </x:c>
      <x:c r="E33" s="14" t="str">
        <x:v>共有実績・Secure Send配賦前</x:v>
      </x:c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  <x:c r="AA33" s="1"/>
      <x:c r="AB33" s="1"/>
      <x:c r="AC33" s="1"/>
      <x:c r="AD33" s="1"/>
      <x:c r="AE33" s="1"/>
      <x:c r="AF33" s="1"/>
      <x:c r="AG33" s="1"/>
      <x:c r="AH33" s="1"/>
      <x:c r="AI33" s="1"/>
      <x:c r="AJ33" s="1"/>
      <x:c r="AK33" s="1"/>
      <x:c r="AL33" s="1"/>
      <x:c r="AM33" s="1"/>
      <x:c r="AN33" s="1"/>
      <x:c r="AO33" s="1"/>
      <x:c r="AP33" s="1"/>
      <x:c r="AQ33" s="1"/>
      <x:c r="AR33" s="1"/>
      <x:c r="AS33" s="1"/>
      <x:c r="AT33" s="1"/>
      <x:c r="AU33" s="1"/>
      <x:c r="AV33" s="1"/>
      <x:c r="AW33" s="1"/>
      <x:c r="AX33" s="1"/>
      <x:c r="AY33" s="1"/>
      <x:c r="AZ33" s="1"/>
      <x:c r="BA33" s="1"/>
    </x:row>
    <x:row r="34" ht="36" customHeight="1">
      <x:c r="A34" s="1" t="str">
        <x:v>Networking</x:v>
      </x:c>
      <x:c r="B34" s="13" t="n">
        <x:v>18041</x:v>
      </x:c>
      <x:c r="C34" s="13" t="n">
        <x:v>3857.1839500000006</x:v>
      </x:c>
      <x:c r="D34" s="13" t="n">
        <x:v>1521.672566</x:v>
      </x:c>
      <x:c r="E34" s="14" t="str">
        <x:v>共有実績・Secure Send配賦前</x:v>
      </x:c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  <x:c r="AA34" s="1"/>
      <x:c r="AB34" s="1"/>
      <x:c r="AC34" s="1"/>
      <x:c r="AD34" s="1"/>
      <x:c r="AE34" s="1"/>
      <x:c r="AF34" s="1"/>
      <x:c r="AG34" s="1"/>
      <x:c r="AH34" s="1"/>
      <x:c r="AI34" s="1"/>
      <x:c r="AJ34" s="1"/>
      <x:c r="AK34" s="1"/>
      <x:c r="AL34" s="1"/>
      <x:c r="AM34" s="1"/>
      <x:c r="AN34" s="1"/>
      <x:c r="AO34" s="1"/>
      <x:c r="AP34" s="1"/>
      <x:c r="AQ34" s="1"/>
      <x:c r="AR34" s="1"/>
      <x:c r="AS34" s="1"/>
      <x:c r="AT34" s="1"/>
      <x:c r="AU34" s="1"/>
      <x:c r="AV34" s="1"/>
      <x:c r="AW34" s="1"/>
      <x:c r="AX34" s="1"/>
      <x:c r="AY34" s="1"/>
      <x:c r="AZ34" s="1"/>
      <x:c r="BA34" s="1"/>
    </x:row>
    <x:row r="35" ht="36" customHeight="1">
      <x:c r="A35" s="1" t="str">
        <x:v>Cloud Run</x:v>
      </x:c>
      <x:c r="B35" s="13" t="n">
        <x:v>8360</x:v>
      </x:c>
      <x:c r="C35" s="13" t="n">
        <x:v>5388.879989</x:v>
      </x:c>
      <x:c r="D35" s="13" t="n">
        <x:v>1989.350788</x:v>
      </x:c>
      <x:c r="E35" s="14" t="str">
        <x:v>共有実績・Secure Send配賦前</x:v>
      </x:c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  <x:c r="AA35" s="1"/>
      <x:c r="AB35" s="1"/>
      <x:c r="AC35" s="1"/>
      <x:c r="AD35" s="1"/>
      <x:c r="AE35" s="1"/>
      <x:c r="AF35" s="1"/>
      <x:c r="AG35" s="1"/>
      <x:c r="AH35" s="1"/>
      <x:c r="AI35" s="1"/>
      <x:c r="AJ35" s="1"/>
      <x:c r="AK35" s="1"/>
      <x:c r="AL35" s="1"/>
      <x:c r="AM35" s="1"/>
      <x:c r="AN35" s="1"/>
      <x:c r="AO35" s="1"/>
      <x:c r="AP35" s="1"/>
      <x:c r="AQ35" s="1"/>
      <x:c r="AR35" s="1"/>
      <x:c r="AS35" s="1"/>
      <x:c r="AT35" s="1"/>
      <x:c r="AU35" s="1"/>
      <x:c r="AV35" s="1"/>
      <x:c r="AW35" s="1"/>
      <x:c r="AX35" s="1"/>
      <x:c r="AY35" s="1"/>
      <x:c r="AZ35" s="1"/>
      <x:c r="BA35" s="1"/>
    </x:row>
    <x:row r="36" ht="36" customHeight="1">
      <x:c r="A36" s="1" t="str">
        <x:v>Cloud SQL</x:v>
      </x:c>
      <x:c r="B36" s="13" t="n">
        <x:v>6607</x:v>
      </x:c>
      <x:c r="C36" s="13" t="n">
        <x:v>3113.53266</x:v>
      </x:c>
      <x:c r="D36" s="13" t="n">
        <x:v>2082.418572</x:v>
      </x:c>
      <x:c r="E36" s="14" t="str">
        <x:v>共有実績・Secure Send配賦前</x:v>
      </x:c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  <x:c r="AA36" s="1"/>
      <x:c r="AB36" s="1"/>
      <x:c r="AC36" s="1"/>
      <x:c r="AD36" s="1"/>
      <x:c r="AE36" s="1"/>
      <x:c r="AF36" s="1"/>
      <x:c r="AG36" s="1"/>
      <x:c r="AH36" s="1"/>
      <x:c r="AI36" s="1"/>
      <x:c r="AJ36" s="1"/>
      <x:c r="AK36" s="1"/>
      <x:c r="AL36" s="1"/>
      <x:c r="AM36" s="1"/>
      <x:c r="AN36" s="1"/>
      <x:c r="AO36" s="1"/>
      <x:c r="AP36" s="1"/>
      <x:c r="AQ36" s="1"/>
      <x:c r="AR36" s="1"/>
      <x:c r="AS36" s="1"/>
      <x:c r="AT36" s="1"/>
      <x:c r="AU36" s="1"/>
      <x:c r="AV36" s="1"/>
      <x:c r="AW36" s="1"/>
      <x:c r="AX36" s="1"/>
      <x:c r="AY36" s="1"/>
      <x:c r="AZ36" s="1"/>
      <x:c r="BA36" s="1"/>
    </x:row>
    <x:row r="37" ht="36" customHeight="1">
      <x:c r="A37" s="1" t="str">
        <x:v>Secret Manager</x:v>
      </x:c>
      <x:c r="B37" s="13" t="n">
        <x:v>811</x:v>
      </x:c>
      <x:c r="C37" s="13" t="n">
        <x:v>554.297455</x:v>
      </x:c>
      <x:c r="D37" s="13" t="n">
        <x:v>244.160239</x:v>
      </x:c>
      <x:c r="E37" s="14" t="str">
        <x:v>共有実績・Secure Send配賦前</x:v>
      </x:c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  <x:c r="AA37" s="1"/>
      <x:c r="AB37" s="1"/>
      <x:c r="AC37" s="1"/>
      <x:c r="AD37" s="1"/>
      <x:c r="AE37" s="1"/>
      <x:c r="AF37" s="1"/>
      <x:c r="AG37" s="1"/>
      <x:c r="AH37" s="1"/>
      <x:c r="AI37" s="1"/>
      <x:c r="AJ37" s="1"/>
      <x:c r="AK37" s="1"/>
      <x:c r="AL37" s="1"/>
      <x:c r="AM37" s="1"/>
      <x:c r="AN37" s="1"/>
      <x:c r="AO37" s="1"/>
      <x:c r="AP37" s="1"/>
      <x:c r="AQ37" s="1"/>
      <x:c r="AR37" s="1"/>
      <x:c r="AS37" s="1"/>
      <x:c r="AT37" s="1"/>
      <x:c r="AU37" s="1"/>
      <x:c r="AV37" s="1"/>
      <x:c r="AW37" s="1"/>
      <x:c r="AX37" s="1"/>
      <x:c r="AY37" s="1"/>
      <x:c r="AZ37" s="1"/>
      <x:c r="BA37" s="1"/>
    </x:row>
    <x:row r="38" ht="36" customHeight="1">
      <x:c r="A38" s="1" t="str">
        <x:v>Artifact Registry</x:v>
      </x:c>
      <x:c r="B38" s="13" t="n">
        <x:v>494</x:v>
      </x:c>
      <x:c r="C38" s="13" t="n">
        <x:v>385.632419</x:v>
      </x:c>
      <x:c r="D38" s="13" t="n">
        <x:v>221.630676</x:v>
      </x:c>
      <x:c r="E38" s="14" t="str">
        <x:v>共有実績・Secure Send配賦前</x:v>
      </x:c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  <x:c r="AA38" s="1"/>
      <x:c r="AB38" s="1"/>
      <x:c r="AC38" s="1"/>
      <x:c r="AD38" s="1"/>
      <x:c r="AE38" s="1"/>
      <x:c r="AF38" s="1"/>
      <x:c r="AG38" s="1"/>
      <x:c r="AH38" s="1"/>
      <x:c r="AI38" s="1"/>
      <x:c r="AJ38" s="1"/>
      <x:c r="AK38" s="1"/>
      <x:c r="AL38" s="1"/>
      <x:c r="AM38" s="1"/>
      <x:c r="AN38" s="1"/>
      <x:c r="AO38" s="1"/>
      <x:c r="AP38" s="1"/>
      <x:c r="AQ38" s="1"/>
      <x:c r="AR38" s="1"/>
      <x:c r="AS38" s="1"/>
      <x:c r="AT38" s="1"/>
      <x:c r="AU38" s="1"/>
      <x:c r="AV38" s="1"/>
      <x:c r="AW38" s="1"/>
      <x:c r="AX38" s="1"/>
      <x:c r="AY38" s="1"/>
      <x:c r="AZ38" s="1"/>
      <x:c r="BA38" s="1"/>
    </x:row>
    <x:row r="39" ht="36" customHeight="1">
      <x:c r="A39" s="1" t="str">
        <x:v>Cloud Storage</x:v>
      </x:c>
      <x:c r="B39" s="13" t="n">
        <x:v>8</x:v>
      </x:c>
      <x:c r="C39" s="13" t="n">
        <x:v>5.433957</x:v>
      </x:c>
      <x:c r="D39" s="13" t="n">
        <x:v>2.260783</x:v>
      </x:c>
      <x:c r="E39" s="14" t="str">
        <x:v>共有実績・Secure Send配賦前</x:v>
      </x:c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  <x:c r="AA39" s="1"/>
      <x:c r="AB39" s="1"/>
      <x:c r="AC39" s="1"/>
      <x:c r="AD39" s="1"/>
      <x:c r="AE39" s="1"/>
      <x:c r="AF39" s="1"/>
      <x:c r="AG39" s="1"/>
      <x:c r="AH39" s="1"/>
      <x:c r="AI39" s="1"/>
      <x:c r="AJ39" s="1"/>
      <x:c r="AK39" s="1"/>
      <x:c r="AL39" s="1"/>
      <x:c r="AM39" s="1"/>
      <x:c r="AN39" s="1"/>
      <x:c r="AO39" s="1"/>
      <x:c r="AP39" s="1"/>
      <x:c r="AQ39" s="1"/>
      <x:c r="AR39" s="1"/>
      <x:c r="AS39" s="1"/>
      <x:c r="AT39" s="1"/>
      <x:c r="AU39" s="1"/>
      <x:c r="AV39" s="1"/>
      <x:c r="AW39" s="1"/>
      <x:c r="AX39" s="1"/>
      <x:c r="AY39" s="1"/>
      <x:c r="AZ39" s="1"/>
      <x:c r="BA39" s="1"/>
    </x:row>
    <x:row r="40" ht="36" customHeight="1">
      <x:c r="A40" s="1" t="str">
        <x:v>Cloud Build</x:v>
      </x:c>
      <x:c r="B40" s="13" t="n">
        <x:v>0</x:v>
      </x:c>
      <x:c r="C40" s="13" t="n">
        <x:v>0.021338</x:v>
      </x:c>
      <x:c r="D40" s="13" t="n">
        <x:v>11.300221</x:v>
      </x:c>
      <x:c r="E40" s="14" t="str">
        <x:v>共有実績・Secure Send配賦前</x:v>
      </x:c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  <x:c r="AA40" s="1"/>
      <x:c r="AB40" s="1"/>
      <x:c r="AC40" s="1"/>
      <x:c r="AD40" s="1"/>
      <x:c r="AE40" s="1"/>
      <x:c r="AF40" s="1"/>
      <x:c r="AG40" s="1"/>
      <x:c r="AH40" s="1"/>
      <x:c r="AI40" s="1"/>
      <x:c r="AJ40" s="1"/>
      <x:c r="AK40" s="1"/>
      <x:c r="AL40" s="1"/>
      <x:c r="AM40" s="1"/>
      <x:c r="AN40" s="1"/>
      <x:c r="AO40" s="1"/>
      <x:c r="AP40" s="1"/>
      <x:c r="AQ40" s="1"/>
      <x:c r="AR40" s="1"/>
      <x:c r="AS40" s="1"/>
      <x:c r="AT40" s="1"/>
      <x:c r="AU40" s="1"/>
      <x:c r="AV40" s="1"/>
      <x:c r="AW40" s="1"/>
      <x:c r="AX40" s="1"/>
      <x:c r="AY40" s="1"/>
      <x:c r="AZ40" s="1"/>
      <x:c r="BA40" s="1"/>
    </x:row>
    <x:row r="41" ht="36" customHeight="1">
      <x:c r="A41" s="1" t="str">
        <x:v>Cloud Logging</x:v>
      </x:c>
      <x:c r="B41" s="13" t="n">
        <x:v>0</x:v>
      </x:c>
      <x:c r="C41" s="13" t="n">
        <x:v>0</x:v>
      </x:c>
      <x:c r="D41" s="13" t="str">
        <x:v>未掲載</x:v>
      </x:c>
      <x:c r="E41" s="14" t="str">
        <x:v>共有実績・Secure Send配賦前</x:v>
      </x:c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  <x:c r="AA41" s="1"/>
      <x:c r="AB41" s="1"/>
      <x:c r="AC41" s="1"/>
      <x:c r="AD41" s="1"/>
      <x:c r="AE41" s="1"/>
      <x:c r="AF41" s="1"/>
      <x:c r="AG41" s="1"/>
      <x:c r="AH41" s="1"/>
      <x:c r="AI41" s="1"/>
      <x:c r="AJ41" s="1"/>
      <x:c r="AK41" s="1"/>
      <x:c r="AL41" s="1"/>
      <x:c r="AM41" s="1"/>
      <x:c r="AN41" s="1"/>
      <x:c r="AO41" s="1"/>
      <x:c r="AP41" s="1"/>
      <x:c r="AQ41" s="1"/>
      <x:c r="AR41" s="1"/>
      <x:c r="AS41" s="1"/>
      <x:c r="AT41" s="1"/>
      <x:c r="AU41" s="1"/>
      <x:c r="AV41" s="1"/>
      <x:c r="AW41" s="1"/>
      <x:c r="AX41" s="1"/>
      <x:c r="AY41" s="1"/>
      <x:c r="AZ41" s="1"/>
      <x:c r="BA41" s="1"/>
    </x:row>
    <x:row r="42" ht="36" customHeight="1">
      <x:c r="A42" s="1" t="str">
        <x:v>VM Manager</x:v>
      </x:c>
      <x:c r="B42" s="13" t="n">
        <x:v>3073</x:v>
      </x:c>
      <x:c r="C42" s="13" t="n">
        <x:v>0</x:v>
      </x:c>
      <x:c r="D42" s="13" t="n">
        <x:v>0</x:v>
      </x:c>
      <x:c r="E42" s="14" t="str">
        <x:v>共有実績・Secure Send配賦前</x:v>
      </x:c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  <x:c r="AA42" s="1"/>
      <x:c r="AB42" s="1"/>
      <x:c r="AC42" s="1"/>
      <x:c r="AD42" s="1"/>
      <x:c r="AE42" s="1"/>
      <x:c r="AF42" s="1"/>
      <x:c r="AG42" s="1"/>
      <x:c r="AH42" s="1"/>
      <x:c r="AI42" s="1"/>
      <x:c r="AJ42" s="1"/>
      <x:c r="AK42" s="1"/>
      <x:c r="AL42" s="1"/>
      <x:c r="AM42" s="1"/>
      <x:c r="AN42" s="1"/>
      <x:c r="AO42" s="1"/>
      <x:c r="AP42" s="1"/>
      <x:c r="AQ42" s="1"/>
      <x:c r="AR42" s="1"/>
      <x:c r="AS42" s="1"/>
      <x:c r="AT42" s="1"/>
      <x:c r="AU42" s="1"/>
      <x:c r="AV42" s="1"/>
      <x:c r="AW42" s="1"/>
      <x:c r="AX42" s="1"/>
      <x:c r="AY42" s="1"/>
      <x:c r="AZ42" s="1"/>
      <x:c r="BA42" s="1"/>
    </x:row>
    <x:row r="43" ht="36" customHeight="1">
      <x:c r="A43" s="1" t="str">
        <x:v>Cloud DNS</x:v>
      </x:c>
      <x:c r="B43" s="13" t="n">
        <x:v>0</x:v>
      </x:c>
      <x:c r="C43" s="13" t="n">
        <x:v>0</x:v>
      </x:c>
      <x:c r="D43" s="13" t="str">
        <x:v>未掲載</x:v>
      </x:c>
      <x:c r="E43" s="14" t="str">
        <x:v>共有実績・Secure Send配賦前</x:v>
      </x:c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  <x:c r="AA43" s="1"/>
      <x:c r="AB43" s="1"/>
      <x:c r="AC43" s="1"/>
      <x:c r="AD43" s="1"/>
      <x:c r="AE43" s="1"/>
      <x:c r="AF43" s="1"/>
      <x:c r="AG43" s="1"/>
      <x:c r="AH43" s="1"/>
      <x:c r="AI43" s="1"/>
      <x:c r="AJ43" s="1"/>
      <x:c r="AK43" s="1"/>
      <x:c r="AL43" s="1"/>
      <x:c r="AM43" s="1"/>
      <x:c r="AN43" s="1"/>
      <x:c r="AO43" s="1"/>
      <x:c r="AP43" s="1"/>
      <x:c r="AQ43" s="1"/>
      <x:c r="AR43" s="1"/>
      <x:c r="AS43" s="1"/>
      <x:c r="AT43" s="1"/>
      <x:c r="AU43" s="1"/>
      <x:c r="AV43" s="1"/>
      <x:c r="AW43" s="1"/>
      <x:c r="AX43" s="1"/>
      <x:c r="AY43" s="1"/>
      <x:c r="AZ43" s="1"/>
      <x:c r="BA43" s="1"/>
    </x:row>
    <x:row r="44" ht="36" customHeight="1">
      <x:c r="A44" s="1" t="str">
        <x:v>Cloud Scheduler</x:v>
      </x:c>
      <x:c r="B44" s="13" t="n">
        <x:v>0</x:v>
      </x:c>
      <x:c r="C44" s="13" t="n">
        <x:v>0</x:v>
      </x:c>
      <x:c r="D44" s="13" t="str">
        <x:v>未掲載</x:v>
      </x:c>
      <x:c r="E44" s="14" t="str">
        <x:v>共有実績・Secure Send配賦前</x:v>
      </x:c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  <x:c r="AA44" s="1"/>
      <x:c r="AB44" s="1"/>
      <x:c r="AC44" s="1"/>
      <x:c r="AD44" s="1"/>
      <x:c r="AE44" s="1"/>
      <x:c r="AF44" s="1"/>
      <x:c r="AG44" s="1"/>
      <x:c r="AH44" s="1"/>
      <x:c r="AI44" s="1"/>
      <x:c r="AJ44" s="1"/>
      <x:c r="AK44" s="1"/>
      <x:c r="AL44" s="1"/>
      <x:c r="AM44" s="1"/>
      <x:c r="AN44" s="1"/>
      <x:c r="AO44" s="1"/>
      <x:c r="AP44" s="1"/>
      <x:c r="AQ44" s="1"/>
      <x:c r="AR44" s="1"/>
      <x:c r="AS44" s="1"/>
      <x:c r="AT44" s="1"/>
      <x:c r="AU44" s="1"/>
      <x:c r="AV44" s="1"/>
      <x:c r="AW44" s="1"/>
      <x:c r="AX44" s="1"/>
      <x:c r="AY44" s="1"/>
      <x:c r="AZ44" s="1"/>
      <x:c r="BA44" s="1"/>
    </x:row>
    <x:row r="45" ht="36" customHeight="1">
      <x:c r="A45" s="1"/>
      <x:c r="B45" s="13"/>
      <x:c r="C45" s="13"/>
      <x:c r="D45" s="13"/>
      <x:c r="E45" s="14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  <x:c r="AA45" s="1"/>
      <x:c r="AB45" s="1"/>
      <x:c r="AC45" s="1"/>
      <x:c r="AD45" s="1"/>
      <x:c r="AE45" s="1"/>
      <x:c r="AF45" s="1"/>
      <x:c r="AG45" s="1"/>
      <x:c r="AH45" s="1"/>
      <x:c r="AI45" s="1"/>
      <x:c r="AJ45" s="1"/>
      <x:c r="AK45" s="1"/>
      <x:c r="AL45" s="1"/>
      <x:c r="AM45" s="1"/>
      <x:c r="AN45" s="1"/>
      <x:c r="AO45" s="1"/>
      <x:c r="AP45" s="1"/>
      <x:c r="AQ45" s="1"/>
      <x:c r="AR45" s="1"/>
      <x:c r="AS45" s="1"/>
      <x:c r="AT45" s="1"/>
      <x:c r="AU45" s="1"/>
      <x:c r="AV45" s="1"/>
      <x:c r="AW45" s="1"/>
      <x:c r="AX45" s="1"/>
      <x:c r="AY45" s="1"/>
      <x:c r="AZ45" s="1"/>
      <x:c r="BA45" s="1"/>
    </x:row>
    <x:row r="46" ht="36" customHeight="1">
      <x:c r="A46" s="1" t="str">
        <x:v>最小CPU＋メモリ</x:v>
      </x:c>
      <x:c r="B46" s="13" t="n">
        <x:v>8187</x:v>
      </x:c>
      <x:c r="C46" s="13" t="n">
        <x:v>5315.570996</x:v>
      </x:c>
      <x:c r="D46" s="13" t="str">
        <x:v>SKUなし</x:v>
      </x:c>
      <x:c r="E46" s="14" t="str">
        <x:v>7〜9月共有Cloud Run。scan全額帰属不可</x:v>
      </x:c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  <x:c r="AA46" s="1"/>
      <x:c r="AB46" s="1"/>
      <x:c r="AC46" s="1"/>
      <x:c r="AD46" s="1"/>
      <x:c r="AE46" s="1"/>
      <x:c r="AF46" s="1"/>
      <x:c r="AG46" s="1"/>
      <x:c r="AH46" s="1"/>
      <x:c r="AI46" s="1"/>
      <x:c r="AJ46" s="1"/>
      <x:c r="AK46" s="1"/>
      <x:c r="AL46" s="1"/>
      <x:c r="AM46" s="1"/>
      <x:c r="AN46" s="1"/>
      <x:c r="AO46" s="1"/>
      <x:c r="AP46" s="1"/>
      <x:c r="AQ46" s="1"/>
      <x:c r="AR46" s="1"/>
      <x:c r="AS46" s="1"/>
      <x:c r="AT46" s="1"/>
      <x:c r="AU46" s="1"/>
      <x:c r="AV46" s="1"/>
      <x:c r="AW46" s="1"/>
      <x:c r="AX46" s="1"/>
      <x:c r="AY46" s="1"/>
      <x:c r="AZ46" s="1"/>
      <x:c r="BA46" s="1"/>
    </x:row>
    <x:row r="47" ht="36" customHeight="1">
      <x:c r="A47" s="1"/>
      <x:c r="B47" s="13"/>
      <x:c r="C47" s="13"/>
      <x:c r="D47" s="13"/>
      <x:c r="E47" s="14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  <x:c r="AA47" s="1"/>
      <x:c r="AB47" s="1"/>
      <x:c r="AC47" s="1"/>
      <x:c r="AD47" s="1"/>
      <x:c r="AE47" s="1"/>
      <x:c r="AF47" s="1"/>
      <x:c r="AG47" s="1"/>
      <x:c r="AH47" s="1"/>
      <x:c r="AI47" s="1"/>
      <x:c r="AJ47" s="1"/>
      <x:c r="AK47" s="1"/>
      <x:c r="AL47" s="1"/>
      <x:c r="AM47" s="1"/>
      <x:c r="AN47" s="1"/>
      <x:c r="AO47" s="1"/>
      <x:c r="AP47" s="1"/>
      <x:c r="AQ47" s="1"/>
      <x:c r="AR47" s="1"/>
      <x:c r="AS47" s="1"/>
      <x:c r="AT47" s="1"/>
      <x:c r="AU47" s="1"/>
      <x:c r="AV47" s="1"/>
      <x:c r="AW47" s="1"/>
      <x:c r="AX47" s="1"/>
      <x:c r="AY47" s="1"/>
      <x:c r="AZ47" s="1"/>
      <x:c r="BA47" s="1"/>
    </x:row>
    <x:row r="48" ht="36" customHeight="1">
      <x:c r="A48" s="1" t="str">
        <x:v>scan9月待機推計</x:v>
      </x:c>
      <x:c r="B48" s="13" t="n">
        <x:v>3126.962664939129</x:v>
      </x:c>
      <x:c r="C48" s="13" t="n">
        <x:v>2077.5687592208883</x:v>
      </x:c>
      <x:c r="D48" s="13" t="str">
        <x:v>期間不一致</x:v>
      </x:c>
      <x:c r="E48" s="14" t="str">
        <x:v>実請求ではない。CPU割当でidleを近似・四半期削減率を仮配賦</x:v>
      </x:c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  <x:c r="AA48" s="1"/>
      <x:c r="AB48" s="1"/>
      <x:c r="AC48" s="1"/>
      <x:c r="AD48" s="1"/>
      <x:c r="AE48" s="1"/>
      <x:c r="AF48" s="1"/>
      <x:c r="AG48" s="1"/>
      <x:c r="AH48" s="1"/>
      <x:c r="AI48" s="1"/>
      <x:c r="AJ48" s="1"/>
      <x:c r="AK48" s="1"/>
      <x:c r="AL48" s="1"/>
      <x:c r="AM48" s="1"/>
      <x:c r="AN48" s="1"/>
      <x:c r="AO48" s="1"/>
      <x:c r="AP48" s="1"/>
      <x:c r="AQ48" s="1"/>
      <x:c r="AR48" s="1"/>
      <x:c r="AS48" s="1"/>
      <x:c r="AT48" s="1"/>
      <x:c r="AU48" s="1"/>
      <x:c r="AV48" s="1"/>
      <x:c r="AW48" s="1"/>
      <x:c r="AX48" s="1"/>
      <x:c r="AY48" s="1"/>
      <x:c r="AZ48" s="1"/>
      <x:c r="BA48" s="1"/>
    </x:row>
    <x:row r="49" ht="36" customHeight="1">
      <x:c r="A49" s="1"/>
      <x:c r="B49" s="1"/>
      <x:c r="C49" s="1"/>
      <x:c r="D49" s="1"/>
      <x:c r="E49" s="14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  <x:c r="AA49" s="1"/>
      <x:c r="AB49" s="1"/>
      <x:c r="AC49" s="1"/>
      <x:c r="AD49" s="1"/>
      <x:c r="AE49" s="1"/>
      <x:c r="AF49" s="1"/>
      <x:c r="AG49" s="1"/>
      <x:c r="AH49" s="1"/>
      <x:c r="AI49" s="1"/>
      <x:c r="AJ49" s="1"/>
      <x:c r="AK49" s="1"/>
      <x:c r="AL49" s="1"/>
      <x:c r="AM49" s="1"/>
      <x:c r="AN49" s="1"/>
      <x:c r="AO49" s="1"/>
      <x:c r="AP49" s="1"/>
      <x:c r="AQ49" s="1"/>
      <x:c r="AR49" s="1"/>
      <x:c r="AS49" s="1"/>
      <x:c r="AT49" s="1"/>
      <x:c r="AU49" s="1"/>
      <x:c r="AV49" s="1"/>
      <x:c r="AW49" s="1"/>
      <x:c r="AX49" s="1"/>
      <x:c r="AY49" s="1"/>
      <x:c r="AZ49" s="1"/>
      <x:c r="BA49" s="1"/>
    </x:row>
    <x:row r="50" ht="36" customHeight="1">
      <x:c r="A50" s="1" t="str">
        <x:v>出典: 7〜9月 SKU CSV</x:v>
      </x:c>
      <x:c r="B50" s="1" t="str">
        <x:v>libfile_ceae161333f88191b3ec86f70899a900</x:v>
      </x:c>
      <x:c r="C50" s="1"/>
      <x:c r="D50" s="1"/>
      <x:c r="E50" s="14" t="str">
        <x:v>添付(1)版と内容一致確認。月別・リソース名・プロジェクト列なし</x:v>
      </x:c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  <x:c r="AA50" s="1"/>
      <x:c r="AB50" s="1"/>
      <x:c r="AC50" s="1"/>
      <x:c r="AD50" s="1"/>
      <x:c r="AE50" s="1"/>
      <x:c r="AF50" s="1"/>
      <x:c r="AG50" s="1"/>
      <x:c r="AH50" s="1"/>
      <x:c r="AI50" s="1"/>
      <x:c r="AJ50" s="1"/>
      <x:c r="AK50" s="1"/>
      <x:c r="AL50" s="1"/>
      <x:c r="AM50" s="1"/>
      <x:c r="AN50" s="1"/>
      <x:c r="AO50" s="1"/>
      <x:c r="AP50" s="1"/>
      <x:c r="AQ50" s="1"/>
      <x:c r="AR50" s="1"/>
      <x:c r="AS50" s="1"/>
      <x:c r="AT50" s="1"/>
      <x:c r="AU50" s="1"/>
      <x:c r="AV50" s="1"/>
      <x:c r="AW50" s="1"/>
      <x:c r="AX50" s="1"/>
      <x:c r="AY50" s="1"/>
      <x:c r="AZ50" s="1"/>
      <x:c r="BA50" s="1"/>
    </x:row>
    <x:row r="51" ht="36" customHeight="1">
      <x:c r="A51" s="1" t="str">
        <x:v>出典: 10月 service CSV</x:v>
      </x:c>
      <x:c r="B51" s="1" t="str">
        <x:v>libfile_0178b7b688d081919ef3d8ea32579b4b</x:v>
      </x:c>
      <x:c r="C51" s="1"/>
      <x:c r="D51" s="1"/>
      <x:c r="E51" s="14" t="str">
        <x:v>10月途中、SKUなし。Monitoringと同一終了時刻とは限らない</x:v>
      </x:c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  <x:c r="AA51" s="1"/>
      <x:c r="AB51" s="1"/>
      <x:c r="AC51" s="1"/>
      <x:c r="AD51" s="1"/>
      <x:c r="AE51" s="1"/>
      <x:c r="AF51" s="1"/>
      <x:c r="AG51" s="1"/>
      <x:c r="AH51" s="1"/>
      <x:c r="AI51" s="1"/>
      <x:c r="AJ51" s="1"/>
      <x:c r="AK51" s="1"/>
      <x:c r="AL51" s="1"/>
      <x:c r="AM51" s="1"/>
      <x:c r="AN51" s="1"/>
      <x:c r="AO51" s="1"/>
      <x:c r="AP51" s="1"/>
      <x:c r="AQ51" s="1"/>
      <x:c r="AR51" s="1"/>
      <x:c r="AS51" s="1"/>
      <x:c r="AT51" s="1"/>
      <x:c r="AU51" s="1"/>
      <x:c r="AV51" s="1"/>
      <x:c r="AW51" s="1"/>
      <x:c r="AX51" s="1"/>
      <x:c r="AY51" s="1"/>
      <x:c r="AZ51" s="1"/>
      <x:c r="BA51" s="1"/>
    </x:row>
    <x:row r="52" ht="36" customHeight="1">
      <x:c r="A52" s="1" t="str">
        <x:v>共有小計</x:v>
      </x:c>
      <x:c r="B52" s="1"/>
      <x:c r="C52" s="1" t="n">
        <x:v>42818.187617</x:v>
      </x:c>
      <x:c r="D52" s="1" t="n">
        <x:v>18761.212531</x:v>
      </x:c>
      <x:c r="E52" s="14" t="str">
        <x:v>Q3合計行との差0.106628円は未解明。円丸め後は一致</x:v>
      </x:c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  <x:c r="AA52" s="1"/>
      <x:c r="AB52" s="1"/>
      <x:c r="AC52" s="1"/>
      <x:c r="AD52" s="1"/>
      <x:c r="AE52" s="1"/>
      <x:c r="AF52" s="1"/>
      <x:c r="AG52" s="1"/>
      <x:c r="AH52" s="1"/>
      <x:c r="AI52" s="1"/>
      <x:c r="AJ52" s="1"/>
      <x:c r="AK52" s="1"/>
      <x:c r="AL52" s="1"/>
      <x:c r="AM52" s="1"/>
      <x:c r="AN52" s="1"/>
      <x:c r="AO52" s="1"/>
      <x:c r="AP52" s="1"/>
      <x:c r="AQ52" s="1"/>
      <x:c r="AR52" s="1"/>
      <x:c r="AS52" s="1"/>
      <x:c r="AT52" s="1"/>
      <x:c r="AU52" s="1"/>
      <x:c r="AV52" s="1"/>
      <x:c r="AW52" s="1"/>
      <x:c r="AX52" s="1"/>
      <x:c r="AY52" s="1"/>
      <x:c r="AZ52" s="1"/>
      <x:c r="BA52" s="1"/>
    </x:row>
    <x:row r="53" ht="22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  <x:c r="AA53" s="1"/>
      <x:c r="AB53" s="1"/>
      <x:c r="AC53" s="1"/>
      <x:c r="AD53" s="1"/>
      <x:c r="AE53" s="1"/>
      <x:c r="AF53" s="1"/>
      <x:c r="AG53" s="1"/>
      <x:c r="AH53" s="1"/>
      <x:c r="AI53" s="1"/>
      <x:c r="AJ53" s="1"/>
      <x:c r="AK53" s="1"/>
      <x:c r="AL53" s="1"/>
      <x:c r="AM53" s="1"/>
      <x:c r="AN53" s="1"/>
      <x:c r="AO53" s="1"/>
      <x:c r="AP53" s="1"/>
      <x:c r="AQ53" s="1"/>
      <x:c r="AR53" s="1"/>
      <x:c r="AS53" s="1"/>
      <x:c r="AT53" s="1"/>
      <x:c r="AU53" s="1"/>
      <x:c r="AV53" s="1"/>
      <x:c r="AW53" s="1"/>
      <x:c r="AX53" s="1"/>
      <x:c r="AY53" s="1"/>
      <x:c r="AZ53" s="1"/>
      <x:c r="BA53" s="1"/>
    </x:row>
    <x:row r="54" ht="22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  <x:c r="AA54" s="1"/>
      <x:c r="AB54" s="1"/>
      <x:c r="AC54" s="1"/>
      <x:c r="AD54" s="1"/>
      <x:c r="AE54" s="1"/>
      <x:c r="AF54" s="1"/>
      <x:c r="AG54" s="1"/>
      <x:c r="AH54" s="1"/>
      <x:c r="AI54" s="1"/>
      <x:c r="AJ54" s="1"/>
      <x:c r="AK54" s="1"/>
      <x:c r="AL54" s="1"/>
      <x:c r="AM54" s="1"/>
      <x:c r="AN54" s="1"/>
      <x:c r="AO54" s="1"/>
      <x:c r="AP54" s="1"/>
      <x:c r="AQ54" s="1"/>
      <x:c r="AR54" s="1"/>
      <x:c r="AS54" s="1"/>
      <x:c r="AT54" s="1"/>
      <x:c r="AU54" s="1"/>
      <x:c r="AV54" s="1"/>
      <x:c r="AW54" s="1"/>
      <x:c r="AX54" s="1"/>
      <x:c r="AY54" s="1"/>
      <x:c r="AZ54" s="1"/>
      <x:c r="BA54" s="1"/>
    </x:row>
    <x:row r="55" ht="22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  <x:c r="AA55" s="1"/>
      <x:c r="AB55" s="1"/>
      <x:c r="AC55" s="1"/>
      <x:c r="AD55" s="1"/>
      <x:c r="AE55" s="1"/>
      <x:c r="AF55" s="1"/>
      <x:c r="AG55" s="1"/>
      <x:c r="AH55" s="1"/>
      <x:c r="AI55" s="1"/>
      <x:c r="AJ55" s="1"/>
      <x:c r="AK55" s="1"/>
      <x:c r="AL55" s="1"/>
      <x:c r="AM55" s="1"/>
      <x:c r="AN55" s="1"/>
      <x:c r="AO55" s="1"/>
      <x:c r="AP55" s="1"/>
      <x:c r="AQ55" s="1"/>
      <x:c r="AR55" s="1"/>
      <x:c r="AS55" s="1"/>
      <x:c r="AT55" s="1"/>
      <x:c r="AU55" s="1"/>
      <x:c r="AV55" s="1"/>
      <x:c r="AW55" s="1"/>
      <x:c r="AX55" s="1"/>
      <x:c r="AY55" s="1"/>
      <x:c r="AZ55" s="1"/>
      <x:c r="BA55" s="1"/>
    </x:row>
    <x:row r="56" ht="22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  <x:c r="AA56" s="1"/>
      <x:c r="AB56" s="1"/>
      <x:c r="AC56" s="1"/>
      <x:c r="AD56" s="1"/>
      <x:c r="AE56" s="1"/>
      <x:c r="AF56" s="1"/>
      <x:c r="AG56" s="1"/>
      <x:c r="AH56" s="1"/>
      <x:c r="AI56" s="1"/>
      <x:c r="AJ56" s="1"/>
      <x:c r="AK56" s="1"/>
      <x:c r="AL56" s="1"/>
      <x:c r="AM56" s="1"/>
      <x:c r="AN56" s="1"/>
      <x:c r="AO56" s="1"/>
      <x:c r="AP56" s="1"/>
      <x:c r="AQ56" s="1"/>
      <x:c r="AR56" s="1"/>
      <x:c r="AS56" s="1"/>
      <x:c r="AT56" s="1"/>
      <x:c r="AU56" s="1"/>
      <x:c r="AV56" s="1"/>
      <x:c r="AW56" s="1"/>
      <x:c r="AX56" s="1"/>
      <x:c r="AY56" s="1"/>
      <x:c r="AZ56" s="1"/>
      <x:c r="BA56" s="1"/>
    </x:row>
    <x:row r="57" ht="22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  <x:c r="AA57" s="1"/>
      <x:c r="AB57" s="1"/>
      <x:c r="AC57" s="1"/>
      <x:c r="AD57" s="1"/>
      <x:c r="AE57" s="1"/>
      <x:c r="AF57" s="1"/>
      <x:c r="AG57" s="1"/>
      <x:c r="AH57" s="1"/>
      <x:c r="AI57" s="1"/>
      <x:c r="AJ57" s="1"/>
      <x:c r="AK57" s="1"/>
      <x:c r="AL57" s="1"/>
      <x:c r="AM57" s="1"/>
      <x:c r="AN57" s="1"/>
      <x:c r="AO57" s="1"/>
      <x:c r="AP57" s="1"/>
      <x:c r="AQ57" s="1"/>
      <x:c r="AR57" s="1"/>
      <x:c r="AS57" s="1"/>
      <x:c r="AT57" s="1"/>
      <x:c r="AU57" s="1"/>
      <x:c r="AV57" s="1"/>
      <x:c r="AW57" s="1"/>
      <x:c r="AX57" s="1"/>
      <x:c r="AY57" s="1"/>
      <x:c r="AZ57" s="1"/>
      <x:c r="BA57" s="1"/>
    </x:row>
    <x:row r="58" ht="22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  <x:c r="AA58" s="1"/>
      <x:c r="AB58" s="1"/>
      <x:c r="AC58" s="1"/>
      <x:c r="AD58" s="1"/>
      <x:c r="AE58" s="1"/>
      <x:c r="AF58" s="1"/>
      <x:c r="AG58" s="1"/>
      <x:c r="AH58" s="1"/>
      <x:c r="AI58" s="1"/>
      <x:c r="AJ58" s="1"/>
      <x:c r="AK58" s="1"/>
      <x:c r="AL58" s="1"/>
      <x:c r="AM58" s="1"/>
      <x:c r="AN58" s="1"/>
      <x:c r="AO58" s="1"/>
      <x:c r="AP58" s="1"/>
      <x:c r="AQ58" s="1"/>
      <x:c r="AR58" s="1"/>
      <x:c r="AS58" s="1"/>
      <x:c r="AT58" s="1"/>
      <x:c r="AU58" s="1"/>
      <x:c r="AV58" s="1"/>
      <x:c r="AW58" s="1"/>
      <x:c r="AX58" s="1"/>
      <x:c r="AY58" s="1"/>
      <x:c r="AZ58" s="1"/>
      <x:c r="BA58" s="1"/>
    </x:row>
    <x:row r="59" ht="22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  <x:c r="AA59" s="1"/>
      <x:c r="AB59" s="1"/>
      <x:c r="AC59" s="1"/>
      <x:c r="AD59" s="1"/>
      <x:c r="AE59" s="1"/>
      <x:c r="AF59" s="1"/>
      <x:c r="AG59" s="1"/>
      <x:c r="AH59" s="1"/>
      <x:c r="AI59" s="1"/>
      <x:c r="AJ59" s="1"/>
      <x:c r="AK59" s="1"/>
      <x:c r="AL59" s="1"/>
      <x:c r="AM59" s="1"/>
      <x:c r="AN59" s="1"/>
      <x:c r="AO59" s="1"/>
      <x:c r="AP59" s="1"/>
      <x:c r="AQ59" s="1"/>
      <x:c r="AR59" s="1"/>
      <x:c r="AS59" s="1"/>
      <x:c r="AT59" s="1"/>
      <x:c r="AU59" s="1"/>
      <x:c r="AV59" s="1"/>
      <x:c r="AW59" s="1"/>
      <x:c r="AX59" s="1"/>
      <x:c r="AY59" s="1"/>
      <x:c r="AZ59" s="1"/>
      <x:c r="BA59" s="1"/>
    </x:row>
    <x:row r="60" ht="22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  <x:c r="AA60" s="1"/>
      <x:c r="AB60" s="1"/>
      <x:c r="AC60" s="1"/>
      <x:c r="AD60" s="1"/>
      <x:c r="AE60" s="1"/>
      <x:c r="AF60" s="1"/>
      <x:c r="AG60" s="1"/>
      <x:c r="AH60" s="1"/>
      <x:c r="AI60" s="1"/>
      <x:c r="AJ60" s="1"/>
      <x:c r="AK60" s="1"/>
      <x:c r="AL60" s="1"/>
      <x:c r="AM60" s="1"/>
      <x:c r="AN60" s="1"/>
      <x:c r="AO60" s="1"/>
      <x:c r="AP60" s="1"/>
      <x:c r="AQ60" s="1"/>
      <x:c r="AR60" s="1"/>
      <x:c r="AS60" s="1"/>
      <x:c r="AT60" s="1"/>
      <x:c r="AU60" s="1"/>
      <x:c r="AV60" s="1"/>
      <x:c r="AW60" s="1"/>
      <x:c r="AX60" s="1"/>
      <x:c r="AY60" s="1"/>
      <x:c r="AZ60" s="1"/>
      <x:c r="BA60" s="1"/>
    </x:row>
    <x:row r="61" ht="22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  <x:c r="AA61" s="1"/>
      <x:c r="AB61" s="1"/>
      <x:c r="AC61" s="1"/>
      <x:c r="AD61" s="1"/>
      <x:c r="AE61" s="1"/>
      <x:c r="AF61" s="1"/>
      <x:c r="AG61" s="1"/>
      <x:c r="AH61" s="1"/>
      <x:c r="AI61" s="1"/>
      <x:c r="AJ61" s="1"/>
      <x:c r="AK61" s="1"/>
      <x:c r="AL61" s="1"/>
      <x:c r="AM61" s="1"/>
      <x:c r="AN61" s="1"/>
      <x:c r="AO61" s="1"/>
      <x:c r="AP61" s="1"/>
      <x:c r="AQ61" s="1"/>
      <x:c r="AR61" s="1"/>
      <x:c r="AS61" s="1"/>
      <x:c r="AT61" s="1"/>
      <x:c r="AU61" s="1"/>
      <x:c r="AV61" s="1"/>
      <x:c r="AW61" s="1"/>
      <x:c r="AX61" s="1"/>
      <x:c r="AY61" s="1"/>
      <x:c r="AZ61" s="1"/>
      <x:c r="BA61" s="1"/>
    </x:row>
    <x:row r="62" ht="22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  <x:c r="AA62" s="1"/>
      <x:c r="AB62" s="1"/>
      <x:c r="AC62" s="1"/>
      <x:c r="AD62" s="1"/>
      <x:c r="AE62" s="1"/>
      <x:c r="AF62" s="1"/>
      <x:c r="AG62" s="1"/>
      <x:c r="AH62" s="1"/>
      <x:c r="AI62" s="1"/>
      <x:c r="AJ62" s="1"/>
      <x:c r="AK62" s="1"/>
      <x:c r="AL62" s="1"/>
      <x:c r="AM62" s="1"/>
      <x:c r="AN62" s="1"/>
      <x:c r="AO62" s="1"/>
      <x:c r="AP62" s="1"/>
      <x:c r="AQ62" s="1"/>
      <x:c r="AR62" s="1"/>
      <x:c r="AS62" s="1"/>
      <x:c r="AT62" s="1"/>
      <x:c r="AU62" s="1"/>
      <x:c r="AV62" s="1"/>
      <x:c r="AW62" s="1"/>
      <x:c r="AX62" s="1"/>
      <x:c r="AY62" s="1"/>
      <x:c r="AZ62" s="1"/>
      <x:c r="BA62" s="1"/>
    </x:row>
    <x:row r="63" ht="22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  <x:c r="AA63" s="1"/>
      <x:c r="AB63" s="1"/>
      <x:c r="AC63" s="1"/>
      <x:c r="AD63" s="1"/>
      <x:c r="AE63" s="1"/>
      <x:c r="AF63" s="1"/>
      <x:c r="AG63" s="1"/>
      <x:c r="AH63" s="1"/>
      <x:c r="AI63" s="1"/>
      <x:c r="AJ63" s="1"/>
      <x:c r="AK63" s="1"/>
      <x:c r="AL63" s="1"/>
      <x:c r="AM63" s="1"/>
      <x:c r="AN63" s="1"/>
      <x:c r="AO63" s="1"/>
      <x:c r="AP63" s="1"/>
      <x:c r="AQ63" s="1"/>
      <x:c r="AR63" s="1"/>
      <x:c r="AS63" s="1"/>
      <x:c r="AT63" s="1"/>
      <x:c r="AU63" s="1"/>
      <x:c r="AV63" s="1"/>
      <x:c r="AW63" s="1"/>
      <x:c r="AX63" s="1"/>
      <x:c r="AY63" s="1"/>
      <x:c r="AZ63" s="1"/>
      <x:c r="BA63" s="1"/>
    </x:row>
    <x:row r="64" ht="22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  <x:c r="AA64" s="1"/>
      <x:c r="AB64" s="1"/>
      <x:c r="AC64" s="1"/>
      <x:c r="AD64" s="1"/>
      <x:c r="AE64" s="1"/>
      <x:c r="AF64" s="1"/>
      <x:c r="AG64" s="1"/>
      <x:c r="AH64" s="1"/>
      <x:c r="AI64" s="1"/>
      <x:c r="AJ64" s="1"/>
      <x:c r="AK64" s="1"/>
      <x:c r="AL64" s="1"/>
      <x:c r="AM64" s="1"/>
      <x:c r="AN64" s="1"/>
      <x:c r="AO64" s="1"/>
      <x:c r="AP64" s="1"/>
      <x:c r="AQ64" s="1"/>
      <x:c r="AR64" s="1"/>
      <x:c r="AS64" s="1"/>
      <x:c r="AT64" s="1"/>
      <x:c r="AU64" s="1"/>
      <x:c r="AV64" s="1"/>
      <x:c r="AW64" s="1"/>
      <x:c r="AX64" s="1"/>
      <x:c r="AY64" s="1"/>
      <x:c r="AZ64" s="1"/>
      <x:c r="BA64" s="1"/>
    </x:row>
    <x:row r="65" ht="22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  <x:c r="AA65" s="1"/>
      <x:c r="AB65" s="1"/>
      <x:c r="AC65" s="1"/>
      <x:c r="AD65" s="1"/>
      <x:c r="AE65" s="1"/>
      <x:c r="AF65" s="1"/>
      <x:c r="AG65" s="1"/>
      <x:c r="AH65" s="1"/>
      <x:c r="AI65" s="1"/>
      <x:c r="AJ65" s="1"/>
      <x:c r="AK65" s="1"/>
      <x:c r="AL65" s="1"/>
      <x:c r="AM65" s="1"/>
      <x:c r="AN65" s="1"/>
      <x:c r="AO65" s="1"/>
      <x:c r="AP65" s="1"/>
      <x:c r="AQ65" s="1"/>
      <x:c r="AR65" s="1"/>
      <x:c r="AS65" s="1"/>
      <x:c r="AT65" s="1"/>
      <x:c r="AU65" s="1"/>
      <x:c r="AV65" s="1"/>
      <x:c r="AW65" s="1"/>
      <x:c r="AX65" s="1"/>
      <x:c r="AY65" s="1"/>
      <x:c r="AZ65" s="1"/>
      <x:c r="BA65" s="1"/>
    </x:row>
    <x:row r="66" ht="22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  <x:c r="AA66" s="1"/>
      <x:c r="AB66" s="1"/>
      <x:c r="AC66" s="1"/>
      <x:c r="AD66" s="1"/>
      <x:c r="AE66" s="1"/>
      <x:c r="AF66" s="1"/>
      <x:c r="AG66" s="1"/>
      <x:c r="AH66" s="1"/>
      <x:c r="AI66" s="1"/>
      <x:c r="AJ66" s="1"/>
      <x:c r="AK66" s="1"/>
      <x:c r="AL66" s="1"/>
      <x:c r="AM66" s="1"/>
      <x:c r="AN66" s="1"/>
      <x:c r="AO66" s="1"/>
      <x:c r="AP66" s="1"/>
      <x:c r="AQ66" s="1"/>
      <x:c r="AR66" s="1"/>
      <x:c r="AS66" s="1"/>
      <x:c r="AT66" s="1"/>
      <x:c r="AU66" s="1"/>
      <x:c r="AV66" s="1"/>
      <x:c r="AW66" s="1"/>
      <x:c r="AX66" s="1"/>
      <x:c r="AY66" s="1"/>
      <x:c r="AZ66" s="1"/>
      <x:c r="BA66" s="1"/>
    </x:row>
    <x:row r="67" ht="22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  <x:c r="AA67" s="1"/>
      <x:c r="AB67" s="1"/>
      <x:c r="AC67" s="1"/>
      <x:c r="AD67" s="1"/>
      <x:c r="AE67" s="1"/>
      <x:c r="AF67" s="1"/>
      <x:c r="AG67" s="1"/>
      <x:c r="AH67" s="1"/>
      <x:c r="AI67" s="1"/>
      <x:c r="AJ67" s="1"/>
      <x:c r="AK67" s="1"/>
      <x:c r="AL67" s="1"/>
      <x:c r="AM67" s="1"/>
      <x:c r="AN67" s="1"/>
      <x:c r="AO67" s="1"/>
      <x:c r="AP67" s="1"/>
      <x:c r="AQ67" s="1"/>
      <x:c r="AR67" s="1"/>
      <x:c r="AS67" s="1"/>
      <x:c r="AT67" s="1"/>
      <x:c r="AU67" s="1"/>
      <x:c r="AV67" s="1"/>
      <x:c r="AW67" s="1"/>
      <x:c r="AX67" s="1"/>
      <x:c r="AY67" s="1"/>
      <x:c r="AZ67" s="1"/>
      <x:c r="BA67" s="1"/>
    </x:row>
    <x:row r="68" ht="22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  <x:c r="AA68" s="1"/>
      <x:c r="AB68" s="1"/>
      <x:c r="AC68" s="1"/>
      <x:c r="AD68" s="1"/>
      <x:c r="AE68" s="1"/>
      <x:c r="AF68" s="1"/>
      <x:c r="AG68" s="1"/>
      <x:c r="AH68" s="1"/>
      <x:c r="AI68" s="1"/>
      <x:c r="AJ68" s="1"/>
      <x:c r="AK68" s="1"/>
      <x:c r="AL68" s="1"/>
      <x:c r="AM68" s="1"/>
      <x:c r="AN68" s="1"/>
      <x:c r="AO68" s="1"/>
      <x:c r="AP68" s="1"/>
      <x:c r="AQ68" s="1"/>
      <x:c r="AR68" s="1"/>
      <x:c r="AS68" s="1"/>
      <x:c r="AT68" s="1"/>
      <x:c r="AU68" s="1"/>
      <x:c r="AV68" s="1"/>
      <x:c r="AW68" s="1"/>
      <x:c r="AX68" s="1"/>
      <x:c r="AY68" s="1"/>
      <x:c r="AZ68" s="1"/>
      <x:c r="BA68" s="1"/>
    </x:row>
    <x:row r="69" ht="22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  <x:c r="AA69" s="1"/>
      <x:c r="AB69" s="1"/>
      <x:c r="AC69" s="1"/>
      <x:c r="AD69" s="1"/>
      <x:c r="AE69" s="1"/>
      <x:c r="AF69" s="1"/>
      <x:c r="AG69" s="1"/>
      <x:c r="AH69" s="1"/>
      <x:c r="AI69" s="1"/>
      <x:c r="AJ69" s="1"/>
      <x:c r="AK69" s="1"/>
      <x:c r="AL69" s="1"/>
      <x:c r="AM69" s="1"/>
      <x:c r="AN69" s="1"/>
      <x:c r="AO69" s="1"/>
      <x:c r="AP69" s="1"/>
      <x:c r="AQ69" s="1"/>
      <x:c r="AR69" s="1"/>
      <x:c r="AS69" s="1"/>
      <x:c r="AT69" s="1"/>
      <x:c r="AU69" s="1"/>
      <x:c r="AV69" s="1"/>
      <x:c r="AW69" s="1"/>
      <x:c r="AX69" s="1"/>
      <x:c r="AY69" s="1"/>
      <x:c r="AZ69" s="1"/>
      <x:c r="BA69" s="1"/>
    </x:row>
    <x:row r="70" ht="22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  <x:c r="AA70" s="1"/>
      <x:c r="AB70" s="1"/>
      <x:c r="AC70" s="1"/>
      <x:c r="AD70" s="1"/>
      <x:c r="AE70" s="1"/>
      <x:c r="AF70" s="1"/>
      <x:c r="AG70" s="1"/>
      <x:c r="AH70" s="1"/>
      <x:c r="AI70" s="1"/>
      <x:c r="AJ70" s="1"/>
      <x:c r="AK70" s="1"/>
      <x:c r="AL70" s="1"/>
      <x:c r="AM70" s="1"/>
      <x:c r="AN70" s="1"/>
      <x:c r="AO70" s="1"/>
      <x:c r="AP70" s="1"/>
      <x:c r="AQ70" s="1"/>
      <x:c r="AR70" s="1"/>
      <x:c r="AS70" s="1"/>
      <x:c r="AT70" s="1"/>
      <x:c r="AU70" s="1"/>
      <x:c r="AV70" s="1"/>
      <x:c r="AW70" s="1"/>
      <x:c r="AX70" s="1"/>
      <x:c r="AY70" s="1"/>
      <x:c r="AZ70" s="1"/>
      <x:c r="BA70" s="1"/>
    </x:row>
    <x:row r="71" ht="22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  <x:c r="AA71" s="1"/>
      <x:c r="AB71" s="1"/>
      <x:c r="AC71" s="1"/>
      <x:c r="AD71" s="1"/>
      <x:c r="AE71" s="1"/>
      <x:c r="AF71" s="1"/>
      <x:c r="AG71" s="1"/>
      <x:c r="AH71" s="1"/>
      <x:c r="AI71" s="1"/>
      <x:c r="AJ71" s="1"/>
      <x:c r="AK71" s="1"/>
      <x:c r="AL71" s="1"/>
      <x:c r="AM71" s="1"/>
      <x:c r="AN71" s="1"/>
      <x:c r="AO71" s="1"/>
      <x:c r="AP71" s="1"/>
      <x:c r="AQ71" s="1"/>
      <x:c r="AR71" s="1"/>
      <x:c r="AS71" s="1"/>
      <x:c r="AT71" s="1"/>
      <x:c r="AU71" s="1"/>
      <x:c r="AV71" s="1"/>
      <x:c r="AW71" s="1"/>
      <x:c r="AX71" s="1"/>
      <x:c r="AY71" s="1"/>
      <x:c r="AZ71" s="1"/>
      <x:c r="BA71" s="1"/>
    </x:row>
    <x:row r="72" ht="22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  <x:c r="AA72" s="1"/>
      <x:c r="AB72" s="1"/>
      <x:c r="AC72" s="1"/>
      <x:c r="AD72" s="1"/>
      <x:c r="AE72" s="1"/>
      <x:c r="AF72" s="1"/>
      <x:c r="AG72" s="1"/>
      <x:c r="AH72" s="1"/>
      <x:c r="AI72" s="1"/>
      <x:c r="AJ72" s="1"/>
      <x:c r="AK72" s="1"/>
      <x:c r="AL72" s="1"/>
      <x:c r="AM72" s="1"/>
      <x:c r="AN72" s="1"/>
      <x:c r="AO72" s="1"/>
      <x:c r="AP72" s="1"/>
      <x:c r="AQ72" s="1"/>
      <x:c r="AR72" s="1"/>
      <x:c r="AS72" s="1"/>
      <x:c r="AT72" s="1"/>
      <x:c r="AU72" s="1"/>
      <x:c r="AV72" s="1"/>
      <x:c r="AW72" s="1"/>
      <x:c r="AX72" s="1"/>
      <x:c r="AY72" s="1"/>
      <x:c r="AZ72" s="1"/>
      <x:c r="BA72" s="1"/>
    </x:row>
    <x:row r="73" ht="22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  <x:c r="AA73" s="1"/>
      <x:c r="AB73" s="1"/>
      <x:c r="AC73" s="1"/>
      <x:c r="AD73" s="1"/>
      <x:c r="AE73" s="1"/>
      <x:c r="AF73" s="1"/>
      <x:c r="AG73" s="1"/>
      <x:c r="AH73" s="1"/>
      <x:c r="AI73" s="1"/>
      <x:c r="AJ73" s="1"/>
      <x:c r="AK73" s="1"/>
      <x:c r="AL73" s="1"/>
      <x:c r="AM73" s="1"/>
      <x:c r="AN73" s="1"/>
      <x:c r="AO73" s="1"/>
      <x:c r="AP73" s="1"/>
      <x:c r="AQ73" s="1"/>
      <x:c r="AR73" s="1"/>
      <x:c r="AS73" s="1"/>
      <x:c r="AT73" s="1"/>
      <x:c r="AU73" s="1"/>
      <x:c r="AV73" s="1"/>
      <x:c r="AW73" s="1"/>
      <x:c r="AX73" s="1"/>
      <x:c r="AY73" s="1"/>
      <x:c r="AZ73" s="1"/>
      <x:c r="BA73" s="1"/>
    </x:row>
    <x:row r="74" ht="22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  <x:c r="AA74" s="1"/>
      <x:c r="AB74" s="1"/>
      <x:c r="AC74" s="1"/>
      <x:c r="AD74" s="1"/>
      <x:c r="AE74" s="1"/>
      <x:c r="AF74" s="1"/>
      <x:c r="AG74" s="1"/>
      <x:c r="AH74" s="1"/>
      <x:c r="AI74" s="1"/>
      <x:c r="AJ74" s="1"/>
      <x:c r="AK74" s="1"/>
      <x:c r="AL74" s="1"/>
      <x:c r="AM74" s="1"/>
      <x:c r="AN74" s="1"/>
      <x:c r="AO74" s="1"/>
      <x:c r="AP74" s="1"/>
      <x:c r="AQ74" s="1"/>
      <x:c r="AR74" s="1"/>
      <x:c r="AS74" s="1"/>
      <x:c r="AT74" s="1"/>
      <x:c r="AU74" s="1"/>
      <x:c r="AV74" s="1"/>
      <x:c r="AW74" s="1"/>
      <x:c r="AX74" s="1"/>
      <x:c r="AY74" s="1"/>
      <x:c r="AZ74" s="1"/>
      <x:c r="BA74" s="1"/>
    </x:row>
    <x:row r="75" ht="22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  <x:c r="AA75" s="1"/>
      <x:c r="AB75" s="1"/>
      <x:c r="AC75" s="1"/>
      <x:c r="AD75" s="1"/>
      <x:c r="AE75" s="1"/>
      <x:c r="AF75" s="1"/>
      <x:c r="AG75" s="1"/>
      <x:c r="AH75" s="1"/>
      <x:c r="AI75" s="1"/>
      <x:c r="AJ75" s="1"/>
      <x:c r="AK75" s="1"/>
      <x:c r="AL75" s="1"/>
      <x:c r="AM75" s="1"/>
      <x:c r="AN75" s="1"/>
      <x:c r="AO75" s="1"/>
      <x:c r="AP75" s="1"/>
      <x:c r="AQ75" s="1"/>
      <x:c r="AR75" s="1"/>
      <x:c r="AS75" s="1"/>
      <x:c r="AT75" s="1"/>
      <x:c r="AU75" s="1"/>
      <x:c r="AV75" s="1"/>
      <x:c r="AW75" s="1"/>
      <x:c r="AX75" s="1"/>
      <x:c r="AY75" s="1"/>
      <x:c r="AZ75" s="1"/>
      <x:c r="BA75" s="1"/>
    </x:row>
    <x:row r="76" ht="22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  <x:c r="AA76" s="1"/>
      <x:c r="AB76" s="1"/>
      <x:c r="AC76" s="1"/>
      <x:c r="AD76" s="1"/>
      <x:c r="AE76" s="1"/>
      <x:c r="AF76" s="1"/>
      <x:c r="AG76" s="1"/>
      <x:c r="AH76" s="1"/>
      <x:c r="AI76" s="1"/>
      <x:c r="AJ76" s="1"/>
      <x:c r="AK76" s="1"/>
      <x:c r="AL76" s="1"/>
      <x:c r="AM76" s="1"/>
      <x:c r="AN76" s="1"/>
      <x:c r="AO76" s="1"/>
      <x:c r="AP76" s="1"/>
      <x:c r="AQ76" s="1"/>
      <x:c r="AR76" s="1"/>
      <x:c r="AS76" s="1"/>
      <x:c r="AT76" s="1"/>
      <x:c r="AU76" s="1"/>
      <x:c r="AV76" s="1"/>
      <x:c r="AW76" s="1"/>
      <x:c r="AX76" s="1"/>
      <x:c r="AY76" s="1"/>
      <x:c r="AZ76" s="1"/>
      <x:c r="BA76" s="1"/>
    </x:row>
    <x:row r="77" ht="22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  <x:c r="AA77" s="1"/>
      <x:c r="AB77" s="1"/>
      <x:c r="AC77" s="1"/>
      <x:c r="AD77" s="1"/>
      <x:c r="AE77" s="1"/>
      <x:c r="AF77" s="1"/>
      <x:c r="AG77" s="1"/>
      <x:c r="AH77" s="1"/>
      <x:c r="AI77" s="1"/>
      <x:c r="AJ77" s="1"/>
      <x:c r="AK77" s="1"/>
      <x:c r="AL77" s="1"/>
      <x:c r="AM77" s="1"/>
      <x:c r="AN77" s="1"/>
      <x:c r="AO77" s="1"/>
      <x:c r="AP77" s="1"/>
      <x:c r="AQ77" s="1"/>
      <x:c r="AR77" s="1"/>
      <x:c r="AS77" s="1"/>
      <x:c r="AT77" s="1"/>
      <x:c r="AU77" s="1"/>
      <x:c r="AV77" s="1"/>
      <x:c r="AW77" s="1"/>
      <x:c r="AX77" s="1"/>
      <x:c r="AY77" s="1"/>
      <x:c r="AZ77" s="1"/>
      <x:c r="BA77" s="1"/>
    </x:row>
    <x:row r="78" ht="22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  <x:c r="AA78" s="1"/>
      <x:c r="AB78" s="1"/>
      <x:c r="AC78" s="1"/>
      <x:c r="AD78" s="1"/>
      <x:c r="AE78" s="1"/>
      <x:c r="AF78" s="1"/>
      <x:c r="AG78" s="1"/>
      <x:c r="AH78" s="1"/>
      <x:c r="AI78" s="1"/>
      <x:c r="AJ78" s="1"/>
      <x:c r="AK78" s="1"/>
      <x:c r="AL78" s="1"/>
      <x:c r="AM78" s="1"/>
      <x:c r="AN78" s="1"/>
      <x:c r="AO78" s="1"/>
      <x:c r="AP78" s="1"/>
      <x:c r="AQ78" s="1"/>
      <x:c r="AR78" s="1"/>
      <x:c r="AS78" s="1"/>
      <x:c r="AT78" s="1"/>
      <x:c r="AU78" s="1"/>
      <x:c r="AV78" s="1"/>
      <x:c r="AW78" s="1"/>
      <x:c r="AX78" s="1"/>
      <x:c r="AY78" s="1"/>
      <x:c r="AZ78" s="1"/>
      <x:c r="BA78" s="1"/>
    </x:row>
    <x:row r="79" ht="22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  <x:c r="AA79" s="1"/>
      <x:c r="AB79" s="1"/>
      <x:c r="AC79" s="1"/>
      <x:c r="AD79" s="1"/>
      <x:c r="AE79" s="1"/>
      <x:c r="AF79" s="1"/>
      <x:c r="AG79" s="1"/>
      <x:c r="AH79" s="1"/>
      <x:c r="AI79" s="1"/>
      <x:c r="AJ79" s="1"/>
      <x:c r="AK79" s="1"/>
      <x:c r="AL79" s="1"/>
      <x:c r="AM79" s="1"/>
      <x:c r="AN79" s="1"/>
      <x:c r="AO79" s="1"/>
      <x:c r="AP79" s="1"/>
      <x:c r="AQ79" s="1"/>
      <x:c r="AR79" s="1"/>
      <x:c r="AS79" s="1"/>
      <x:c r="AT79" s="1"/>
      <x:c r="AU79" s="1"/>
      <x:c r="AV79" s="1"/>
      <x:c r="AW79" s="1"/>
      <x:c r="AX79" s="1"/>
      <x:c r="AY79" s="1"/>
      <x:c r="AZ79" s="1"/>
      <x:c r="BA79" s="1"/>
    </x:row>
    <x:row r="80" ht="22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  <x:c r="AA80" s="1"/>
      <x:c r="AB80" s="1"/>
      <x:c r="AC80" s="1"/>
      <x:c r="AD80" s="1"/>
      <x:c r="AE80" s="1"/>
      <x:c r="AF80" s="1"/>
      <x:c r="AG80" s="1"/>
      <x:c r="AH80" s="1"/>
      <x:c r="AI80" s="1"/>
      <x:c r="AJ80" s="1"/>
      <x:c r="AK80" s="1"/>
      <x:c r="AL80" s="1"/>
      <x:c r="AM80" s="1"/>
      <x:c r="AN80" s="1"/>
      <x:c r="AO80" s="1"/>
      <x:c r="AP80" s="1"/>
      <x:c r="AQ80" s="1"/>
      <x:c r="AR80" s="1"/>
      <x:c r="AS80" s="1"/>
      <x:c r="AT80" s="1"/>
      <x:c r="AU80" s="1"/>
      <x:c r="AV80" s="1"/>
      <x:c r="AW80" s="1"/>
      <x:c r="AX80" s="1"/>
      <x:c r="AY80" s="1"/>
      <x:c r="AZ80" s="1"/>
      <x:c r="BA80" s="1"/>
    </x:row>
    <x:row r="81" ht="22" customHeight="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  <x:c r="AA81" s="1"/>
      <x:c r="AB81" s="1"/>
      <x:c r="AC81" s="1"/>
      <x:c r="AD81" s="1"/>
      <x:c r="AE81" s="1"/>
      <x:c r="AF81" s="1"/>
      <x:c r="AG81" s="1"/>
      <x:c r="AH81" s="1"/>
      <x:c r="AI81" s="1"/>
      <x:c r="AJ81" s="1"/>
      <x:c r="AK81" s="1"/>
      <x:c r="AL81" s="1"/>
      <x:c r="AM81" s="1"/>
      <x:c r="AN81" s="1"/>
      <x:c r="AO81" s="1"/>
      <x:c r="AP81" s="1"/>
      <x:c r="AQ81" s="1"/>
      <x:c r="AR81" s="1"/>
      <x:c r="AS81" s="1"/>
      <x:c r="AT81" s="1"/>
      <x:c r="AU81" s="1"/>
      <x:c r="AV81" s="1"/>
      <x:c r="AW81" s="1"/>
      <x:c r="AX81" s="1"/>
      <x:c r="AY81" s="1"/>
      <x:c r="AZ81" s="1"/>
      <x:c r="BA81" s="1"/>
    </x:row>
    <x:row r="82" ht="22" customHeight="1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  <x:c r="AA82" s="1"/>
      <x:c r="AB82" s="1"/>
      <x:c r="AC82" s="1"/>
      <x:c r="AD82" s="1"/>
      <x:c r="AE82" s="1"/>
      <x:c r="AF82" s="1"/>
      <x:c r="AG82" s="1"/>
      <x:c r="AH82" s="1"/>
      <x:c r="AI82" s="1"/>
      <x:c r="AJ82" s="1"/>
      <x:c r="AK82" s="1"/>
      <x:c r="AL82" s="1"/>
      <x:c r="AM82" s="1"/>
      <x:c r="AN82" s="1"/>
      <x:c r="AO82" s="1"/>
      <x:c r="AP82" s="1"/>
      <x:c r="AQ82" s="1"/>
      <x:c r="AR82" s="1"/>
      <x:c r="AS82" s="1"/>
      <x:c r="AT82" s="1"/>
      <x:c r="AU82" s="1"/>
      <x:c r="AV82" s="1"/>
      <x:c r="AW82" s="1"/>
      <x:c r="AX82" s="1"/>
      <x:c r="AY82" s="1"/>
      <x:c r="AZ82" s="1"/>
      <x:c r="BA82" s="1"/>
    </x:row>
    <x:row r="83" ht="22" customHeight="1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  <x:c r="AA83" s="1"/>
      <x:c r="AB83" s="1"/>
      <x:c r="AC83" s="1"/>
      <x:c r="AD83" s="1"/>
      <x:c r="AE83" s="1"/>
      <x:c r="AF83" s="1"/>
      <x:c r="AG83" s="1"/>
      <x:c r="AH83" s="1"/>
      <x:c r="AI83" s="1"/>
      <x:c r="AJ83" s="1"/>
      <x:c r="AK83" s="1"/>
      <x:c r="AL83" s="1"/>
      <x:c r="AM83" s="1"/>
      <x:c r="AN83" s="1"/>
      <x:c r="AO83" s="1"/>
      <x:c r="AP83" s="1"/>
      <x:c r="AQ83" s="1"/>
      <x:c r="AR83" s="1"/>
      <x:c r="AS83" s="1"/>
      <x:c r="AT83" s="1"/>
      <x:c r="AU83" s="1"/>
      <x:c r="AV83" s="1"/>
      <x:c r="AW83" s="1"/>
      <x:c r="AX83" s="1"/>
      <x:c r="AY83" s="1"/>
      <x:c r="AZ83" s="1"/>
      <x:c r="BA83" s="1"/>
    </x:row>
    <x:row r="84" ht="22" customHeight="1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  <x:c r="AA84" s="1"/>
      <x:c r="AB84" s="1"/>
      <x:c r="AC84" s="1"/>
      <x:c r="AD84" s="1"/>
      <x:c r="AE84" s="1"/>
      <x:c r="AF84" s="1"/>
      <x:c r="AG84" s="1"/>
      <x:c r="AH84" s="1"/>
      <x:c r="AI84" s="1"/>
      <x:c r="AJ84" s="1"/>
      <x:c r="AK84" s="1"/>
      <x:c r="AL84" s="1"/>
      <x:c r="AM84" s="1"/>
      <x:c r="AN84" s="1"/>
      <x:c r="AO84" s="1"/>
      <x:c r="AP84" s="1"/>
      <x:c r="AQ84" s="1"/>
      <x:c r="AR84" s="1"/>
      <x:c r="AS84" s="1"/>
      <x:c r="AT84" s="1"/>
      <x:c r="AU84" s="1"/>
      <x:c r="AV84" s="1"/>
      <x:c r="AW84" s="1"/>
      <x:c r="AX84" s="1"/>
      <x:c r="AY84" s="1"/>
      <x:c r="AZ84" s="1"/>
      <x:c r="BA84" s="1"/>
    </x:row>
    <x:row r="85" ht="22" customHeight="1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  <x:c r="AA85" s="1"/>
      <x:c r="AB85" s="1"/>
      <x:c r="AC85" s="1"/>
      <x:c r="AD85" s="1"/>
      <x:c r="AE85" s="1"/>
      <x:c r="AF85" s="1"/>
      <x:c r="AG85" s="1"/>
      <x:c r="AH85" s="1"/>
      <x:c r="AI85" s="1"/>
      <x:c r="AJ85" s="1"/>
      <x:c r="AK85" s="1"/>
      <x:c r="AL85" s="1"/>
      <x:c r="AM85" s="1"/>
      <x:c r="AN85" s="1"/>
      <x:c r="AO85" s="1"/>
      <x:c r="AP85" s="1"/>
      <x:c r="AQ85" s="1"/>
      <x:c r="AR85" s="1"/>
      <x:c r="AS85" s="1"/>
      <x:c r="AT85" s="1"/>
      <x:c r="AU85" s="1"/>
      <x:c r="AV85" s="1"/>
      <x:c r="AW85" s="1"/>
      <x:c r="AX85" s="1"/>
      <x:c r="AY85" s="1"/>
      <x:c r="AZ85" s="1"/>
      <x:c r="BA85" s="1"/>
    </x:row>
    <x:row r="86" ht="22" customHeight="1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  <x:c r="AA86" s="1"/>
      <x:c r="AB86" s="1"/>
      <x:c r="AC86" s="1"/>
      <x:c r="AD86" s="1"/>
      <x:c r="AE86" s="1"/>
      <x:c r="AF86" s="1"/>
      <x:c r="AG86" s="1"/>
      <x:c r="AH86" s="1"/>
      <x:c r="AI86" s="1"/>
      <x:c r="AJ86" s="1"/>
      <x:c r="AK86" s="1"/>
      <x:c r="AL86" s="1"/>
      <x:c r="AM86" s="1"/>
      <x:c r="AN86" s="1"/>
      <x:c r="AO86" s="1"/>
      <x:c r="AP86" s="1"/>
      <x:c r="AQ86" s="1"/>
      <x:c r="AR86" s="1"/>
      <x:c r="AS86" s="1"/>
      <x:c r="AT86" s="1"/>
      <x:c r="AU86" s="1"/>
      <x:c r="AV86" s="1"/>
      <x:c r="AW86" s="1"/>
      <x:c r="AX86" s="1"/>
      <x:c r="AY86" s="1"/>
      <x:c r="AZ86" s="1"/>
      <x:c r="BA86" s="1"/>
    </x:row>
    <x:row r="87" ht="22" customHeight="1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  <x:c r="AA87" s="1"/>
      <x:c r="AB87" s="1"/>
      <x:c r="AC87" s="1"/>
      <x:c r="AD87" s="1"/>
      <x:c r="AE87" s="1"/>
      <x:c r="AF87" s="1"/>
      <x:c r="AG87" s="1"/>
      <x:c r="AH87" s="1"/>
      <x:c r="AI87" s="1"/>
      <x:c r="AJ87" s="1"/>
      <x:c r="AK87" s="1"/>
      <x:c r="AL87" s="1"/>
      <x:c r="AM87" s="1"/>
      <x:c r="AN87" s="1"/>
      <x:c r="AO87" s="1"/>
      <x:c r="AP87" s="1"/>
      <x:c r="AQ87" s="1"/>
      <x:c r="AR87" s="1"/>
      <x:c r="AS87" s="1"/>
      <x:c r="AT87" s="1"/>
      <x:c r="AU87" s="1"/>
      <x:c r="AV87" s="1"/>
      <x:c r="AW87" s="1"/>
      <x:c r="AX87" s="1"/>
      <x:c r="AY87" s="1"/>
      <x:c r="AZ87" s="1"/>
      <x:c r="BA87" s="1"/>
    </x:row>
    <x:row r="88" ht="22" customHeight="1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  <x:c r="AA88" s="1"/>
      <x:c r="AB88" s="1"/>
      <x:c r="AC88" s="1"/>
      <x:c r="AD88" s="1"/>
      <x:c r="AE88" s="1"/>
      <x:c r="AF88" s="1"/>
      <x:c r="AG88" s="1"/>
      <x:c r="AH88" s="1"/>
      <x:c r="AI88" s="1"/>
      <x:c r="AJ88" s="1"/>
      <x:c r="AK88" s="1"/>
      <x:c r="AL88" s="1"/>
      <x:c r="AM88" s="1"/>
      <x:c r="AN88" s="1"/>
      <x:c r="AO88" s="1"/>
      <x:c r="AP88" s="1"/>
      <x:c r="AQ88" s="1"/>
      <x:c r="AR88" s="1"/>
      <x:c r="AS88" s="1"/>
      <x:c r="AT88" s="1"/>
      <x:c r="AU88" s="1"/>
      <x:c r="AV88" s="1"/>
      <x:c r="AW88" s="1"/>
      <x:c r="AX88" s="1"/>
      <x:c r="AY88" s="1"/>
      <x:c r="AZ88" s="1"/>
      <x:c r="BA88" s="1"/>
    </x:row>
    <x:row r="89" ht="22" customHeight="1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  <x:c r="AA89" s="1"/>
      <x:c r="AB89" s="1"/>
      <x:c r="AC89" s="1"/>
      <x:c r="AD89" s="1"/>
      <x:c r="AE89" s="1"/>
      <x:c r="AF89" s="1"/>
      <x:c r="AG89" s="1"/>
      <x:c r="AH89" s="1"/>
      <x:c r="AI89" s="1"/>
      <x:c r="AJ89" s="1"/>
      <x:c r="AK89" s="1"/>
      <x:c r="AL89" s="1"/>
      <x:c r="AM89" s="1"/>
      <x:c r="AN89" s="1"/>
      <x:c r="AO89" s="1"/>
      <x:c r="AP89" s="1"/>
      <x:c r="AQ89" s="1"/>
      <x:c r="AR89" s="1"/>
      <x:c r="AS89" s="1"/>
      <x:c r="AT89" s="1"/>
      <x:c r="AU89" s="1"/>
      <x:c r="AV89" s="1"/>
      <x:c r="AW89" s="1"/>
      <x:c r="AX89" s="1"/>
      <x:c r="AY89" s="1"/>
      <x:c r="AZ89" s="1"/>
      <x:c r="BA89" s="1"/>
    </x:row>
    <x:row r="90" ht="22" customHeight="1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  <x:c r="AA90" s="1"/>
      <x:c r="AB90" s="1"/>
      <x:c r="AC90" s="1"/>
      <x:c r="AD90" s="1"/>
      <x:c r="AE90" s="1"/>
      <x:c r="AF90" s="1"/>
      <x:c r="AG90" s="1"/>
      <x:c r="AH90" s="1"/>
      <x:c r="AI90" s="1"/>
      <x:c r="AJ90" s="1"/>
      <x:c r="AK90" s="1"/>
      <x:c r="AL90" s="1"/>
      <x:c r="AM90" s="1"/>
      <x:c r="AN90" s="1"/>
      <x:c r="AO90" s="1"/>
      <x:c r="AP90" s="1"/>
      <x:c r="AQ90" s="1"/>
      <x:c r="AR90" s="1"/>
      <x:c r="AS90" s="1"/>
      <x:c r="AT90" s="1"/>
      <x:c r="AU90" s="1"/>
      <x:c r="AV90" s="1"/>
      <x:c r="AW90" s="1"/>
      <x:c r="AX90" s="1"/>
      <x:c r="AY90" s="1"/>
      <x:c r="AZ90" s="1"/>
      <x:c r="BA90" s="1"/>
    </x:row>
    <x:row r="91" ht="22" customHeight="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  <x:c r="AA91" s="1"/>
      <x:c r="AB91" s="1"/>
      <x:c r="AC91" s="1"/>
      <x:c r="AD91" s="1"/>
      <x:c r="AE91" s="1"/>
      <x:c r="AF91" s="1"/>
      <x:c r="AG91" s="1"/>
      <x:c r="AH91" s="1"/>
      <x:c r="AI91" s="1"/>
      <x:c r="AJ91" s="1"/>
      <x:c r="AK91" s="1"/>
      <x:c r="AL91" s="1"/>
      <x:c r="AM91" s="1"/>
      <x:c r="AN91" s="1"/>
      <x:c r="AO91" s="1"/>
      <x:c r="AP91" s="1"/>
      <x:c r="AQ91" s="1"/>
      <x:c r="AR91" s="1"/>
      <x:c r="AS91" s="1"/>
      <x:c r="AT91" s="1"/>
      <x:c r="AU91" s="1"/>
      <x:c r="AV91" s="1"/>
      <x:c r="AW91" s="1"/>
      <x:c r="AX91" s="1"/>
      <x:c r="AY91" s="1"/>
      <x:c r="AZ91" s="1"/>
      <x:c r="BA91" s="1"/>
    </x:row>
    <x:row r="92" ht="22" customHeight="1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  <x:c r="AA92" s="1"/>
      <x:c r="AB92" s="1"/>
      <x:c r="AC92" s="1"/>
      <x:c r="AD92" s="1"/>
      <x:c r="AE92" s="1"/>
      <x:c r="AF92" s="1"/>
      <x:c r="AG92" s="1"/>
      <x:c r="AH92" s="1"/>
      <x:c r="AI92" s="1"/>
      <x:c r="AJ92" s="1"/>
      <x:c r="AK92" s="1"/>
      <x:c r="AL92" s="1"/>
      <x:c r="AM92" s="1"/>
      <x:c r="AN92" s="1"/>
      <x:c r="AO92" s="1"/>
      <x:c r="AP92" s="1"/>
      <x:c r="AQ92" s="1"/>
      <x:c r="AR92" s="1"/>
      <x:c r="AS92" s="1"/>
      <x:c r="AT92" s="1"/>
      <x:c r="AU92" s="1"/>
      <x:c r="AV92" s="1"/>
      <x:c r="AW92" s="1"/>
      <x:c r="AX92" s="1"/>
      <x:c r="AY92" s="1"/>
      <x:c r="AZ92" s="1"/>
      <x:c r="BA92" s="1"/>
    </x:row>
    <x:row r="93" ht="22" customHeight="1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  <x:c r="AA93" s="1"/>
      <x:c r="AB93" s="1"/>
      <x:c r="AC93" s="1"/>
      <x:c r="AD93" s="1"/>
      <x:c r="AE93" s="1"/>
      <x:c r="AF93" s="1"/>
      <x:c r="AG93" s="1"/>
      <x:c r="AH93" s="1"/>
      <x:c r="AI93" s="1"/>
      <x:c r="AJ93" s="1"/>
      <x:c r="AK93" s="1"/>
      <x:c r="AL93" s="1"/>
      <x:c r="AM93" s="1"/>
      <x:c r="AN93" s="1"/>
      <x:c r="AO93" s="1"/>
      <x:c r="AP93" s="1"/>
      <x:c r="AQ93" s="1"/>
      <x:c r="AR93" s="1"/>
      <x:c r="AS93" s="1"/>
      <x:c r="AT93" s="1"/>
      <x:c r="AU93" s="1"/>
      <x:c r="AV93" s="1"/>
      <x:c r="AW93" s="1"/>
      <x:c r="AX93" s="1"/>
      <x:c r="AY93" s="1"/>
      <x:c r="AZ93" s="1"/>
      <x:c r="BA93" s="1"/>
    </x:row>
    <x:row r="94" ht="22" customHeight="1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  <x:c r="AA94" s="1"/>
      <x:c r="AB94" s="1"/>
      <x:c r="AC94" s="1"/>
      <x:c r="AD94" s="1"/>
      <x:c r="AE94" s="1"/>
      <x:c r="AF94" s="1"/>
      <x:c r="AG94" s="1"/>
      <x:c r="AH94" s="1"/>
      <x:c r="AI94" s="1"/>
      <x:c r="AJ94" s="1"/>
      <x:c r="AK94" s="1"/>
      <x:c r="AL94" s="1"/>
      <x:c r="AM94" s="1"/>
      <x:c r="AN94" s="1"/>
      <x:c r="AO94" s="1"/>
      <x:c r="AP94" s="1"/>
      <x:c r="AQ94" s="1"/>
      <x:c r="AR94" s="1"/>
      <x:c r="AS94" s="1"/>
      <x:c r="AT94" s="1"/>
      <x:c r="AU94" s="1"/>
      <x:c r="AV94" s="1"/>
      <x:c r="AW94" s="1"/>
      <x:c r="AX94" s="1"/>
      <x:c r="AY94" s="1"/>
      <x:c r="AZ94" s="1"/>
      <x:c r="BA94" s="1"/>
    </x:row>
    <x:row r="95" ht="22" customHeight="1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  <x:c r="AA95" s="1"/>
      <x:c r="AB95" s="1"/>
      <x:c r="AC95" s="1"/>
      <x:c r="AD95" s="1"/>
      <x:c r="AE95" s="1"/>
      <x:c r="AF95" s="1"/>
      <x:c r="AG95" s="1"/>
      <x:c r="AH95" s="1"/>
      <x:c r="AI95" s="1"/>
      <x:c r="AJ95" s="1"/>
      <x:c r="AK95" s="1"/>
      <x:c r="AL95" s="1"/>
      <x:c r="AM95" s="1"/>
      <x:c r="AN95" s="1"/>
      <x:c r="AO95" s="1"/>
      <x:c r="AP95" s="1"/>
      <x:c r="AQ95" s="1"/>
      <x:c r="AR95" s="1"/>
      <x:c r="AS95" s="1"/>
      <x:c r="AT95" s="1"/>
      <x:c r="AU95" s="1"/>
      <x:c r="AV95" s="1"/>
      <x:c r="AW95" s="1"/>
      <x:c r="AX95" s="1"/>
      <x:c r="AY95" s="1"/>
      <x:c r="AZ95" s="1"/>
      <x:c r="BA95" s="1"/>
    </x:row>
    <x:row r="96" ht="22" customHeight="1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  <x:c r="AA96" s="1"/>
      <x:c r="AB96" s="1"/>
      <x:c r="AC96" s="1"/>
      <x:c r="AD96" s="1"/>
      <x:c r="AE96" s="1"/>
      <x:c r="AF96" s="1"/>
      <x:c r="AG96" s="1"/>
      <x:c r="AH96" s="1"/>
      <x:c r="AI96" s="1"/>
      <x:c r="AJ96" s="1"/>
      <x:c r="AK96" s="1"/>
      <x:c r="AL96" s="1"/>
      <x:c r="AM96" s="1"/>
      <x:c r="AN96" s="1"/>
      <x:c r="AO96" s="1"/>
      <x:c r="AP96" s="1"/>
      <x:c r="AQ96" s="1"/>
      <x:c r="AR96" s="1"/>
      <x:c r="AS96" s="1"/>
      <x:c r="AT96" s="1"/>
      <x:c r="AU96" s="1"/>
      <x:c r="AV96" s="1"/>
      <x:c r="AW96" s="1"/>
      <x:c r="AX96" s="1"/>
      <x:c r="AY96" s="1"/>
      <x:c r="AZ96" s="1"/>
      <x:c r="BA96" s="1"/>
    </x:row>
    <x:row r="97" ht="22" customHeight="1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  <x:c r="AA97" s="1"/>
      <x:c r="AB97" s="1"/>
      <x:c r="AC97" s="1"/>
      <x:c r="AD97" s="1"/>
      <x:c r="AE97" s="1"/>
      <x:c r="AF97" s="1"/>
      <x:c r="AG97" s="1"/>
      <x:c r="AH97" s="1"/>
      <x:c r="AI97" s="1"/>
      <x:c r="AJ97" s="1"/>
      <x:c r="AK97" s="1"/>
      <x:c r="AL97" s="1"/>
      <x:c r="AM97" s="1"/>
      <x:c r="AN97" s="1"/>
      <x:c r="AO97" s="1"/>
      <x:c r="AP97" s="1"/>
      <x:c r="AQ97" s="1"/>
      <x:c r="AR97" s="1"/>
      <x:c r="AS97" s="1"/>
      <x:c r="AT97" s="1"/>
      <x:c r="AU97" s="1"/>
      <x:c r="AV97" s="1"/>
      <x:c r="AW97" s="1"/>
      <x:c r="AX97" s="1"/>
      <x:c r="AY97" s="1"/>
      <x:c r="AZ97" s="1"/>
      <x:c r="BA97" s="1"/>
    </x:row>
    <x:row r="98" ht="22" customHeight="1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  <x:c r="AA98" s="1"/>
      <x:c r="AB98" s="1"/>
      <x:c r="AC98" s="1"/>
      <x:c r="AD98" s="1"/>
      <x:c r="AE98" s="1"/>
      <x:c r="AF98" s="1"/>
      <x:c r="AG98" s="1"/>
      <x:c r="AH98" s="1"/>
      <x:c r="AI98" s="1"/>
      <x:c r="AJ98" s="1"/>
      <x:c r="AK98" s="1"/>
      <x:c r="AL98" s="1"/>
      <x:c r="AM98" s="1"/>
      <x:c r="AN98" s="1"/>
      <x:c r="AO98" s="1"/>
      <x:c r="AP98" s="1"/>
      <x:c r="AQ98" s="1"/>
      <x:c r="AR98" s="1"/>
      <x:c r="AS98" s="1"/>
      <x:c r="AT98" s="1"/>
      <x:c r="AU98" s="1"/>
      <x:c r="AV98" s="1"/>
      <x:c r="AW98" s="1"/>
      <x:c r="AX98" s="1"/>
      <x:c r="AY98" s="1"/>
      <x:c r="AZ98" s="1"/>
      <x:c r="BA98" s="1"/>
    </x:row>
    <x:row r="99" ht="22" customHeight="1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  <x:c r="AA99" s="1"/>
      <x:c r="AB99" s="1"/>
      <x:c r="AC99" s="1"/>
      <x:c r="AD99" s="1"/>
      <x:c r="AE99" s="1"/>
      <x:c r="AF99" s="1"/>
      <x:c r="AG99" s="1"/>
      <x:c r="AH99" s="1"/>
      <x:c r="AI99" s="1"/>
      <x:c r="AJ99" s="1"/>
      <x:c r="AK99" s="1"/>
      <x:c r="AL99" s="1"/>
      <x:c r="AM99" s="1"/>
      <x:c r="AN99" s="1"/>
      <x:c r="AO99" s="1"/>
      <x:c r="AP99" s="1"/>
      <x:c r="AQ99" s="1"/>
      <x:c r="AR99" s="1"/>
      <x:c r="AS99" s="1"/>
      <x:c r="AT99" s="1"/>
      <x:c r="AU99" s="1"/>
      <x:c r="AV99" s="1"/>
      <x:c r="AW99" s="1"/>
      <x:c r="AX99" s="1"/>
      <x:c r="AY99" s="1"/>
      <x:c r="AZ99" s="1"/>
      <x:c r="BA99" s="1"/>
    </x:row>
    <x:row r="100" ht="22" customHeight="1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  <x:c r="AA100" s="1"/>
      <x:c r="AB100" s="1"/>
      <x:c r="AC100" s="1"/>
      <x:c r="AD100" s="1"/>
      <x:c r="AE100" s="1"/>
      <x:c r="AF100" s="1"/>
      <x:c r="AG100" s="1"/>
      <x:c r="AH100" s="1"/>
      <x:c r="AI100" s="1"/>
      <x:c r="AJ100" s="1"/>
      <x:c r="AK100" s="1"/>
      <x:c r="AL100" s="1"/>
      <x:c r="AM100" s="1"/>
      <x:c r="AN100" s="1"/>
      <x:c r="AO100" s="1"/>
      <x:c r="AP100" s="1"/>
      <x:c r="AQ100" s="1"/>
      <x:c r="AR100" s="1"/>
      <x:c r="AS100" s="1"/>
      <x:c r="AT100" s="1"/>
      <x:c r="AU100" s="1"/>
      <x:c r="AV100" s="1"/>
      <x:c r="AW100" s="1"/>
      <x:c r="AX100" s="1"/>
      <x:c r="AY100" s="1"/>
      <x:c r="AZ100" s="1"/>
      <x:c r="BA100" s="1"/>
    </x:row>
  </x:sheetData>
  <x:pageMargins left="0.7" right="0.7" top="0.75" bottom="0.75" header="0.3" footer="0.3"/>
</x:worksheet>
</file>